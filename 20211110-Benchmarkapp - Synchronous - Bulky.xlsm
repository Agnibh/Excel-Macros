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EstaPasta_de_trabalho" defaultThemeVersion="124226"/>
  <mc:AlternateContent xmlns:mc="http://schemas.openxmlformats.org/markup-compatibility/2006">
    <mc:Choice Requires="x15">
      <x15ac:absPath xmlns:x15ac="http://schemas.microsoft.com/office/spreadsheetml/2010/11/ac" url="C:\Users\292181\Desktop\Excel-Macros\"/>
    </mc:Choice>
  </mc:AlternateContent>
  <xr:revisionPtr revIDLastSave="0" documentId="13_ncr:1_{FCB07388-A99D-4298-A0DE-7DA3AF19DC12}" xr6:coauthVersionLast="47" xr6:coauthVersionMax="47" xr10:uidLastSave="{00000000-0000-0000-0000-000000000000}"/>
  <bookViews>
    <workbookView xWindow="-108" yWindow="-108" windowWidth="23256" windowHeight="12576" tabRatio="890" firstSheet="2" activeTab="6" xr2:uid="{00000000-000D-0000-FFFF-FFFF00000000}"/>
  </bookViews>
  <sheets>
    <sheet name="Revision" sheetId="17" r:id="rId1"/>
    <sheet name="Help" sheetId="5" r:id="rId2"/>
    <sheet name="MEtrolinx and NYC" sheetId="1" r:id="rId3"/>
    <sheet name="Benchmark no V2V" sheetId="2" r:id="rId4"/>
    <sheet name="App cycle" sheetId="8" r:id="rId5"/>
    <sheet name="Variable list" sheetId="3" r:id="rId6"/>
    <sheet name="General" sheetId="4" r:id="rId7"/>
    <sheet name="Token" sheetId="10" r:id="rId8"/>
    <sheet name="VSOE2_SUT" sheetId="6" r:id="rId9"/>
    <sheet name="VSOE2_SIDE_A" sheetId="19" r:id="rId10"/>
    <sheet name="VSOE2_SIDE_B" sheetId="12" r:id="rId11"/>
    <sheet name="VSOE2_LINKS" sheetId="21" r:id="rId12"/>
    <sheet name="DPRAM" sheetId="11" r:id="rId13"/>
    <sheet name="MODBUS_SUT" sheetId="13" r:id="rId14"/>
    <sheet name="MODBUS_SIDE_A" sheetId="20" r:id="rId15"/>
    <sheet name="MODBUS_SIDE_B" sheetId="14" r:id="rId16"/>
    <sheet name="Digisafe_0204" sheetId="18" r:id="rId17"/>
    <sheet name="Plan3" sheetId="15" r:id="rId18"/>
    <sheet name="Plan1" sheetId="16" r:id="rId19"/>
  </sheets>
  <functionGroups builtInGroupCount="19"/>
  <definedNames>
    <definedName name="_xlnm._FilterDatabase" localSheetId="5" hidden="1">'Variable list'!$A$1:$AP$226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0" i="15" l="1"/>
  <c r="K146" i="3"/>
  <c r="J146" i="3"/>
  <c r="I146" i="3"/>
  <c r="K145" i="3"/>
  <c r="J145" i="3"/>
  <c r="I145" i="3"/>
  <c r="K144" i="3"/>
  <c r="J144" i="3"/>
  <c r="I144" i="3"/>
  <c r="K143" i="3"/>
  <c r="J143" i="3"/>
  <c r="I143" i="3"/>
  <c r="K142" i="3"/>
  <c r="J142" i="3"/>
  <c r="I142" i="3"/>
  <c r="K141" i="3"/>
  <c r="J141" i="3"/>
  <c r="I141" i="3"/>
  <c r="K140" i="3"/>
  <c r="J140" i="3"/>
  <c r="I140" i="3"/>
  <c r="K139" i="3"/>
  <c r="J139" i="3"/>
  <c r="I139" i="3"/>
  <c r="K138" i="3"/>
  <c r="J138" i="3"/>
  <c r="I138" i="3"/>
  <c r="K137" i="3"/>
  <c r="J137" i="3"/>
  <c r="I137" i="3"/>
  <c r="K136" i="3"/>
  <c r="J136" i="3"/>
  <c r="I136" i="3"/>
  <c r="K135" i="3"/>
  <c r="J135" i="3"/>
  <c r="I135" i="3"/>
  <c r="K134" i="3"/>
  <c r="J134" i="3"/>
  <c r="I134" i="3"/>
  <c r="K133" i="3"/>
  <c r="J133" i="3"/>
  <c r="I133" i="3"/>
  <c r="K132" i="3"/>
  <c r="J132" i="3"/>
  <c r="I132" i="3"/>
  <c r="K131" i="3"/>
  <c r="J131" i="3"/>
  <c r="I131" i="3"/>
  <c r="AP258" i="3"/>
  <c r="AO258" i="3"/>
  <c r="AP257" i="3"/>
  <c r="AO257" i="3"/>
  <c r="AP256" i="3"/>
  <c r="AO256" i="3"/>
  <c r="AP255" i="3"/>
  <c r="AO255" i="3"/>
  <c r="AP254" i="3"/>
  <c r="AO254" i="3"/>
  <c r="AP253" i="3"/>
  <c r="AO253" i="3"/>
  <c r="AP252" i="3"/>
  <c r="AO252" i="3"/>
  <c r="AP251" i="3"/>
  <c r="AO251" i="3"/>
  <c r="AP250" i="3"/>
  <c r="AO250" i="3"/>
  <c r="AP249" i="3"/>
  <c r="AO249" i="3"/>
  <c r="AP248" i="3"/>
  <c r="AO248" i="3"/>
  <c r="AP247" i="3"/>
  <c r="AO247" i="3"/>
  <c r="AP246" i="3"/>
  <c r="AO246" i="3"/>
  <c r="AP245" i="3"/>
  <c r="AO245" i="3"/>
  <c r="AP244" i="3"/>
  <c r="AO244" i="3"/>
  <c r="AP243" i="3"/>
  <c r="AO243" i="3"/>
  <c r="AP242" i="3"/>
  <c r="AO242" i="3"/>
  <c r="AP241" i="3"/>
  <c r="AO241" i="3"/>
  <c r="AP240" i="3"/>
  <c r="AO240" i="3"/>
  <c r="AP239" i="3"/>
  <c r="AO239" i="3"/>
  <c r="AP238" i="3"/>
  <c r="AO238" i="3"/>
  <c r="AP237" i="3"/>
  <c r="AO237" i="3"/>
  <c r="AP236" i="3"/>
  <c r="AO236" i="3"/>
  <c r="AP235" i="3"/>
  <c r="AO235" i="3"/>
  <c r="AP234" i="3"/>
  <c r="AO234" i="3"/>
  <c r="AP233" i="3"/>
  <c r="AO233" i="3"/>
  <c r="AP232" i="3"/>
  <c r="AO232" i="3"/>
  <c r="AP231" i="3"/>
  <c r="AO231" i="3"/>
  <c r="AP230" i="3"/>
  <c r="AO230" i="3"/>
  <c r="AP229" i="3"/>
  <c r="AO229" i="3"/>
  <c r="AP228" i="3"/>
  <c r="AO228" i="3"/>
  <c r="AP227" i="3"/>
  <c r="AO227" i="3"/>
  <c r="AP226" i="3"/>
  <c r="AO226" i="3"/>
  <c r="AP225" i="3"/>
  <c r="AO225" i="3"/>
  <c r="AP224" i="3"/>
  <c r="AO224" i="3"/>
  <c r="AP223" i="3"/>
  <c r="AO223" i="3"/>
  <c r="AP222" i="3"/>
  <c r="AO222" i="3"/>
  <c r="AP221" i="3"/>
  <c r="AO221" i="3"/>
  <c r="AP220" i="3"/>
  <c r="AO220" i="3"/>
  <c r="AP219" i="3"/>
  <c r="AO219" i="3"/>
  <c r="AP218" i="3"/>
  <c r="AO218" i="3"/>
  <c r="AP217" i="3"/>
  <c r="AO217" i="3"/>
  <c r="AP216" i="3"/>
  <c r="AO216" i="3"/>
  <c r="AP215" i="3"/>
  <c r="AO215" i="3"/>
  <c r="AP214" i="3"/>
  <c r="AO214" i="3"/>
  <c r="AP213" i="3"/>
  <c r="AO213" i="3"/>
  <c r="AP212" i="3"/>
  <c r="AO212" i="3"/>
  <c r="AP211" i="3"/>
  <c r="AO211" i="3"/>
  <c r="AP210" i="3"/>
  <c r="AO210" i="3"/>
  <c r="AP209" i="3"/>
  <c r="AO209" i="3"/>
  <c r="AP208" i="3"/>
  <c r="AO208" i="3"/>
  <c r="AP207" i="3"/>
  <c r="AO207" i="3"/>
  <c r="AP206" i="3"/>
  <c r="AO206" i="3"/>
  <c r="AP205" i="3"/>
  <c r="AO205" i="3"/>
  <c r="AP204" i="3"/>
  <c r="AO204" i="3"/>
  <c r="AP203" i="3"/>
  <c r="AO203" i="3"/>
  <c r="AP202" i="3"/>
  <c r="AO202" i="3"/>
  <c r="AP201" i="3"/>
  <c r="AO201" i="3"/>
  <c r="AP200" i="3"/>
  <c r="AO200" i="3"/>
  <c r="AP199" i="3"/>
  <c r="AO199" i="3"/>
  <c r="AP198" i="3"/>
  <c r="AO198" i="3"/>
  <c r="AP197" i="3"/>
  <c r="AO197" i="3"/>
  <c r="AP196" i="3"/>
  <c r="AO196" i="3"/>
  <c r="AP195" i="3"/>
  <c r="AO195" i="3"/>
  <c r="AP194" i="3"/>
  <c r="AO194" i="3"/>
  <c r="AP193" i="3"/>
  <c r="AO193" i="3"/>
  <c r="AP192" i="3"/>
  <c r="AO192" i="3"/>
  <c r="AP191" i="3"/>
  <c r="AO191" i="3"/>
  <c r="AP190" i="3"/>
  <c r="AO190" i="3"/>
  <c r="AP189" i="3"/>
  <c r="AO189" i="3"/>
  <c r="AP188" i="3"/>
  <c r="AO188" i="3"/>
  <c r="AP187" i="3"/>
  <c r="AO187" i="3"/>
  <c r="AP186" i="3"/>
  <c r="AO186" i="3"/>
  <c r="AP185" i="3"/>
  <c r="AO185" i="3"/>
  <c r="AP184" i="3"/>
  <c r="AO184" i="3"/>
  <c r="AP183" i="3"/>
  <c r="AO183" i="3"/>
  <c r="AP182" i="3"/>
  <c r="AO182" i="3"/>
  <c r="AP181" i="3"/>
  <c r="AO181" i="3"/>
  <c r="AP180" i="3"/>
  <c r="AO180" i="3"/>
  <c r="AP179" i="3"/>
  <c r="AO179" i="3"/>
  <c r="AP178" i="3"/>
  <c r="AO178" i="3"/>
  <c r="AP177" i="3"/>
  <c r="AO177" i="3"/>
  <c r="AP176" i="3"/>
  <c r="AO176" i="3"/>
  <c r="AP175" i="3"/>
  <c r="AO175" i="3"/>
  <c r="AP174" i="3"/>
  <c r="AO174" i="3"/>
  <c r="AP173" i="3"/>
  <c r="AO173" i="3"/>
  <c r="AP172" i="3"/>
  <c r="AO172" i="3"/>
  <c r="AP171" i="3"/>
  <c r="AO171" i="3"/>
  <c r="AP170" i="3"/>
  <c r="AO170" i="3"/>
  <c r="AP169" i="3"/>
  <c r="AO169" i="3"/>
  <c r="AP168" i="3"/>
  <c r="AO168" i="3"/>
  <c r="AP167" i="3"/>
  <c r="AO167" i="3"/>
  <c r="AP166" i="3"/>
  <c r="AO166" i="3"/>
  <c r="AP165" i="3"/>
  <c r="AO165" i="3"/>
  <c r="AP164" i="3"/>
  <c r="AO164" i="3"/>
  <c r="AP163" i="3"/>
  <c r="AO163" i="3"/>
  <c r="AP162" i="3"/>
  <c r="AO162" i="3"/>
  <c r="AP161" i="3"/>
  <c r="AO161" i="3"/>
  <c r="AP160" i="3"/>
  <c r="AO160" i="3"/>
  <c r="AP159" i="3"/>
  <c r="AO159" i="3"/>
  <c r="AP158" i="3"/>
  <c r="AO158" i="3"/>
  <c r="AP157" i="3"/>
  <c r="AO157" i="3"/>
  <c r="AP156" i="3"/>
  <c r="AO156" i="3"/>
  <c r="AP155" i="3"/>
  <c r="AO155" i="3"/>
  <c r="AP154" i="3"/>
  <c r="AO154" i="3"/>
  <c r="AP153" i="3"/>
  <c r="AO153" i="3"/>
  <c r="AP152" i="3"/>
  <c r="AO152" i="3"/>
  <c r="AP151" i="3"/>
  <c r="AO151" i="3"/>
  <c r="AP150" i="3"/>
  <c r="AO150" i="3"/>
  <c r="AP149" i="3"/>
  <c r="AO149" i="3"/>
  <c r="AP148" i="3"/>
  <c r="AO148" i="3"/>
  <c r="AP147" i="3"/>
  <c r="AO147" i="3"/>
  <c r="AP146" i="3"/>
  <c r="AO146" i="3"/>
  <c r="AP145" i="3"/>
  <c r="AO145" i="3"/>
  <c r="AP144" i="3"/>
  <c r="AO144" i="3"/>
  <c r="AP143" i="3"/>
  <c r="AO143" i="3"/>
  <c r="AP142" i="3"/>
  <c r="AO142" i="3"/>
  <c r="AP141" i="3"/>
  <c r="AO141" i="3"/>
  <c r="AP140" i="3"/>
  <c r="AO140" i="3"/>
  <c r="AP139" i="3"/>
  <c r="AO139" i="3"/>
  <c r="AP138" i="3"/>
  <c r="AO138" i="3"/>
  <c r="AP137" i="3"/>
  <c r="AO137" i="3"/>
  <c r="AP136" i="3"/>
  <c r="AO136" i="3"/>
  <c r="AP135" i="3"/>
  <c r="AO135" i="3"/>
  <c r="AP134" i="3"/>
  <c r="AO134" i="3"/>
  <c r="AP133" i="3"/>
  <c r="AO133" i="3"/>
  <c r="AP132" i="3"/>
  <c r="AO132" i="3"/>
  <c r="AP131" i="3"/>
  <c r="AO131" i="3"/>
  <c r="O123" i="3"/>
  <c r="E12" i="15"/>
  <c r="E13" i="15"/>
  <c r="F12" i="15"/>
  <c r="F13" i="15"/>
  <c r="G12" i="15"/>
  <c r="G13" i="15"/>
  <c r="H12" i="15"/>
  <c r="H13" i="15"/>
  <c r="D12" i="15"/>
  <c r="D13" i="15"/>
  <c r="E10" i="15"/>
  <c r="F10" i="15"/>
  <c r="G10" i="15"/>
  <c r="H10" i="15"/>
  <c r="D10" i="15"/>
  <c r="I5" i="16"/>
  <c r="I6" i="16"/>
  <c r="I7" i="16"/>
  <c r="I8" i="16"/>
  <c r="I9" i="16"/>
  <c r="I10" i="16"/>
  <c r="J10" i="16"/>
  <c r="K10" i="16"/>
  <c r="I4" i="16"/>
  <c r="I3" i="16"/>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3" i="3"/>
  <c r="AO130" i="3"/>
  <c r="AO129" i="3"/>
  <c r="AO128" i="3"/>
  <c r="AO127" i="3"/>
  <c r="AO126" i="3"/>
  <c r="AO125" i="3"/>
  <c r="AO124" i="3"/>
  <c r="AO123" i="3"/>
  <c r="AO122" i="3"/>
  <c r="AO121" i="3"/>
  <c r="AO120" i="3"/>
  <c r="AO119" i="3"/>
  <c r="AO118" i="3"/>
  <c r="AO117" i="3"/>
  <c r="AO116" i="3"/>
  <c r="AO115" i="3"/>
  <c r="AO114" i="3"/>
  <c r="AO113" i="3"/>
  <c r="AO112" i="3"/>
  <c r="AO111" i="3"/>
  <c r="AO110" i="3"/>
  <c r="AO109" i="3"/>
  <c r="AO108" i="3"/>
  <c r="AO107" i="3"/>
  <c r="AO106" i="3"/>
  <c r="AO105" i="3"/>
  <c r="AO104" i="3"/>
  <c r="AO103" i="3"/>
  <c r="AO102" i="3"/>
  <c r="AO101" i="3"/>
  <c r="AO100" i="3"/>
  <c r="AO99" i="3"/>
  <c r="AO98" i="3"/>
  <c r="AO97" i="3"/>
  <c r="AO96" i="3"/>
  <c r="AO95" i="3"/>
  <c r="AO94" i="3"/>
  <c r="AO93" i="3"/>
  <c r="AO92" i="3"/>
  <c r="AO91" i="3"/>
  <c r="AO90" i="3"/>
  <c r="AO89" i="3"/>
  <c r="AO88" i="3"/>
  <c r="AO87" i="3"/>
  <c r="AO86" i="3"/>
  <c r="AO85" i="3"/>
  <c r="AO84" i="3"/>
  <c r="AO83" i="3"/>
  <c r="AO82" i="3"/>
  <c r="AO81" i="3"/>
  <c r="AO80" i="3"/>
  <c r="AO79" i="3"/>
  <c r="AO78" i="3"/>
  <c r="AO77" i="3"/>
  <c r="AO76" i="3"/>
  <c r="AO75" i="3"/>
  <c r="AO74" i="3"/>
  <c r="AO73" i="3"/>
  <c r="AO72" i="3"/>
  <c r="AO71" i="3"/>
  <c r="AO70" i="3"/>
  <c r="AO69" i="3"/>
  <c r="AO68" i="3"/>
  <c r="AO67" i="3"/>
  <c r="AO66" i="3"/>
  <c r="AO65" i="3"/>
  <c r="AO64" i="3"/>
  <c r="AO63" i="3"/>
  <c r="AO62" i="3"/>
  <c r="AO61" i="3"/>
  <c r="AO60" i="3"/>
  <c r="AO59" i="3"/>
  <c r="AO58" i="3"/>
  <c r="AO57" i="3"/>
  <c r="AO56" i="3"/>
  <c r="AO55" i="3"/>
  <c r="AO54" i="3"/>
  <c r="AO53" i="3"/>
  <c r="AO52" i="3"/>
  <c r="AO51" i="3"/>
  <c r="AO50" i="3"/>
  <c r="AO49" i="3"/>
  <c r="AO48" i="3"/>
  <c r="AO47" i="3"/>
  <c r="AO46" i="3"/>
  <c r="AO45" i="3"/>
  <c r="AO44" i="3"/>
  <c r="AO43" i="3"/>
  <c r="AO42" i="3"/>
  <c r="AO41" i="3"/>
  <c r="AO40" i="3"/>
  <c r="AO39" i="3"/>
  <c r="AO38" i="3"/>
  <c r="AO37" i="3"/>
  <c r="AO36" i="3"/>
  <c r="AO35"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 i="3"/>
  <c r="AI9" i="3"/>
  <c r="AJ9" i="3"/>
  <c r="AI10" i="3"/>
  <c r="AJ10" i="3"/>
  <c r="AI11" i="3"/>
  <c r="AJ11" i="3"/>
  <c r="AI12" i="3"/>
  <c r="AJ12" i="3"/>
  <c r="AI13" i="3"/>
  <c r="AJ13" i="3"/>
  <c r="AI14" i="3"/>
  <c r="AJ14" i="3"/>
  <c r="AI15" i="3"/>
  <c r="AJ15" i="3"/>
  <c r="AI16" i="3"/>
  <c r="AJ16" i="3"/>
  <c r="AI17" i="3"/>
  <c r="AJ17" i="3"/>
  <c r="AI18" i="3"/>
  <c r="AJ18" i="3"/>
  <c r="AI19" i="3"/>
  <c r="AJ19" i="3"/>
  <c r="AI20" i="3"/>
  <c r="AJ20" i="3"/>
  <c r="AI21" i="3"/>
  <c r="AJ21" i="3"/>
  <c r="AI22" i="3"/>
  <c r="AJ22" i="3"/>
  <c r="AI23" i="3"/>
  <c r="AJ23" i="3"/>
  <c r="AI24" i="3"/>
  <c r="AJ24" i="3"/>
  <c r="AI25" i="3"/>
  <c r="AJ25" i="3"/>
  <c r="AI26" i="3"/>
  <c r="AJ26" i="3"/>
  <c r="AI27" i="3"/>
  <c r="AJ27" i="3"/>
  <c r="AI28" i="3"/>
  <c r="AJ28" i="3"/>
  <c r="AI29" i="3"/>
  <c r="AJ29" i="3"/>
  <c r="AI30" i="3"/>
  <c r="AJ30" i="3"/>
  <c r="AI31" i="3"/>
  <c r="AJ31" i="3"/>
  <c r="AI32" i="3"/>
  <c r="AJ32" i="3"/>
  <c r="AI33" i="3"/>
  <c r="AJ33" i="3"/>
  <c r="AI34" i="3"/>
  <c r="AJ34" i="3"/>
  <c r="AI4" i="3"/>
  <c r="AI5" i="3"/>
  <c r="AI6" i="3"/>
  <c r="AI7" i="3"/>
  <c r="AI8" i="3"/>
  <c r="AI3" i="3"/>
  <c r="AJ3" i="3"/>
  <c r="AJ4" i="3"/>
  <c r="AJ5" i="3"/>
  <c r="AJ8" i="3"/>
  <c r="AJ7" i="3"/>
  <c r="AJ6" i="3"/>
  <c r="E226" i="3"/>
  <c r="D226" i="3"/>
  <c r="E225" i="3"/>
  <c r="D225" i="3"/>
  <c r="E224" i="3"/>
  <c r="D224" i="3"/>
  <c r="E223" i="3"/>
  <c r="D223" i="3"/>
  <c r="E222" i="3"/>
  <c r="D222" i="3"/>
  <c r="E221" i="3"/>
  <c r="D221" i="3"/>
  <c r="E220" i="3"/>
  <c r="D220" i="3"/>
  <c r="E219" i="3"/>
  <c r="D219" i="3"/>
  <c r="E218" i="3"/>
  <c r="D218" i="3"/>
  <c r="E217" i="3"/>
  <c r="D217" i="3"/>
  <c r="E216" i="3"/>
  <c r="D216" i="3"/>
  <c r="E215" i="3"/>
  <c r="D215" i="3"/>
  <c r="E214" i="3"/>
  <c r="D214" i="3"/>
  <c r="E213" i="3"/>
  <c r="D213" i="3"/>
  <c r="E212" i="3"/>
  <c r="D212" i="3"/>
  <c r="E211" i="3"/>
  <c r="D211" i="3"/>
  <c r="E210" i="3"/>
  <c r="D210" i="3"/>
  <c r="E209" i="3"/>
  <c r="D209" i="3"/>
  <c r="E208" i="3"/>
  <c r="D208" i="3"/>
  <c r="E207" i="3"/>
  <c r="D207" i="3"/>
  <c r="E206" i="3"/>
  <c r="D206" i="3"/>
  <c r="E205" i="3"/>
  <c r="D205" i="3"/>
  <c r="E204" i="3"/>
  <c r="D204" i="3"/>
  <c r="E203" i="3"/>
  <c r="D203" i="3"/>
  <c r="E202" i="3"/>
  <c r="D202" i="3"/>
  <c r="E201" i="3"/>
  <c r="D201" i="3"/>
  <c r="E200" i="3"/>
  <c r="D200" i="3"/>
  <c r="E199" i="3"/>
  <c r="D199" i="3"/>
  <c r="E198" i="3"/>
  <c r="D198" i="3"/>
  <c r="E197" i="3"/>
  <c r="D197" i="3"/>
  <c r="E196" i="3"/>
  <c r="D196" i="3"/>
  <c r="E195" i="3"/>
  <c r="D195" i="3"/>
  <c r="E194" i="3"/>
  <c r="D194" i="3"/>
  <c r="E193" i="3"/>
  <c r="D193" i="3"/>
  <c r="E192" i="3"/>
  <c r="D192" i="3"/>
  <c r="E191" i="3"/>
  <c r="D191" i="3"/>
  <c r="E190" i="3"/>
  <c r="D190" i="3"/>
  <c r="E189" i="3"/>
  <c r="D189" i="3"/>
  <c r="E188" i="3"/>
  <c r="D188" i="3"/>
  <c r="E187" i="3"/>
  <c r="D187" i="3"/>
  <c r="E186" i="3"/>
  <c r="D186" i="3"/>
  <c r="E185" i="3"/>
  <c r="D185" i="3"/>
  <c r="E184" i="3"/>
  <c r="D184" i="3"/>
  <c r="E183" i="3"/>
  <c r="D183" i="3"/>
  <c r="E182" i="3"/>
  <c r="D182" i="3"/>
  <c r="E181" i="3"/>
  <c r="D181" i="3"/>
  <c r="E180" i="3"/>
  <c r="D180" i="3"/>
  <c r="E179" i="3"/>
  <c r="D179" i="3"/>
  <c r="E178" i="3"/>
  <c r="D178" i="3"/>
  <c r="E177" i="3"/>
  <c r="D177" i="3"/>
  <c r="E176" i="3"/>
  <c r="D176" i="3"/>
  <c r="E175" i="3"/>
  <c r="D175" i="3"/>
  <c r="E174" i="3"/>
  <c r="D174" i="3"/>
  <c r="E173" i="3"/>
  <c r="D173" i="3"/>
  <c r="E172" i="3"/>
  <c r="D172" i="3"/>
  <c r="E171" i="3"/>
  <c r="D171" i="3"/>
  <c r="E170" i="3"/>
  <c r="D170" i="3"/>
  <c r="E169" i="3"/>
  <c r="D169" i="3"/>
  <c r="E168" i="3"/>
  <c r="D168" i="3"/>
  <c r="E167" i="3"/>
  <c r="D167" i="3"/>
  <c r="E166" i="3"/>
  <c r="D166" i="3"/>
  <c r="E165" i="3"/>
  <c r="D165" i="3"/>
  <c r="E164" i="3"/>
  <c r="D164" i="3"/>
  <c r="E163" i="3"/>
  <c r="D163" i="3"/>
  <c r="R162" i="3"/>
  <c r="Q162" i="3"/>
  <c r="P162" i="3"/>
  <c r="O162" i="3"/>
  <c r="E162" i="3"/>
  <c r="D162" i="3"/>
  <c r="R161" i="3"/>
  <c r="Q161" i="3"/>
  <c r="P161" i="3"/>
  <c r="O161" i="3"/>
  <c r="E161" i="3"/>
  <c r="D161" i="3"/>
  <c r="R160" i="3"/>
  <c r="Q160" i="3"/>
  <c r="P160" i="3"/>
  <c r="O160" i="3"/>
  <c r="E160" i="3"/>
  <c r="D160" i="3"/>
  <c r="R159" i="3"/>
  <c r="Q159" i="3"/>
  <c r="P159" i="3"/>
  <c r="O159" i="3"/>
  <c r="E159" i="3"/>
  <c r="D159" i="3"/>
  <c r="R158" i="3"/>
  <c r="Q158" i="3"/>
  <c r="P158" i="3"/>
  <c r="O158" i="3"/>
  <c r="E158" i="3"/>
  <c r="D158" i="3"/>
  <c r="R157" i="3"/>
  <c r="Q157" i="3"/>
  <c r="P157" i="3"/>
  <c r="O157" i="3"/>
  <c r="E157" i="3"/>
  <c r="D157" i="3"/>
  <c r="R156" i="3"/>
  <c r="Q156" i="3"/>
  <c r="P156" i="3"/>
  <c r="O156" i="3"/>
  <c r="E156" i="3"/>
  <c r="D156" i="3"/>
  <c r="R155" i="3"/>
  <c r="Q155" i="3"/>
  <c r="P155" i="3"/>
  <c r="O155" i="3"/>
  <c r="E155" i="3"/>
  <c r="D155" i="3"/>
  <c r="R154" i="3"/>
  <c r="Q154" i="3"/>
  <c r="P154" i="3"/>
  <c r="O154" i="3"/>
  <c r="E154" i="3"/>
  <c r="D154" i="3"/>
  <c r="R153" i="3"/>
  <c r="Q153" i="3"/>
  <c r="P153" i="3"/>
  <c r="O153" i="3"/>
  <c r="E153" i="3"/>
  <c r="D153" i="3"/>
  <c r="R152" i="3"/>
  <c r="Q152" i="3"/>
  <c r="P152" i="3"/>
  <c r="O152" i="3"/>
  <c r="E152" i="3"/>
  <c r="D152" i="3"/>
  <c r="R151" i="3"/>
  <c r="Q151" i="3"/>
  <c r="P151" i="3"/>
  <c r="O151" i="3"/>
  <c r="E151" i="3"/>
  <c r="D151" i="3"/>
  <c r="R150" i="3"/>
  <c r="Q150" i="3"/>
  <c r="P150" i="3"/>
  <c r="O150" i="3"/>
  <c r="E150" i="3"/>
  <c r="D150" i="3"/>
  <c r="R149" i="3"/>
  <c r="Q149" i="3"/>
  <c r="P149" i="3"/>
  <c r="O149" i="3"/>
  <c r="E149" i="3"/>
  <c r="D149" i="3"/>
  <c r="R148" i="3"/>
  <c r="Q148" i="3"/>
  <c r="P148" i="3"/>
  <c r="O148" i="3"/>
  <c r="E148" i="3"/>
  <c r="D148" i="3"/>
  <c r="R147" i="3"/>
  <c r="Q147" i="3"/>
  <c r="P147" i="3"/>
  <c r="O147" i="3"/>
  <c r="E147" i="3"/>
  <c r="D147" i="3"/>
  <c r="R146" i="3"/>
  <c r="Q146" i="3"/>
  <c r="P146" i="3"/>
  <c r="O146" i="3"/>
  <c r="K82" i="3"/>
  <c r="J82" i="3"/>
  <c r="I82" i="3"/>
  <c r="E146" i="3"/>
  <c r="D146" i="3"/>
  <c r="R145" i="3"/>
  <c r="Q145" i="3"/>
  <c r="P145" i="3"/>
  <c r="O145" i="3"/>
  <c r="K81" i="3"/>
  <c r="J81" i="3"/>
  <c r="I81" i="3"/>
  <c r="E145" i="3"/>
  <c r="D145" i="3"/>
  <c r="R144" i="3"/>
  <c r="Q144" i="3"/>
  <c r="P144" i="3"/>
  <c r="O144" i="3"/>
  <c r="K80" i="3"/>
  <c r="J80" i="3"/>
  <c r="I80" i="3"/>
  <c r="E144" i="3"/>
  <c r="D144" i="3"/>
  <c r="R143" i="3"/>
  <c r="Q143" i="3"/>
  <c r="P143" i="3"/>
  <c r="O143" i="3"/>
  <c r="K79" i="3"/>
  <c r="J79" i="3"/>
  <c r="I79" i="3"/>
  <c r="E143" i="3"/>
  <c r="D143" i="3"/>
  <c r="R142" i="3"/>
  <c r="Q142" i="3"/>
  <c r="P142" i="3"/>
  <c r="O142" i="3"/>
  <c r="K78" i="3"/>
  <c r="J78" i="3"/>
  <c r="I78" i="3"/>
  <c r="E142" i="3"/>
  <c r="D142" i="3"/>
  <c r="R141" i="3"/>
  <c r="Q141" i="3"/>
  <c r="P141" i="3"/>
  <c r="O141" i="3"/>
  <c r="K77" i="3"/>
  <c r="J77" i="3"/>
  <c r="I77" i="3"/>
  <c r="E141" i="3"/>
  <c r="D141" i="3"/>
  <c r="R140" i="3"/>
  <c r="Q140" i="3"/>
  <c r="P140" i="3"/>
  <c r="O140" i="3"/>
  <c r="K76" i="3"/>
  <c r="J76" i="3"/>
  <c r="I76" i="3"/>
  <c r="E140" i="3"/>
  <c r="D140" i="3"/>
  <c r="R139" i="3"/>
  <c r="Q139" i="3"/>
  <c r="P139" i="3"/>
  <c r="O139" i="3"/>
  <c r="K75" i="3"/>
  <c r="J75" i="3"/>
  <c r="I75" i="3"/>
  <c r="E139" i="3"/>
  <c r="D139" i="3"/>
  <c r="R138" i="3"/>
  <c r="Q138" i="3"/>
  <c r="P138" i="3"/>
  <c r="O138" i="3"/>
  <c r="K74" i="3"/>
  <c r="J74" i="3"/>
  <c r="I74" i="3"/>
  <c r="E138" i="3"/>
  <c r="D138" i="3"/>
  <c r="R137" i="3"/>
  <c r="Q137" i="3"/>
  <c r="P137" i="3"/>
  <c r="O137" i="3"/>
  <c r="K73" i="3"/>
  <c r="J73" i="3"/>
  <c r="I73" i="3"/>
  <c r="E137" i="3"/>
  <c r="D137" i="3"/>
  <c r="R136" i="3"/>
  <c r="Q136" i="3"/>
  <c r="P136" i="3"/>
  <c r="O136" i="3"/>
  <c r="K72" i="3"/>
  <c r="J72" i="3"/>
  <c r="I72" i="3"/>
  <c r="E136" i="3"/>
  <c r="D136" i="3"/>
  <c r="R135" i="3"/>
  <c r="Q135" i="3"/>
  <c r="P135" i="3"/>
  <c r="O135" i="3"/>
  <c r="K71" i="3"/>
  <c r="J71" i="3"/>
  <c r="I71" i="3"/>
  <c r="E135" i="3"/>
  <c r="D135" i="3"/>
  <c r="R134" i="3"/>
  <c r="Q134" i="3"/>
  <c r="P134" i="3"/>
  <c r="O134" i="3"/>
  <c r="K70" i="3"/>
  <c r="J70" i="3"/>
  <c r="I70" i="3"/>
  <c r="E134" i="3"/>
  <c r="D134" i="3"/>
  <c r="R133" i="3"/>
  <c r="Q133" i="3"/>
  <c r="P133" i="3"/>
  <c r="O133" i="3"/>
  <c r="K69" i="3"/>
  <c r="J69" i="3"/>
  <c r="I69" i="3"/>
  <c r="E133" i="3"/>
  <c r="D133" i="3"/>
  <c r="R132" i="3"/>
  <c r="Q132" i="3"/>
  <c r="P132" i="3"/>
  <c r="O132" i="3"/>
  <c r="K68" i="3"/>
  <c r="J68" i="3"/>
  <c r="I68" i="3"/>
  <c r="E132" i="3"/>
  <c r="D132" i="3"/>
  <c r="R131" i="3"/>
  <c r="Q131" i="3"/>
  <c r="P131" i="3"/>
  <c r="O131" i="3"/>
  <c r="K67" i="3"/>
  <c r="J67" i="3"/>
  <c r="I67" i="3"/>
  <c r="E131" i="3"/>
  <c r="D131" i="3"/>
  <c r="R130" i="3"/>
  <c r="Q130" i="3"/>
  <c r="P130" i="3"/>
  <c r="O130" i="3"/>
  <c r="K66" i="3"/>
  <c r="J66" i="3"/>
  <c r="I66" i="3"/>
  <c r="E130" i="3"/>
  <c r="D130" i="3"/>
  <c r="R129" i="3"/>
  <c r="Q129" i="3"/>
  <c r="P129" i="3"/>
  <c r="O129" i="3"/>
  <c r="K65" i="3"/>
  <c r="J65" i="3"/>
  <c r="I65" i="3"/>
  <c r="E129" i="3"/>
  <c r="D129" i="3"/>
  <c r="R128" i="3"/>
  <c r="Q128" i="3"/>
  <c r="P128" i="3"/>
  <c r="O128" i="3"/>
  <c r="K64" i="3"/>
  <c r="J64" i="3"/>
  <c r="I64" i="3"/>
  <c r="E128" i="3"/>
  <c r="D128" i="3"/>
  <c r="R127" i="3"/>
  <c r="Q127" i="3"/>
  <c r="P127" i="3"/>
  <c r="O127" i="3"/>
  <c r="K63" i="3"/>
  <c r="J63" i="3"/>
  <c r="I63" i="3"/>
  <c r="E127" i="3"/>
  <c r="D127" i="3"/>
  <c r="R126" i="3"/>
  <c r="Q126" i="3"/>
  <c r="P126" i="3"/>
  <c r="O126" i="3"/>
  <c r="K62" i="3"/>
  <c r="J62" i="3"/>
  <c r="I62" i="3"/>
  <c r="E126" i="3"/>
  <c r="D126" i="3"/>
  <c r="R125" i="3"/>
  <c r="Q125" i="3"/>
  <c r="P125" i="3"/>
  <c r="O125" i="3"/>
  <c r="K61" i="3"/>
  <c r="J61" i="3"/>
  <c r="I61" i="3"/>
  <c r="E125" i="3"/>
  <c r="D125" i="3"/>
  <c r="R124" i="3"/>
  <c r="Q124" i="3"/>
  <c r="P124" i="3"/>
  <c r="O124" i="3"/>
  <c r="K60" i="3"/>
  <c r="J60" i="3"/>
  <c r="I60" i="3"/>
  <c r="E124" i="3"/>
  <c r="D124" i="3"/>
  <c r="R123" i="3"/>
  <c r="Q123" i="3"/>
  <c r="P123" i="3"/>
  <c r="K59" i="3"/>
  <c r="J59" i="3"/>
  <c r="I59" i="3"/>
  <c r="E123" i="3"/>
  <c r="D123" i="3"/>
  <c r="R122" i="3"/>
  <c r="Q122" i="3"/>
  <c r="P122" i="3"/>
  <c r="O122" i="3"/>
  <c r="K58" i="3"/>
  <c r="J58" i="3"/>
  <c r="I58" i="3"/>
  <c r="E122" i="3"/>
  <c r="D122" i="3"/>
  <c r="R121" i="3"/>
  <c r="Q121" i="3"/>
  <c r="P121" i="3"/>
  <c r="O121" i="3"/>
  <c r="K57" i="3"/>
  <c r="J57" i="3"/>
  <c r="I57" i="3"/>
  <c r="E121" i="3"/>
  <c r="D121" i="3"/>
  <c r="R120" i="3"/>
  <c r="Q120" i="3"/>
  <c r="P120" i="3"/>
  <c r="O120" i="3"/>
  <c r="K56" i="3"/>
  <c r="J56" i="3"/>
  <c r="I56" i="3"/>
  <c r="E120" i="3"/>
  <c r="D120" i="3"/>
  <c r="R119" i="3"/>
  <c r="Q119" i="3"/>
  <c r="P119" i="3"/>
  <c r="O119" i="3"/>
  <c r="K55" i="3"/>
  <c r="J55" i="3"/>
  <c r="I55" i="3"/>
  <c r="E119" i="3"/>
  <c r="D119" i="3"/>
  <c r="R118" i="3"/>
  <c r="Q118" i="3"/>
  <c r="P118" i="3"/>
  <c r="O118" i="3"/>
  <c r="K54" i="3"/>
  <c r="J54" i="3"/>
  <c r="I54" i="3"/>
  <c r="E118" i="3"/>
  <c r="D118" i="3"/>
  <c r="R117" i="3"/>
  <c r="Q117" i="3"/>
  <c r="P117" i="3"/>
  <c r="O117" i="3"/>
  <c r="K53" i="3"/>
  <c r="J53" i="3"/>
  <c r="I53" i="3"/>
  <c r="E117" i="3"/>
  <c r="D117" i="3"/>
  <c r="R116" i="3"/>
  <c r="Q116" i="3"/>
  <c r="P116" i="3"/>
  <c r="O116" i="3"/>
  <c r="K52" i="3"/>
  <c r="J52" i="3"/>
  <c r="I52" i="3"/>
  <c r="E116" i="3"/>
  <c r="D116" i="3"/>
  <c r="R115" i="3"/>
  <c r="Q115" i="3"/>
  <c r="P115" i="3"/>
  <c r="O115" i="3"/>
  <c r="K51" i="3"/>
  <c r="J51" i="3"/>
  <c r="I51" i="3"/>
  <c r="E115" i="3"/>
  <c r="D115" i="3"/>
  <c r="R114" i="3"/>
  <c r="Q114" i="3"/>
  <c r="P114" i="3"/>
  <c r="O114" i="3"/>
  <c r="K50" i="3"/>
  <c r="J50" i="3"/>
  <c r="I50" i="3"/>
  <c r="E114" i="3"/>
  <c r="D114" i="3"/>
  <c r="R113" i="3"/>
  <c r="Q113" i="3"/>
  <c r="P113" i="3"/>
  <c r="O113" i="3"/>
  <c r="K49" i="3"/>
  <c r="J49" i="3"/>
  <c r="I49" i="3"/>
  <c r="E113" i="3"/>
  <c r="D113" i="3"/>
  <c r="R112" i="3"/>
  <c r="Q112" i="3"/>
  <c r="P112" i="3"/>
  <c r="O112" i="3"/>
  <c r="K48" i="3"/>
  <c r="J48" i="3"/>
  <c r="I48" i="3"/>
  <c r="E112" i="3"/>
  <c r="D112" i="3"/>
  <c r="R111" i="3"/>
  <c r="Q111" i="3"/>
  <c r="P111" i="3"/>
  <c r="O111" i="3"/>
  <c r="K47" i="3"/>
  <c r="J47" i="3"/>
  <c r="I47" i="3"/>
  <c r="E111" i="3"/>
  <c r="D111" i="3"/>
  <c r="R110" i="3"/>
  <c r="Q110" i="3"/>
  <c r="P110" i="3"/>
  <c r="O110" i="3"/>
  <c r="K46" i="3"/>
  <c r="J46" i="3"/>
  <c r="I46" i="3"/>
  <c r="E110" i="3"/>
  <c r="D110" i="3"/>
  <c r="R109" i="3"/>
  <c r="Q109" i="3"/>
  <c r="P109" i="3"/>
  <c r="O109" i="3"/>
  <c r="K45" i="3"/>
  <c r="J45" i="3"/>
  <c r="I45" i="3"/>
  <c r="E109" i="3"/>
  <c r="D109" i="3"/>
  <c r="R108" i="3"/>
  <c r="Q108" i="3"/>
  <c r="P108" i="3"/>
  <c r="O108" i="3"/>
  <c r="K44" i="3"/>
  <c r="J44" i="3"/>
  <c r="I44" i="3"/>
  <c r="E108" i="3"/>
  <c r="D108" i="3"/>
  <c r="R107" i="3"/>
  <c r="Q107" i="3"/>
  <c r="P107" i="3"/>
  <c r="O107" i="3"/>
  <c r="K43" i="3"/>
  <c r="J43" i="3"/>
  <c r="I43" i="3"/>
  <c r="E107" i="3"/>
  <c r="D107" i="3"/>
  <c r="R106" i="3"/>
  <c r="Q106" i="3"/>
  <c r="P106" i="3"/>
  <c r="O106" i="3"/>
  <c r="K42" i="3"/>
  <c r="J42" i="3"/>
  <c r="I42" i="3"/>
  <c r="E106" i="3"/>
  <c r="D106" i="3"/>
  <c r="R105" i="3"/>
  <c r="Q105" i="3"/>
  <c r="P105" i="3"/>
  <c r="O105" i="3"/>
  <c r="K41" i="3"/>
  <c r="J41" i="3"/>
  <c r="I41" i="3"/>
  <c r="E105" i="3"/>
  <c r="D105" i="3"/>
  <c r="R104" i="3"/>
  <c r="Q104" i="3"/>
  <c r="P104" i="3"/>
  <c r="O104" i="3"/>
  <c r="K40" i="3"/>
  <c r="J40" i="3"/>
  <c r="I40" i="3"/>
  <c r="E104" i="3"/>
  <c r="D104" i="3"/>
  <c r="R103" i="3"/>
  <c r="Q103" i="3"/>
  <c r="P103" i="3"/>
  <c r="O103" i="3"/>
  <c r="K39" i="3"/>
  <c r="J39" i="3"/>
  <c r="I39" i="3"/>
  <c r="E103" i="3"/>
  <c r="D103" i="3"/>
  <c r="R102" i="3"/>
  <c r="Q102" i="3"/>
  <c r="P102" i="3"/>
  <c r="O102" i="3"/>
  <c r="K38" i="3"/>
  <c r="J38" i="3"/>
  <c r="I38" i="3"/>
  <c r="E102" i="3"/>
  <c r="D102" i="3"/>
  <c r="R101" i="3"/>
  <c r="Q101" i="3"/>
  <c r="P101" i="3"/>
  <c r="O101" i="3"/>
  <c r="K37" i="3"/>
  <c r="J37" i="3"/>
  <c r="I37" i="3"/>
  <c r="E101" i="3"/>
  <c r="D101" i="3"/>
  <c r="R100" i="3"/>
  <c r="Q100" i="3"/>
  <c r="P100" i="3"/>
  <c r="O100" i="3"/>
  <c r="K36" i="3"/>
  <c r="J36" i="3"/>
  <c r="I36" i="3"/>
  <c r="E100" i="3"/>
  <c r="D100" i="3"/>
  <c r="R99" i="3"/>
  <c r="Q99" i="3"/>
  <c r="P99" i="3"/>
  <c r="O99" i="3"/>
  <c r="K35" i="3"/>
  <c r="J35" i="3"/>
  <c r="I35" i="3"/>
  <c r="E99" i="3"/>
  <c r="D99" i="3"/>
  <c r="R98" i="3"/>
  <c r="Q98" i="3"/>
  <c r="P98" i="3"/>
  <c r="O98" i="3"/>
  <c r="K34" i="3"/>
  <c r="J34" i="3"/>
  <c r="I34" i="3"/>
  <c r="E98" i="3"/>
  <c r="D98" i="3"/>
  <c r="R97" i="3"/>
  <c r="Q97" i="3"/>
  <c r="P97" i="3"/>
  <c r="O97" i="3"/>
  <c r="K33" i="3"/>
  <c r="J33" i="3"/>
  <c r="I33" i="3"/>
  <c r="E97" i="3"/>
  <c r="D97" i="3"/>
  <c r="R96" i="3"/>
  <c r="Q96" i="3"/>
  <c r="P96" i="3"/>
  <c r="O96" i="3"/>
  <c r="K32" i="3"/>
  <c r="J32" i="3"/>
  <c r="I32" i="3"/>
  <c r="E96" i="3"/>
  <c r="D96" i="3"/>
  <c r="R95" i="3"/>
  <c r="Q95" i="3"/>
  <c r="P95" i="3"/>
  <c r="O95" i="3"/>
  <c r="K31" i="3"/>
  <c r="J31" i="3"/>
  <c r="I31" i="3"/>
  <c r="E95" i="3"/>
  <c r="D95" i="3"/>
  <c r="R94" i="3"/>
  <c r="Q94" i="3"/>
  <c r="P94" i="3"/>
  <c r="O94" i="3"/>
  <c r="K30" i="3"/>
  <c r="J30" i="3"/>
  <c r="I30" i="3"/>
  <c r="E94" i="3"/>
  <c r="D94" i="3"/>
  <c r="R93" i="3"/>
  <c r="Q93" i="3"/>
  <c r="P93" i="3"/>
  <c r="O93" i="3"/>
  <c r="K29" i="3"/>
  <c r="J29" i="3"/>
  <c r="I29" i="3"/>
  <c r="E93" i="3"/>
  <c r="D93" i="3"/>
  <c r="R92" i="3"/>
  <c r="Q92" i="3"/>
  <c r="P92" i="3"/>
  <c r="O92" i="3"/>
  <c r="K28" i="3"/>
  <c r="J28" i="3"/>
  <c r="I28" i="3"/>
  <c r="E92" i="3"/>
  <c r="D92" i="3"/>
  <c r="R91" i="3"/>
  <c r="Q91" i="3"/>
  <c r="P91" i="3"/>
  <c r="O91" i="3"/>
  <c r="K27" i="3"/>
  <c r="J27" i="3"/>
  <c r="I27" i="3"/>
  <c r="E91" i="3"/>
  <c r="D91" i="3"/>
  <c r="R90" i="3"/>
  <c r="Q90" i="3"/>
  <c r="P90" i="3"/>
  <c r="O90" i="3"/>
  <c r="K130" i="3"/>
  <c r="J130" i="3"/>
  <c r="I130" i="3"/>
  <c r="E90" i="3"/>
  <c r="D90" i="3"/>
  <c r="R89" i="3"/>
  <c r="Q89" i="3"/>
  <c r="P89" i="3"/>
  <c r="O89" i="3"/>
  <c r="K129" i="3"/>
  <c r="J129" i="3"/>
  <c r="I129" i="3"/>
  <c r="E89" i="3"/>
  <c r="D89" i="3"/>
  <c r="R88" i="3"/>
  <c r="Q88" i="3"/>
  <c r="P88" i="3"/>
  <c r="O88" i="3"/>
  <c r="K128" i="3"/>
  <c r="J128" i="3"/>
  <c r="I128" i="3"/>
  <c r="E88" i="3"/>
  <c r="D88" i="3"/>
  <c r="R87" i="3"/>
  <c r="Q87" i="3"/>
  <c r="P87" i="3"/>
  <c r="O87" i="3"/>
  <c r="K127" i="3"/>
  <c r="J127" i="3"/>
  <c r="I127" i="3"/>
  <c r="E87" i="3"/>
  <c r="D87" i="3"/>
  <c r="R86" i="3"/>
  <c r="Q86" i="3"/>
  <c r="P86" i="3"/>
  <c r="O86" i="3"/>
  <c r="K126" i="3"/>
  <c r="J126" i="3"/>
  <c r="I126" i="3"/>
  <c r="E86" i="3"/>
  <c r="D86" i="3"/>
  <c r="R85" i="3"/>
  <c r="Q85" i="3"/>
  <c r="P85" i="3"/>
  <c r="O85" i="3"/>
  <c r="K125" i="3"/>
  <c r="J125" i="3"/>
  <c r="I125" i="3"/>
  <c r="E85" i="3"/>
  <c r="D85" i="3"/>
  <c r="R84" i="3"/>
  <c r="Q84" i="3"/>
  <c r="P84" i="3"/>
  <c r="O84" i="3"/>
  <c r="K124" i="3"/>
  <c r="J124" i="3"/>
  <c r="I124" i="3"/>
  <c r="E84" i="3"/>
  <c r="D84" i="3"/>
  <c r="R83" i="3"/>
  <c r="Q83" i="3"/>
  <c r="P83" i="3"/>
  <c r="O83" i="3"/>
  <c r="K123" i="3"/>
  <c r="J123" i="3"/>
  <c r="I123" i="3"/>
  <c r="E83" i="3"/>
  <c r="D83" i="3"/>
  <c r="R82" i="3"/>
  <c r="Q82" i="3"/>
  <c r="P82" i="3"/>
  <c r="O82" i="3"/>
  <c r="K122" i="3"/>
  <c r="J122" i="3"/>
  <c r="I122" i="3"/>
  <c r="E82" i="3"/>
  <c r="D82" i="3"/>
  <c r="R81" i="3"/>
  <c r="Q81" i="3"/>
  <c r="P81" i="3"/>
  <c r="O81" i="3"/>
  <c r="K121" i="3"/>
  <c r="J121" i="3"/>
  <c r="I121" i="3"/>
  <c r="E81" i="3"/>
  <c r="D81" i="3"/>
  <c r="R80" i="3"/>
  <c r="Q80" i="3"/>
  <c r="P80" i="3"/>
  <c r="O80" i="3"/>
  <c r="K120" i="3"/>
  <c r="J120" i="3"/>
  <c r="I120" i="3"/>
  <c r="E80" i="3"/>
  <c r="D80" i="3"/>
  <c r="R79" i="3"/>
  <c r="Q79" i="3"/>
  <c r="P79" i="3"/>
  <c r="O79" i="3"/>
  <c r="K119" i="3"/>
  <c r="J119" i="3"/>
  <c r="I119" i="3"/>
  <c r="E79" i="3"/>
  <c r="D79" i="3"/>
  <c r="R78" i="3"/>
  <c r="Q78" i="3"/>
  <c r="P78" i="3"/>
  <c r="O78" i="3"/>
  <c r="K118" i="3"/>
  <c r="J118" i="3"/>
  <c r="I118" i="3"/>
  <c r="E78" i="3"/>
  <c r="D78" i="3"/>
  <c r="R77" i="3"/>
  <c r="Q77" i="3"/>
  <c r="P77" i="3"/>
  <c r="O77" i="3"/>
  <c r="K117" i="3"/>
  <c r="J117" i="3"/>
  <c r="I117" i="3"/>
  <c r="E77" i="3"/>
  <c r="D77" i="3"/>
  <c r="R76" i="3"/>
  <c r="Q76" i="3"/>
  <c r="P76" i="3"/>
  <c r="O76" i="3"/>
  <c r="K116" i="3"/>
  <c r="J116" i="3"/>
  <c r="I116" i="3"/>
  <c r="E76" i="3"/>
  <c r="D76" i="3"/>
  <c r="R75" i="3"/>
  <c r="Q75" i="3"/>
  <c r="P75" i="3"/>
  <c r="O75" i="3"/>
  <c r="K115" i="3"/>
  <c r="J115" i="3"/>
  <c r="I115" i="3"/>
  <c r="E75" i="3"/>
  <c r="D75" i="3"/>
  <c r="R74" i="3"/>
  <c r="Q74" i="3"/>
  <c r="P74" i="3"/>
  <c r="O74" i="3"/>
  <c r="K114" i="3"/>
  <c r="J114" i="3"/>
  <c r="I114" i="3"/>
  <c r="E74" i="3"/>
  <c r="D74" i="3"/>
  <c r="R73" i="3"/>
  <c r="Q73" i="3"/>
  <c r="P73" i="3"/>
  <c r="O73" i="3"/>
  <c r="K113" i="3"/>
  <c r="J113" i="3"/>
  <c r="I113" i="3"/>
  <c r="E73" i="3"/>
  <c r="D73" i="3"/>
  <c r="R72" i="3"/>
  <c r="Q72" i="3"/>
  <c r="P72" i="3"/>
  <c r="O72" i="3"/>
  <c r="K112" i="3"/>
  <c r="J112" i="3"/>
  <c r="I112" i="3"/>
  <c r="E72" i="3"/>
  <c r="D72" i="3"/>
  <c r="R71" i="3"/>
  <c r="Q71" i="3"/>
  <c r="P71" i="3"/>
  <c r="O71" i="3"/>
  <c r="K111" i="3"/>
  <c r="J111" i="3"/>
  <c r="I111" i="3"/>
  <c r="E71" i="3"/>
  <c r="D71" i="3"/>
  <c r="R70" i="3"/>
  <c r="Q70" i="3"/>
  <c r="P70" i="3"/>
  <c r="O70" i="3"/>
  <c r="K110" i="3"/>
  <c r="J110" i="3"/>
  <c r="I110" i="3"/>
  <c r="E70" i="3"/>
  <c r="D70" i="3"/>
  <c r="R69" i="3"/>
  <c r="Q69" i="3"/>
  <c r="P69" i="3"/>
  <c r="O69" i="3"/>
  <c r="K109" i="3"/>
  <c r="J109" i="3"/>
  <c r="I109" i="3"/>
  <c r="E69" i="3"/>
  <c r="D69" i="3"/>
  <c r="R68" i="3"/>
  <c r="Q68" i="3"/>
  <c r="P68" i="3"/>
  <c r="O68" i="3"/>
  <c r="K108" i="3"/>
  <c r="J108" i="3"/>
  <c r="I108" i="3"/>
  <c r="E68" i="3"/>
  <c r="D68" i="3"/>
  <c r="R67" i="3"/>
  <c r="Q67" i="3"/>
  <c r="P67" i="3"/>
  <c r="O67" i="3"/>
  <c r="K107" i="3"/>
  <c r="J107" i="3"/>
  <c r="I107" i="3"/>
  <c r="E67" i="3"/>
  <c r="D67" i="3"/>
  <c r="R66" i="3"/>
  <c r="Q66" i="3"/>
  <c r="P66" i="3"/>
  <c r="O66" i="3"/>
  <c r="K106" i="3"/>
  <c r="J106" i="3"/>
  <c r="I106" i="3"/>
  <c r="E66" i="3"/>
  <c r="D66" i="3"/>
  <c r="R65" i="3"/>
  <c r="Q65" i="3"/>
  <c r="P65" i="3"/>
  <c r="O65" i="3"/>
  <c r="K105" i="3"/>
  <c r="J105" i="3"/>
  <c r="I105" i="3"/>
  <c r="E65" i="3"/>
  <c r="D65" i="3"/>
  <c r="R64" i="3"/>
  <c r="Q64" i="3"/>
  <c r="P64" i="3"/>
  <c r="O64" i="3"/>
  <c r="K104" i="3"/>
  <c r="J104" i="3"/>
  <c r="I104" i="3"/>
  <c r="E64" i="3"/>
  <c r="D64" i="3"/>
  <c r="R63" i="3"/>
  <c r="Q63" i="3"/>
  <c r="P63" i="3"/>
  <c r="O63" i="3"/>
  <c r="K103" i="3"/>
  <c r="J103" i="3"/>
  <c r="I103" i="3"/>
  <c r="E63" i="3"/>
  <c r="D63" i="3"/>
  <c r="R62" i="3"/>
  <c r="Q62" i="3"/>
  <c r="P62" i="3"/>
  <c r="O62" i="3"/>
  <c r="K102" i="3"/>
  <c r="J102" i="3"/>
  <c r="I102" i="3"/>
  <c r="E62" i="3"/>
  <c r="D62" i="3"/>
  <c r="R61" i="3"/>
  <c r="Q61" i="3"/>
  <c r="P61" i="3"/>
  <c r="O61" i="3"/>
  <c r="K101" i="3"/>
  <c r="J101" i="3"/>
  <c r="I101" i="3"/>
  <c r="E61" i="3"/>
  <c r="D61" i="3"/>
  <c r="R60" i="3"/>
  <c r="Q60" i="3"/>
  <c r="P60" i="3"/>
  <c r="O60" i="3"/>
  <c r="K100" i="3"/>
  <c r="J100" i="3"/>
  <c r="I100" i="3"/>
  <c r="E60" i="3"/>
  <c r="D60" i="3"/>
  <c r="R59" i="3"/>
  <c r="Q59" i="3"/>
  <c r="P59" i="3"/>
  <c r="O59" i="3"/>
  <c r="K99" i="3"/>
  <c r="J99" i="3"/>
  <c r="I99" i="3"/>
  <c r="E59" i="3"/>
  <c r="D59" i="3"/>
  <c r="AD58" i="3"/>
  <c r="AC58" i="3"/>
  <c r="AB58" i="3"/>
  <c r="AA58" i="3"/>
  <c r="Z58" i="3"/>
  <c r="Y58" i="3"/>
  <c r="X58" i="3"/>
  <c r="W58" i="3"/>
  <c r="R58" i="3"/>
  <c r="Q58" i="3"/>
  <c r="P58" i="3"/>
  <c r="O58" i="3"/>
  <c r="K98" i="3"/>
  <c r="J98" i="3"/>
  <c r="I98" i="3"/>
  <c r="E58" i="3"/>
  <c r="D58" i="3"/>
  <c r="AD57" i="3"/>
  <c r="AC57" i="3"/>
  <c r="AB57" i="3"/>
  <c r="AA57" i="3"/>
  <c r="Z57" i="3"/>
  <c r="Y57" i="3"/>
  <c r="X57" i="3"/>
  <c r="W57" i="3"/>
  <c r="R57" i="3"/>
  <c r="Q57" i="3"/>
  <c r="P57" i="3"/>
  <c r="O57" i="3"/>
  <c r="K97" i="3"/>
  <c r="J97" i="3"/>
  <c r="I97" i="3"/>
  <c r="E57" i="3"/>
  <c r="D57" i="3"/>
  <c r="AD56" i="3"/>
  <c r="AC56" i="3"/>
  <c r="AB56" i="3"/>
  <c r="AA56" i="3"/>
  <c r="Z56" i="3"/>
  <c r="Y56" i="3"/>
  <c r="X56" i="3"/>
  <c r="W56" i="3"/>
  <c r="R56" i="3"/>
  <c r="Q56" i="3"/>
  <c r="P56" i="3"/>
  <c r="O56" i="3"/>
  <c r="K96" i="3"/>
  <c r="J96" i="3"/>
  <c r="I96" i="3"/>
  <c r="E56" i="3"/>
  <c r="D56" i="3"/>
  <c r="AD55" i="3"/>
  <c r="AC55" i="3"/>
  <c r="AB55" i="3"/>
  <c r="AA55" i="3"/>
  <c r="Z55" i="3"/>
  <c r="Y55" i="3"/>
  <c r="X55" i="3"/>
  <c r="W55" i="3"/>
  <c r="R55" i="3"/>
  <c r="Q55" i="3"/>
  <c r="P55" i="3"/>
  <c r="O55" i="3"/>
  <c r="K95" i="3"/>
  <c r="J95" i="3"/>
  <c r="I95" i="3"/>
  <c r="E55" i="3"/>
  <c r="D55" i="3"/>
  <c r="AD54" i="3"/>
  <c r="AC54" i="3"/>
  <c r="AB54" i="3"/>
  <c r="AA54" i="3"/>
  <c r="Z54" i="3"/>
  <c r="Y54" i="3"/>
  <c r="X54" i="3"/>
  <c r="W54" i="3"/>
  <c r="R54" i="3"/>
  <c r="Q54" i="3"/>
  <c r="P54" i="3"/>
  <c r="O54" i="3"/>
  <c r="K94" i="3"/>
  <c r="J94" i="3"/>
  <c r="I94" i="3"/>
  <c r="E54" i="3"/>
  <c r="D54" i="3"/>
  <c r="AD53" i="3"/>
  <c r="AC53" i="3"/>
  <c r="AB53" i="3"/>
  <c r="AA53" i="3"/>
  <c r="Z53" i="3"/>
  <c r="Y53" i="3"/>
  <c r="X53" i="3"/>
  <c r="W53" i="3"/>
  <c r="R53" i="3"/>
  <c r="Q53" i="3"/>
  <c r="P53" i="3"/>
  <c r="O53" i="3"/>
  <c r="K93" i="3"/>
  <c r="J93" i="3"/>
  <c r="I93" i="3"/>
  <c r="E53" i="3"/>
  <c r="D53" i="3"/>
  <c r="AD52" i="3"/>
  <c r="AC52" i="3"/>
  <c r="AB52" i="3"/>
  <c r="AA52" i="3"/>
  <c r="Z52" i="3"/>
  <c r="Y52" i="3"/>
  <c r="X52" i="3"/>
  <c r="W52" i="3"/>
  <c r="R52" i="3"/>
  <c r="Q52" i="3"/>
  <c r="P52" i="3"/>
  <c r="O52" i="3"/>
  <c r="K92" i="3"/>
  <c r="J92" i="3"/>
  <c r="I92" i="3"/>
  <c r="E52" i="3"/>
  <c r="D52" i="3"/>
  <c r="AD51" i="3"/>
  <c r="AC51" i="3"/>
  <c r="AB51" i="3"/>
  <c r="AA51" i="3"/>
  <c r="Z51" i="3"/>
  <c r="Y51" i="3"/>
  <c r="X51" i="3"/>
  <c r="W51" i="3"/>
  <c r="R51" i="3"/>
  <c r="Q51" i="3"/>
  <c r="P51" i="3"/>
  <c r="O51" i="3"/>
  <c r="K91" i="3"/>
  <c r="J91" i="3"/>
  <c r="I91" i="3"/>
  <c r="E51" i="3"/>
  <c r="D51" i="3"/>
  <c r="AD50" i="3"/>
  <c r="AC50" i="3"/>
  <c r="AB50" i="3"/>
  <c r="AA50" i="3"/>
  <c r="Z50" i="3"/>
  <c r="Y50" i="3"/>
  <c r="X50" i="3"/>
  <c r="W50" i="3"/>
  <c r="R50" i="3"/>
  <c r="Q50" i="3"/>
  <c r="P50" i="3"/>
  <c r="O50" i="3"/>
  <c r="K90" i="3"/>
  <c r="J90" i="3"/>
  <c r="I90" i="3"/>
  <c r="E50" i="3"/>
  <c r="D50" i="3"/>
  <c r="AD49" i="3"/>
  <c r="AC49" i="3"/>
  <c r="AB49" i="3"/>
  <c r="AA49" i="3"/>
  <c r="Z49" i="3"/>
  <c r="Y49" i="3"/>
  <c r="X49" i="3"/>
  <c r="W49" i="3"/>
  <c r="R49" i="3"/>
  <c r="Q49" i="3"/>
  <c r="P49" i="3"/>
  <c r="O49" i="3"/>
  <c r="K89" i="3"/>
  <c r="J89" i="3"/>
  <c r="I89" i="3"/>
  <c r="E49" i="3"/>
  <c r="D49" i="3"/>
  <c r="AD48" i="3"/>
  <c r="AC48" i="3"/>
  <c r="AB48" i="3"/>
  <c r="AA48" i="3"/>
  <c r="Z48" i="3"/>
  <c r="Y48" i="3"/>
  <c r="X48" i="3"/>
  <c r="W48" i="3"/>
  <c r="R48" i="3"/>
  <c r="Q48" i="3"/>
  <c r="P48" i="3"/>
  <c r="O48" i="3"/>
  <c r="K88" i="3"/>
  <c r="J88" i="3"/>
  <c r="I88" i="3"/>
  <c r="E48" i="3"/>
  <c r="D48" i="3"/>
  <c r="AD47" i="3"/>
  <c r="AC47" i="3"/>
  <c r="AB47" i="3"/>
  <c r="AA47" i="3"/>
  <c r="Z47" i="3"/>
  <c r="Y47" i="3"/>
  <c r="X47" i="3"/>
  <c r="W47" i="3"/>
  <c r="R47" i="3"/>
  <c r="Q47" i="3"/>
  <c r="P47" i="3"/>
  <c r="O47" i="3"/>
  <c r="K87" i="3"/>
  <c r="J87" i="3"/>
  <c r="I87" i="3"/>
  <c r="E47" i="3"/>
  <c r="D47" i="3"/>
  <c r="AD46" i="3"/>
  <c r="AC46" i="3"/>
  <c r="AB46" i="3"/>
  <c r="AA46" i="3"/>
  <c r="Z46" i="3"/>
  <c r="Y46" i="3"/>
  <c r="X46" i="3"/>
  <c r="W46" i="3"/>
  <c r="R46" i="3"/>
  <c r="Q46" i="3"/>
  <c r="P46" i="3"/>
  <c r="O46" i="3"/>
  <c r="K86" i="3"/>
  <c r="J86" i="3"/>
  <c r="I86" i="3"/>
  <c r="E46" i="3"/>
  <c r="D46" i="3"/>
  <c r="AD45" i="3"/>
  <c r="AC45" i="3"/>
  <c r="AB45" i="3"/>
  <c r="AA45" i="3"/>
  <c r="Z45" i="3"/>
  <c r="Y45" i="3"/>
  <c r="X45" i="3"/>
  <c r="W45" i="3"/>
  <c r="R45" i="3"/>
  <c r="Q45" i="3"/>
  <c r="P45" i="3"/>
  <c r="O45" i="3"/>
  <c r="K85" i="3"/>
  <c r="J85" i="3"/>
  <c r="I85" i="3"/>
  <c r="E45" i="3"/>
  <c r="D45" i="3"/>
  <c r="AD44" i="3"/>
  <c r="AC44" i="3"/>
  <c r="AB44" i="3"/>
  <c r="AA44" i="3"/>
  <c r="Z44" i="3"/>
  <c r="Y44" i="3"/>
  <c r="X44" i="3"/>
  <c r="W44" i="3"/>
  <c r="R44" i="3"/>
  <c r="Q44" i="3"/>
  <c r="P44" i="3"/>
  <c r="O44" i="3"/>
  <c r="K84" i="3"/>
  <c r="J84" i="3"/>
  <c r="I84" i="3"/>
  <c r="E44" i="3"/>
  <c r="D44" i="3"/>
  <c r="AD43" i="3"/>
  <c r="AC43" i="3"/>
  <c r="AB43" i="3"/>
  <c r="AA43" i="3"/>
  <c r="Z43" i="3"/>
  <c r="Y43" i="3"/>
  <c r="X43" i="3"/>
  <c r="W43" i="3"/>
  <c r="R43" i="3"/>
  <c r="Q43" i="3"/>
  <c r="P43" i="3"/>
  <c r="O43" i="3"/>
  <c r="K83" i="3"/>
  <c r="J83" i="3"/>
  <c r="I83" i="3"/>
  <c r="E43" i="3"/>
  <c r="D43" i="3"/>
  <c r="AD42" i="3"/>
  <c r="AC42" i="3"/>
  <c r="AB42" i="3"/>
  <c r="AA42" i="3"/>
  <c r="Z42" i="3"/>
  <c r="Y42" i="3"/>
  <c r="X42" i="3"/>
  <c r="W42" i="3"/>
  <c r="R42" i="3"/>
  <c r="Q42" i="3"/>
  <c r="P42" i="3"/>
  <c r="O42" i="3"/>
  <c r="E42" i="3"/>
  <c r="D42" i="3"/>
  <c r="AD41" i="3"/>
  <c r="AC41" i="3"/>
  <c r="AB41" i="3"/>
  <c r="AA41" i="3"/>
  <c r="Z41" i="3"/>
  <c r="Y41" i="3"/>
  <c r="X41" i="3"/>
  <c r="W41" i="3"/>
  <c r="R41" i="3"/>
  <c r="Q41" i="3"/>
  <c r="P41" i="3"/>
  <c r="O41" i="3"/>
  <c r="E41" i="3"/>
  <c r="D41" i="3"/>
  <c r="AD40" i="3"/>
  <c r="AC40" i="3"/>
  <c r="AB40" i="3"/>
  <c r="AA40" i="3"/>
  <c r="Z40" i="3"/>
  <c r="Y40" i="3"/>
  <c r="X40" i="3"/>
  <c r="W40" i="3"/>
  <c r="R40" i="3"/>
  <c r="Q40" i="3"/>
  <c r="P40" i="3"/>
  <c r="O40" i="3"/>
  <c r="E40" i="3"/>
  <c r="D40" i="3"/>
  <c r="AD39" i="3"/>
  <c r="AC39" i="3"/>
  <c r="AB39" i="3"/>
  <c r="AA39" i="3"/>
  <c r="Z39" i="3"/>
  <c r="Y39" i="3"/>
  <c r="X39" i="3"/>
  <c r="W39" i="3"/>
  <c r="R39" i="3"/>
  <c r="Q39" i="3"/>
  <c r="P39" i="3"/>
  <c r="O39" i="3"/>
  <c r="E39" i="3"/>
  <c r="D39" i="3"/>
  <c r="AD38" i="3"/>
  <c r="AC38" i="3"/>
  <c r="AB38" i="3"/>
  <c r="AA38" i="3"/>
  <c r="Z38" i="3"/>
  <c r="Y38" i="3"/>
  <c r="X38" i="3"/>
  <c r="W38" i="3"/>
  <c r="R38" i="3"/>
  <c r="Q38" i="3"/>
  <c r="P38" i="3"/>
  <c r="O38" i="3"/>
  <c r="E38" i="3"/>
  <c r="D38" i="3"/>
  <c r="AD37" i="3"/>
  <c r="AC37" i="3"/>
  <c r="AB37" i="3"/>
  <c r="AA37" i="3"/>
  <c r="Z37" i="3"/>
  <c r="Y37" i="3"/>
  <c r="X37" i="3"/>
  <c r="W37" i="3"/>
  <c r="R37" i="3"/>
  <c r="Q37" i="3"/>
  <c r="P37" i="3"/>
  <c r="O37" i="3"/>
  <c r="E37" i="3"/>
  <c r="D37" i="3"/>
  <c r="AD36" i="3"/>
  <c r="AC36" i="3"/>
  <c r="AB36" i="3"/>
  <c r="AA36" i="3"/>
  <c r="Z36" i="3"/>
  <c r="Y36" i="3"/>
  <c r="X36" i="3"/>
  <c r="W36" i="3"/>
  <c r="R36" i="3"/>
  <c r="Q36" i="3"/>
  <c r="P36" i="3"/>
  <c r="O36" i="3"/>
  <c r="E36" i="3"/>
  <c r="D36" i="3"/>
  <c r="AD35" i="3"/>
  <c r="AC35" i="3"/>
  <c r="AB35" i="3"/>
  <c r="AA35" i="3"/>
  <c r="Z35" i="3"/>
  <c r="Y35" i="3"/>
  <c r="X35" i="3"/>
  <c r="W35" i="3"/>
  <c r="R35" i="3"/>
  <c r="Q35" i="3"/>
  <c r="P35" i="3"/>
  <c r="O35" i="3"/>
  <c r="E35" i="3"/>
  <c r="D35" i="3"/>
  <c r="AD34" i="3"/>
  <c r="AC34" i="3"/>
  <c r="AB34" i="3"/>
  <c r="AA34" i="3"/>
  <c r="Z34" i="3"/>
  <c r="Y34" i="3"/>
  <c r="X34" i="3"/>
  <c r="W34" i="3"/>
  <c r="R34" i="3"/>
  <c r="Q34" i="3"/>
  <c r="P34" i="3"/>
  <c r="O34" i="3"/>
  <c r="E34" i="3"/>
  <c r="D34" i="3"/>
  <c r="AD33" i="3"/>
  <c r="AC33" i="3"/>
  <c r="AB33" i="3"/>
  <c r="AA33" i="3"/>
  <c r="Z33" i="3"/>
  <c r="Y33" i="3"/>
  <c r="X33" i="3"/>
  <c r="W33" i="3"/>
  <c r="R33" i="3"/>
  <c r="Q33" i="3"/>
  <c r="P33" i="3"/>
  <c r="O33" i="3"/>
  <c r="E33" i="3"/>
  <c r="D33" i="3"/>
  <c r="AD32" i="3"/>
  <c r="AC32" i="3"/>
  <c r="AB32" i="3"/>
  <c r="AA32" i="3"/>
  <c r="Z32" i="3"/>
  <c r="Y32" i="3"/>
  <c r="X32" i="3"/>
  <c r="W32" i="3"/>
  <c r="R32" i="3"/>
  <c r="Q32" i="3"/>
  <c r="P32" i="3"/>
  <c r="O32" i="3"/>
  <c r="E32" i="3"/>
  <c r="D32" i="3"/>
  <c r="AD31" i="3"/>
  <c r="AC31" i="3"/>
  <c r="AB31" i="3"/>
  <c r="AA31" i="3"/>
  <c r="Z31" i="3"/>
  <c r="Y31" i="3"/>
  <c r="X31" i="3"/>
  <c r="W31" i="3"/>
  <c r="R31" i="3"/>
  <c r="Q31" i="3"/>
  <c r="P31" i="3"/>
  <c r="O31" i="3"/>
  <c r="E31" i="3"/>
  <c r="D31" i="3"/>
  <c r="AD30" i="3"/>
  <c r="AC30" i="3"/>
  <c r="AB30" i="3"/>
  <c r="AA30" i="3"/>
  <c r="Z30" i="3"/>
  <c r="Y30" i="3"/>
  <c r="X30" i="3"/>
  <c r="W30" i="3"/>
  <c r="R30" i="3"/>
  <c r="Q30" i="3"/>
  <c r="P30" i="3"/>
  <c r="O30" i="3"/>
  <c r="E30" i="3"/>
  <c r="D30" i="3"/>
  <c r="AD29" i="3"/>
  <c r="AC29" i="3"/>
  <c r="AB29" i="3"/>
  <c r="AA29" i="3"/>
  <c r="Z29" i="3"/>
  <c r="Y29" i="3"/>
  <c r="X29" i="3"/>
  <c r="W29" i="3"/>
  <c r="R29" i="3"/>
  <c r="Q29" i="3"/>
  <c r="P29" i="3"/>
  <c r="O29" i="3"/>
  <c r="E29" i="3"/>
  <c r="D29" i="3"/>
  <c r="AD28" i="3"/>
  <c r="AC28" i="3"/>
  <c r="AB28" i="3"/>
  <c r="AA28" i="3"/>
  <c r="Z28" i="3"/>
  <c r="Y28" i="3"/>
  <c r="X28" i="3"/>
  <c r="W28" i="3"/>
  <c r="R28" i="3"/>
  <c r="Q28" i="3"/>
  <c r="P28" i="3"/>
  <c r="O28" i="3"/>
  <c r="E28" i="3"/>
  <c r="D28" i="3"/>
  <c r="AD27" i="3"/>
  <c r="AC27" i="3"/>
  <c r="AB27" i="3"/>
  <c r="AA27" i="3"/>
  <c r="Z27" i="3"/>
  <c r="Y27" i="3"/>
  <c r="X27" i="3"/>
  <c r="W27" i="3"/>
  <c r="R27" i="3"/>
  <c r="Q27" i="3"/>
  <c r="P27" i="3"/>
  <c r="O27" i="3"/>
  <c r="E27" i="3"/>
  <c r="D27" i="3"/>
  <c r="AD26" i="3"/>
  <c r="AC26" i="3"/>
  <c r="AB26" i="3"/>
  <c r="AA26" i="3"/>
  <c r="Z26" i="3"/>
  <c r="Y26" i="3"/>
  <c r="X26" i="3"/>
  <c r="W26" i="3"/>
  <c r="R26" i="3"/>
  <c r="Q26" i="3"/>
  <c r="P26" i="3"/>
  <c r="O26" i="3"/>
  <c r="K26" i="3"/>
  <c r="J26" i="3"/>
  <c r="I26" i="3"/>
  <c r="E26" i="3"/>
  <c r="D26" i="3"/>
  <c r="AD25" i="3"/>
  <c r="AC25" i="3"/>
  <c r="AB25" i="3"/>
  <c r="AA25" i="3"/>
  <c r="Z25" i="3"/>
  <c r="Y25" i="3"/>
  <c r="X25" i="3"/>
  <c r="W25" i="3"/>
  <c r="R25" i="3"/>
  <c r="Q25" i="3"/>
  <c r="P25" i="3"/>
  <c r="O25" i="3"/>
  <c r="K25" i="3"/>
  <c r="J25" i="3"/>
  <c r="I25" i="3"/>
  <c r="E25" i="3"/>
  <c r="D25" i="3"/>
  <c r="AD24" i="3"/>
  <c r="AC24" i="3"/>
  <c r="AB24" i="3"/>
  <c r="AA24" i="3"/>
  <c r="Z24" i="3"/>
  <c r="Y24" i="3"/>
  <c r="X24" i="3"/>
  <c r="W24" i="3"/>
  <c r="R24" i="3"/>
  <c r="Q24" i="3"/>
  <c r="P24" i="3"/>
  <c r="O24" i="3"/>
  <c r="K24" i="3"/>
  <c r="J24" i="3"/>
  <c r="I24" i="3"/>
  <c r="E24" i="3"/>
  <c r="D24" i="3"/>
  <c r="AD23" i="3"/>
  <c r="AC23" i="3"/>
  <c r="AB23" i="3"/>
  <c r="AA23" i="3"/>
  <c r="Z23" i="3"/>
  <c r="Y23" i="3"/>
  <c r="X23" i="3"/>
  <c r="W23" i="3"/>
  <c r="R23" i="3"/>
  <c r="Q23" i="3"/>
  <c r="P23" i="3"/>
  <c r="O23" i="3"/>
  <c r="K23" i="3"/>
  <c r="J23" i="3"/>
  <c r="I23" i="3"/>
  <c r="E23" i="3"/>
  <c r="D23" i="3"/>
  <c r="AD22" i="3"/>
  <c r="AC22" i="3"/>
  <c r="AB22" i="3"/>
  <c r="AA22" i="3"/>
  <c r="Z22" i="3"/>
  <c r="Y22" i="3"/>
  <c r="X22" i="3"/>
  <c r="W22" i="3"/>
  <c r="R22" i="3"/>
  <c r="Q22" i="3"/>
  <c r="P22" i="3"/>
  <c r="O22" i="3"/>
  <c r="K22" i="3"/>
  <c r="J22" i="3"/>
  <c r="I22" i="3"/>
  <c r="E22" i="3"/>
  <c r="D22" i="3"/>
  <c r="AD21" i="3"/>
  <c r="AC21" i="3"/>
  <c r="AB21" i="3"/>
  <c r="AA21" i="3"/>
  <c r="Z21" i="3"/>
  <c r="Y21" i="3"/>
  <c r="X21" i="3"/>
  <c r="W21" i="3"/>
  <c r="R21" i="3"/>
  <c r="Q21" i="3"/>
  <c r="P21" i="3"/>
  <c r="O21" i="3"/>
  <c r="K21" i="3"/>
  <c r="J21" i="3"/>
  <c r="I21" i="3"/>
  <c r="E21" i="3"/>
  <c r="D21" i="3"/>
  <c r="AD20" i="3"/>
  <c r="AC20" i="3"/>
  <c r="AB20" i="3"/>
  <c r="AA20" i="3"/>
  <c r="Z20" i="3"/>
  <c r="Y20" i="3"/>
  <c r="X20" i="3"/>
  <c r="W20" i="3"/>
  <c r="R20" i="3"/>
  <c r="Q20" i="3"/>
  <c r="P20" i="3"/>
  <c r="O20" i="3"/>
  <c r="K20" i="3"/>
  <c r="J20" i="3"/>
  <c r="I20" i="3"/>
  <c r="E20" i="3"/>
  <c r="D20" i="3"/>
  <c r="AD19" i="3"/>
  <c r="AC19" i="3"/>
  <c r="AB19" i="3"/>
  <c r="AA19" i="3"/>
  <c r="Z19" i="3"/>
  <c r="Y19" i="3"/>
  <c r="X19" i="3"/>
  <c r="W19" i="3"/>
  <c r="R19" i="3"/>
  <c r="Q19" i="3"/>
  <c r="P19" i="3"/>
  <c r="O19" i="3"/>
  <c r="K19" i="3"/>
  <c r="J19" i="3"/>
  <c r="I19" i="3"/>
  <c r="E19" i="3"/>
  <c r="D19" i="3"/>
  <c r="AD18" i="3"/>
  <c r="AC18" i="3"/>
  <c r="AB18" i="3"/>
  <c r="AA18" i="3"/>
  <c r="Z18" i="3"/>
  <c r="Y18" i="3"/>
  <c r="X18" i="3"/>
  <c r="W18" i="3"/>
  <c r="R18" i="3"/>
  <c r="Q18" i="3"/>
  <c r="P18" i="3"/>
  <c r="O18" i="3"/>
  <c r="K18" i="3"/>
  <c r="J18" i="3"/>
  <c r="I18" i="3"/>
  <c r="E18" i="3"/>
  <c r="D18" i="3"/>
  <c r="AD17" i="3"/>
  <c r="AC17" i="3"/>
  <c r="AB17" i="3"/>
  <c r="AA17" i="3"/>
  <c r="Z17" i="3"/>
  <c r="Y17" i="3"/>
  <c r="X17" i="3"/>
  <c r="W17" i="3"/>
  <c r="R17" i="3"/>
  <c r="Q17" i="3"/>
  <c r="P17" i="3"/>
  <c r="O17" i="3"/>
  <c r="K17" i="3"/>
  <c r="J17" i="3"/>
  <c r="I17" i="3"/>
  <c r="E17" i="3"/>
  <c r="D17" i="3"/>
  <c r="AD16" i="3"/>
  <c r="AC16" i="3"/>
  <c r="AB16" i="3"/>
  <c r="AA16" i="3"/>
  <c r="Z16" i="3"/>
  <c r="Y16" i="3"/>
  <c r="X16" i="3"/>
  <c r="W16" i="3"/>
  <c r="R16" i="3"/>
  <c r="Q16" i="3"/>
  <c r="P16" i="3"/>
  <c r="O16" i="3"/>
  <c r="K16" i="3"/>
  <c r="J16" i="3"/>
  <c r="I16" i="3"/>
  <c r="E16" i="3"/>
  <c r="D16" i="3"/>
  <c r="AD15" i="3"/>
  <c r="AC15" i="3"/>
  <c r="AB15" i="3"/>
  <c r="AA15" i="3"/>
  <c r="Z15" i="3"/>
  <c r="Y15" i="3"/>
  <c r="X15" i="3"/>
  <c r="W15" i="3"/>
  <c r="R15" i="3"/>
  <c r="Q15" i="3"/>
  <c r="P15" i="3"/>
  <c r="O15" i="3"/>
  <c r="K15" i="3"/>
  <c r="J15" i="3"/>
  <c r="I15" i="3"/>
  <c r="E15" i="3"/>
  <c r="D15" i="3"/>
  <c r="AD14" i="3"/>
  <c r="AC14" i="3"/>
  <c r="AB14" i="3"/>
  <c r="AA14" i="3"/>
  <c r="Z14" i="3"/>
  <c r="Y14" i="3"/>
  <c r="X14" i="3"/>
  <c r="W14" i="3"/>
  <c r="R14" i="3"/>
  <c r="Q14" i="3"/>
  <c r="P14" i="3"/>
  <c r="O14" i="3"/>
  <c r="K14" i="3"/>
  <c r="J14" i="3"/>
  <c r="I14" i="3"/>
  <c r="E14" i="3"/>
  <c r="D14" i="3"/>
  <c r="AD13" i="3"/>
  <c r="AC13" i="3"/>
  <c r="AB13" i="3"/>
  <c r="AA13" i="3"/>
  <c r="Z13" i="3"/>
  <c r="Y13" i="3"/>
  <c r="X13" i="3"/>
  <c r="W13" i="3"/>
  <c r="R13" i="3"/>
  <c r="Q13" i="3"/>
  <c r="P13" i="3"/>
  <c r="O13" i="3"/>
  <c r="K13" i="3"/>
  <c r="J13" i="3"/>
  <c r="I13" i="3"/>
  <c r="E13" i="3"/>
  <c r="D13" i="3"/>
  <c r="AD12" i="3"/>
  <c r="AC12" i="3"/>
  <c r="AB12" i="3"/>
  <c r="AA12" i="3"/>
  <c r="Z12" i="3"/>
  <c r="Y12" i="3"/>
  <c r="X12" i="3"/>
  <c r="W12" i="3"/>
  <c r="R12" i="3"/>
  <c r="Q12" i="3"/>
  <c r="P12" i="3"/>
  <c r="O12" i="3"/>
  <c r="K12" i="3"/>
  <c r="J12" i="3"/>
  <c r="I12" i="3"/>
  <c r="E12" i="3"/>
  <c r="D12" i="3"/>
  <c r="AD11" i="3"/>
  <c r="AC11" i="3"/>
  <c r="AB11" i="3"/>
  <c r="AA11" i="3"/>
  <c r="Z11" i="3"/>
  <c r="Y11" i="3"/>
  <c r="X11" i="3"/>
  <c r="W11" i="3"/>
  <c r="R11" i="3"/>
  <c r="Q11" i="3"/>
  <c r="P11" i="3"/>
  <c r="O11" i="3"/>
  <c r="K11" i="3"/>
  <c r="J11" i="3"/>
  <c r="I11" i="3"/>
  <c r="E11" i="3"/>
  <c r="D11" i="3"/>
  <c r="AD10" i="3"/>
  <c r="AC10" i="3"/>
  <c r="AB10" i="3"/>
  <c r="AA10" i="3"/>
  <c r="Z10" i="3"/>
  <c r="Y10" i="3"/>
  <c r="X10" i="3"/>
  <c r="W10" i="3"/>
  <c r="R10" i="3"/>
  <c r="Q10" i="3"/>
  <c r="P10" i="3"/>
  <c r="O10" i="3"/>
  <c r="K10" i="3"/>
  <c r="J10" i="3"/>
  <c r="I10" i="3"/>
  <c r="E10" i="3"/>
  <c r="D10" i="3"/>
  <c r="AD9" i="3"/>
  <c r="AC9" i="3"/>
  <c r="AB9" i="3"/>
  <c r="AA9" i="3"/>
  <c r="Z9" i="3"/>
  <c r="Y9" i="3"/>
  <c r="X9" i="3"/>
  <c r="W9" i="3"/>
  <c r="R9" i="3"/>
  <c r="Q9" i="3"/>
  <c r="P9" i="3"/>
  <c r="O9" i="3"/>
  <c r="K9" i="3"/>
  <c r="J9" i="3"/>
  <c r="I9" i="3"/>
  <c r="E9" i="3"/>
  <c r="D9" i="3"/>
  <c r="AD8" i="3"/>
  <c r="AC8" i="3"/>
  <c r="AB8" i="3"/>
  <c r="AA8" i="3"/>
  <c r="Z8" i="3"/>
  <c r="Y8" i="3"/>
  <c r="X8" i="3"/>
  <c r="W8" i="3"/>
  <c r="R8" i="3"/>
  <c r="Q8" i="3"/>
  <c r="P8" i="3"/>
  <c r="O8" i="3"/>
  <c r="K8" i="3"/>
  <c r="J8" i="3"/>
  <c r="I8" i="3"/>
  <c r="E8" i="3"/>
  <c r="D8" i="3"/>
  <c r="AD7" i="3"/>
  <c r="AC7" i="3"/>
  <c r="AB7" i="3"/>
  <c r="AA7" i="3"/>
  <c r="Z7" i="3"/>
  <c r="Y7" i="3"/>
  <c r="X7" i="3"/>
  <c r="W7" i="3"/>
  <c r="R7" i="3"/>
  <c r="Q7" i="3"/>
  <c r="P7" i="3"/>
  <c r="O7" i="3"/>
  <c r="K7" i="3"/>
  <c r="J7" i="3"/>
  <c r="I7" i="3"/>
  <c r="E7" i="3"/>
  <c r="D7" i="3"/>
  <c r="AD6" i="3"/>
  <c r="AC6" i="3"/>
  <c r="AB6" i="3"/>
  <c r="AA6" i="3"/>
  <c r="Z6" i="3"/>
  <c r="Y6" i="3"/>
  <c r="X6" i="3"/>
  <c r="W6" i="3"/>
  <c r="R6" i="3"/>
  <c r="Q6" i="3"/>
  <c r="P6" i="3"/>
  <c r="O6" i="3"/>
  <c r="K6" i="3"/>
  <c r="J6" i="3"/>
  <c r="I6" i="3"/>
  <c r="E6" i="3"/>
  <c r="D6" i="3"/>
  <c r="AD5" i="3"/>
  <c r="AC5" i="3"/>
  <c r="AB5" i="3"/>
  <c r="AA5" i="3"/>
  <c r="Z5" i="3"/>
  <c r="Y5" i="3"/>
  <c r="X5" i="3"/>
  <c r="W5" i="3"/>
  <c r="R5" i="3"/>
  <c r="Q5" i="3"/>
  <c r="P5" i="3"/>
  <c r="O5" i="3"/>
  <c r="K5" i="3"/>
  <c r="J5" i="3"/>
  <c r="I5" i="3"/>
  <c r="AD4" i="3"/>
  <c r="AC4" i="3"/>
  <c r="AB4" i="3"/>
  <c r="AA4" i="3"/>
  <c r="Z4" i="3"/>
  <c r="Y4" i="3"/>
  <c r="X4" i="3"/>
  <c r="W4" i="3"/>
  <c r="R4" i="3"/>
  <c r="Q4" i="3"/>
  <c r="P4" i="3"/>
  <c r="O4" i="3"/>
  <c r="K4" i="3"/>
  <c r="J4" i="3"/>
  <c r="I4" i="3"/>
  <c r="AD3" i="3"/>
  <c r="AC3" i="3"/>
  <c r="AB3" i="3"/>
  <c r="AA3" i="3"/>
  <c r="Z3" i="3"/>
  <c r="Y3" i="3"/>
  <c r="X3" i="3"/>
  <c r="W3" i="3"/>
  <c r="R3" i="3"/>
  <c r="Q3" i="3"/>
  <c r="P3" i="3"/>
  <c r="O3" i="3"/>
  <c r="K3" i="3"/>
  <c r="J3" i="3"/>
  <c r="I3" i="3"/>
  <c r="B20" i="2"/>
  <c r="K23" i="1"/>
  <c r="C2" i="2"/>
  <c r="E2" i="2"/>
  <c r="F2" i="2"/>
  <c r="G2" i="2"/>
  <c r="H2" i="2"/>
  <c r="I2" i="2"/>
  <c r="B2" i="2"/>
  <c r="C23" i="1"/>
  <c r="D23" i="1"/>
  <c r="E23" i="1"/>
  <c r="F23" i="1"/>
  <c r="G23" i="1"/>
  <c r="H23" i="1"/>
  <c r="I23" i="1"/>
  <c r="L23" i="1"/>
  <c r="B6" i="2"/>
  <c r="M23" i="1"/>
  <c r="C6" i="2"/>
  <c r="N23" i="1"/>
  <c r="D6" i="2"/>
  <c r="O23" i="1"/>
  <c r="E6" i="2"/>
  <c r="P23" i="1"/>
  <c r="F6" i="2"/>
  <c r="Q23" i="1"/>
  <c r="G6" i="2"/>
  <c r="R23" i="1"/>
  <c r="H6" i="2"/>
  <c r="S23" i="1"/>
  <c r="I6" i="2"/>
  <c r="T23" i="1"/>
  <c r="J6" i="2"/>
  <c r="B11" i="2"/>
  <c r="U23" i="1"/>
  <c r="K6" i="2"/>
  <c r="V23" i="1"/>
  <c r="L6" i="2"/>
  <c r="M6" i="2"/>
  <c r="X23" i="1"/>
  <c r="N6" i="2"/>
  <c r="Y23" i="1"/>
  <c r="O6" i="2"/>
  <c r="Z23" i="1"/>
  <c r="P6" i="2"/>
  <c r="AA23" i="1"/>
  <c r="Q6" i="2"/>
  <c r="AB23" i="1"/>
  <c r="R6" i="2"/>
  <c r="AC23" i="1"/>
  <c r="S6" i="2"/>
  <c r="AD23" i="1"/>
  <c r="T6" i="2"/>
  <c r="AE23" i="1"/>
  <c r="U6" i="2"/>
  <c r="AF23" i="1"/>
  <c r="V6" i="2"/>
  <c r="B23" i="1"/>
  <c r="E11" i="15"/>
  <c r="F11" i="15"/>
  <c r="G11" i="15"/>
  <c r="H11" i="15"/>
  <c r="B1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DEY Agnibh</author>
    <author>CELSO Afonso</author>
  </authors>
  <commentList>
    <comment ref="B3" authorId="0" shapeId="0" xr:uid="{89E16C1C-29EC-4034-9A32-76E85B5996B8}">
      <text>
        <r>
          <rPr>
            <b/>
            <sz val="9"/>
            <color indexed="81"/>
            <rFont val="Tahoma"/>
            <family val="2"/>
          </rPr>
          <t>DEY Agnibh:</t>
        </r>
        <r>
          <rPr>
            <sz val="9"/>
            <color indexed="81"/>
            <rFont val="Tahoma"/>
            <family val="2"/>
          </rPr>
          <t xml:space="preserve">
Max number of counter is limited to 1</t>
        </r>
      </text>
    </comment>
    <comment ref="A7" authorId="1" shapeId="0" xr:uid="{00000000-0006-0000-0600-000001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F7" authorId="1" shapeId="0" xr:uid="{00000000-0006-0000-0600-000003000000}">
      <text>
        <r>
          <rPr>
            <b/>
            <sz val="9"/>
            <color indexed="81"/>
            <rFont val="Tahoma"/>
            <family val="2"/>
          </rPr>
          <t>CELSO Afonso:</t>
        </r>
        <r>
          <rPr>
            <sz val="9"/>
            <color indexed="81"/>
            <rFont val="Tahoma"/>
            <family val="2"/>
          </rPr>
          <t xml:space="preserve">
Local Counter ouput for each counter number where "B2" show counter number</t>
        </r>
      </text>
    </comment>
    <comment ref="A26" authorId="1" shapeId="0" xr:uid="{00000000-0006-0000-0600-000004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26" authorId="1" shapeId="0" xr:uid="{00000000-0006-0000-0600-000007000000}">
      <text>
        <r>
          <rPr>
            <b/>
            <sz val="9"/>
            <color indexed="81"/>
            <rFont val="Tahoma"/>
            <family val="2"/>
          </rPr>
          <t>CELSO Afonso:</t>
        </r>
        <r>
          <rPr>
            <sz val="9"/>
            <color indexed="81"/>
            <rFont val="Tahoma"/>
            <family val="2"/>
          </rPr>
          <t xml:space="preserve">
Local Counter ouput for each counter number where "B2" show counter number</t>
        </r>
      </text>
    </comment>
    <comment ref="D26" authorId="1" shapeId="0" xr:uid="{00000000-0006-0000-0600-000008000000}">
      <text>
        <r>
          <rPr>
            <b/>
            <sz val="9"/>
            <color indexed="81"/>
            <rFont val="Tahoma"/>
            <family val="2"/>
          </rPr>
          <t>CELSO Afonso:</t>
        </r>
        <r>
          <rPr>
            <sz val="9"/>
            <color indexed="81"/>
            <rFont val="Tahoma"/>
            <family val="2"/>
          </rPr>
          <t xml:space="preserve">
Local Counter ouput for each counter number where "B2" show counter number</t>
        </r>
      </text>
    </comment>
    <comment ref="F26" authorId="1" shapeId="0" xr:uid="{00000000-0006-0000-0600-000009000000}">
      <text>
        <r>
          <rPr>
            <b/>
            <sz val="9"/>
            <color indexed="81"/>
            <rFont val="Tahoma"/>
            <family val="2"/>
          </rPr>
          <t>CELSO Afonso:</t>
        </r>
        <r>
          <rPr>
            <sz val="9"/>
            <color indexed="81"/>
            <rFont val="Tahoma"/>
            <family val="2"/>
          </rPr>
          <t xml:space="preserve">
Local Counter ouput for each counter number where "B2" show counter number</t>
        </r>
      </text>
    </comment>
    <comment ref="H26" authorId="1" shapeId="0" xr:uid="{00000000-0006-0000-0600-00000A000000}">
      <text>
        <r>
          <rPr>
            <b/>
            <sz val="9"/>
            <color indexed="81"/>
            <rFont val="Tahoma"/>
            <family val="2"/>
          </rPr>
          <t>CELSO Afonso:</t>
        </r>
        <r>
          <rPr>
            <sz val="9"/>
            <color indexed="81"/>
            <rFont val="Tahoma"/>
            <family val="2"/>
          </rPr>
          <t xml:space="preserve">
Local Counter ouput for each counter number where "B2" show counter number</t>
        </r>
      </text>
    </comment>
    <comment ref="J26" authorId="1" shapeId="0" xr:uid="{00000000-0006-0000-0600-00000B000000}">
      <text>
        <r>
          <rPr>
            <b/>
            <sz val="9"/>
            <color indexed="81"/>
            <rFont val="Tahoma"/>
            <family val="2"/>
          </rPr>
          <t>CELSO Afonso:</t>
        </r>
        <r>
          <rPr>
            <sz val="9"/>
            <color indexed="81"/>
            <rFont val="Tahoma"/>
            <family val="2"/>
          </rPr>
          <t xml:space="preserve">
Local Counter ouput for each counter number where "B2" show counter number</t>
        </r>
      </text>
    </comment>
    <comment ref="B41" authorId="1" shapeId="0" xr:uid="{00000000-0006-0000-0600-00000C000000}">
      <text>
        <r>
          <rPr>
            <b/>
            <sz val="9"/>
            <color indexed="81"/>
            <rFont val="Tahoma"/>
            <family val="2"/>
          </rPr>
          <t>CELSO Afonso:</t>
        </r>
        <r>
          <rPr>
            <sz val="9"/>
            <color indexed="81"/>
            <rFont val="Tahoma"/>
            <family val="2"/>
          </rPr>
          <t xml:space="preserve">
A = to local and remote counter to compare
R = only remote counter
L = Only local counter
N = none</t>
        </r>
      </text>
    </comment>
    <comment ref="A46" authorId="1" shapeId="0" xr:uid="{00000000-0006-0000-0600-00000D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46" authorId="1" shapeId="0" xr:uid="{00000000-0006-0000-0600-00000E000000}">
      <text>
        <r>
          <rPr>
            <b/>
            <sz val="9"/>
            <color indexed="81"/>
            <rFont val="Tahoma"/>
            <family val="2"/>
          </rPr>
          <t>CELSO Afonso:</t>
        </r>
        <r>
          <rPr>
            <sz val="9"/>
            <color indexed="81"/>
            <rFont val="Tahoma"/>
            <family val="2"/>
          </rPr>
          <t xml:space="preserve">
Local Counter ouput for each counter number where "B2" show counter number</t>
        </r>
      </text>
    </comment>
    <comment ref="B51" authorId="1" shapeId="0" xr:uid="{00000000-0006-0000-0600-00000F000000}">
      <text>
        <r>
          <rPr>
            <b/>
            <sz val="9"/>
            <color indexed="81"/>
            <rFont val="Tahoma"/>
            <family val="2"/>
          </rPr>
          <t>CELSO Afonso:</t>
        </r>
        <r>
          <rPr>
            <sz val="9"/>
            <color indexed="81"/>
            <rFont val="Tahoma"/>
            <family val="2"/>
          </rPr>
          <t xml:space="preserve">
A = to local and remote counter to compare
R = only remote counter
L = Only local counter
N = none
For Synchronous Setup, keep the content as 'N'</t>
        </r>
      </text>
    </comment>
    <comment ref="A56" authorId="1" shapeId="0" xr:uid="{00000000-0006-0000-0600-000010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56" authorId="1" shapeId="0" xr:uid="{00000000-0006-0000-0600-000011000000}">
      <text>
        <r>
          <rPr>
            <b/>
            <sz val="9"/>
            <color indexed="81"/>
            <rFont val="Tahoma"/>
            <family val="2"/>
          </rPr>
          <t>CELSO Afonso:</t>
        </r>
        <r>
          <rPr>
            <sz val="9"/>
            <color indexed="81"/>
            <rFont val="Tahoma"/>
            <family val="2"/>
          </rPr>
          <t xml:space="preserve">
Local Counter ouput for each counter number where "B2" show counter number</t>
        </r>
      </text>
    </comment>
    <comment ref="A74" authorId="1" shapeId="0" xr:uid="{00000000-0006-0000-0600-000012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74" authorId="1" shapeId="0" xr:uid="{00000000-0006-0000-0600-000013000000}">
      <text>
        <r>
          <rPr>
            <b/>
            <sz val="9"/>
            <color indexed="81"/>
            <rFont val="Tahoma"/>
            <family val="2"/>
          </rPr>
          <t>CELSO Afonso:</t>
        </r>
        <r>
          <rPr>
            <sz val="9"/>
            <color indexed="81"/>
            <rFont val="Tahoma"/>
            <family val="2"/>
          </rPr>
          <t xml:space="preserve">
Local Counter ouput for each counter number where "B2" show counter number</t>
        </r>
      </text>
    </comment>
    <comment ref="D74" authorId="1" shapeId="0" xr:uid="{00000000-0006-0000-0600-000014000000}">
      <text>
        <r>
          <rPr>
            <b/>
            <sz val="9"/>
            <color indexed="81"/>
            <rFont val="Tahoma"/>
            <family val="2"/>
          </rPr>
          <t>CELSO Afonso:</t>
        </r>
        <r>
          <rPr>
            <sz val="9"/>
            <color indexed="81"/>
            <rFont val="Tahoma"/>
            <family val="2"/>
          </rPr>
          <t xml:space="preserve">
Local Counter ouput for each counter number where "B2" show counter number</t>
        </r>
      </text>
    </comment>
    <comment ref="F74" authorId="1" shapeId="0" xr:uid="{00000000-0006-0000-0600-000015000000}">
      <text>
        <r>
          <rPr>
            <b/>
            <sz val="9"/>
            <color indexed="81"/>
            <rFont val="Tahoma"/>
            <family val="2"/>
          </rPr>
          <t>CELSO Afonso:</t>
        </r>
        <r>
          <rPr>
            <sz val="9"/>
            <color indexed="81"/>
            <rFont val="Tahoma"/>
            <family val="2"/>
          </rPr>
          <t xml:space="preserve">
Local Counter ouput for each counter number where "B2" show counter number</t>
        </r>
      </text>
    </comment>
    <comment ref="H74" authorId="1" shapeId="0" xr:uid="{00000000-0006-0000-0600-000016000000}">
      <text>
        <r>
          <rPr>
            <b/>
            <sz val="9"/>
            <color indexed="81"/>
            <rFont val="Tahoma"/>
            <family val="2"/>
          </rPr>
          <t>CELSO Afonso:</t>
        </r>
        <r>
          <rPr>
            <sz val="9"/>
            <color indexed="81"/>
            <rFont val="Tahoma"/>
            <family val="2"/>
          </rPr>
          <t xml:space="preserve">
Local Counter ouput for each counter number where "B2" show counter number</t>
        </r>
      </text>
    </comment>
    <comment ref="A84" authorId="1" shapeId="0" xr:uid="{00000000-0006-0000-0600-000017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84" authorId="1" shapeId="0" xr:uid="{00000000-0006-0000-0600-000018000000}">
      <text>
        <r>
          <rPr>
            <b/>
            <sz val="9"/>
            <color indexed="81"/>
            <rFont val="Tahoma"/>
            <family val="2"/>
          </rPr>
          <t>CELSO Afonso:</t>
        </r>
        <r>
          <rPr>
            <sz val="9"/>
            <color indexed="81"/>
            <rFont val="Tahoma"/>
            <family val="2"/>
          </rPr>
          <t xml:space="preserve">
Local Counter ouput for each counter number where "B2" show counter number</t>
        </r>
      </text>
    </comment>
    <comment ref="H84" authorId="1" shapeId="0" xr:uid="{00000000-0006-0000-0600-000021000000}">
      <text>
        <r>
          <rPr>
            <b/>
            <sz val="9"/>
            <color indexed="81"/>
            <rFont val="Tahoma"/>
            <family val="2"/>
          </rPr>
          <t>CELSO Afonso:</t>
        </r>
        <r>
          <rPr>
            <sz val="9"/>
            <color indexed="81"/>
            <rFont val="Tahoma"/>
            <family val="2"/>
          </rPr>
          <t xml:space="preserve">
Local Counter ouput for each counter number where "B2" show counter number</t>
        </r>
      </text>
    </comment>
    <comment ref="A103" authorId="1" shapeId="0" xr:uid="{00000000-0006-0000-0600-000019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103" authorId="1" shapeId="0" xr:uid="{00000000-0006-0000-0600-00001A000000}">
      <text>
        <r>
          <rPr>
            <b/>
            <sz val="9"/>
            <color indexed="81"/>
            <rFont val="Tahoma"/>
            <family val="2"/>
          </rPr>
          <t>CELSO Afonso:</t>
        </r>
        <r>
          <rPr>
            <sz val="9"/>
            <color indexed="81"/>
            <rFont val="Tahoma"/>
            <family val="2"/>
          </rPr>
          <t xml:space="preserve">
Local Counter ouput for each counter number where "B2" show counter number</t>
        </r>
      </text>
    </comment>
    <comment ref="D103" authorId="1" shapeId="0" xr:uid="{00000000-0006-0000-0600-00001B000000}">
      <text>
        <r>
          <rPr>
            <b/>
            <sz val="9"/>
            <color indexed="81"/>
            <rFont val="Tahoma"/>
            <family val="2"/>
          </rPr>
          <t>CELSO Afonso:</t>
        </r>
        <r>
          <rPr>
            <sz val="9"/>
            <color indexed="81"/>
            <rFont val="Tahoma"/>
            <family val="2"/>
          </rPr>
          <t xml:space="preserve">
Local Counter ouput for each counter number where "B2" show counter number</t>
        </r>
      </text>
    </comment>
    <comment ref="F103" authorId="1" shapeId="0" xr:uid="{00000000-0006-0000-0600-00001C000000}">
      <text>
        <r>
          <rPr>
            <b/>
            <sz val="9"/>
            <color indexed="81"/>
            <rFont val="Tahoma"/>
            <family val="2"/>
          </rPr>
          <t>CELSO Afonso:</t>
        </r>
        <r>
          <rPr>
            <sz val="9"/>
            <color indexed="81"/>
            <rFont val="Tahoma"/>
            <family val="2"/>
          </rPr>
          <t xml:space="preserve">
Local Counter ouput for each counter number where "B2" show counter number</t>
        </r>
      </text>
    </comment>
    <comment ref="H103" authorId="1" shapeId="0" xr:uid="{00000000-0006-0000-0600-00001D000000}">
      <text>
        <r>
          <rPr>
            <b/>
            <sz val="9"/>
            <color indexed="81"/>
            <rFont val="Tahoma"/>
            <family val="2"/>
          </rPr>
          <t>CELSO Afonso:</t>
        </r>
        <r>
          <rPr>
            <sz val="9"/>
            <color indexed="81"/>
            <rFont val="Tahoma"/>
            <family val="2"/>
          </rPr>
          <t xml:space="preserve">
Local Counter ouput for each counter number where "B2" show counter number</t>
        </r>
      </text>
    </comment>
    <comment ref="J103" authorId="1" shapeId="0" xr:uid="{00000000-0006-0000-0600-00001E000000}">
      <text>
        <r>
          <rPr>
            <b/>
            <sz val="9"/>
            <color indexed="81"/>
            <rFont val="Tahoma"/>
            <family val="2"/>
          </rPr>
          <t>CELSO Afonso:</t>
        </r>
        <r>
          <rPr>
            <sz val="9"/>
            <color indexed="81"/>
            <rFont val="Tahoma"/>
            <family val="2"/>
          </rPr>
          <t xml:space="preserve">
Local Counter ouput for each counter number where "B2" show counter number</t>
        </r>
      </text>
    </comment>
    <comment ref="N103" authorId="1" shapeId="0" xr:uid="{3F173B0A-2B78-44F6-A6D7-25E9DE26469D}">
      <text>
        <r>
          <rPr>
            <b/>
            <sz val="9"/>
            <color indexed="81"/>
            <rFont val="Tahoma"/>
            <family val="2"/>
          </rPr>
          <t>CELSO Afonso:</t>
        </r>
        <r>
          <rPr>
            <sz val="9"/>
            <color indexed="81"/>
            <rFont val="Tahoma"/>
            <family val="2"/>
          </rPr>
          <t xml:space="preserve">
Local Counter ouput for each counter number where "B2" show counter number</t>
        </r>
      </text>
    </comment>
    <comment ref="A122" authorId="1" shapeId="0" xr:uid="{00000000-0006-0000-0600-00001F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B136" authorId="0" shapeId="0" xr:uid="{B8E83019-66BF-40CA-BBAC-BE87E3E69E0A}">
      <text>
        <r>
          <rPr>
            <b/>
            <sz val="9"/>
            <color indexed="81"/>
            <rFont val="Tahoma"/>
            <family val="2"/>
          </rPr>
          <t>DEY Agnibh:</t>
        </r>
        <r>
          <rPr>
            <sz val="9"/>
            <color indexed="81"/>
            <rFont val="Tahoma"/>
            <family val="2"/>
          </rPr>
          <t xml:space="preserve">
Counters to generate generic logic</t>
        </r>
      </text>
    </comment>
    <comment ref="A138" authorId="1" shapeId="0" xr:uid="{68C4F31C-A02A-464D-8CC6-B490C2F47328}">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DEY Agnibh</author>
    <author>CELSO Afonso</author>
  </authors>
  <commentList>
    <comment ref="B6" authorId="0" shapeId="0" xr:uid="{59966B81-7DB2-4367-B562-EFDEC883AAC5}">
      <text>
        <r>
          <rPr>
            <b/>
            <sz val="9"/>
            <color indexed="81"/>
            <rFont val="Tahoma"/>
            <family val="2"/>
          </rPr>
          <t>DEY Agnibh:</t>
        </r>
        <r>
          <rPr>
            <sz val="9"/>
            <color indexed="81"/>
            <rFont val="Tahoma"/>
            <family val="2"/>
          </rPr>
          <t xml:space="preserve">
Keep the value equal to 14 for efficient filling</t>
        </r>
      </text>
    </comment>
    <comment ref="D8" authorId="1" shapeId="0" xr:uid="{00000000-0006-0000-0500-000001000000}">
      <text>
        <r>
          <rPr>
            <b/>
            <sz val="9"/>
            <color indexed="81"/>
            <rFont val="Tahoma"/>
            <family val="2"/>
          </rPr>
          <t>CELSO Afonso:</t>
        </r>
        <r>
          <rPr>
            <sz val="9"/>
            <color indexed="81"/>
            <rFont val="Tahoma"/>
            <family val="2"/>
          </rPr>
          <t xml:space="preserve">
If "Y" send SUT to SIDE as unlatched and SIDE to SUT latched.
If "N" NOT IMPLEMENTED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CELSO Afonso</author>
  </authors>
  <commentList>
    <comment ref="A2" authorId="0" shapeId="0" xr:uid="{00000000-0006-0000-0700-000001000000}">
      <text>
        <r>
          <rPr>
            <b/>
            <sz val="9"/>
            <color indexed="81"/>
            <rFont val="Tahoma"/>
            <family val="2"/>
          </rPr>
          <t>CELSO Afonso:</t>
        </r>
        <r>
          <rPr>
            <sz val="9"/>
            <color indexed="81"/>
            <rFont val="Tahoma"/>
            <family val="2"/>
          </rPr>
          <t xml:space="preserve">
Vital timer trigger non vital timer back to other vital timer cycling until reach the end then restart (the sequence chain will ve verifyed vital and non-vital by timers).
"Value 1" is the number of timers (vital and non-vital) chain qdte + 1 to validate all timers (need to be always even)
Value 2" is the number of repetions of value 1
Use interface DPRAM NVSP2 to VSP2</t>
        </r>
      </text>
    </comment>
    <comment ref="A6" authorId="0" shapeId="0" xr:uid="{00000000-0006-0000-0700-000002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A28" authorId="0" shapeId="0" xr:uid="{00000000-0006-0000-0700-000003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 ref="A47" authorId="0" shapeId="0" xr:uid="{00000000-0006-0000-0700-000004000000}">
      <text>
        <r>
          <rPr>
            <b/>
            <sz val="9"/>
            <color indexed="81"/>
            <rFont val="Tahoma"/>
            <family val="2"/>
          </rPr>
          <t>CELSO Afonso:</t>
        </r>
        <r>
          <rPr>
            <sz val="9"/>
            <color indexed="81"/>
            <rFont val="Tahoma"/>
            <family val="2"/>
          </rPr>
          <t xml:space="preserve">
Real output used as validator view for each number counter or one to all if in daise chain</t>
        </r>
      </text>
    </comment>
  </commentList>
</comments>
</file>

<file path=xl/sharedStrings.xml><?xml version="1.0" encoding="utf-8"?>
<sst xmlns="http://schemas.openxmlformats.org/spreadsheetml/2006/main" count="32690" uniqueCount="28761">
  <si>
    <t>E01_A1_A1_A2</t>
  </si>
  <si>
    <t>E02_A1_A1_A2</t>
  </si>
  <si>
    <t>E03_A1_A1_A2</t>
  </si>
  <si>
    <t>E04_A1_A1_A2</t>
  </si>
  <si>
    <t>E05_A2_A2_A3</t>
  </si>
  <si>
    <t>E06_A2_A2_A3</t>
  </si>
  <si>
    <t>CAAPE App</t>
  </si>
  <si>
    <t>DI</t>
  </si>
  <si>
    <t>ACO</t>
  </si>
  <si>
    <t>ACDBO</t>
  </si>
  <si>
    <t>DBO</t>
  </si>
  <si>
    <t>NVSP2</t>
  </si>
  <si>
    <t>NVI</t>
  </si>
  <si>
    <t>NVO</t>
  </si>
  <si>
    <t>BEX</t>
  </si>
  <si>
    <t>34 Street Zone 3_A4_A_A1</t>
  </si>
  <si>
    <t>34 Street Zone 4_A4_A_A1</t>
  </si>
  <si>
    <t>34 Street Zone 1_A4_A_A1</t>
  </si>
  <si>
    <t>34 Street Zone 2_A4_A_A1</t>
  </si>
  <si>
    <t>X</t>
  </si>
  <si>
    <t>"AND"</t>
  </si>
  <si>
    <t xml:space="preserve"> "OR"</t>
  </si>
  <si>
    <t>IOP 
Params</t>
  </si>
  <si>
    <t>PP
 Params</t>
  </si>
  <si>
    <t>VSOE2
 Ind</t>
  </si>
  <si>
    <t>VSOE2 
Ctrl</t>
  </si>
  <si>
    <t>Event 
Log</t>
  </si>
  <si>
    <t>Vital
Params</t>
  </si>
  <si>
    <t xml:space="preserve"> BP 
Params</t>
  </si>
  <si>
    <t>NVSP2
DPRAM 
Ind</t>
  </si>
  <si>
    <t>NVSP2
DPRAM 
Ctrl</t>
  </si>
  <si>
    <t>NVSP2
NVSOE 
Ind</t>
  </si>
  <si>
    <t>NVSP2
NVSOE 
Ctl</t>
  </si>
  <si>
    <t>NVSP2
Params</t>
  </si>
  <si>
    <t xml:space="preserve">NVSP2
Integers </t>
  </si>
  <si>
    <t>NVSP2
Timers</t>
  </si>
  <si>
    <t>NVSP2
Links w/
Redundancy</t>
  </si>
  <si>
    <t>x/V2V</t>
  </si>
  <si>
    <t>4 Bools/
1 timer</t>
  </si>
  <si>
    <t>NVSM
Paramters</t>
  </si>
  <si>
    <t xml:space="preserve">Network/
System
Redundancy
</t>
  </si>
  <si>
    <t xml:space="preserve">
</t>
  </si>
  <si>
    <t>FSSVT
Timers</t>
  </si>
  <si>
    <t>PPVT
Timers</t>
  </si>
  <si>
    <t>Vital
Links/
Redun</t>
  </si>
  <si>
    <t>Celling</t>
  </si>
  <si>
    <t>V2V</t>
  </si>
  <si>
    <t>Boards possible</t>
  </si>
  <si>
    <t>Without V2V</t>
  </si>
  <si>
    <t>With V2V</t>
  </si>
  <si>
    <t>Boards</t>
  </si>
  <si>
    <t>Count</t>
  </si>
  <si>
    <t>V2V
Params</t>
  </si>
  <si>
    <t>Paramenter</t>
  </si>
  <si>
    <t>Vars per VSOE2 link</t>
  </si>
  <si>
    <t>Number of links</t>
  </si>
  <si>
    <t>Permissive flash</t>
  </si>
  <si>
    <t>Port</t>
  </si>
  <si>
    <t>Flash</t>
  </si>
  <si>
    <t>Flash Ctrl</t>
  </si>
  <si>
    <t>Flash State</t>
  </si>
  <si>
    <t>On  Ctrl</t>
  </si>
  <si>
    <t>On state</t>
  </si>
  <si>
    <t>NonProt</t>
  </si>
  <si>
    <t>CK</t>
  </si>
  <si>
    <t>Total IOP vars</t>
  </si>
  <si>
    <t>Vital processor</t>
  </si>
  <si>
    <t>Booleans</t>
  </si>
  <si>
    <t>Equations</t>
  </si>
  <si>
    <t>And</t>
  </si>
  <si>
    <t>PPVT</t>
  </si>
  <si>
    <t>FSSVT</t>
  </si>
  <si>
    <t>Module</t>
  </si>
  <si>
    <t>06</t>
  </si>
  <si>
    <t>07</t>
  </si>
  <si>
    <t>01</t>
  </si>
  <si>
    <t>02</t>
  </si>
  <si>
    <t>03</t>
  </si>
  <si>
    <t>04</t>
  </si>
  <si>
    <t>05</t>
  </si>
  <si>
    <t>08</t>
  </si>
  <si>
    <t>09</t>
  </si>
  <si>
    <t>10</t>
  </si>
  <si>
    <t>11</t>
  </si>
  <si>
    <t>12</t>
  </si>
  <si>
    <t>13</t>
  </si>
  <si>
    <t>14</t>
  </si>
  <si>
    <t>15</t>
  </si>
  <si>
    <t>16</t>
  </si>
  <si>
    <t>port</t>
  </si>
  <si>
    <t>ACO-PORT</t>
  </si>
  <si>
    <t>Slot</t>
  </si>
  <si>
    <t>Wire</t>
  </si>
  <si>
    <t xml:space="preserve">Wire </t>
  </si>
  <si>
    <t>DBO-PORT</t>
  </si>
  <si>
    <t>WIRE1</t>
  </si>
  <si>
    <t>WIRE2</t>
  </si>
  <si>
    <t>AC-DBO</t>
  </si>
  <si>
    <t xml:space="preserve">ON </t>
  </si>
  <si>
    <t>NONPROT</t>
  </si>
  <si>
    <t>ON-STATE</t>
  </si>
  <si>
    <t>FLASH STATE</t>
  </si>
  <si>
    <t>VRDFRNT-DI</t>
  </si>
  <si>
    <t>VRDFRNT</t>
  </si>
  <si>
    <t>Max Num of  link</t>
  </si>
  <si>
    <t>Max Num of parameter per  link</t>
  </si>
  <si>
    <t>Min Num of parameter per  link</t>
  </si>
  <si>
    <t>V2V links item</t>
  </si>
  <si>
    <t>Available?</t>
  </si>
  <si>
    <t>Links</t>
  </si>
  <si>
    <t>Number of variables in counter</t>
  </si>
  <si>
    <t>Application cycle counter (only bools)</t>
  </si>
  <si>
    <t>Number of counters</t>
  </si>
  <si>
    <t>Validator in daise chain</t>
  </si>
  <si>
    <t>Ouputs of Validator</t>
  </si>
  <si>
    <t>END</t>
  </si>
  <si>
    <t>Tokens</t>
  </si>
  <si>
    <t>Y</t>
  </si>
  <si>
    <t>Output of Local Counter</t>
  </si>
  <si>
    <t>Output of Remote Counter</t>
  </si>
  <si>
    <t>Count Outputs in daise chain</t>
  </si>
  <si>
    <t>N</t>
  </si>
  <si>
    <t>V2V items</t>
  </si>
  <si>
    <t>VSOE2 items</t>
  </si>
  <si>
    <t>VSP2_NVSM items</t>
  </si>
  <si>
    <t>VSP2_NVSP2_1 items</t>
  </si>
  <si>
    <t>NVSM_VSP2 items</t>
  </si>
  <si>
    <t>Trigger timer</t>
  </si>
  <si>
    <t>NVSM_VAL</t>
  </si>
  <si>
    <t>300+50</t>
  </si>
  <si>
    <t>NVSP2_VSP2 items</t>
  </si>
  <si>
    <t>System A variable name</t>
  </si>
  <si>
    <t>System B variable name</t>
  </si>
  <si>
    <t>SYSB-DI</t>
  </si>
  <si>
    <t>SYSA-DI</t>
  </si>
  <si>
    <t>VSOE2 Links itens (system under test)</t>
  </si>
  <si>
    <t>spread parametes to min links</t>
  </si>
  <si>
    <t>Num of  link</t>
  </si>
  <si>
    <t>NVSM</t>
  </si>
  <si>
    <t>Use ABcompare in SYS_A and SYS_B</t>
  </si>
  <si>
    <t>iVPI to CSEX</t>
  </si>
  <si>
    <t>CSEX to iVPI</t>
  </si>
  <si>
    <t>NVSP2 - 1</t>
  </si>
  <si>
    <t>timers trigger sequence Permanent</t>
  </si>
  <si>
    <t>timers trigger sequence field setable</t>
  </si>
  <si>
    <t>Integer counter decode in bits</t>
  </si>
  <si>
    <t>MODBUS only</t>
  </si>
  <si>
    <t>BCD counter decode in bits</t>
  </si>
  <si>
    <t>transmite bits and integer generated will be validated other side (buildin and discrete multiply)</t>
  </si>
  <si>
    <t>Get timer and date compare</t>
  </si>
  <si>
    <t>every second a data time is retrieved, transmited and compare between systems (as same NTP) shall match and at least seconds shall be different from previsous time (use other tecnichs to valdate minute, hours and days)</t>
  </si>
  <si>
    <t>Use a techinic to start a smaller timer and a bigger then stop the bigger and retrieg the small to value that bigger and retrigged finish together</t>
  </si>
  <si>
    <t>Slow sequence</t>
  </si>
  <si>
    <t>Integer counter string</t>
  </si>
  <si>
    <t xml:space="preserve">Use a techinic to make counter running in string one by one in sequence always validate by side system the value </t>
  </si>
  <si>
    <t>What</t>
  </si>
  <si>
    <t>Idea</t>
  </si>
  <si>
    <t>interface</t>
  </si>
  <si>
    <t>Uses</t>
  </si>
  <si>
    <t>PSVVT, NV timer</t>
  </si>
  <si>
    <t xml:space="preserve">GET_DATE
GET_TIME
</t>
  </si>
  <si>
    <t xml:space="preserve">SLOW_PICK
SLOW_DROP
SLOW_CHANGE
</t>
  </si>
  <si>
    <t>progressão aritimetica</t>
  </si>
  <si>
    <t>Last value</t>
  </si>
  <si>
    <t>Total</t>
  </si>
  <si>
    <t>Valid1</t>
  </si>
  <si>
    <t>serie1</t>
  </si>
  <si>
    <t>serie2</t>
  </si>
  <si>
    <t>serie3</t>
  </si>
  <si>
    <t>serie4</t>
  </si>
  <si>
    <t>start</t>
  </si>
  <si>
    <t>valid0</t>
  </si>
  <si>
    <t>valid2</t>
  </si>
  <si>
    <t>final</t>
  </si>
  <si>
    <t>valid3</t>
  </si>
  <si>
    <t>1</t>
  </si>
  <si>
    <t>ADC-M2B17P1</t>
  </si>
  <si>
    <t>2</t>
  </si>
  <si>
    <t>ADC-M2B17P2</t>
  </si>
  <si>
    <t>3</t>
  </si>
  <si>
    <t>ADC-M2B17P3</t>
  </si>
  <si>
    <t>4</t>
  </si>
  <si>
    <t>ADC-M2B17P4</t>
  </si>
  <si>
    <t>5</t>
  </si>
  <si>
    <t>ADC-M2B17P5</t>
  </si>
  <si>
    <t>6</t>
  </si>
  <si>
    <t>ADC-M2B17P6</t>
  </si>
  <si>
    <t>7</t>
  </si>
  <si>
    <t>ADC-M2B17P7</t>
  </si>
  <si>
    <t>8</t>
  </si>
  <si>
    <t>ADC-M2B17P8</t>
  </si>
  <si>
    <t>18</t>
  </si>
  <si>
    <t>ADC-M2B18P1</t>
  </si>
  <si>
    <t>ADC-M2B18P2</t>
  </si>
  <si>
    <t>ADC-M2B18P3</t>
  </si>
  <si>
    <t>ADC-M2B18P4</t>
  </si>
  <si>
    <t>ADC-M2B18P5</t>
  </si>
  <si>
    <t>ADC-M2B18P6</t>
  </si>
  <si>
    <t>ADC-M2B18P7</t>
  </si>
  <si>
    <t>ADC-M2B18P8</t>
  </si>
  <si>
    <t>19</t>
  </si>
  <si>
    <t>ADC-M3B19P1</t>
  </si>
  <si>
    <t>ADC-M3B19P2</t>
  </si>
  <si>
    <t>ADC-M3B19P3</t>
  </si>
  <si>
    <t>ADC-M3B19P4</t>
  </si>
  <si>
    <t>ADC-M3B19P5</t>
  </si>
  <si>
    <t>ADC-M3B19P6</t>
  </si>
  <si>
    <t>ADC-M3B19P7</t>
  </si>
  <si>
    <t>ADC-M3B19P8</t>
  </si>
  <si>
    <t>20</t>
  </si>
  <si>
    <t>ADC-M3B20P1</t>
  </si>
  <si>
    <t>ADC-M3B20P2</t>
  </si>
  <si>
    <t>ADC-M3B20P3</t>
  </si>
  <si>
    <t>ADC-M3B20P4</t>
  </si>
  <si>
    <t>ADC-M3B20P5</t>
  </si>
  <si>
    <t>ADC-M3B20P6</t>
  </si>
  <si>
    <t>ADC-M3B20P7</t>
  </si>
  <si>
    <t>ADC-M3B20P8</t>
  </si>
  <si>
    <t>21</t>
  </si>
  <si>
    <t>ADC-M3B21P1</t>
  </si>
  <si>
    <t>ADC-M3B21P2</t>
  </si>
  <si>
    <t>ADC-M3B21P3</t>
  </si>
  <si>
    <t>ADC-M3B21P4</t>
  </si>
  <si>
    <t>ADC-M3B21P5</t>
  </si>
  <si>
    <t>ADC-M3B21P6</t>
  </si>
  <si>
    <t>ADC-M3B21P7</t>
  </si>
  <si>
    <t>ADC-M3B21P8</t>
  </si>
  <si>
    <t>ADC-M3B08P1</t>
  </si>
  <si>
    <t>ADC-M3B08P2</t>
  </si>
  <si>
    <t>ADC-M3B08P3</t>
  </si>
  <si>
    <t>ADC-M3B08P4</t>
  </si>
  <si>
    <t>ADC-M3B08P5</t>
  </si>
  <si>
    <t>ADC-M3B08P6</t>
  </si>
  <si>
    <t>ADC-M3B08P7</t>
  </si>
  <si>
    <t>ADC-M3B08P8</t>
  </si>
  <si>
    <t>ADC-M3B09P1</t>
  </si>
  <si>
    <t>ADC-M3B09P2</t>
  </si>
  <si>
    <t>ADC-M3B09P3</t>
  </si>
  <si>
    <t>ADC-M3B09P4</t>
  </si>
  <si>
    <t>ADC-M3B09P5</t>
  </si>
  <si>
    <t>ADC-M3B09P6</t>
  </si>
  <si>
    <t>ADC-M3B09P7</t>
  </si>
  <si>
    <t>ADC-M3B09P8</t>
  </si>
  <si>
    <t>ACO-M2B12P1</t>
  </si>
  <si>
    <t>ACO-M2B12P2</t>
  </si>
  <si>
    <t>ACO-M2B12P3</t>
  </si>
  <si>
    <t>ACO-M2B12P4</t>
  </si>
  <si>
    <t>ACO-M2B12P5</t>
  </si>
  <si>
    <t>ACO-M2B12P6</t>
  </si>
  <si>
    <t>ACO-M2B12P7</t>
  </si>
  <si>
    <t>ACO-M2B12P8</t>
  </si>
  <si>
    <t>ACO-M2B13P1</t>
  </si>
  <si>
    <t>ACO-M2B13P2</t>
  </si>
  <si>
    <t>DBO-M2B02P2</t>
  </si>
  <si>
    <t>DBO-M2B02P4</t>
  </si>
  <si>
    <t>ACO-M2B13P3</t>
  </si>
  <si>
    <t>ACO-M2B13P4</t>
  </si>
  <si>
    <t>ACO-M2B13P5</t>
  </si>
  <si>
    <t>ACO-M2B13P6</t>
  </si>
  <si>
    <t>ACO-M2B13P7</t>
  </si>
  <si>
    <t>ACO-M2B13P8</t>
  </si>
  <si>
    <t>'    00 to 99 - item count</t>
  </si>
  <si>
    <t>'</t>
  </si>
  <si>
    <t>'    "ESP-V2V" Special for cycle of forgiveness when the V2V drop for one cycle (stop local counter and protect value of remote)</t>
  </si>
  <si>
    <t>'        "L" - Local Counter</t>
  </si>
  <si>
    <t>'        "R" _ remote counter</t>
  </si>
  <si>
    <t>'        "V" Valid feedback with the double itens</t>
  </si>
  <si>
    <t>'        "O" Old Valids feedback</t>
  </si>
  <si>
    <t>'        "COF" cycle of forgiveness</t>
  </si>
  <si>
    <t>'        "DEL" cycle of forgiveness delay</t>
  </si>
  <si>
    <t>'        "STS" Start the counter</t>
  </si>
  <si>
    <t>'        "X" axiliar to validator</t>
  </si>
  <si>
    <t>'        "VAL" final validator</t>
  </si>
  <si>
    <t>'        "TRG" boolean trigger to NV processors counters</t>
  </si>
  <si>
    <t>'            00 to 99 - sequence item count for same item</t>
  </si>
  <si>
    <t>'                "CR" - current result</t>
  </si>
  <si>
    <t>'                "SL" - self latched</t>
  </si>
  <si>
    <t>'                "CS" - Current result and redundancy shared</t>
  </si>
  <si>
    <t>''               "SS" - self latched and redundancy shared</t>
  </si>
  <si>
    <t>'                "CC" - Current result and redundancy shared with compare</t>
  </si>
  <si>
    <t>'                "SC" - self latched and redundancy shared with compare</t>
  </si>
  <si>
    <t>'                "TP" - permanent Timer</t>
  </si>
  <si>
    <t>'                "TF" - Field setable Timer</t>
  </si>
  <si>
    <t>'                "NT" - non vital timer</t>
  </si>
  <si>
    <t>'                "BO" - non vital boolean</t>
  </si>
  <si>
    <t>"AC&lt;type&gt;" - Application cycle counter</t>
  </si>
  <si>
    <t xml:space="preserve">    </t>
  </si>
  <si>
    <t xml:space="preserve">    Case V2V:    PrefixbyType = "VV"</t>
  </si>
  <si>
    <t xml:space="preserve">    Case VSOE2:    PrefixbyType = "VS"</t>
  </si>
  <si>
    <t xml:space="preserve">    Case VSP_to_NVSM:    PrefixbyType = "VN"</t>
  </si>
  <si>
    <t xml:space="preserve">    Case VSP_to_NVSP_1:    PrefixbyType = "V1"</t>
  </si>
  <si>
    <t xml:space="preserve">    Case VSP_to_NVSP_2:    PrefixbyType = "V2"</t>
  </si>
  <si>
    <t xml:space="preserve">    Case VSP_to_NVSP_3:    PrefixbyType = "V3"</t>
  </si>
  <si>
    <t xml:space="preserve">    Case NVSM_to_VSP:    PrefixbyType = "NV"</t>
  </si>
  <si>
    <t xml:space="preserve">    Case NVSP_1_to_VSP:    PrefixbyType = "N1"</t>
  </si>
  <si>
    <t xml:space="preserve">    Case NVSP_2_to_VSP:    PrefixbyType = "N2"</t>
  </si>
  <si>
    <t xml:space="preserve">    Case NVSP_3_to_VSP:    PrefixbyType = "N3"</t>
  </si>
  <si>
    <t>17</t>
  </si>
  <si>
    <t>22</t>
  </si>
  <si>
    <t>23</t>
  </si>
  <si>
    <t>24</t>
  </si>
  <si>
    <t>25</t>
  </si>
  <si>
    <t>26</t>
  </si>
  <si>
    <t>27</t>
  </si>
  <si>
    <t>28</t>
  </si>
  <si>
    <t>29</t>
  </si>
  <si>
    <t>30</t>
  </si>
  <si>
    <t>31</t>
  </si>
  <si>
    <t>32</t>
  </si>
  <si>
    <t>NVO-M1B18P01</t>
  </si>
  <si>
    <t>NVO-M1B18P02</t>
  </si>
  <si>
    <t>NVO-M1B18P03</t>
  </si>
  <si>
    <t>NVO-M1B18P04</t>
  </si>
  <si>
    <t>NVO-M1B18P05</t>
  </si>
  <si>
    <t>NVO-M1B18P06</t>
  </si>
  <si>
    <t>NVO-M1B18P07</t>
  </si>
  <si>
    <t>NVO-M1B18P08</t>
  </si>
  <si>
    <t>NVO-M1B18P09</t>
  </si>
  <si>
    <t>NVO-M1B18P10</t>
  </si>
  <si>
    <t>NVO-M1B18P17</t>
  </si>
  <si>
    <t>NVO-M1B18P18</t>
  </si>
  <si>
    <t>NVO-M1B18P19</t>
  </si>
  <si>
    <t>NVO-M1B18P20</t>
  </si>
  <si>
    <t>NVO-M1B18P21</t>
  </si>
  <si>
    <t>NVO-M1B18P22</t>
  </si>
  <si>
    <t>NVO-M1B18P23</t>
  </si>
  <si>
    <t>NVO-M1B18P24</t>
  </si>
  <si>
    <t>NVO-M1B18P25</t>
  </si>
  <si>
    <t>NVO-M1B18P26</t>
  </si>
  <si>
    <t>NVO-M1B18P27</t>
  </si>
  <si>
    <t>NVO-M1B18P28</t>
  </si>
  <si>
    <t>NVO-M1B18P29</t>
  </si>
  <si>
    <t>NVO-M1B18P30</t>
  </si>
  <si>
    <t>NVO-M1B18P31</t>
  </si>
  <si>
    <t>NVO-M1B18P32</t>
  </si>
  <si>
    <t>NVO-M1B20P01</t>
  </si>
  <si>
    <t>NVO-M1B20P02</t>
  </si>
  <si>
    <t>NVO-M1B20P03</t>
  </si>
  <si>
    <t>NVO-M1B20P04</t>
  </si>
  <si>
    <t>NVO-M1B20P05</t>
  </si>
  <si>
    <t>NVO-M1B20P06</t>
  </si>
  <si>
    <t>NVO-M1B20P07</t>
  </si>
  <si>
    <t>NVO-M1B20P08</t>
  </si>
  <si>
    <t>NVO-M1B20P09</t>
  </si>
  <si>
    <t>NVO-M1B20P10</t>
  </si>
  <si>
    <t>NVO-M1B20P11</t>
  </si>
  <si>
    <t>NVO-M1B20P12</t>
  </si>
  <si>
    <t>NVO-M1B20P13</t>
  </si>
  <si>
    <t>NVO-M1B20P14</t>
  </si>
  <si>
    <t>NVO-M1B20P15</t>
  </si>
  <si>
    <t>NVO-M1B20P16</t>
  </si>
  <si>
    <t>NVO-M1B20P17</t>
  </si>
  <si>
    <t>NVO-M1B20P18</t>
  </si>
  <si>
    <t>NVO-M1B20P19</t>
  </si>
  <si>
    <t>NVO-M1B20P20</t>
  </si>
  <si>
    <t>NVO-M1B20P21</t>
  </si>
  <si>
    <t>NVO-M1B20P22</t>
  </si>
  <si>
    <t>NVO-M1B20P23</t>
  </si>
  <si>
    <t>NVO-M1B20P24</t>
  </si>
  <si>
    <t>NVO-M1B20P25</t>
  </si>
  <si>
    <t>NVO-M1B20P26</t>
  </si>
  <si>
    <t>NVO-M1B20P27</t>
  </si>
  <si>
    <t>NVO-M1B20P28</t>
  </si>
  <si>
    <t>NVO-M1B20P29</t>
  </si>
  <si>
    <t>NVO-M1B20P30</t>
  </si>
  <si>
    <t>NVO-M1B20P31</t>
  </si>
  <si>
    <t>NVO-M1B20P32</t>
  </si>
  <si>
    <t xml:space="preserve">Number of variables </t>
  </si>
  <si>
    <t>Number of timers in chain</t>
  </si>
  <si>
    <t>PVVT+NV timer</t>
  </si>
  <si>
    <t xml:space="preserve">BCD_TO_DEC
DEC_TO_BCD
BCBIN_TO_INT 
INT_TO_BCBIN 
</t>
  </si>
  <si>
    <t xml:space="preserve">NV timer , 
</t>
  </si>
  <si>
    <t xml:space="preserve">after compile change the timers </t>
  </si>
  <si>
    <t>field settable timer trigger next field settable timer  until the end all it validated by it self</t>
  </si>
  <si>
    <t xml:space="preserve">field settable timer </t>
  </si>
  <si>
    <t xml:space="preserve">Vital timer trigger non vital timer cycling until reach the end then restart </t>
  </si>
  <si>
    <t xml:space="preserve">Sequence bin_int and validation </t>
  </si>
  <si>
    <t>Trigger Change</t>
  </si>
  <si>
    <t>500+100</t>
  </si>
  <si>
    <t>Number Chains</t>
  </si>
  <si>
    <t>DBO-M2B02P5</t>
  </si>
  <si>
    <t>DBO-M2B02P6</t>
  </si>
  <si>
    <t>Evaluation delay in timer ticks</t>
  </si>
  <si>
    <t>Timers (all)</t>
  </si>
  <si>
    <t>BIN_OUT_DECODE</t>
  </si>
  <si>
    <t>INT_BIN</t>
  </si>
  <si>
    <t>BIN_TO_INT
INT_TO_BIN
NV timer 
subroutine
while
if else</t>
  </si>
  <si>
    <t>DBO-M3B02P1</t>
  </si>
  <si>
    <t>DBO-M3B02P2</t>
  </si>
  <si>
    <t>DBO-M3B02P3</t>
  </si>
  <si>
    <t>DBO-M3B02P4</t>
  </si>
  <si>
    <t>DBO-M3B02P5</t>
  </si>
  <si>
    <t>DBO-M3B02P6</t>
  </si>
  <si>
    <t>DBO-M3B02P7</t>
  </si>
  <si>
    <t>DBO-M3B02P8</t>
  </si>
  <si>
    <t>DBO-M3B03P1</t>
  </si>
  <si>
    <t>DBO-M3B03P2</t>
  </si>
  <si>
    <t>DBO-M3B03P3</t>
  </si>
  <si>
    <t>DBO-M3B03P4</t>
  </si>
  <si>
    <t>DBO-M3B03P5</t>
  </si>
  <si>
    <t>DBO-M3B03P6</t>
  </si>
  <si>
    <t>DBO-M3B03P7</t>
  </si>
  <si>
    <t>DBO-M3B03P8</t>
  </si>
  <si>
    <t>DBO-M3B04P1</t>
  </si>
  <si>
    <t>DBO-M3B04P2</t>
  </si>
  <si>
    <t>DBO-M3B04P3</t>
  </si>
  <si>
    <t>DBO-M3B04P4</t>
  </si>
  <si>
    <t>DBO-M3B04P5</t>
  </si>
  <si>
    <t>DBO-M3B04P6</t>
  </si>
  <si>
    <t>DBO-M3B04P7</t>
  </si>
  <si>
    <t>DBO-M3B04P8</t>
  </si>
  <si>
    <t>DBO-M3B05P1</t>
  </si>
  <si>
    <t>DBO-M3B05P2</t>
  </si>
  <si>
    <t>DBO-M3B05P3</t>
  </si>
  <si>
    <t>DBO-M3B05P4</t>
  </si>
  <si>
    <t>DBO-M3B05P5</t>
  </si>
  <si>
    <t>DBO-M3B05P6</t>
  </si>
  <si>
    <t>DBO-M3B05P7</t>
  </si>
  <si>
    <t>DBO-M3B05P8</t>
  </si>
  <si>
    <t>DBO-M3B06P1</t>
  </si>
  <si>
    <t>DBO-M3B06P2</t>
  </si>
  <si>
    <t>DBO-M3B06P3</t>
  </si>
  <si>
    <t>DBO-M3B06P4</t>
  </si>
  <si>
    <t>DBO-M3B06P5</t>
  </si>
  <si>
    <t>DBO-M3B06P6</t>
  </si>
  <si>
    <t>DBO-M3B06P7</t>
  </si>
  <si>
    <t>DBO-M3B06P8</t>
  </si>
  <si>
    <t>DBO-M3B07P1</t>
  </si>
  <si>
    <t>DBO-M3B07P2</t>
  </si>
  <si>
    <t>DBO-M3B07P3</t>
  </si>
  <si>
    <t>DBO-M3B07P4</t>
  </si>
  <si>
    <t>DBO-M3B07P5</t>
  </si>
  <si>
    <t>DBO-M3B07P6</t>
  </si>
  <si>
    <t>DBO-M3B07P7</t>
  </si>
  <si>
    <t>DBO-M3B07P8</t>
  </si>
  <si>
    <t>DBO-M3B08P1</t>
  </si>
  <si>
    <t>DBO-M3B08P2</t>
  </si>
  <si>
    <t>DBO-M3B08P3</t>
  </si>
  <si>
    <t>DBO-M3B08P4</t>
  </si>
  <si>
    <t>DBO-M3B08P5</t>
  </si>
  <si>
    <t>DBO-M3B08P6</t>
  </si>
  <si>
    <t>DBO-M3B08P7</t>
  </si>
  <si>
    <t>DBO-M3B08P8</t>
  </si>
  <si>
    <t>DBO-M3B09P1</t>
  </si>
  <si>
    <t>DBO-M3B09P2</t>
  </si>
  <si>
    <t>DBO-M3B09P3</t>
  </si>
  <si>
    <t>DBO-M3B09P4</t>
  </si>
  <si>
    <t>DBO-M3B09P5</t>
  </si>
  <si>
    <t>DBO-M3B09P6</t>
  </si>
  <si>
    <t>DBO-M3B09P7</t>
  </si>
  <si>
    <t>DBO-M3B09P8</t>
  </si>
  <si>
    <t>20180129-Benchmarkapp</t>
  </si>
  <si>
    <t>Date</t>
  </si>
  <si>
    <t xml:space="preserve">File Name </t>
  </si>
  <si>
    <t>Features</t>
  </si>
  <si>
    <t xml:space="preserve">Bugs </t>
  </si>
  <si>
    <t>To DO</t>
  </si>
  <si>
    <t xml:space="preserve">cycle of forgiveness is not working correct.
</t>
  </si>
  <si>
    <t>VSOE2, V2V, VSP2 to NVSP2, VSP2 to NVSM, NVSM to VSP2, NVSP2 to VSP2, Timers tokens create.
MODBUS interface implemented with only Lached booleans</t>
  </si>
  <si>
    <t>VSP2 to NVSP2, NVSP2 to VSP2, for more than one board are not implemented.
Missing unlached MODBUS bool varaibles
Intergers not implemented by error in NVSP2</t>
  </si>
  <si>
    <t>20180523-Benchmarkapp</t>
  </si>
  <si>
    <t xml:space="preserve">1. Modify the cycle of forgiveness fashion to use a remote counter allignement with "Return message failure threshold".
2. VSOE2 is hardcode with 500ms, Digisafe 1 second, V2V is not implemented (tested).
</t>
  </si>
  <si>
    <t>Digisafe 02/04 items</t>
  </si>
  <si>
    <t>Digisafe 02 / 04</t>
  </si>
  <si>
    <t>DBO-M2B02P3</t>
  </si>
  <si>
    <t>DBO-M2B04P1</t>
  </si>
  <si>
    <t>DBO-M2B04P2</t>
  </si>
  <si>
    <t>DBO-M2B04P3</t>
  </si>
  <si>
    <t>DBO-M2B04P4</t>
  </si>
  <si>
    <t>DBO-M2B04P5</t>
  </si>
  <si>
    <t>DBO-M2B04P6</t>
  </si>
  <si>
    <t>DBO-M2B04P7</t>
  </si>
  <si>
    <t>DBO-M2B04P8</t>
  </si>
  <si>
    <t>DBO-M2B05P1</t>
  </si>
  <si>
    <t>DBO-M2B05P2</t>
  </si>
  <si>
    <t>DBO-M2B05P3</t>
  </si>
  <si>
    <t>DBO-M2B05P4</t>
  </si>
  <si>
    <t>DBO-M2B05P5</t>
  </si>
  <si>
    <t>DBO-M2B05P6</t>
  </si>
  <si>
    <t>DBO-M2B05P7</t>
  </si>
  <si>
    <t>DBO-M2B05P8</t>
  </si>
  <si>
    <t>DBO-M2B06P1</t>
  </si>
  <si>
    <t>DBO-M2B06P2</t>
  </si>
  <si>
    <t>DBO-M2B06P3</t>
  </si>
  <si>
    <t>DBO-M2B06P4</t>
  </si>
  <si>
    <t>DBO-M2B06P5</t>
  </si>
  <si>
    <t>DBO-M2B06P6</t>
  </si>
  <si>
    <t>DBO-M2B06P7</t>
  </si>
  <si>
    <t>DBO-M2B06P8</t>
  </si>
  <si>
    <t>DBO-M2B07P1</t>
  </si>
  <si>
    <t>DBO-M2B07P2</t>
  </si>
  <si>
    <t>DBO-M2B07P3</t>
  </si>
  <si>
    <t>DBO-M2B07P4</t>
  </si>
  <si>
    <t>DBO-M2B07P5</t>
  </si>
  <si>
    <t>DBO-M2B07P6</t>
  </si>
  <si>
    <t>DBO-M2B07P7</t>
  </si>
  <si>
    <t>DBO-M2B07P8</t>
  </si>
  <si>
    <t>DBO-M2B08P1</t>
  </si>
  <si>
    <t>DBO-M2B08P2</t>
  </si>
  <si>
    <t>DBO-M2B08P3</t>
  </si>
  <si>
    <t>DBO-M2B08P4</t>
  </si>
  <si>
    <t>DBO-M2B08P5</t>
  </si>
  <si>
    <t>DBO-M2B08P6</t>
  </si>
  <si>
    <t>DBO-M2B08P7</t>
  </si>
  <si>
    <t>DBO-M2B08P8</t>
  </si>
  <si>
    <t>DBO-M2B09P1</t>
  </si>
  <si>
    <t>DBO-M2B09P2</t>
  </si>
  <si>
    <t>DBO-M2B09P3</t>
  </si>
  <si>
    <t>DBO-M2B09P4</t>
  </si>
  <si>
    <t>DBO-M2B09P5</t>
  </si>
  <si>
    <t>DBO-M2B09P6</t>
  </si>
  <si>
    <t>DBO-M2B09P7</t>
  </si>
  <si>
    <t>DBO-M2B09P8</t>
  </si>
  <si>
    <t>DBO-M2B10P1</t>
  </si>
  <si>
    <t>DBO-M2B10P2</t>
  </si>
  <si>
    <t>DBO-M2B10P3</t>
  </si>
  <si>
    <t>DBO-M2B10P4</t>
  </si>
  <si>
    <t>DBO-M2B10P5</t>
  </si>
  <si>
    <t>DBO-M2B10P6</t>
  </si>
  <si>
    <t>DBO-M2B10P7</t>
  </si>
  <si>
    <t>DBO-M2B10P8</t>
  </si>
  <si>
    <t>DBO-M2B11P1</t>
  </si>
  <si>
    <t>DBO-M2B11P2</t>
  </si>
  <si>
    <t>DBO-M2B11P3</t>
  </si>
  <si>
    <t>DBO-M2B11P4</t>
  </si>
  <si>
    <t>DBO-M2B11P5</t>
  </si>
  <si>
    <t>DBO-M2B11P6</t>
  </si>
  <si>
    <t>DBO-M2B11P7</t>
  </si>
  <si>
    <t>DBO-M2B11P8</t>
  </si>
  <si>
    <t>ACO-M2B14P1</t>
  </si>
  <si>
    <t>ACO-M2B14P2</t>
  </si>
  <si>
    <t>ACO-M2B14P3</t>
  </si>
  <si>
    <t>ACO-M2B14P4</t>
  </si>
  <si>
    <t>ACO-M2B14P5</t>
  </si>
  <si>
    <t>ACO-M2B14P6</t>
  </si>
  <si>
    <t>ACO-M2B14P7</t>
  </si>
  <si>
    <t>ACO-M2B14P8</t>
  </si>
  <si>
    <t>ACO-M2B15P1</t>
  </si>
  <si>
    <t>ACO-M2B15P2</t>
  </si>
  <si>
    <t>ACO-M2B15P3</t>
  </si>
  <si>
    <t>ACO-M2B15P4</t>
  </si>
  <si>
    <t>ACO-M2B15P5</t>
  </si>
  <si>
    <t>ACO-M2B15P6</t>
  </si>
  <si>
    <t>ACO-M2B15P7</t>
  </si>
  <si>
    <t>ACO-M2B15P8</t>
  </si>
  <si>
    <t>ACO-M2B16P1</t>
  </si>
  <si>
    <t>ACO-M2B16P2</t>
  </si>
  <si>
    <t>ACO-M2B16P3</t>
  </si>
  <si>
    <t>ACO-M2B16P4</t>
  </si>
  <si>
    <t>ACO-M2B16P5</t>
  </si>
  <si>
    <t>ACO-M2B16P6</t>
  </si>
  <si>
    <t>ACO-M2B16P7</t>
  </si>
  <si>
    <t>ACO-M2B16P8</t>
  </si>
  <si>
    <t>ACO-M3B10P1</t>
  </si>
  <si>
    <t>ACO-M3B11P1</t>
  </si>
  <si>
    <t>ACO-M3B10P2</t>
  </si>
  <si>
    <t>ACO-M3B11P2</t>
  </si>
  <si>
    <t>ACO-M3B10P3</t>
  </si>
  <si>
    <t>ACO-M3B11P3</t>
  </si>
  <si>
    <t>ACO-M3B10P4</t>
  </si>
  <si>
    <t>ACO-M3B11P4</t>
  </si>
  <si>
    <t>ACO-M3B10P5</t>
  </si>
  <si>
    <t>ACO-M3B11P5</t>
  </si>
  <si>
    <t>ACO-M3B10P6</t>
  </si>
  <si>
    <t>ACO-M3B11P6</t>
  </si>
  <si>
    <t>ACO-M3B10P7</t>
  </si>
  <si>
    <t>ACO-M3B11P7</t>
  </si>
  <si>
    <t>ACO-M3B10P8</t>
  </si>
  <si>
    <t>ACO-M3B11P8</t>
  </si>
  <si>
    <t>Output of timer</t>
  </si>
  <si>
    <t>NVO-M1B14P01</t>
  </si>
  <si>
    <t>NVO-M1B14P02</t>
  </si>
  <si>
    <t>NVO-M1B14P03</t>
  </si>
  <si>
    <t>NVO-M1B14P04</t>
  </si>
  <si>
    <t>NVO-M1B14P05</t>
  </si>
  <si>
    <t>NVO-M1B14P06</t>
  </si>
  <si>
    <t>NVO-M1B14P07</t>
  </si>
  <si>
    <t>NVO-M1B14P08</t>
  </si>
  <si>
    <t>NVO-M1B14P09</t>
  </si>
  <si>
    <t>NVO-M1B14P10</t>
  </si>
  <si>
    <t>NVO-M1B14P11</t>
  </si>
  <si>
    <t>NVO-M1B14P12</t>
  </si>
  <si>
    <t>NVO-M1B14P13</t>
  </si>
  <si>
    <t>NVO-M1B14P14</t>
  </si>
  <si>
    <t>NVO-M1B14P15</t>
  </si>
  <si>
    <t>NVO-M1B14P16</t>
  </si>
  <si>
    <t>NVO-M1B14P17</t>
  </si>
  <si>
    <t>NVO-M1B14P18</t>
  </si>
  <si>
    <t>NVO-M1B14P19</t>
  </si>
  <si>
    <t>NVO-M1B14P20</t>
  </si>
  <si>
    <t>NVO-M1B14P21</t>
  </si>
  <si>
    <t>NVO-M1B14P22</t>
  </si>
  <si>
    <t>NVO-M1B14P23</t>
  </si>
  <si>
    <t>NVO-M1B14P24</t>
  </si>
  <si>
    <t>NVO-M1B14P25</t>
  </si>
  <si>
    <t>NVO-M1B14P26</t>
  </si>
  <si>
    <t>NVO-M1B14P27</t>
  </si>
  <si>
    <t>NVO-M1B14P28</t>
  </si>
  <si>
    <t>NVO-M1B14P29</t>
  </si>
  <si>
    <t>NVO-M1B14P30</t>
  </si>
  <si>
    <t>NVO-M1B14P31</t>
  </si>
  <si>
    <t>NVO-M1B14P32</t>
  </si>
  <si>
    <t>NVO-M1B16P01</t>
  </si>
  <si>
    <t>NVO-M1B16P09</t>
  </si>
  <si>
    <t>NVO-M1B16P17</t>
  </si>
  <si>
    <t>NVO-M1B16P25</t>
  </si>
  <si>
    <t>NVO-M1B16P02</t>
  </si>
  <si>
    <t>NVO-M1B16P10</t>
  </si>
  <si>
    <t>NVO-M1B16P18</t>
  </si>
  <si>
    <t>NVO-M1B16P26</t>
  </si>
  <si>
    <t>NVO-M1B16P03</t>
  </si>
  <si>
    <t>NVO-M1B16P11</t>
  </si>
  <si>
    <t>NVO-M1B16P19</t>
  </si>
  <si>
    <t>NVO-M1B16P27</t>
  </si>
  <si>
    <t>NVO-M1B16P04</t>
  </si>
  <si>
    <t>NVO-M1B16P12</t>
  </si>
  <si>
    <t>NVO-M1B16P20</t>
  </si>
  <si>
    <t>NVO-M1B16P28</t>
  </si>
  <si>
    <t>NVO-M1B16P05</t>
  </si>
  <si>
    <t>NVO-M1B16P13</t>
  </si>
  <si>
    <t>NVO-M1B16P21</t>
  </si>
  <si>
    <t>NVO-M1B16P29</t>
  </si>
  <si>
    <t>NVO-M1B16P06</t>
  </si>
  <si>
    <t>NVO-M1B16P14</t>
  </si>
  <si>
    <t>NVO-M1B16P22</t>
  </si>
  <si>
    <t>NVO-M1B16P30</t>
  </si>
  <si>
    <t>NVO-M1B16P07</t>
  </si>
  <si>
    <t>NVO-M1B16P15</t>
  </si>
  <si>
    <t>NVO-M1B16P23</t>
  </si>
  <si>
    <t>NVO-M1B16P31</t>
  </si>
  <si>
    <t>NVO-M1B16P08</t>
  </si>
  <si>
    <t>NVO-M1B16P16</t>
  </si>
  <si>
    <t>NVO-M1B16P24</t>
  </si>
  <si>
    <t>NVO-M1B16P32</t>
  </si>
  <si>
    <t>NVO-M1B18P11</t>
  </si>
  <si>
    <t>NVO-M1B18P12</t>
  </si>
  <si>
    <t>NVO-M1B18P13</t>
  </si>
  <si>
    <t>NVO-M1B18P14</t>
  </si>
  <si>
    <t>NVO-M1B18P15</t>
  </si>
  <si>
    <t>NVO-M1B18P16</t>
  </si>
  <si>
    <t xml:space="preserve">Changed VSP2 - NVSP2 to 500ms
</t>
  </si>
  <si>
    <t>NVO-M1B15P08</t>
  </si>
  <si>
    <t>NVO-M1B15P07</t>
  </si>
  <si>
    <t>NVO-M1B15P06</t>
  </si>
  <si>
    <t>NVO-M1B15P05</t>
  </si>
  <si>
    <t>NVO-M1B15P04</t>
  </si>
  <si>
    <t>NVO-M1B15P03</t>
  </si>
  <si>
    <t>NVO-M1B15P02</t>
  </si>
  <si>
    <t>NVO-M1B15P01</t>
  </si>
  <si>
    <t>NVO-M1B15P16</t>
  </si>
  <si>
    <t>NVO-M1B15P15</t>
  </si>
  <si>
    <t>NVO-M1B15P14</t>
  </si>
  <si>
    <t>NVO-M1B15P13</t>
  </si>
  <si>
    <t>NVO-M1B15P12</t>
  </si>
  <si>
    <t>NVO-M1B15P11</t>
  </si>
  <si>
    <t>NVO-M1B15P10</t>
  </si>
  <si>
    <t>NVO-M1B15P09</t>
  </si>
  <si>
    <t>NVO-M1B15P24</t>
  </si>
  <si>
    <t>NVO-M1B15P23</t>
  </si>
  <si>
    <t>NVO-M1B15P22</t>
  </si>
  <si>
    <t>NVO-M1B15P21</t>
  </si>
  <si>
    <t>NVO-M1B15P20</t>
  </si>
  <si>
    <t>NVO-M1B15P19</t>
  </si>
  <si>
    <t>NVO-M1B15P18</t>
  </si>
  <si>
    <t>NVO-M1B15P17</t>
  </si>
  <si>
    <t>NVO-M1B15P32</t>
  </si>
  <si>
    <t>NVO-M1B15P31</t>
  </si>
  <si>
    <t>NVO-M1B15P30</t>
  </si>
  <si>
    <t>NVO-M1B15P29</t>
  </si>
  <si>
    <t>NVO-M1B15P28</t>
  </si>
  <si>
    <t>NVO-M1B15P27</t>
  </si>
  <si>
    <t>NVO-M1B15P26</t>
  </si>
  <si>
    <t>NVO-M1B15P25</t>
  </si>
  <si>
    <t>ACO-M3B12P1</t>
  </si>
  <si>
    <t>ACO-M3B12P2</t>
  </si>
  <si>
    <t>ACO-M3B12P3</t>
  </si>
  <si>
    <t>ACO-M3B12P4</t>
  </si>
  <si>
    <t>ACO-M3B12P5</t>
  </si>
  <si>
    <t>ACO-M3B12P6</t>
  </si>
  <si>
    <t>ACO-M3B12P7</t>
  </si>
  <si>
    <t>ACO-M3B12P8</t>
  </si>
  <si>
    <t>ACO-M3B13P1</t>
  </si>
  <si>
    <t>ACO-M3B13P2</t>
  </si>
  <si>
    <t>ACO-M3B13P3</t>
  </si>
  <si>
    <t>ACO-M3B13P4</t>
  </si>
  <si>
    <t>ACO-M3B13P5</t>
  </si>
  <si>
    <t>ACO-M3B13P6</t>
  </si>
  <si>
    <t>ACO-M3B13P7</t>
  </si>
  <si>
    <t>ACO-M3B13P8</t>
  </si>
  <si>
    <t>ACO-M3B14P1</t>
  </si>
  <si>
    <t>ACO-M3B14P2</t>
  </si>
  <si>
    <t>ACO-M3B14P3</t>
  </si>
  <si>
    <t>ACO-M3B14P4</t>
  </si>
  <si>
    <t>ACO-M3B14P5</t>
  </si>
  <si>
    <t>ACO-M3B14P6</t>
  </si>
  <si>
    <t>ACO-M3B14P7</t>
  </si>
  <si>
    <t>ACO-M3B14P8</t>
  </si>
  <si>
    <t>ACO-M3B15P1</t>
  </si>
  <si>
    <t>ACO-M3B15P2</t>
  </si>
  <si>
    <t>ACO-M3B15P3</t>
  </si>
  <si>
    <t>ACO-M3B15P4</t>
  </si>
  <si>
    <t>ACO-M3B15P5</t>
  </si>
  <si>
    <t>ACO-M3B15P6</t>
  </si>
  <si>
    <t>ACO-M3B15P7</t>
  </si>
  <si>
    <t>ACO-M3B15P8</t>
  </si>
  <si>
    <t>ACO-M3B16P1</t>
  </si>
  <si>
    <t>ACO-M3B16P2</t>
  </si>
  <si>
    <t>ACO-M3B16P3</t>
  </si>
  <si>
    <t>ACO-M3B16P4</t>
  </si>
  <si>
    <t>ACO-M3B16P5</t>
  </si>
  <si>
    <t>ACO-M3B16P6</t>
  </si>
  <si>
    <t>ACO-M3B16P7</t>
  </si>
  <si>
    <t>ACO-M3B16P8</t>
  </si>
  <si>
    <t>ACO-M3B17P1</t>
  </si>
  <si>
    <t>ACO-M3B17P2</t>
  </si>
  <si>
    <t>ACO-M3B17P3</t>
  </si>
  <si>
    <t>ACO-M3B17P4</t>
  </si>
  <si>
    <t>ACO-M3B17P5</t>
  </si>
  <si>
    <t>ACO-M3B17P6</t>
  </si>
  <si>
    <t>ACO-M3B17P7</t>
  </si>
  <si>
    <t>ACO-M3B17P8</t>
  </si>
  <si>
    <t>ACO-M3B18P1</t>
  </si>
  <si>
    <t>ACO-M3B18P2</t>
  </si>
  <si>
    <t>ACO-M3B18P3</t>
  </si>
  <si>
    <t>ACO-M3B18P4</t>
  </si>
  <si>
    <t>ACO-M3B18P5</t>
  </si>
  <si>
    <t>ACO-M3B18P6</t>
  </si>
  <si>
    <t>ACO-M3B18P7</t>
  </si>
  <si>
    <t>ACO-M3B18P8</t>
  </si>
  <si>
    <t>ACO-M3B19P1</t>
  </si>
  <si>
    <t>ACO-M3B19P2</t>
  </si>
  <si>
    <t>ACO-M3B19P3</t>
  </si>
  <si>
    <t>ACO-M3B19P4</t>
  </si>
  <si>
    <t>ACO-M3B19P5</t>
  </si>
  <si>
    <t>ACO-M3B19P6</t>
  </si>
  <si>
    <t>ACO-M3B19P7</t>
  </si>
  <si>
    <t>ACO-M3B19P8</t>
  </si>
  <si>
    <t>DBO-M2B02P1</t>
  </si>
  <si>
    <t>Modbus Link itens</t>
  </si>
  <si>
    <t>Modbus items</t>
  </si>
  <si>
    <t>mix latched and unlatched</t>
  </si>
  <si>
    <t>DBO-M2B02P7</t>
  </si>
  <si>
    <t>DBO-M2B02P8</t>
  </si>
  <si>
    <t xml:space="preserve">                "VS" - VSOE2 interface (non internal var declarable)</t>
  </si>
  <si>
    <t xml:space="preserve">                "NS" - Non-vital DPRAM interface (non internal var declarable)</t>
  </si>
  <si>
    <t xml:space="preserve">                "MS" - Non-vital Modbus interface (non internal var declarable)</t>
  </si>
  <si>
    <t>NOTE: For Side system the variable names  are inverted.</t>
  </si>
  <si>
    <t>2500+250</t>
  </si>
  <si>
    <t>20190507-Benchmarkapp</t>
  </si>
  <si>
    <t>Enable V2V data exchange.
Add Digisafe 02/04.
Add Modbus latched and unlatched as application counter</t>
  </si>
  <si>
    <t>VSP2 to NVSP2, NVSP2 to VSP2, for more than one board are not implemented.
Intergers not implemented by error in NVSP2</t>
  </si>
  <si>
    <t>Vital Bools</t>
  </si>
  <si>
    <t>NV Bools</t>
  </si>
  <si>
    <t>V2V bools</t>
  </si>
  <si>
    <t>VSOE2 bits</t>
  </si>
  <si>
    <t>Digisafe map</t>
  </si>
  <si>
    <t>Modbus map</t>
  </si>
  <si>
    <t>PVVT</t>
  </si>
  <si>
    <t>1260 (each SUT)
2520 (side)</t>
  </si>
  <si>
    <t xml:space="preserve">36 (each source)
108 (each dest)
1260 bits total
</t>
  </si>
  <si>
    <t>1120 (bits SUT)
2240 (bits Side)
latched and unlatched</t>
  </si>
  <si>
    <t>N/A</t>
  </si>
  <si>
    <t>NVO-M1B17P01</t>
  </si>
  <si>
    <t>NVO-M1B17P02</t>
  </si>
  <si>
    <t>NVO-M1B17P03</t>
  </si>
  <si>
    <t>NVO-M1B17P04</t>
  </si>
  <si>
    <t>NVO-M1B17P05</t>
  </si>
  <si>
    <t>NVO-M1B17P06</t>
  </si>
  <si>
    <t>NVO-M1B17P07</t>
  </si>
  <si>
    <t>NVO-M1B17P08</t>
  </si>
  <si>
    <t>NVO-M1B17P09</t>
  </si>
  <si>
    <t>NVO-M1B17P10</t>
  </si>
  <si>
    <t>NVO-M1B17P11</t>
  </si>
  <si>
    <t>NVO-M1B17P12</t>
  </si>
  <si>
    <t>NVO-M1B17P13</t>
  </si>
  <si>
    <t>NVO-M1B17P14</t>
  </si>
  <si>
    <t>NVO-M1B17P15</t>
  </si>
  <si>
    <t>NVO-M1B17P16</t>
  </si>
  <si>
    <t>NVO-M1B17P17</t>
  </si>
  <si>
    <t>NVO-M1B17P18</t>
  </si>
  <si>
    <t>NVO-M1B17P19</t>
  </si>
  <si>
    <t>NVO-M1B17P20</t>
  </si>
  <si>
    <t>NVO-M1B17P21</t>
  </si>
  <si>
    <t>NVO-M1B17P22</t>
  </si>
  <si>
    <t>NVO-M1B17P23</t>
  </si>
  <si>
    <t>NVO-M1B17P24</t>
  </si>
  <si>
    <t>NVO-M1B17P25</t>
  </si>
  <si>
    <t>NVO-M1B17P26</t>
  </si>
  <si>
    <t>NVO-M1B17P27</t>
  </si>
  <si>
    <t>NVO-M1B17P28</t>
  </si>
  <si>
    <t>NVO-M1B17P29</t>
  </si>
  <si>
    <t>NVO-M1B17P30</t>
  </si>
  <si>
    <t>NVO-M1B17P31</t>
  </si>
  <si>
    <t>NVO-M1B17P32</t>
  </si>
  <si>
    <t>NVO-M1B19P01</t>
  </si>
  <si>
    <t>NVO-M1B19P09</t>
  </si>
  <si>
    <t>NVO-M1B19P17</t>
  </si>
  <si>
    <t>NVO-M1B19P25</t>
  </si>
  <si>
    <t>NVO-M1B19P02</t>
  </si>
  <si>
    <t>NVO-M1B19P10</t>
  </si>
  <si>
    <t>NVO-M1B19P18</t>
  </si>
  <si>
    <t>NVO-M1B19P26</t>
  </si>
  <si>
    <t>NVO-M1B19P03</t>
  </si>
  <si>
    <t>NVO-M1B19P11</t>
  </si>
  <si>
    <t>NVO-M1B19P19</t>
  </si>
  <si>
    <t>NVO-M1B19P27</t>
  </si>
  <si>
    <t>NVO-M1B19P04</t>
  </si>
  <si>
    <t>NVO-M1B19P12</t>
  </si>
  <si>
    <t>NVO-M1B19P20</t>
  </si>
  <si>
    <t>NVO-M1B19P28</t>
  </si>
  <si>
    <t>NVO-M1B19P05</t>
  </si>
  <si>
    <t>NVO-M1B19P13</t>
  </si>
  <si>
    <t>NVO-M1B19P21</t>
  </si>
  <si>
    <t>NVO-M1B19P29</t>
  </si>
  <si>
    <t>NVO-M1B19P06</t>
  </si>
  <si>
    <t>NVO-M1B19P14</t>
  </si>
  <si>
    <t>NVO-M1B19P22</t>
  </si>
  <si>
    <t>NVO-M1B19P30</t>
  </si>
  <si>
    <t>NVO-M1B19P07</t>
  </si>
  <si>
    <t>NVO-M1B19P15</t>
  </si>
  <si>
    <t>NVO-M1B19P23</t>
  </si>
  <si>
    <t>NVO-M1B19P31</t>
  </si>
  <si>
    <t>NVO-M1B19P08</t>
  </si>
  <si>
    <t>NVO-M1B19P16</t>
  </si>
  <si>
    <t>NVO-M1B19P24</t>
  </si>
  <si>
    <t>NVO-M1B19P32</t>
  </si>
  <si>
    <t>NVO-M1B21P01</t>
  </si>
  <si>
    <t>NVO-M1B21P09</t>
  </si>
  <si>
    <t>NVO-M1B21P17</t>
  </si>
  <si>
    <t>NVO-M1B21P25</t>
  </si>
  <si>
    <t>NVO-M1B21P02</t>
  </si>
  <si>
    <t>NVO-M1B21P10</t>
  </si>
  <si>
    <t>NVO-M1B21P18</t>
  </si>
  <si>
    <t>NVO-M1B21P26</t>
  </si>
  <si>
    <t>NVO-M1B21P03</t>
  </si>
  <si>
    <t>NVO-M1B21P11</t>
  </si>
  <si>
    <t>NVO-M1B21P19</t>
  </si>
  <si>
    <t>NVO-M1B21P27</t>
  </si>
  <si>
    <t>NVO-M1B21P04</t>
  </si>
  <si>
    <t>NVO-M1B21P12</t>
  </si>
  <si>
    <t>NVO-M1B21P20</t>
  </si>
  <si>
    <t>NVO-M1B21P28</t>
  </si>
  <si>
    <t>NVO-M1B21P05</t>
  </si>
  <si>
    <t>NVO-M1B21P13</t>
  </si>
  <si>
    <t>NVO-M1B21P21</t>
  </si>
  <si>
    <t>NVO-M1B21P29</t>
  </si>
  <si>
    <t>NVO-M1B21P06</t>
  </si>
  <si>
    <t>NVO-M1B21P14</t>
  </si>
  <si>
    <t>NVO-M1B21P22</t>
  </si>
  <si>
    <t>NVO-M1B21P30</t>
  </si>
  <si>
    <t>NVO-M1B21P07</t>
  </si>
  <si>
    <t>NVO-M1B21P15</t>
  </si>
  <si>
    <t>NVO-M1B21P23</t>
  </si>
  <si>
    <t>NVO-M1B21P31</t>
  </si>
  <si>
    <t>NVO-M1B21P08</t>
  </si>
  <si>
    <t>NVO-M1B21P16</t>
  </si>
  <si>
    <t>NVO-M1B21P24</t>
  </si>
  <si>
    <t>NVO-M1B21P32</t>
  </si>
  <si>
    <t>SUT_Link1</t>
  </si>
  <si>
    <t>SUT_Link2</t>
  </si>
  <si>
    <t>SUT_Link3</t>
  </si>
  <si>
    <t>SUT_Link4</t>
  </si>
  <si>
    <t>SUT_Link5</t>
  </si>
  <si>
    <t>SUT_Link6</t>
  </si>
  <si>
    <t>SUT_Link7</t>
  </si>
  <si>
    <t>SUT_Link8</t>
  </si>
  <si>
    <t>SUT_Link9</t>
  </si>
  <si>
    <t>SUT_Link10</t>
  </si>
  <si>
    <t>SUT_Link11</t>
  </si>
  <si>
    <t>SUT_Link12</t>
  </si>
  <si>
    <t>SUT_Link13</t>
  </si>
  <si>
    <t>SUT_Link14</t>
  </si>
  <si>
    <t>SUT_Link15</t>
  </si>
  <si>
    <t>SUT_Link16</t>
  </si>
  <si>
    <t>NVSM-V2V</t>
  </si>
  <si>
    <t>NVSP2-V2V</t>
  </si>
  <si>
    <t>ADC-M2B19P1</t>
  </si>
  <si>
    <t>ADC-M2B19P2</t>
  </si>
  <si>
    <t>Output of Remote Counter originating in VSP2</t>
  </si>
  <si>
    <t>Output of Remote Counter originating in NVSP2</t>
  </si>
  <si>
    <t>Output of Remote Counter originating in NVSM</t>
  </si>
  <si>
    <t xml:space="preserve">    Case Digisafe0204:   PrefixbyType = "DS"</t>
  </si>
  <si>
    <t xml:space="preserve">    Case V2V-counters originating in NVSP2:   PrefixbyType = "NV"</t>
  </si>
  <si>
    <t xml:space="preserve">    Case V2V-counters originating in NVSM:   PrefixbyType = "MV"</t>
  </si>
  <si>
    <t>Generic items</t>
  </si>
  <si>
    <t>ADC-M2B19P3</t>
  </si>
  <si>
    <t>UNIT A</t>
  </si>
  <si>
    <t>Link</t>
  </si>
  <si>
    <t>Block</t>
  </si>
  <si>
    <t>Sub-Block</t>
  </si>
  <si>
    <t>Receive</t>
  </si>
  <si>
    <t>Transmit</t>
  </si>
  <si>
    <t>UNIT B</t>
  </si>
  <si>
    <t>1500+500</t>
  </si>
  <si>
    <t>ACVV-00-R00-SL</t>
  </si>
  <si>
    <t>ACVV-00-V00-BS</t>
  </si>
  <si>
    <t>ACMV-00-R00-BS</t>
  </si>
  <si>
    <t>ACMV-00-V00-CS-R</t>
  </si>
  <si>
    <t>ACNV-00-R00-BS</t>
  </si>
  <si>
    <t>ACNV-00-V00-CS-R</t>
  </si>
  <si>
    <t>ACVV-00-R01-SL</t>
  </si>
  <si>
    <t>ACVV-00-V01-BS</t>
  </si>
  <si>
    <t>ACMV-00-R01-BS</t>
  </si>
  <si>
    <t>ACMV-00-V01-CS-R</t>
  </si>
  <si>
    <t>ACNV-00-R01-BS</t>
  </si>
  <si>
    <t>ACNV-00-V01-CS-R</t>
  </si>
  <si>
    <t>ACVV-00-R02-SL</t>
  </si>
  <si>
    <t>ACVV-00-V02-BS</t>
  </si>
  <si>
    <t>ACMV-00-R02-BS</t>
  </si>
  <si>
    <t>ACMV-00-V02-CS-R</t>
  </si>
  <si>
    <t>ACNV-00-R02-BS</t>
  </si>
  <si>
    <t>ACNV-00-V02-CS-R</t>
  </si>
  <si>
    <t>ACVV-00-R03-SL</t>
  </si>
  <si>
    <t>ACVV-00-V03-BS</t>
  </si>
  <si>
    <t>ACMV-00-R03-BS</t>
  </si>
  <si>
    <t>ACMV-00-V03-CS-R</t>
  </si>
  <si>
    <t>ACNV-00-R03-BS</t>
  </si>
  <si>
    <t>ACNV-00-V03-CS-R</t>
  </si>
  <si>
    <t>ACVV-00-R04-SL</t>
  </si>
  <si>
    <t>ACVV-00-V04-BS</t>
  </si>
  <si>
    <t>ACMV-00-R04-BS</t>
  </si>
  <si>
    <t>ACMV-00-V04-CS-R</t>
  </si>
  <si>
    <t>ACNV-00-R04-BS</t>
  </si>
  <si>
    <t>ACNV-00-V04-CS-R</t>
  </si>
  <si>
    <t>ACVV-00-R05-SL</t>
  </si>
  <si>
    <t>ACVV-00-V05-BS</t>
  </si>
  <si>
    <t>ACMV-00-R05-BS</t>
  </si>
  <si>
    <t>ACMV-00-V05-CS-R</t>
  </si>
  <si>
    <t>ACNV-00-R05-BS</t>
  </si>
  <si>
    <t>ACNV-00-V05-CS-R</t>
  </si>
  <si>
    <t>ACVV-00-R06-SL</t>
  </si>
  <si>
    <t>ACVV-00-V06-BS</t>
  </si>
  <si>
    <t>ACMV-00-R06-BS</t>
  </si>
  <si>
    <t>ACMV-00-V06-CS-R</t>
  </si>
  <si>
    <t>ACNV-00-R06-BS</t>
  </si>
  <si>
    <t>ACNV-00-V06-CS-R</t>
  </si>
  <si>
    <t>ACVV-00-R07-SL</t>
  </si>
  <si>
    <t>ACVV-00-V07-BS</t>
  </si>
  <si>
    <t>ACMV-00-R07-BS</t>
  </si>
  <si>
    <t>ACMV-00-V07-CS-R</t>
  </si>
  <si>
    <t>ACNV-00-R07-BS</t>
  </si>
  <si>
    <t>ACNV-00-V07-CS-R</t>
  </si>
  <si>
    <t>ACVV-01-R00-SL</t>
  </si>
  <si>
    <t>ACVV-01-V00-BS</t>
  </si>
  <si>
    <t>ACVV-01-R01-SL</t>
  </si>
  <si>
    <t>ACVV-01-V01-BS</t>
  </si>
  <si>
    <t>ACVV-01-R02-SL</t>
  </si>
  <si>
    <t>ACVV-01-V02-BS</t>
  </si>
  <si>
    <t>ACVV-01-R03-SL</t>
  </si>
  <si>
    <t>ACVV-01-V03-BS</t>
  </si>
  <si>
    <t>ACVV-01-R04-SL</t>
  </si>
  <si>
    <t>ACVV-01-V04-BS</t>
  </si>
  <si>
    <t>ACVV-01-R05-SL</t>
  </si>
  <si>
    <t>ACVV-01-V05-BS</t>
  </si>
  <si>
    <t>ACVV-01-R06-SL</t>
  </si>
  <si>
    <t>ACVV-01-V06-BS</t>
  </si>
  <si>
    <t>ACVV-01-R07-SL</t>
  </si>
  <si>
    <t>ACVV-01-V07-BS</t>
  </si>
  <si>
    <t>ACMV-STS-NT</t>
  </si>
  <si>
    <t>SYNC</t>
  </si>
  <si>
    <t>ACNV-STS-NT</t>
  </si>
  <si>
    <t>Source</t>
  </si>
  <si>
    <t>Destination</t>
  </si>
  <si>
    <t>ONLINE</t>
  </si>
  <si>
    <t>ONL-LINK1-A-0</t>
  </si>
  <si>
    <t>ONL-LINK1-B-0</t>
  </si>
  <si>
    <t>ACVS-00-R01-SL</t>
  </si>
  <si>
    <t>ACVS-00-V02-VS</t>
  </si>
  <si>
    <t>ACVS-00-V03-VS</t>
  </si>
  <si>
    <t>ACVS-00-R01-SL-A</t>
  </si>
  <si>
    <t>ACVS-00-R01-SL-B</t>
  </si>
  <si>
    <t>ACVS-00-R02-SL</t>
  </si>
  <si>
    <t>ACVS-00-V04-VS</t>
  </si>
  <si>
    <t>ACVS-00-V05-VS</t>
  </si>
  <si>
    <t>ACVS-00-R02-SL-A</t>
  </si>
  <si>
    <t>ACVS-00-R02-SL-B</t>
  </si>
  <si>
    <t>ACVS-00-R03-SL</t>
  </si>
  <si>
    <t>ACVS-00-V06-VS</t>
  </si>
  <si>
    <t>ACVS-00-V07-VS</t>
  </si>
  <si>
    <t>ACVS-00-R03-SL-A</t>
  </si>
  <si>
    <t>ACVS-00-R03-SL-B</t>
  </si>
  <si>
    <t>ACVS-00-R04-SL</t>
  </si>
  <si>
    <t>ACVS-00-V08-VS</t>
  </si>
  <si>
    <t>ACVS-00-V09-VS</t>
  </si>
  <si>
    <t>ACVS-00-R04-SL-A</t>
  </si>
  <si>
    <t>ACVS-00-R04-SL-B</t>
  </si>
  <si>
    <t>ACVS-00-R05-SL</t>
  </si>
  <si>
    <t>ACVS-00-V10-VS</t>
  </si>
  <si>
    <t>ACVS-00-V11-VS</t>
  </si>
  <si>
    <t>ACVS-00-R05-SL-A</t>
  </si>
  <si>
    <t>ACVS-00-R05-SL-B</t>
  </si>
  <si>
    <t>ACVS-00-R06-SL</t>
  </si>
  <si>
    <t>ACVS-00-V12-VS</t>
  </si>
  <si>
    <t>ACVS-00-V13-VS</t>
  </si>
  <si>
    <t>ACVS-00-R06-SL-A</t>
  </si>
  <si>
    <t>ACVS-00-R06-SL-B</t>
  </si>
  <si>
    <t>ACVS-00-R07-SL</t>
  </si>
  <si>
    <t>ACVS-00-V14-VS</t>
  </si>
  <si>
    <t>ACVS-00-V15-VS</t>
  </si>
  <si>
    <t>ACVS-00-R07-SL-A</t>
  </si>
  <si>
    <t>ACVS-00-R07-SL-B</t>
  </si>
  <si>
    <t>ACVS-01-R01-SL</t>
  </si>
  <si>
    <t>ACVS-01-V02-VS</t>
  </si>
  <si>
    <t>ACVS-01-V03-VS</t>
  </si>
  <si>
    <t>ACVS-01-R01-SL-A</t>
  </si>
  <si>
    <t>ACVS-01-R01-SL-B</t>
  </si>
  <si>
    <t>ACVS-01-R02-SL</t>
  </si>
  <si>
    <t>ACVS-01-V04-VS</t>
  </si>
  <si>
    <t>ACVS-01-V05-VS</t>
  </si>
  <si>
    <t>ACVS-01-R02-SL-A</t>
  </si>
  <si>
    <t>ACVS-01-R02-SL-B</t>
  </si>
  <si>
    <t>ONL-LINK2-A-0</t>
  </si>
  <si>
    <t>ONL-LINK2-B-0</t>
  </si>
  <si>
    <t>ACVS-01-R03-SL</t>
  </si>
  <si>
    <t>ACVS-01-V06-VS</t>
  </si>
  <si>
    <t>ACVS-01-V07-VS</t>
  </si>
  <si>
    <t>ACVS-01-R03-SL-A</t>
  </si>
  <si>
    <t>ACVS-01-R03-SL-B</t>
  </si>
  <si>
    <t>ACVS-01-R04-SL</t>
  </si>
  <si>
    <t>ACVS-01-V08-VS</t>
  </si>
  <si>
    <t>ACVS-01-V09-VS</t>
  </si>
  <si>
    <t>ACVS-01-R04-SL-A</t>
  </si>
  <si>
    <t>ACVS-01-R04-SL-B</t>
  </si>
  <si>
    <t>ACVS-01-R05-SL</t>
  </si>
  <si>
    <t>ACVS-01-V10-VS</t>
  </si>
  <si>
    <t>ACVS-01-V11-VS</t>
  </si>
  <si>
    <t>ACVS-01-R05-SL-A</t>
  </si>
  <si>
    <t>ACVS-01-R05-SL-B</t>
  </si>
  <si>
    <t>ACVS-01-R06-SL</t>
  </si>
  <si>
    <t>ACVS-01-V12-VS</t>
  </si>
  <si>
    <t>ACVS-01-V13-VS</t>
  </si>
  <si>
    <t>ACVS-01-R06-SL-A</t>
  </si>
  <si>
    <t>ACVS-01-R06-SL-B</t>
  </si>
  <si>
    <t>ACVS-01-R07-SL</t>
  </si>
  <si>
    <t>ACVS-01-V14-VS</t>
  </si>
  <si>
    <t>ACVS-01-V15-VS</t>
  </si>
  <si>
    <t>ACVS-01-R07-SL-A</t>
  </si>
  <si>
    <t>ACVS-01-R07-SL-B</t>
  </si>
  <si>
    <t>ACVS-02-R01-SL</t>
  </si>
  <si>
    <t>ACVS-02-V02-VS</t>
  </si>
  <si>
    <t>ACVS-02-V03-VS</t>
  </si>
  <si>
    <t>ACVS-02-R01-SL-A</t>
  </si>
  <si>
    <t>ACVS-02-R01-SL-B</t>
  </si>
  <si>
    <t>ACVS-02-R02-SL</t>
  </si>
  <si>
    <t>ACVS-02-V04-VS</t>
  </si>
  <si>
    <t>ACVS-02-V05-VS</t>
  </si>
  <si>
    <t>ACVS-02-R02-SL-A</t>
  </si>
  <si>
    <t>ACVS-02-R02-SL-B</t>
  </si>
  <si>
    <t>ACVS-02-R03-SL</t>
  </si>
  <si>
    <t>ACVS-02-V06-VS</t>
  </si>
  <si>
    <t>ACVS-02-V07-VS</t>
  </si>
  <si>
    <t>ACVS-02-R03-SL-A</t>
  </si>
  <si>
    <t>ACVS-02-R03-SL-B</t>
  </si>
  <si>
    <t>ACVS-02-R04-SL</t>
  </si>
  <si>
    <t>ACVS-02-V08-VS</t>
  </si>
  <si>
    <t>ACVS-02-V09-VS</t>
  </si>
  <si>
    <t>ACVS-02-R04-SL-A</t>
  </si>
  <si>
    <t>ACVS-02-R04-SL-B</t>
  </si>
  <si>
    <t>ONL-LINK3-A-0</t>
  </si>
  <si>
    <t>ONL-LINK3-B-0</t>
  </si>
  <si>
    <t>ACVS-02-R05-SL</t>
  </si>
  <si>
    <t>ACVS-02-V10-VS</t>
  </si>
  <si>
    <t>ACVS-02-V11-VS</t>
  </si>
  <si>
    <t>ACVS-02-R05-SL-A</t>
  </si>
  <si>
    <t>ACVS-02-R05-SL-B</t>
  </si>
  <si>
    <t>ACVS-02-R06-SL</t>
  </si>
  <si>
    <t>ACVS-02-V12-VS</t>
  </si>
  <si>
    <t>ACVS-02-V13-VS</t>
  </si>
  <si>
    <t>ACVS-02-R06-SL-A</t>
  </si>
  <si>
    <t>ACVS-02-R06-SL-B</t>
  </si>
  <si>
    <t>ACVS-02-R07-SL</t>
  </si>
  <si>
    <t>ACVS-02-V14-VS</t>
  </si>
  <si>
    <t>ACVS-02-V15-VS</t>
  </si>
  <si>
    <t>ACVS-02-R07-SL-A</t>
  </si>
  <si>
    <t>ACVS-02-R07-SL-B</t>
  </si>
  <si>
    <t>ACVS-03-R01-SL</t>
  </si>
  <si>
    <t>ACVS-03-V02-VS</t>
  </si>
  <si>
    <t>ACVS-03-V03-VS</t>
  </si>
  <si>
    <t>ACVS-03-R01-SL-A</t>
  </si>
  <si>
    <t>ACVS-03-R01-SL-B</t>
  </si>
  <si>
    <t>ACVS-03-R02-SL</t>
  </si>
  <si>
    <t>ACVS-03-V04-VS</t>
  </si>
  <si>
    <t>ACVS-03-V05-VS</t>
  </si>
  <si>
    <t>ACVS-03-R02-SL-A</t>
  </si>
  <si>
    <t>ACVS-03-R02-SL-B</t>
  </si>
  <si>
    <t>ACVS-03-R03-SL</t>
  </si>
  <si>
    <t>ACVS-03-V06-VS</t>
  </si>
  <si>
    <t>ACVS-03-V07-VS</t>
  </si>
  <si>
    <t>ACVS-03-R03-SL-A</t>
  </si>
  <si>
    <t>ACVS-03-R03-SL-B</t>
  </si>
  <si>
    <t>ACVS-03-R04-SL</t>
  </si>
  <si>
    <t>ACVS-03-V08-VS</t>
  </si>
  <si>
    <t>ACVS-03-V09-VS</t>
  </si>
  <si>
    <t>ACVS-03-R04-SL-A</t>
  </si>
  <si>
    <t>ACVS-03-R04-SL-B</t>
  </si>
  <si>
    <t>ACVS-03-R05-SL</t>
  </si>
  <si>
    <t>ACVS-03-V10-VS</t>
  </si>
  <si>
    <t>ACVS-03-V11-VS</t>
  </si>
  <si>
    <t>ACVS-03-R05-SL-A</t>
  </si>
  <si>
    <t>ACVS-03-R05-SL-B</t>
  </si>
  <si>
    <t>ACVS-03-R06-SL</t>
  </si>
  <si>
    <t>ACVS-03-V12-VS</t>
  </si>
  <si>
    <t>ACVS-03-V13-VS</t>
  </si>
  <si>
    <t>ACVS-03-R06-SL-A</t>
  </si>
  <si>
    <t>ACVS-03-R06-SL-B</t>
  </si>
  <si>
    <t>ONL-LINK4-A-0</t>
  </si>
  <si>
    <t>ONL-LINK4-B-0</t>
  </si>
  <si>
    <t>ACVS-03-R07-SL</t>
  </si>
  <si>
    <t>ACVS-03-V14-VS</t>
  </si>
  <si>
    <t>ACVS-03-V15-VS</t>
  </si>
  <si>
    <t>ACVS-03-R07-SL-A</t>
  </si>
  <si>
    <t>ACVS-03-R07-SL-B</t>
  </si>
  <si>
    <t>ACVS-04-R01-SL</t>
  </si>
  <si>
    <t>ACVS-04-V02-VS</t>
  </si>
  <si>
    <t>ACVS-04-V03-VS</t>
  </si>
  <si>
    <t>ACVS-04-R01-SL-A</t>
  </si>
  <si>
    <t>ACVS-04-R01-SL-B</t>
  </si>
  <si>
    <t>ACVS-04-R02-SL</t>
  </si>
  <si>
    <t>ACVS-04-V04-VS</t>
  </si>
  <si>
    <t>ACVS-04-V05-VS</t>
  </si>
  <si>
    <t>ACVS-04-R02-SL-A</t>
  </si>
  <si>
    <t>ACVS-04-R02-SL-B</t>
  </si>
  <si>
    <t>ACVS-04-R03-SL</t>
  </si>
  <si>
    <t>ACVS-04-V06-VS</t>
  </si>
  <si>
    <t>ACVS-04-V07-VS</t>
  </si>
  <si>
    <t>ACVS-04-R03-SL-A</t>
  </si>
  <si>
    <t>ACVS-04-R03-SL-B</t>
  </si>
  <si>
    <t>ACVS-04-R04-SL</t>
  </si>
  <si>
    <t>ACVS-04-V08-VS</t>
  </si>
  <si>
    <t>ACVS-04-V09-VS</t>
  </si>
  <si>
    <t>ACVS-04-R04-SL-A</t>
  </si>
  <si>
    <t>ACVS-04-R04-SL-B</t>
  </si>
  <si>
    <t>ACVS-04-R05-SL</t>
  </si>
  <si>
    <t>ACVS-04-V10-VS</t>
  </si>
  <si>
    <t>ACVS-04-V11-VS</t>
  </si>
  <si>
    <t>ACVS-04-R05-SL-A</t>
  </si>
  <si>
    <t>ACVS-04-R05-SL-B</t>
  </si>
  <si>
    <t>ACVS-04-R06-SL</t>
  </si>
  <si>
    <t>ACVS-04-V12-VS</t>
  </si>
  <si>
    <t>ACVS-04-V13-VS</t>
  </si>
  <si>
    <t>ACVS-04-R06-SL-A</t>
  </si>
  <si>
    <t>ACVS-04-R06-SL-B</t>
  </si>
  <si>
    <t>ACVS-04-R07-SL</t>
  </si>
  <si>
    <t>ACVS-04-V14-VS</t>
  </si>
  <si>
    <t>ACVS-04-V15-VS</t>
  </si>
  <si>
    <t>ACVS-04-R07-SL-A</t>
  </si>
  <si>
    <t>ACVS-04-R07-SL-B</t>
  </si>
  <si>
    <t>ACVS-05-R01-SL</t>
  </si>
  <si>
    <t>ACVS-05-V02-VS</t>
  </si>
  <si>
    <t>ACVS-05-V03-VS</t>
  </si>
  <si>
    <t>ACVS-05-R01-SL-A</t>
  </si>
  <si>
    <t>ACVS-05-R01-SL-B</t>
  </si>
  <si>
    <t>ONL-LINK5-A-0</t>
  </si>
  <si>
    <t>ONL-LINK5-B-0</t>
  </si>
  <si>
    <t>ACVS-05-R02-SL</t>
  </si>
  <si>
    <t>ACVS-05-V04-VS</t>
  </si>
  <si>
    <t>ACVS-05-V05-VS</t>
  </si>
  <si>
    <t>ACVS-05-R02-SL-A</t>
  </si>
  <si>
    <t>ACVS-05-R02-SL-B</t>
  </si>
  <si>
    <t>ACVS-05-R03-SL</t>
  </si>
  <si>
    <t>ACVS-05-V06-VS</t>
  </si>
  <si>
    <t>ACVS-05-V07-VS</t>
  </si>
  <si>
    <t>ACVS-05-R03-SL-A</t>
  </si>
  <si>
    <t>ACVS-05-R03-SL-B</t>
  </si>
  <si>
    <t>ACVS-05-R04-SL</t>
  </si>
  <si>
    <t>ACVS-05-V08-VS</t>
  </si>
  <si>
    <t>ACVS-05-V09-VS</t>
  </si>
  <si>
    <t>ACVS-05-R04-SL-A</t>
  </si>
  <si>
    <t>ACVS-05-R04-SL-B</t>
  </si>
  <si>
    <t>ACVS-05-R05-SL</t>
  </si>
  <si>
    <t>ACVS-05-V10-VS</t>
  </si>
  <si>
    <t>ACVS-05-V11-VS</t>
  </si>
  <si>
    <t>ACVS-05-R05-SL-A</t>
  </si>
  <si>
    <t>ACVS-05-R05-SL-B</t>
  </si>
  <si>
    <t>ACVS-05-R06-SL</t>
  </si>
  <si>
    <t>ACVS-05-V12-VS</t>
  </si>
  <si>
    <t>ACVS-05-V13-VS</t>
  </si>
  <si>
    <t>ACVS-05-R06-SL-A</t>
  </si>
  <si>
    <t>ACVS-05-R06-SL-B</t>
  </si>
  <si>
    <t>ACVS-05-R07-SL</t>
  </si>
  <si>
    <t>ACVS-05-V14-VS</t>
  </si>
  <si>
    <t>ACVS-05-V15-VS</t>
  </si>
  <si>
    <t>ACVS-05-R07-SL-A</t>
  </si>
  <si>
    <t>ACVS-05-R07-SL-B</t>
  </si>
  <si>
    <t>ACVS-06-R01-SL</t>
  </si>
  <si>
    <t>ACVS-06-V02-VS</t>
  </si>
  <si>
    <t>ACVS-06-V03-VS</t>
  </si>
  <si>
    <t>ACVS-06-R01-SL-A</t>
  </si>
  <si>
    <t>ACVS-06-R01-SL-B</t>
  </si>
  <si>
    <t>ACVS-06-R02-SL</t>
  </si>
  <si>
    <t>ACVS-06-V04-VS</t>
  </si>
  <si>
    <t>ACVS-06-V05-VS</t>
  </si>
  <si>
    <t>ACVS-06-R02-SL-A</t>
  </si>
  <si>
    <t>ACVS-06-R02-SL-B</t>
  </si>
  <si>
    <t>ACVS-06-R03-SL</t>
  </si>
  <si>
    <t>ACVS-06-V06-VS</t>
  </si>
  <si>
    <t>ACVS-06-V07-VS</t>
  </si>
  <si>
    <t>ACVS-06-R03-SL-A</t>
  </si>
  <si>
    <t>ACVS-06-R03-SL-B</t>
  </si>
  <si>
    <t>ONL-LINK6-A-0</t>
  </si>
  <si>
    <t>ONL-LINK6-B-0</t>
  </si>
  <si>
    <t>ACVS-06-R04-SL</t>
  </si>
  <si>
    <t>ACVS-06-V08-VS</t>
  </si>
  <si>
    <t>ACVS-06-V09-VS</t>
  </si>
  <si>
    <t>ACVS-06-R04-SL-A</t>
  </si>
  <si>
    <t>ACVS-06-R04-SL-B</t>
  </si>
  <si>
    <t>ACVS-06-R05-SL</t>
  </si>
  <si>
    <t>ACVS-06-V10-VS</t>
  </si>
  <si>
    <t>ACVS-06-V11-VS</t>
  </si>
  <si>
    <t>ACVS-06-R05-SL-A</t>
  </si>
  <si>
    <t>ACVS-06-R05-SL-B</t>
  </si>
  <si>
    <t>ACVS-06-R06-SL</t>
  </si>
  <si>
    <t>ACVS-06-V12-VS</t>
  </si>
  <si>
    <t>ACVS-06-V13-VS</t>
  </si>
  <si>
    <t>ACVS-06-R06-SL-A</t>
  </si>
  <si>
    <t>ACVS-06-R06-SL-B</t>
  </si>
  <si>
    <t>ACVS-06-R07-SL</t>
  </si>
  <si>
    <t>ACVS-06-V14-VS</t>
  </si>
  <si>
    <t>ACVS-06-V15-VS</t>
  </si>
  <si>
    <t>ACVS-06-R07-SL-A</t>
  </si>
  <si>
    <t>ACVS-06-R07-SL-B</t>
  </si>
  <si>
    <t>ACVS-07-R01-SL</t>
  </si>
  <si>
    <t>ACVS-07-V02-VS</t>
  </si>
  <si>
    <t>ACVS-07-V03-VS</t>
  </si>
  <si>
    <t>ACVS-07-R01-SL-A</t>
  </si>
  <si>
    <t>ACVS-07-R01-SL-B</t>
  </si>
  <si>
    <t>ACVS-07-R02-SL</t>
  </si>
  <si>
    <t>ACVS-07-V04-VS</t>
  </si>
  <si>
    <t>ACVS-07-V05-VS</t>
  </si>
  <si>
    <t>ACVS-07-R02-SL-A</t>
  </si>
  <si>
    <t>ACVS-07-R02-SL-B</t>
  </si>
  <si>
    <t>ACVS-07-R03-SL</t>
  </si>
  <si>
    <t>ACVS-07-V06-VS</t>
  </si>
  <si>
    <t>ACVS-07-V07-VS</t>
  </si>
  <si>
    <t>ACVS-07-R03-SL-A</t>
  </si>
  <si>
    <t>ACVS-07-R03-SL-B</t>
  </si>
  <si>
    <t>ACVS-07-R04-SL</t>
  </si>
  <si>
    <t>ACVS-07-V08-VS</t>
  </si>
  <si>
    <t>ACVS-07-V09-VS</t>
  </si>
  <si>
    <t>ACVS-07-R04-SL-A</t>
  </si>
  <si>
    <t>ACVS-07-R04-SL-B</t>
  </si>
  <si>
    <t>ACVS-07-R05-SL</t>
  </si>
  <si>
    <t>ACVS-07-V10-VS</t>
  </si>
  <si>
    <t>ACVS-07-V11-VS</t>
  </si>
  <si>
    <t>ACVS-07-R05-SL-A</t>
  </si>
  <si>
    <t>ACVS-07-R05-SL-B</t>
  </si>
  <si>
    <t>ONL-LINK7-A-0</t>
  </si>
  <si>
    <t>ONL-LINK7-B-0</t>
  </si>
  <si>
    <t>ACVS-07-R06-SL</t>
  </si>
  <si>
    <t>ACVS-07-V12-VS</t>
  </si>
  <si>
    <t>ACVS-07-V13-VS</t>
  </si>
  <si>
    <t>ACVS-07-R06-SL-A</t>
  </si>
  <si>
    <t>ACVS-07-R06-SL-B</t>
  </si>
  <si>
    <t>ACVS-07-R07-SL</t>
  </si>
  <si>
    <t>ACVS-07-V14-VS</t>
  </si>
  <si>
    <t>ACVS-07-V15-VS</t>
  </si>
  <si>
    <t>ACVS-07-R07-SL-A</t>
  </si>
  <si>
    <t>ACVS-07-R07-SL-B</t>
  </si>
  <si>
    <t>ACVS-08-R01-SL</t>
  </si>
  <si>
    <t>ACVS-08-V02-VS</t>
  </si>
  <si>
    <t>ACVS-08-V03-VS</t>
  </si>
  <si>
    <t>ACVS-08-R01-SL-A</t>
  </si>
  <si>
    <t>ACVS-08-R01-SL-B</t>
  </si>
  <si>
    <t>ACVS-08-R02-SL</t>
  </si>
  <si>
    <t>ACVS-08-V04-VS</t>
  </si>
  <si>
    <t>ACVS-08-V05-VS</t>
  </si>
  <si>
    <t>ACVS-08-R02-SL-A</t>
  </si>
  <si>
    <t>ACVS-08-R02-SL-B</t>
  </si>
  <si>
    <t>ACVS-08-R03-SL</t>
  </si>
  <si>
    <t>ACVS-08-V06-VS</t>
  </si>
  <si>
    <t>ACVS-08-V07-VS</t>
  </si>
  <si>
    <t>ACVS-08-R03-SL-A</t>
  </si>
  <si>
    <t>ACVS-08-R03-SL-B</t>
  </si>
  <si>
    <t>ACVS-08-R04-SL</t>
  </si>
  <si>
    <t>ACVS-08-V08-VS</t>
  </si>
  <si>
    <t>ACVS-08-V09-VS</t>
  </si>
  <si>
    <t>ACVS-08-R04-SL-A</t>
  </si>
  <si>
    <t>ACVS-08-R04-SL-B</t>
  </si>
  <si>
    <t>ACVS-08-R05-SL</t>
  </si>
  <si>
    <t>ACVS-08-V10-VS</t>
  </si>
  <si>
    <t>ACVS-08-V11-VS</t>
  </si>
  <si>
    <t>ACVS-08-R05-SL-A</t>
  </si>
  <si>
    <t>ACVS-08-R05-SL-B</t>
  </si>
  <si>
    <t>ACVS-08-R06-SL</t>
  </si>
  <si>
    <t>ACVS-08-V12-VS</t>
  </si>
  <si>
    <t>ACVS-08-V13-VS</t>
  </si>
  <si>
    <t>ACVS-08-R06-SL-A</t>
  </si>
  <si>
    <t>ACVS-08-R06-SL-B</t>
  </si>
  <si>
    <t>ACVS-08-R07-SL</t>
  </si>
  <si>
    <t>ACVS-08-V14-VS</t>
  </si>
  <si>
    <t>ACVS-08-V15-VS</t>
  </si>
  <si>
    <t>ACVS-08-R07-SL-A</t>
  </si>
  <si>
    <t>ACVS-08-R07-SL-B</t>
  </si>
  <si>
    <t>ONL-LINK8-A-0</t>
  </si>
  <si>
    <t>ONL-LINK8-B-0</t>
  </si>
  <si>
    <t>ACVS-09-R01-SL</t>
  </si>
  <si>
    <t>ACVS-09-V02-VS</t>
  </si>
  <si>
    <t>ACVS-09-V03-VS</t>
  </si>
  <si>
    <t>ACVS-09-R01-SL-A</t>
  </si>
  <si>
    <t>ACVS-09-R01-SL-B</t>
  </si>
  <si>
    <t>ACVS-09-R02-SL</t>
  </si>
  <si>
    <t>ACVS-09-V04-VS</t>
  </si>
  <si>
    <t>ACVS-09-V05-VS</t>
  </si>
  <si>
    <t>ACVS-09-R02-SL-A</t>
  </si>
  <si>
    <t>ACVS-09-R02-SL-B</t>
  </si>
  <si>
    <t>ACVS-09-R03-SL</t>
  </si>
  <si>
    <t>ACVS-09-V06-VS</t>
  </si>
  <si>
    <t>ACVS-09-V07-VS</t>
  </si>
  <si>
    <t>ACVS-09-R03-SL-A</t>
  </si>
  <si>
    <t>ACVS-09-R03-SL-B</t>
  </si>
  <si>
    <t>ACVS-09-R04-SL</t>
  </si>
  <si>
    <t>ACVS-09-V08-VS</t>
  </si>
  <si>
    <t>ACVS-09-V09-VS</t>
  </si>
  <si>
    <t>ACVS-09-R04-SL-A</t>
  </si>
  <si>
    <t>ACVS-09-R04-SL-B</t>
  </si>
  <si>
    <t>ACVS-09-R05-SL</t>
  </si>
  <si>
    <t>ACVS-09-V10-VS</t>
  </si>
  <si>
    <t>ACVS-09-V11-VS</t>
  </si>
  <si>
    <t>ACVS-09-R05-SL-A</t>
  </si>
  <si>
    <t>ACVS-09-R05-SL-B</t>
  </si>
  <si>
    <t>ACVS-09-R06-SL</t>
  </si>
  <si>
    <t>ACVS-09-V12-VS</t>
  </si>
  <si>
    <t>ACVS-09-V13-VS</t>
  </si>
  <si>
    <t>ACVS-09-R06-SL-A</t>
  </si>
  <si>
    <t>ACVS-09-R06-SL-B</t>
  </si>
  <si>
    <t>ACVS-09-R07-SL</t>
  </si>
  <si>
    <t>ACVS-09-V14-VS</t>
  </si>
  <si>
    <t>ACVS-09-V15-VS</t>
  </si>
  <si>
    <t>ACVS-09-R07-SL-A</t>
  </si>
  <si>
    <t>ACVS-09-R07-SL-B</t>
  </si>
  <si>
    <t>ACVS-10-R01-SL</t>
  </si>
  <si>
    <t>ACVS-10-V02-VS</t>
  </si>
  <si>
    <t>ACVS-10-V03-VS</t>
  </si>
  <si>
    <t>ACVS-10-R01-SL-A</t>
  </si>
  <si>
    <t>ACVS-10-R01-SL-B</t>
  </si>
  <si>
    <t>ACVS-10-R02-SL</t>
  </si>
  <si>
    <t>ACVS-10-V04-VS</t>
  </si>
  <si>
    <t>ACVS-10-V05-VS</t>
  </si>
  <si>
    <t>ACVS-10-R02-SL-A</t>
  </si>
  <si>
    <t>ACVS-10-R02-SL-B</t>
  </si>
  <si>
    <t>ONL-LINK9-A-0</t>
  </si>
  <si>
    <t>ONL-LINK9-B-0</t>
  </si>
  <si>
    <t>ACVS-10-R03-SL</t>
  </si>
  <si>
    <t>ACVS-10-V06-VS</t>
  </si>
  <si>
    <t>ACVS-10-V07-VS</t>
  </si>
  <si>
    <t>ACVS-10-R03-SL-A</t>
  </si>
  <si>
    <t>ACVS-10-R03-SL-B</t>
  </si>
  <si>
    <t>ACVS-10-R04-SL</t>
  </si>
  <si>
    <t>ACVS-10-V08-VS</t>
  </si>
  <si>
    <t>ACVS-10-V09-VS</t>
  </si>
  <si>
    <t>ACVS-10-R04-SL-A</t>
  </si>
  <si>
    <t>ACVS-10-R04-SL-B</t>
  </si>
  <si>
    <t>ACVS-10-R05-SL</t>
  </si>
  <si>
    <t>ACVS-10-V10-VS</t>
  </si>
  <si>
    <t>ACVS-10-V11-VS</t>
  </si>
  <si>
    <t>ACVS-10-R05-SL-A</t>
  </si>
  <si>
    <t>ACVS-10-R05-SL-B</t>
  </si>
  <si>
    <t>ACVS-10-R06-SL</t>
  </si>
  <si>
    <t>ACVS-10-V12-VS</t>
  </si>
  <si>
    <t>ACVS-10-V13-VS</t>
  </si>
  <si>
    <t>ACVS-10-R06-SL-A</t>
  </si>
  <si>
    <t>ACVS-10-R06-SL-B</t>
  </si>
  <si>
    <t>ACVS-10-R07-SL</t>
  </si>
  <si>
    <t>ACVS-10-V14-VS</t>
  </si>
  <si>
    <t>ACVS-10-V15-VS</t>
  </si>
  <si>
    <t>ACVS-10-R07-SL-A</t>
  </si>
  <si>
    <t>ACVS-10-R07-SL-B</t>
  </si>
  <si>
    <t>ACVS-11-R01-SL</t>
  </si>
  <si>
    <t>ACVS-11-V02-VS</t>
  </si>
  <si>
    <t>ACVS-11-V03-VS</t>
  </si>
  <si>
    <t>ACVS-11-R01-SL-A</t>
  </si>
  <si>
    <t>ACVS-11-R01-SL-B</t>
  </si>
  <si>
    <t>ACVS-11-R02-SL</t>
  </si>
  <si>
    <t>ACVS-11-V04-VS</t>
  </si>
  <si>
    <t>ACVS-11-V05-VS</t>
  </si>
  <si>
    <t>ACVS-11-R02-SL-A</t>
  </si>
  <si>
    <t>ACVS-11-R02-SL-B</t>
  </si>
  <si>
    <t>ACVS-11-R03-SL</t>
  </si>
  <si>
    <t>ACVS-11-V06-VS</t>
  </si>
  <si>
    <t>ACVS-11-V07-VS</t>
  </si>
  <si>
    <t>ACVS-11-R03-SL-A</t>
  </si>
  <si>
    <t>ACVS-11-R03-SL-B</t>
  </si>
  <si>
    <t>ACVS-11-R04-SL</t>
  </si>
  <si>
    <t>ACVS-11-V08-VS</t>
  </si>
  <si>
    <t>ACVS-11-V09-VS</t>
  </si>
  <si>
    <t>ACVS-11-R04-SL-A</t>
  </si>
  <si>
    <t>ACVS-11-R04-SL-B</t>
  </si>
  <si>
    <t>ONL-LINK10-A-0</t>
  </si>
  <si>
    <t>ONL-LINK10-B-0</t>
  </si>
  <si>
    <t>ACVS-11-R05-SL</t>
  </si>
  <si>
    <t>ACVS-11-V10-VS</t>
  </si>
  <si>
    <t>ACVS-11-V11-VS</t>
  </si>
  <si>
    <t>ACVS-11-R05-SL-A</t>
  </si>
  <si>
    <t>ACVS-11-R05-SL-B</t>
  </si>
  <si>
    <t>ACVS-11-R06-SL</t>
  </si>
  <si>
    <t>ACVS-11-V12-VS</t>
  </si>
  <si>
    <t>ACVS-11-V13-VS</t>
  </si>
  <si>
    <t>ACVS-11-R06-SL-A</t>
  </si>
  <si>
    <t>ACVS-11-R06-SL-B</t>
  </si>
  <si>
    <t>ACVS-11-R07-SL</t>
  </si>
  <si>
    <t>ACVS-11-V14-VS</t>
  </si>
  <si>
    <t>ACVS-11-V15-VS</t>
  </si>
  <si>
    <t>ACVS-11-R07-SL-A</t>
  </si>
  <si>
    <t>ACVS-11-R07-SL-B</t>
  </si>
  <si>
    <t>ACVS-12-R01-SL</t>
  </si>
  <si>
    <t>ACVS-12-V02-VS</t>
  </si>
  <si>
    <t>ACVS-12-V03-VS</t>
  </si>
  <si>
    <t>ACVS-12-R01-SL-A</t>
  </si>
  <si>
    <t>ACVS-12-R01-SL-B</t>
  </si>
  <si>
    <t>ACVS-12-R02-SL</t>
  </si>
  <si>
    <t>ACVS-12-V04-VS</t>
  </si>
  <si>
    <t>ACVS-12-V05-VS</t>
  </si>
  <si>
    <t>ACVS-12-R02-SL-A</t>
  </si>
  <si>
    <t>ACVS-12-R02-SL-B</t>
  </si>
  <si>
    <t>ACVS-12-R03-SL</t>
  </si>
  <si>
    <t>ACVS-12-V06-VS</t>
  </si>
  <si>
    <t>ACVS-12-V07-VS</t>
  </si>
  <si>
    <t>ACVS-12-R03-SL-A</t>
  </si>
  <si>
    <t>ACVS-12-R03-SL-B</t>
  </si>
  <si>
    <t>ACVS-12-R04-SL</t>
  </si>
  <si>
    <t>ACVS-12-V08-VS</t>
  </si>
  <si>
    <t>ACVS-12-V09-VS</t>
  </si>
  <si>
    <t>ACVS-12-R04-SL-A</t>
  </si>
  <si>
    <t>ACVS-12-R04-SL-B</t>
  </si>
  <si>
    <t>ACVS-12-R05-SL</t>
  </si>
  <si>
    <t>ACVS-12-V10-VS</t>
  </si>
  <si>
    <t>ACVS-12-V11-VS</t>
  </si>
  <si>
    <t>ACVS-12-R05-SL-A</t>
  </si>
  <si>
    <t>ACVS-12-R05-SL-B</t>
  </si>
  <si>
    <t>ACVS-12-R06-SL</t>
  </si>
  <si>
    <t>ACVS-12-V12-VS</t>
  </si>
  <si>
    <t>ACVS-12-V13-VS</t>
  </si>
  <si>
    <t>ACVS-12-R06-SL-A</t>
  </si>
  <si>
    <t>ACVS-12-R06-SL-B</t>
  </si>
  <si>
    <t>ONL-LINK11-A-0</t>
  </si>
  <si>
    <t>ONL-LINK11-B-0</t>
  </si>
  <si>
    <t>ACVS-12-R07-SL</t>
  </si>
  <si>
    <t>ACVS-12-V14-VS</t>
  </si>
  <si>
    <t>ACVS-12-V15-VS</t>
  </si>
  <si>
    <t>ACVS-12-R07-SL-A</t>
  </si>
  <si>
    <t>ACVS-12-R07-SL-B</t>
  </si>
  <si>
    <t>ACVS-13-R01-SL</t>
  </si>
  <si>
    <t>ACVS-13-V02-VS</t>
  </si>
  <si>
    <t>ACVS-13-V03-VS</t>
  </si>
  <si>
    <t>ACVS-13-R01-SL-A</t>
  </si>
  <si>
    <t>ACVS-13-R01-SL-B</t>
  </si>
  <si>
    <t>ACVS-13-R02-SL</t>
  </si>
  <si>
    <t>ACVS-13-V04-VS</t>
  </si>
  <si>
    <t>ACVS-13-V05-VS</t>
  </si>
  <si>
    <t>ACVS-13-R02-SL-A</t>
  </si>
  <si>
    <t>ACVS-13-R02-SL-B</t>
  </si>
  <si>
    <t>ACVS-13-R03-SL</t>
  </si>
  <si>
    <t>ACVS-13-V06-VS</t>
  </si>
  <si>
    <t>ACVS-13-V07-VS</t>
  </si>
  <si>
    <t>ACVS-13-R03-SL-A</t>
  </si>
  <si>
    <t>ACVS-13-R03-SL-B</t>
  </si>
  <si>
    <t>ACVS-13-R04-SL</t>
  </si>
  <si>
    <t>ACVS-13-V08-VS</t>
  </si>
  <si>
    <t>ACVS-13-V09-VS</t>
  </si>
  <si>
    <t>ACVS-13-R04-SL-A</t>
  </si>
  <si>
    <t>ACVS-13-R04-SL-B</t>
  </si>
  <si>
    <t>ACVS-13-R05-SL</t>
  </si>
  <si>
    <t>ACVS-13-V10-VS</t>
  </si>
  <si>
    <t>ACVS-13-V11-VS</t>
  </si>
  <si>
    <t>ACVS-13-R05-SL-A</t>
  </si>
  <si>
    <t>ACVS-13-R05-SL-B</t>
  </si>
  <si>
    <t>ACVS-13-R06-SL</t>
  </si>
  <si>
    <t>ACVS-13-V12-VS</t>
  </si>
  <si>
    <t>ACVS-13-V13-VS</t>
  </si>
  <si>
    <t>ACVS-13-R06-SL-A</t>
  </si>
  <si>
    <t>ACVS-13-R06-SL-B</t>
  </si>
  <si>
    <t>ACVS-13-R07-SL</t>
  </si>
  <si>
    <t>ACVS-13-V14-VS</t>
  </si>
  <si>
    <t>ACVS-13-V15-VS</t>
  </si>
  <si>
    <t>ACVS-13-R07-SL-A</t>
  </si>
  <si>
    <t>ACVS-13-R07-SL-B</t>
  </si>
  <si>
    <t>ACVS-14-R01-SL</t>
  </si>
  <si>
    <t>ACVS-14-V02-VS</t>
  </si>
  <si>
    <t>ACVS-14-V03-VS</t>
  </si>
  <si>
    <t>ACVS-14-R01-SL-A</t>
  </si>
  <si>
    <t>ACVS-14-R01-SL-B</t>
  </si>
  <si>
    <t>ONL-LINK12-A-0</t>
  </si>
  <si>
    <t>ONL-LINK12-B-0</t>
  </si>
  <si>
    <t>ACVS-14-R02-SL</t>
  </si>
  <si>
    <t>ACVS-14-V04-VS</t>
  </si>
  <si>
    <t>ACVS-14-V05-VS</t>
  </si>
  <si>
    <t>ACVS-14-R02-SL-A</t>
  </si>
  <si>
    <t>ACVS-14-R02-SL-B</t>
  </si>
  <si>
    <t>ACVS-14-R03-SL</t>
  </si>
  <si>
    <t>ACVS-14-V06-VS</t>
  </si>
  <si>
    <t>ACVS-14-V07-VS</t>
  </si>
  <si>
    <t>ACVS-14-R03-SL-A</t>
  </si>
  <si>
    <t>ACVS-14-R03-SL-B</t>
  </si>
  <si>
    <t>ACVS-14-R04-SL</t>
  </si>
  <si>
    <t>ACVS-14-V08-VS</t>
  </si>
  <si>
    <t>ACVS-14-V09-VS</t>
  </si>
  <si>
    <t>ACVS-14-R04-SL-A</t>
  </si>
  <si>
    <t>ACVS-14-R04-SL-B</t>
  </si>
  <si>
    <t>ACVS-14-R05-SL</t>
  </si>
  <si>
    <t>ACVS-14-V10-VS</t>
  </si>
  <si>
    <t>ACVS-14-V11-VS</t>
  </si>
  <si>
    <t>ACVS-14-R05-SL-A</t>
  </si>
  <si>
    <t>ACVS-14-R05-SL-B</t>
  </si>
  <si>
    <t>ACVS-14-R06-SL</t>
  </si>
  <si>
    <t>ACVS-14-V12-VS</t>
  </si>
  <si>
    <t>ACVS-14-V13-VS</t>
  </si>
  <si>
    <t>ACVS-14-R06-SL-A</t>
  </si>
  <si>
    <t>ACVS-14-R06-SL-B</t>
  </si>
  <si>
    <t>ACVS-14-R07-SL</t>
  </si>
  <si>
    <t>ACVS-14-V14-VS</t>
  </si>
  <si>
    <t>ACVS-14-V15-VS</t>
  </si>
  <si>
    <t>ACVS-14-R07-SL-A</t>
  </si>
  <si>
    <t>ACVS-14-R07-SL-B</t>
  </si>
  <si>
    <t>ACVS-15-R01-SL</t>
  </si>
  <si>
    <t>ACVS-15-V02-VS</t>
  </si>
  <si>
    <t>ACVS-15-V03-VS</t>
  </si>
  <si>
    <t>ACVS-15-R01-SL-A</t>
  </si>
  <si>
    <t>ACVS-15-R01-SL-B</t>
  </si>
  <si>
    <t>ACVS-15-R02-SL</t>
  </si>
  <si>
    <t>ACVS-15-V04-VS</t>
  </si>
  <si>
    <t>ACVS-15-V05-VS</t>
  </si>
  <si>
    <t>ACVS-15-R02-SL-A</t>
  </si>
  <si>
    <t>ACVS-15-R02-SL-B</t>
  </si>
  <si>
    <t>ACVS-15-R03-SL</t>
  </si>
  <si>
    <t>ACVS-15-V06-VS</t>
  </si>
  <si>
    <t>ACVS-15-V07-VS</t>
  </si>
  <si>
    <t>ACVS-15-R03-SL-A</t>
  </si>
  <si>
    <t>ACVS-15-R03-SL-B</t>
  </si>
  <si>
    <t>ONL-LINK13-A-0</t>
  </si>
  <si>
    <t>ONL-LINK13-B-0</t>
  </si>
  <si>
    <t>ACVS-15-R04-SL</t>
  </si>
  <si>
    <t>ACVS-15-V08-VS</t>
  </si>
  <si>
    <t>ACVS-15-V09-VS</t>
  </si>
  <si>
    <t>ACVS-15-R04-SL-A</t>
  </si>
  <si>
    <t>ACVS-15-R04-SL-B</t>
  </si>
  <si>
    <t>ACVS-15-R05-SL</t>
  </si>
  <si>
    <t>ACVS-15-V10-VS</t>
  </si>
  <si>
    <t>ACVS-15-V11-VS</t>
  </si>
  <si>
    <t>ACVS-15-R05-SL-A</t>
  </si>
  <si>
    <t>ACVS-15-R05-SL-B</t>
  </si>
  <si>
    <t>ACVS-15-R06-SL</t>
  </si>
  <si>
    <t>ACVS-15-V12-VS</t>
  </si>
  <si>
    <t>ACVS-15-V13-VS</t>
  </si>
  <si>
    <t>ACVS-15-R06-SL-A</t>
  </si>
  <si>
    <t>ACVS-15-R06-SL-B</t>
  </si>
  <si>
    <t>ACVS-15-R07-SL</t>
  </si>
  <si>
    <t>ACVS-15-V14-VS</t>
  </si>
  <si>
    <t>ACVS-15-V15-VS</t>
  </si>
  <si>
    <t>ACVS-15-R07-SL-A</t>
  </si>
  <si>
    <t>ACVS-15-R07-SL-B</t>
  </si>
  <si>
    <t>ACVS-16-R01-SL</t>
  </si>
  <si>
    <t>ACVS-16-V02-VS</t>
  </si>
  <si>
    <t>ACVS-16-V03-VS</t>
  </si>
  <si>
    <t>ACVS-16-R01-SL-A</t>
  </si>
  <si>
    <t>ACVS-16-R01-SL-B</t>
  </si>
  <si>
    <t>ACVS-16-R02-SL</t>
  </si>
  <si>
    <t>ACVS-16-V04-VS</t>
  </si>
  <si>
    <t>ACVS-16-V05-VS</t>
  </si>
  <si>
    <t>ACVS-16-R02-SL-A</t>
  </si>
  <si>
    <t>ACVS-16-R02-SL-B</t>
  </si>
  <si>
    <t>ACVS-16-R03-SL</t>
  </si>
  <si>
    <t>ACVS-16-V06-VS</t>
  </si>
  <si>
    <t>ACVS-16-V07-VS</t>
  </si>
  <si>
    <t>ACVS-16-R03-SL-A</t>
  </si>
  <si>
    <t>ACVS-16-R03-SL-B</t>
  </si>
  <si>
    <t>ACVS-16-R04-SL</t>
  </si>
  <si>
    <t>ACVS-16-V08-VS</t>
  </si>
  <si>
    <t>ACVS-16-V09-VS</t>
  </si>
  <si>
    <t>ACVS-16-R04-SL-A</t>
  </si>
  <si>
    <t>ACVS-16-R04-SL-B</t>
  </si>
  <si>
    <t>ACVS-16-R05-SL</t>
  </si>
  <si>
    <t>ACVS-16-V10-VS</t>
  </si>
  <si>
    <t>ACVS-16-V11-VS</t>
  </si>
  <si>
    <t>ACVS-16-R05-SL-A</t>
  </si>
  <si>
    <t>ACVS-16-R05-SL-B</t>
  </si>
  <si>
    <t>ONL-LINK14-A-0</t>
  </si>
  <si>
    <t>ONL-LINK14-B-0</t>
  </si>
  <si>
    <t>ACVS-16-R06-SL</t>
  </si>
  <si>
    <t>ACVS-16-V12-VS</t>
  </si>
  <si>
    <t>ACVS-16-V13-VS</t>
  </si>
  <si>
    <t>ACVS-16-R06-SL-A</t>
  </si>
  <si>
    <t>ACVS-16-R06-SL-B</t>
  </si>
  <si>
    <t>ACVS-16-R07-SL</t>
  </si>
  <si>
    <t>ACVS-16-V14-VS</t>
  </si>
  <si>
    <t>ACVS-16-V15-VS</t>
  </si>
  <si>
    <t>ACVS-16-R07-SL-A</t>
  </si>
  <si>
    <t>ACVS-16-R07-SL-B</t>
  </si>
  <si>
    <t>ACVS-17-R01-SL</t>
  </si>
  <si>
    <t>ACVS-17-V02-VS</t>
  </si>
  <si>
    <t>ACVS-17-V03-VS</t>
  </si>
  <si>
    <t>ACVS-17-R01-SL-A</t>
  </si>
  <si>
    <t>ACVS-17-R01-SL-B</t>
  </si>
  <si>
    <t>ACVS-17-R02-SL</t>
  </si>
  <si>
    <t>ACVS-17-V04-VS</t>
  </si>
  <si>
    <t>ACVS-17-V05-VS</t>
  </si>
  <si>
    <t>ACVS-17-R02-SL-A</t>
  </si>
  <si>
    <t>ACVS-17-R02-SL-B</t>
  </si>
  <si>
    <t>ACVS-17-R03-SL</t>
  </si>
  <si>
    <t>ACVS-17-V06-VS</t>
  </si>
  <si>
    <t>ACVS-17-V07-VS</t>
  </si>
  <si>
    <t>ACVS-17-R03-SL-A</t>
  </si>
  <si>
    <t>ACVS-17-R03-SL-B</t>
  </si>
  <si>
    <t>ACVS-17-R04-SL</t>
  </si>
  <si>
    <t>ACVS-17-V08-VS</t>
  </si>
  <si>
    <t>ACVS-17-V09-VS</t>
  </si>
  <si>
    <t>ACVS-17-R04-SL-A</t>
  </si>
  <si>
    <t>ACVS-17-R04-SL-B</t>
  </si>
  <si>
    <t>ACVS-17-R05-SL</t>
  </si>
  <si>
    <t>ACVS-17-V10-VS</t>
  </si>
  <si>
    <t>ACVS-17-V11-VS</t>
  </si>
  <si>
    <t>ACVS-17-R05-SL-A</t>
  </si>
  <si>
    <t>ACVS-17-R05-SL-B</t>
  </si>
  <si>
    <t>ACVS-17-R06-SL</t>
  </si>
  <si>
    <t>ACVS-17-V12-VS</t>
  </si>
  <si>
    <t>ACVS-17-V13-VS</t>
  </si>
  <si>
    <t>ACVS-17-R06-SL-A</t>
  </si>
  <si>
    <t>ACVS-17-R06-SL-B</t>
  </si>
  <si>
    <t>ACVS-17-R07-SL</t>
  </si>
  <si>
    <t>ACVS-17-V14-VS</t>
  </si>
  <si>
    <t>ACVS-17-V15-VS</t>
  </si>
  <si>
    <t>ACVS-17-R07-SL-A</t>
  </si>
  <si>
    <t>ACVS-17-R07-SL-B</t>
  </si>
  <si>
    <t>ONL-LINK15-A-0</t>
  </si>
  <si>
    <t>ONL-LINK15-B-0</t>
  </si>
  <si>
    <t>ACVS-18-R01-SL</t>
  </si>
  <si>
    <t>ACVS-18-V02-VS</t>
  </si>
  <si>
    <t>ACVS-18-V03-VS</t>
  </si>
  <si>
    <t>ACVS-18-R01-SL-A</t>
  </si>
  <si>
    <t>ACVS-18-R01-SL-B</t>
  </si>
  <si>
    <t>ACVS-18-R02-SL</t>
  </si>
  <si>
    <t>ACVS-18-V04-VS</t>
  </si>
  <si>
    <t>ACVS-18-V05-VS</t>
  </si>
  <si>
    <t>ACVS-18-R02-SL-A</t>
  </si>
  <si>
    <t>ACVS-18-R02-SL-B</t>
  </si>
  <si>
    <t>ACVS-18-R03-SL</t>
  </si>
  <si>
    <t>ACVS-18-V06-VS</t>
  </si>
  <si>
    <t>ACVS-18-V07-VS</t>
  </si>
  <si>
    <t>ACVS-18-R03-SL-A</t>
  </si>
  <si>
    <t>ACVS-18-R03-SL-B</t>
  </si>
  <si>
    <t>ACVS-18-R04-SL</t>
  </si>
  <si>
    <t>ACVS-18-V08-VS</t>
  </si>
  <si>
    <t>ACVS-18-V09-VS</t>
  </si>
  <si>
    <t>ACVS-18-R04-SL-A</t>
  </si>
  <si>
    <t>ACVS-18-R04-SL-B</t>
  </si>
  <si>
    <t>ACVS-18-R05-SL</t>
  </si>
  <si>
    <t>ACVS-18-V10-VS</t>
  </si>
  <si>
    <t>ACVS-18-V11-VS</t>
  </si>
  <si>
    <t>ACVS-18-R05-SL-A</t>
  </si>
  <si>
    <t>ACVS-18-R05-SL-B</t>
  </si>
  <si>
    <t>ACVS-18-R06-SL</t>
  </si>
  <si>
    <t>ACVS-18-V12-VS</t>
  </si>
  <si>
    <t>ACVS-18-V13-VS</t>
  </si>
  <si>
    <t>ACVS-18-R06-SL-A</t>
  </si>
  <si>
    <t>ACVS-18-R06-SL-B</t>
  </si>
  <si>
    <t>ACVS-18-R07-SL</t>
  </si>
  <si>
    <t>ACVS-18-V14-VS</t>
  </si>
  <si>
    <t>ACVS-18-V15-VS</t>
  </si>
  <si>
    <t>ACVS-18-R07-SL-A</t>
  </si>
  <si>
    <t>ACVS-18-R07-SL-B</t>
  </si>
  <si>
    <t>ACVS-19-R01-SL</t>
  </si>
  <si>
    <t>ACVS-19-V02-VS</t>
  </si>
  <si>
    <t>ACVS-19-V03-VS</t>
  </si>
  <si>
    <t>ACVS-19-R01-SL-A</t>
  </si>
  <si>
    <t>ACVS-19-R01-SL-B</t>
  </si>
  <si>
    <t>ACVS-19-R02-SL</t>
  </si>
  <si>
    <t>ACVS-19-V04-VS</t>
  </si>
  <si>
    <t>ACVS-19-V05-VS</t>
  </si>
  <si>
    <t>ACVS-19-R02-SL-A</t>
  </si>
  <si>
    <t>ACVS-19-R02-SL-B</t>
  </si>
  <si>
    <t>ONL-LINK16-A-0</t>
  </si>
  <si>
    <t>ONL-LINK16-B-0</t>
  </si>
  <si>
    <t>ACVS-19-R03-SL</t>
  </si>
  <si>
    <t>ACVS-19-V06-VS</t>
  </si>
  <si>
    <t>ACVS-19-V07-VS</t>
  </si>
  <si>
    <t>ACVS-19-R03-SL-A</t>
  </si>
  <si>
    <t>ACVS-19-R03-SL-B</t>
  </si>
  <si>
    <t>ACVS-19-R04-SL</t>
  </si>
  <si>
    <t>ACVS-19-V08-VS</t>
  </si>
  <si>
    <t>ACVS-19-V09-VS</t>
  </si>
  <si>
    <t>ACVS-19-R04-SL-A</t>
  </si>
  <si>
    <t>ACVS-19-R04-SL-B</t>
  </si>
  <si>
    <t>ACVS-19-R05-SL</t>
  </si>
  <si>
    <t>ACVS-19-V10-VS</t>
  </si>
  <si>
    <t>ACVS-19-V11-VS</t>
  </si>
  <si>
    <t>ACVS-19-R05-SL-A</t>
  </si>
  <si>
    <t>ACVS-19-R05-SL-B</t>
  </si>
  <si>
    <t>ACVS-19-R06-SL</t>
  </si>
  <si>
    <t>ACVS-19-V12-VS</t>
  </si>
  <si>
    <t>ACVS-19-V13-VS</t>
  </si>
  <si>
    <t>ACVS-19-R06-SL-A</t>
  </si>
  <si>
    <t>ACVS-19-R06-SL-B</t>
  </si>
  <si>
    <t>ACVS-19-R07-SL</t>
  </si>
  <si>
    <t>ACVS-19-V14-VS</t>
  </si>
  <si>
    <t>ACVS-19-V15-VS</t>
  </si>
  <si>
    <t>ACVS-19-R07-SL-A</t>
  </si>
  <si>
    <t>ACVS-19-R07-SL-B</t>
  </si>
  <si>
    <t>ACVS-20-R01-SL</t>
  </si>
  <si>
    <t>ACVS-20-V02-VS</t>
  </si>
  <si>
    <t>ACVS-20-V03-VS</t>
  </si>
  <si>
    <t>ACVS-20-R01-SL-A</t>
  </si>
  <si>
    <t>ACVS-20-R01-SL-B</t>
  </si>
  <si>
    <t>ACVS-20-R02-SL</t>
  </si>
  <si>
    <t>ACVS-20-V04-VS</t>
  </si>
  <si>
    <t>ACVS-20-V05-VS</t>
  </si>
  <si>
    <t>ACVS-20-R02-SL-A</t>
  </si>
  <si>
    <t>ACVS-20-R02-SL-B</t>
  </si>
  <si>
    <t>ACVS-20-R03-SL</t>
  </si>
  <si>
    <t>ACVS-20-V06-VS</t>
  </si>
  <si>
    <t>ACVS-20-V07-VS</t>
  </si>
  <si>
    <t>ACVS-20-R03-SL-A</t>
  </si>
  <si>
    <t>ACVS-20-R03-SL-B</t>
  </si>
  <si>
    <t>ACVS-20-R04-SL</t>
  </si>
  <si>
    <t>ACVS-20-V08-VS</t>
  </si>
  <si>
    <t>ACVS-20-V09-VS</t>
  </si>
  <si>
    <t>ACVS-20-R04-SL-A</t>
  </si>
  <si>
    <t>ACVS-20-R04-SL-B</t>
  </si>
  <si>
    <t>ACVS-20-R05-SL</t>
  </si>
  <si>
    <t>ACVS-20-V10-VS</t>
  </si>
  <si>
    <t>ACVS-20-V11-VS</t>
  </si>
  <si>
    <t>ACVS-20-R05-SL-A</t>
  </si>
  <si>
    <t>ACVS-20-R05-SL-B</t>
  </si>
  <si>
    <t>ACVS-20-R06-SL</t>
  </si>
  <si>
    <t>ACVS-20-V12-VS</t>
  </si>
  <si>
    <t>ACVS-20-V13-VS</t>
  </si>
  <si>
    <t>ACVS-20-R06-SL-A</t>
  </si>
  <si>
    <t>ACVS-20-R06-SL-B</t>
  </si>
  <si>
    <t>ACVS-20-R07-SL</t>
  </si>
  <si>
    <t>ACVS-20-V14-VS</t>
  </si>
  <si>
    <t>ACVS-20-V15-VS</t>
  </si>
  <si>
    <t>ACVS-20-R07-SL-A</t>
  </si>
  <si>
    <t>ACVS-20-R07-SL-B</t>
  </si>
  <si>
    <t>ACVS-21-R01-SL</t>
  </si>
  <si>
    <t>ACVS-21-V02-VS</t>
  </si>
  <si>
    <t>ACVS-21-V03-VS</t>
  </si>
  <si>
    <t>ACVS-21-R01-SL-A</t>
  </si>
  <si>
    <t>ACVS-21-R01-SL-B</t>
  </si>
  <si>
    <t>ACVS-21-R02-SL</t>
  </si>
  <si>
    <t>ACVS-21-V04-VS</t>
  </si>
  <si>
    <t>ACVS-21-V05-VS</t>
  </si>
  <si>
    <t>ACVS-21-R02-SL-A</t>
  </si>
  <si>
    <t>ACVS-21-R02-SL-B</t>
  </si>
  <si>
    <t>ACVS-21-R03-SL</t>
  </si>
  <si>
    <t>ACVS-21-V06-VS</t>
  </si>
  <si>
    <t>ACVS-21-V07-VS</t>
  </si>
  <si>
    <t>ACVS-21-R03-SL-A</t>
  </si>
  <si>
    <t>ACVS-21-R03-SL-B</t>
  </si>
  <si>
    <t>ACVS-21-R04-SL</t>
  </si>
  <si>
    <t>ACVS-21-V08-VS</t>
  </si>
  <si>
    <t>ACVS-21-V09-VS</t>
  </si>
  <si>
    <t>ACVS-21-R04-SL-A</t>
  </si>
  <si>
    <t>ACVS-21-R04-SL-B</t>
  </si>
  <si>
    <t>ACVS-21-R05-SL</t>
  </si>
  <si>
    <t>ACVS-21-V10-VS</t>
  </si>
  <si>
    <t>ACVS-21-V11-VS</t>
  </si>
  <si>
    <t>ACVS-21-R05-SL-A</t>
  </si>
  <si>
    <t>ACVS-21-R05-SL-B</t>
  </si>
  <si>
    <t>ACVS-21-R06-SL</t>
  </si>
  <si>
    <t>ACVS-21-V12-VS</t>
  </si>
  <si>
    <t>ACVS-21-V13-VS</t>
  </si>
  <si>
    <t>ACVS-21-R06-SL-A</t>
  </si>
  <si>
    <t>ACVS-21-R06-SL-B</t>
  </si>
  <si>
    <t>ACVS-21-R07-SL</t>
  </si>
  <si>
    <t>ACVS-21-V14-VS</t>
  </si>
  <si>
    <t>ACVS-21-V15-VS</t>
  </si>
  <si>
    <t>ACVS-21-R07-SL-A</t>
  </si>
  <si>
    <t>ACVS-21-R07-SL-B</t>
  </si>
  <si>
    <t>ACVS-22-R01-SL</t>
  </si>
  <si>
    <t>ACVS-22-V02-VS</t>
  </si>
  <si>
    <t>ACVS-22-V03-VS</t>
  </si>
  <si>
    <t>ACVS-22-R01-SL-A</t>
  </si>
  <si>
    <t>ACVS-22-R01-SL-B</t>
  </si>
  <si>
    <t>ACVS-22-R02-SL</t>
  </si>
  <si>
    <t>ACVS-22-V04-VS</t>
  </si>
  <si>
    <t>ACVS-22-V05-VS</t>
  </si>
  <si>
    <t>ACVS-22-R02-SL-A</t>
  </si>
  <si>
    <t>ACVS-22-R02-SL-B</t>
  </si>
  <si>
    <t>ACVS-22-R03-SL</t>
  </si>
  <si>
    <t>ACVS-22-V06-VS</t>
  </si>
  <si>
    <t>ACVS-22-V07-VS</t>
  </si>
  <si>
    <t>ACVS-22-R03-SL-A</t>
  </si>
  <si>
    <t>ACVS-22-R03-SL-B</t>
  </si>
  <si>
    <t>ACVS-22-R04-SL</t>
  </si>
  <si>
    <t>ACVS-22-V08-VS</t>
  </si>
  <si>
    <t>ACVS-22-V09-VS</t>
  </si>
  <si>
    <t>ACVS-22-R04-SL-A</t>
  </si>
  <si>
    <t>ACVS-22-R04-SL-B</t>
  </si>
  <si>
    <t>ACVS-22-R05-SL</t>
  </si>
  <si>
    <t>ACVS-22-V10-VS</t>
  </si>
  <si>
    <t>ACVS-22-V11-VS</t>
  </si>
  <si>
    <t>ACVS-22-R05-SL-A</t>
  </si>
  <si>
    <t>ACVS-22-R05-SL-B</t>
  </si>
  <si>
    <t>ACVS-22-R06-SL</t>
  </si>
  <si>
    <t>ACVS-22-V12-VS</t>
  </si>
  <si>
    <t>ACVS-22-V13-VS</t>
  </si>
  <si>
    <t>ACVS-22-R06-SL-A</t>
  </si>
  <si>
    <t>ACVS-22-R06-SL-B</t>
  </si>
  <si>
    <t>ACVS-22-R07-SL</t>
  </si>
  <si>
    <t>ACVS-22-V14-VS</t>
  </si>
  <si>
    <t>ACVS-22-V15-VS</t>
  </si>
  <si>
    <t>ACVS-22-R07-SL-A</t>
  </si>
  <si>
    <t>ACVS-22-R07-SL-B</t>
  </si>
  <si>
    <t>ACVS-23-R01-SL</t>
  </si>
  <si>
    <t>ACVS-23-V02-VS</t>
  </si>
  <si>
    <t>ACVS-23-V03-VS</t>
  </si>
  <si>
    <t>ACVS-23-R01-SL-A</t>
  </si>
  <si>
    <t>ACVS-23-R01-SL-B</t>
  </si>
  <si>
    <t>ACVS-23-R02-SL</t>
  </si>
  <si>
    <t>ACVS-23-V04-VS</t>
  </si>
  <si>
    <t>ACVS-23-V05-VS</t>
  </si>
  <si>
    <t>ACVS-23-R02-SL-A</t>
  </si>
  <si>
    <t>ACVS-23-R02-SL-B</t>
  </si>
  <si>
    <t>ACVS-23-R03-SL</t>
  </si>
  <si>
    <t>ACVS-23-V06-VS</t>
  </si>
  <si>
    <t>ACVS-23-V07-VS</t>
  </si>
  <si>
    <t>ACVS-23-R03-SL-A</t>
  </si>
  <si>
    <t>ACVS-23-R03-SL-B</t>
  </si>
  <si>
    <t>ACVS-23-R04-SL</t>
  </si>
  <si>
    <t>ACVS-23-V08-VS</t>
  </si>
  <si>
    <t>ACVS-23-V09-VS</t>
  </si>
  <si>
    <t>ACVS-23-R04-SL-A</t>
  </si>
  <si>
    <t>ACVS-23-R04-SL-B</t>
  </si>
  <si>
    <t>ACVS-23-R05-SL</t>
  </si>
  <si>
    <t>ACVS-23-V10-VS</t>
  </si>
  <si>
    <t>ACVS-23-V11-VS</t>
  </si>
  <si>
    <t>ACVS-23-R05-SL-A</t>
  </si>
  <si>
    <t>ACVS-23-R05-SL-B</t>
  </si>
  <si>
    <t>ACVS-23-R06-SL</t>
  </si>
  <si>
    <t>ACVS-23-V12-VS</t>
  </si>
  <si>
    <t>ACVS-23-V13-VS</t>
  </si>
  <si>
    <t>ACVS-23-R06-SL-A</t>
  </si>
  <si>
    <t>ACVS-23-R06-SL-B</t>
  </si>
  <si>
    <t>ACVS-23-R07-SL</t>
  </si>
  <si>
    <t>ACVS-23-V14-VS</t>
  </si>
  <si>
    <t>ACVS-23-V15-VS</t>
  </si>
  <si>
    <t>ACVS-23-R07-SL-A</t>
  </si>
  <si>
    <t>ACVS-23-R07-SL-B</t>
  </si>
  <si>
    <t>ACVS-24-R01-SL</t>
  </si>
  <si>
    <t>ACVS-24-V02-VS</t>
  </si>
  <si>
    <t>ACVS-24-V03-VS</t>
  </si>
  <si>
    <t>ACVS-24-R01-SL-A</t>
  </si>
  <si>
    <t>ACVS-24-R01-SL-B</t>
  </si>
  <si>
    <t>ACVS-24-R02-SL</t>
  </si>
  <si>
    <t>ACVS-24-V04-VS</t>
  </si>
  <si>
    <t>ACVS-24-V05-VS</t>
  </si>
  <si>
    <t>ACVS-24-R02-SL-A</t>
  </si>
  <si>
    <t>ACVS-24-R02-SL-B</t>
  </si>
  <si>
    <t>ACVS-24-R03-SL</t>
  </si>
  <si>
    <t>ACVS-24-V06-VS</t>
  </si>
  <si>
    <t>ACVS-24-V07-VS</t>
  </si>
  <si>
    <t>ACVS-24-R03-SL-A</t>
  </si>
  <si>
    <t>ACVS-24-R03-SL-B</t>
  </si>
  <si>
    <t>ACVS-24-R04-SL</t>
  </si>
  <si>
    <t>ACVS-24-V08-VS</t>
  </si>
  <si>
    <t>ACVS-24-V09-VS</t>
  </si>
  <si>
    <t>ACVS-24-R04-SL-A</t>
  </si>
  <si>
    <t>ACVS-24-R04-SL-B</t>
  </si>
  <si>
    <t>ACVS-24-R05-SL</t>
  </si>
  <si>
    <t>ACVS-24-V10-VS</t>
  </si>
  <si>
    <t>ACVS-24-V11-VS</t>
  </si>
  <si>
    <t>ACVS-24-R05-SL-A</t>
  </si>
  <si>
    <t>ACVS-24-R05-SL-B</t>
  </si>
  <si>
    <t>ACVS-24-R06-SL</t>
  </si>
  <si>
    <t>ACVS-24-V12-VS</t>
  </si>
  <si>
    <t>ACVS-24-V13-VS</t>
  </si>
  <si>
    <t>ACVS-24-R06-SL-A</t>
  </si>
  <si>
    <t>ACVS-24-R06-SL-B</t>
  </si>
  <si>
    <t>ACVS-24-R07-SL</t>
  </si>
  <si>
    <t>ACVS-24-V14-VS</t>
  </si>
  <si>
    <t>ACVS-24-V15-VS</t>
  </si>
  <si>
    <t>ACVS-24-R07-SL-A</t>
  </si>
  <si>
    <t>ACVS-24-R07-SL-B</t>
  </si>
  <si>
    <t>ACVS-25-R01-SL</t>
  </si>
  <si>
    <t>ACVS-25-V02-VS</t>
  </si>
  <si>
    <t>ACVS-25-V03-VS</t>
  </si>
  <si>
    <t>ACVS-25-R01-SL-A</t>
  </si>
  <si>
    <t>ACVS-25-R01-SL-B</t>
  </si>
  <si>
    <t>ACVS-25-R02-SL</t>
  </si>
  <si>
    <t>ACVS-25-V04-VS</t>
  </si>
  <si>
    <t>ACVS-25-V05-VS</t>
  </si>
  <si>
    <t>ACVS-25-R02-SL-A</t>
  </si>
  <si>
    <t>ACVS-25-R02-SL-B</t>
  </si>
  <si>
    <t>ACVS-25-R03-SL</t>
  </si>
  <si>
    <t>ACVS-25-V06-VS</t>
  </si>
  <si>
    <t>ACVS-25-V07-VS</t>
  </si>
  <si>
    <t>ACVS-25-R03-SL-A</t>
  </si>
  <si>
    <t>ACVS-25-R03-SL-B</t>
  </si>
  <si>
    <t>ACVS-25-R04-SL</t>
  </si>
  <si>
    <t>ACVS-25-V08-VS</t>
  </si>
  <si>
    <t>ACVS-25-V09-VS</t>
  </si>
  <si>
    <t>ACVS-25-R04-SL-A</t>
  </si>
  <si>
    <t>ACVS-25-R04-SL-B</t>
  </si>
  <si>
    <t>ACVS-25-R05-SL</t>
  </si>
  <si>
    <t>ACVS-25-V10-VS</t>
  </si>
  <si>
    <t>ACVS-25-V11-VS</t>
  </si>
  <si>
    <t>ACVS-25-R05-SL-A</t>
  </si>
  <si>
    <t>ACVS-25-R05-SL-B</t>
  </si>
  <si>
    <t>ACVS-25-R06-SL</t>
  </si>
  <si>
    <t>ACVS-25-V12-VS</t>
  </si>
  <si>
    <t>ACVS-25-V13-VS</t>
  </si>
  <si>
    <t>ACVS-25-R06-SL-A</t>
  </si>
  <si>
    <t>ACVS-25-R06-SL-B</t>
  </si>
  <si>
    <t>ACVS-25-R07-SL</t>
  </si>
  <si>
    <t>ACVS-25-V14-VS</t>
  </si>
  <si>
    <t>ACVS-25-V15-VS</t>
  </si>
  <si>
    <t>ACVS-25-R07-SL-A</t>
  </si>
  <si>
    <t>ACVS-25-R07-SL-B</t>
  </si>
  <si>
    <t>ACVS-26-R01-SL</t>
  </si>
  <si>
    <t>ACVS-26-V02-VS</t>
  </si>
  <si>
    <t>ACVS-26-V03-VS</t>
  </si>
  <si>
    <t>ACVS-26-R01-SL-A</t>
  </si>
  <si>
    <t>ACVS-26-R01-SL-B</t>
  </si>
  <si>
    <t>ACVS-26-R02-SL</t>
  </si>
  <si>
    <t>ACVS-26-V04-VS</t>
  </si>
  <si>
    <t>ACVS-26-V05-VS</t>
  </si>
  <si>
    <t>ACVS-26-R02-SL-A</t>
  </si>
  <si>
    <t>ACVS-26-R02-SL-B</t>
  </si>
  <si>
    <t>ACVS-26-R03-SL</t>
  </si>
  <si>
    <t>ACVS-26-V06-VS</t>
  </si>
  <si>
    <t>ACVS-26-V07-VS</t>
  </si>
  <si>
    <t>ACVS-26-R03-SL-A</t>
  </si>
  <si>
    <t>ACVS-26-R03-SL-B</t>
  </si>
  <si>
    <t>ACVS-26-R04-SL</t>
  </si>
  <si>
    <t>ACVS-26-V08-VS</t>
  </si>
  <si>
    <t>ACVS-26-V09-VS</t>
  </si>
  <si>
    <t>ACVS-26-R04-SL-A</t>
  </si>
  <si>
    <t>ACVS-26-R04-SL-B</t>
  </si>
  <si>
    <t>ACVS-26-R05-SL</t>
  </si>
  <si>
    <t>ACVS-26-V10-VS</t>
  </si>
  <si>
    <t>ACVS-26-V11-VS</t>
  </si>
  <si>
    <t>ACVS-26-R05-SL-A</t>
  </si>
  <si>
    <t>ACVS-26-R05-SL-B</t>
  </si>
  <si>
    <t>ACVS-26-R06-SL</t>
  </si>
  <si>
    <t>ACVS-26-V12-VS</t>
  </si>
  <si>
    <t>ACVS-26-V13-VS</t>
  </si>
  <si>
    <t>ACVS-26-R06-SL-A</t>
  </si>
  <si>
    <t>ACVS-26-R06-SL-B</t>
  </si>
  <si>
    <t>ACVS-26-R07-SL</t>
  </si>
  <si>
    <t>ACVS-26-V14-VS</t>
  </si>
  <si>
    <t>ACVS-26-V15-VS</t>
  </si>
  <si>
    <t>ACVS-26-R07-SL-A</t>
  </si>
  <si>
    <t>ACVS-26-R07-SL-B</t>
  </si>
  <si>
    <t>ACVS-27-R01-SL</t>
  </si>
  <si>
    <t>ACVS-27-V02-VS</t>
  </si>
  <si>
    <t>ACVS-27-V03-VS</t>
  </si>
  <si>
    <t>ACVS-27-R01-SL-A</t>
  </si>
  <si>
    <t>ACVS-27-R01-SL-B</t>
  </si>
  <si>
    <t>ACVS-27-R02-SL</t>
  </si>
  <si>
    <t>ACVS-27-V04-VS</t>
  </si>
  <si>
    <t>ACVS-27-V05-VS</t>
  </si>
  <si>
    <t>ACVS-27-R02-SL-A</t>
  </si>
  <si>
    <t>ACVS-27-R02-SL-B</t>
  </si>
  <si>
    <t>ACVS-27-R03-SL</t>
  </si>
  <si>
    <t>ACVS-27-V06-VS</t>
  </si>
  <si>
    <t>ACVS-27-V07-VS</t>
  </si>
  <si>
    <t>ACVS-27-R03-SL-A</t>
  </si>
  <si>
    <t>ACVS-27-R03-SL-B</t>
  </si>
  <si>
    <t>ACVS-27-R04-SL</t>
  </si>
  <si>
    <t>ACVS-27-V08-VS</t>
  </si>
  <si>
    <t>ACVS-27-V09-VS</t>
  </si>
  <si>
    <t>ACVS-27-R04-SL-A</t>
  </si>
  <si>
    <t>ACVS-27-R04-SL-B</t>
  </si>
  <si>
    <t>ACVS-27-R05-SL</t>
  </si>
  <si>
    <t>ACVS-27-V10-VS</t>
  </si>
  <si>
    <t>ACVS-27-V11-VS</t>
  </si>
  <si>
    <t>ACVS-27-R05-SL-A</t>
  </si>
  <si>
    <t>ACVS-27-R05-SL-B</t>
  </si>
  <si>
    <t>ACVS-27-R06-SL</t>
  </si>
  <si>
    <t>ACVS-27-V12-VS</t>
  </si>
  <si>
    <t>ACVS-27-V13-VS</t>
  </si>
  <si>
    <t>ACVS-27-R06-SL-A</t>
  </si>
  <si>
    <t>ACVS-27-R06-SL-B</t>
  </si>
  <si>
    <t>ACVS-27-R07-SL</t>
  </si>
  <si>
    <t>ACVS-27-V14-VS</t>
  </si>
  <si>
    <t>ACVS-27-V15-VS</t>
  </si>
  <si>
    <t>ACVS-27-R07-SL-A</t>
  </si>
  <si>
    <t>ACVS-27-R07-SL-B</t>
  </si>
  <si>
    <t>ACVS-28-R01-SL</t>
  </si>
  <si>
    <t>ACVS-28-V02-VS</t>
  </si>
  <si>
    <t>ACVS-28-V03-VS</t>
  </si>
  <si>
    <t>ACVS-28-R01-SL-A</t>
  </si>
  <si>
    <t>ACVS-28-R01-SL-B</t>
  </si>
  <si>
    <t>ACVS-28-R02-SL</t>
  </si>
  <si>
    <t>ACVS-28-V04-VS</t>
  </si>
  <si>
    <t>ACVS-28-V05-VS</t>
  </si>
  <si>
    <t>ACVS-28-R02-SL-A</t>
  </si>
  <si>
    <t>ACVS-28-R02-SL-B</t>
  </si>
  <si>
    <t>ACVS-28-R03-SL</t>
  </si>
  <si>
    <t>ACVS-28-V06-VS</t>
  </si>
  <si>
    <t>ACVS-28-V07-VS</t>
  </si>
  <si>
    <t>ACVS-28-R03-SL-A</t>
  </si>
  <si>
    <t>ACVS-28-R03-SL-B</t>
  </si>
  <si>
    <t>ACVS-28-R04-SL</t>
  </si>
  <si>
    <t>ACVS-28-V08-VS</t>
  </si>
  <si>
    <t>ACVS-28-V09-VS</t>
  </si>
  <si>
    <t>ACVS-28-R04-SL-A</t>
  </si>
  <si>
    <t>ACVS-28-R04-SL-B</t>
  </si>
  <si>
    <t>ACVS-28-R05-SL</t>
  </si>
  <si>
    <t>ACVS-28-V10-VS</t>
  </si>
  <si>
    <t>ACVS-28-V11-VS</t>
  </si>
  <si>
    <t>ACVS-28-R05-SL-A</t>
  </si>
  <si>
    <t>ACVS-28-R05-SL-B</t>
  </si>
  <si>
    <t>ACVS-28-R06-SL</t>
  </si>
  <si>
    <t>ACVS-28-V12-VS</t>
  </si>
  <si>
    <t>ACVS-28-V13-VS</t>
  </si>
  <si>
    <t>ACVS-28-R06-SL-A</t>
  </si>
  <si>
    <t>ACVS-28-R06-SL-B</t>
  </si>
  <si>
    <t>ACVS-28-R07-SL</t>
  </si>
  <si>
    <t>ACVS-28-V14-VS</t>
  </si>
  <si>
    <t>ACVS-28-V15-VS</t>
  </si>
  <si>
    <t>ACVS-28-R07-SL-A</t>
  </si>
  <si>
    <t>ACVS-28-R07-SL-B</t>
  </si>
  <si>
    <t>ACVS-29-R01-SL</t>
  </si>
  <si>
    <t>ACVS-29-V02-VS</t>
  </si>
  <si>
    <t>ACVS-29-V03-VS</t>
  </si>
  <si>
    <t>ACVS-29-R01-SL-A</t>
  </si>
  <si>
    <t>ACVS-29-R01-SL-B</t>
  </si>
  <si>
    <t>ACVS-29-R02-SL</t>
  </si>
  <si>
    <t>ACVS-29-V04-VS</t>
  </si>
  <si>
    <t>ACVS-29-V05-VS</t>
  </si>
  <si>
    <t>ACVS-29-R02-SL-A</t>
  </si>
  <si>
    <t>ACVS-29-R02-SL-B</t>
  </si>
  <si>
    <t>ACVS-29-R03-SL</t>
  </si>
  <si>
    <t>ACVS-29-V06-VS</t>
  </si>
  <si>
    <t>ACVS-29-V07-VS</t>
  </si>
  <si>
    <t>ACVS-29-R03-SL-A</t>
  </si>
  <si>
    <t>ACVS-29-R03-SL-B</t>
  </si>
  <si>
    <t>ACVS-29-R04-SL</t>
  </si>
  <si>
    <t>ACVS-29-V08-VS</t>
  </si>
  <si>
    <t>ACVS-29-V09-VS</t>
  </si>
  <si>
    <t>ACVS-29-R04-SL-A</t>
  </si>
  <si>
    <t>ACVS-29-R04-SL-B</t>
  </si>
  <si>
    <t>ACVS-29-R05-SL</t>
  </si>
  <si>
    <t>ACVS-29-V10-VS</t>
  </si>
  <si>
    <t>ACVS-29-V11-VS</t>
  </si>
  <si>
    <t>ACVS-29-R05-SL-A</t>
  </si>
  <si>
    <t>ACVS-29-R05-SL-B</t>
  </si>
  <si>
    <t>ACVS-29-R06-SL</t>
  </si>
  <si>
    <t>ACVS-29-V12-VS</t>
  </si>
  <si>
    <t>ACVS-29-V13-VS</t>
  </si>
  <si>
    <t>ACVS-29-R06-SL-A</t>
  </si>
  <si>
    <t>ACVS-29-R06-SL-B</t>
  </si>
  <si>
    <t>ACVS-29-R07-SL</t>
  </si>
  <si>
    <t>ACVS-29-V14-VS</t>
  </si>
  <si>
    <t>ACVS-29-V15-VS</t>
  </si>
  <si>
    <t>ACVS-29-R07-SL-A</t>
  </si>
  <si>
    <t>ACVS-29-R07-SL-B</t>
  </si>
  <si>
    <t>ACVS-30-R01-SL</t>
  </si>
  <si>
    <t>ACVS-30-V02-VS</t>
  </si>
  <si>
    <t>ACVS-30-V03-VS</t>
  </si>
  <si>
    <t>ACVS-30-R01-SL-A</t>
  </si>
  <si>
    <t>ACVS-30-R01-SL-B</t>
  </si>
  <si>
    <t>ACVS-30-R02-SL</t>
  </si>
  <si>
    <t>ACVS-30-V04-VS</t>
  </si>
  <si>
    <t>ACVS-30-V05-VS</t>
  </si>
  <si>
    <t>ACVS-30-R02-SL-A</t>
  </si>
  <si>
    <t>ACVS-30-R02-SL-B</t>
  </si>
  <si>
    <t>ACVS-30-R03-SL</t>
  </si>
  <si>
    <t>ACVS-30-V06-VS</t>
  </si>
  <si>
    <t>ACVS-30-V07-VS</t>
  </si>
  <si>
    <t>ACVS-30-R03-SL-A</t>
  </si>
  <si>
    <t>ACVS-30-R03-SL-B</t>
  </si>
  <si>
    <t>ACVS-30-R04-SL</t>
  </si>
  <si>
    <t>ACVS-30-V08-VS</t>
  </si>
  <si>
    <t>ACVS-30-V09-VS</t>
  </si>
  <si>
    <t>ACVS-30-R04-SL-A</t>
  </si>
  <si>
    <t>ACVS-30-R04-SL-B</t>
  </si>
  <si>
    <t>ACVS-30-R05-SL</t>
  </si>
  <si>
    <t>ACVS-30-V10-VS</t>
  </si>
  <si>
    <t>ACVS-30-V11-VS</t>
  </si>
  <si>
    <t>ACVS-30-R05-SL-A</t>
  </si>
  <si>
    <t>ACVS-30-R05-SL-B</t>
  </si>
  <si>
    <t>ACVS-30-R06-SL</t>
  </si>
  <si>
    <t>ACVS-30-V12-VS</t>
  </si>
  <si>
    <t>ACVS-30-V13-VS</t>
  </si>
  <si>
    <t>ACVS-30-R06-SL-A</t>
  </si>
  <si>
    <t>ACVS-30-R06-SL-B</t>
  </si>
  <si>
    <t>ACVS-30-R07-SL</t>
  </si>
  <si>
    <t>ACVS-30-V14-VS</t>
  </si>
  <si>
    <t>ACVS-30-V15-VS</t>
  </si>
  <si>
    <t>ACVS-30-R07-SL-A</t>
  </si>
  <si>
    <t>ACVS-30-R07-SL-B</t>
  </si>
  <si>
    <t>ACVS-31-R01-SL</t>
  </si>
  <si>
    <t>ACVS-31-V02-VS</t>
  </si>
  <si>
    <t>ACVS-31-V03-VS</t>
  </si>
  <si>
    <t>ACVS-31-R01-SL-A</t>
  </si>
  <si>
    <t>ACVS-31-R01-SL-B</t>
  </si>
  <si>
    <t>ACVS-31-R02-SL</t>
  </si>
  <si>
    <t>ACVS-31-V04-VS</t>
  </si>
  <si>
    <t>ACVS-31-V05-VS</t>
  </si>
  <si>
    <t>ACVS-31-R02-SL-A</t>
  </si>
  <si>
    <t>ACVS-31-R02-SL-B</t>
  </si>
  <si>
    <t>ACVS-31-R03-SL</t>
  </si>
  <si>
    <t>ACVS-31-V06-VS</t>
  </si>
  <si>
    <t>ACVS-31-V07-VS</t>
  </si>
  <si>
    <t>ACVS-31-R03-SL-A</t>
  </si>
  <si>
    <t>ACVS-31-R03-SL-B</t>
  </si>
  <si>
    <t>ACVS-31-R04-SL</t>
  </si>
  <si>
    <t>ACVS-31-V08-VS</t>
  </si>
  <si>
    <t>ACVS-31-V09-VS</t>
  </si>
  <si>
    <t>ACVS-31-R04-SL-A</t>
  </si>
  <si>
    <t>ACVS-31-R04-SL-B</t>
  </si>
  <si>
    <t>ACVS-31-R05-SL</t>
  </si>
  <si>
    <t>ACVS-31-V10-VS</t>
  </si>
  <si>
    <t>ACVS-31-V11-VS</t>
  </si>
  <si>
    <t>ACVS-31-R05-SL-A</t>
  </si>
  <si>
    <t>ACVS-31-R05-SL-B</t>
  </si>
  <si>
    <t>ACVS-31-R06-SL</t>
  </si>
  <si>
    <t>ACVS-31-V12-VS</t>
  </si>
  <si>
    <t>ACVS-31-V13-VS</t>
  </si>
  <si>
    <t>ACVS-31-R06-SL-A</t>
  </si>
  <si>
    <t>ACVS-31-R06-SL-B</t>
  </si>
  <si>
    <t>ACVS-31-R07-SL</t>
  </si>
  <si>
    <t>ACVS-31-V14-VS</t>
  </si>
  <si>
    <t>ACVS-31-V15-VS</t>
  </si>
  <si>
    <t>ACVS-31-R07-SL-A</t>
  </si>
  <si>
    <t>ACVS-31-R07-SL-B</t>
  </si>
  <si>
    <t>ACVS-32-R01-SL</t>
  </si>
  <si>
    <t>ACVS-32-V02-VS</t>
  </si>
  <si>
    <t>ACVS-32-V03-VS</t>
  </si>
  <si>
    <t>ACVS-32-R01-SL-A</t>
  </si>
  <si>
    <t>ACVS-32-R01-SL-B</t>
  </si>
  <si>
    <t>ACVS-32-R02-SL</t>
  </si>
  <si>
    <t>ACVS-32-V04-VS</t>
  </si>
  <si>
    <t>ACVS-32-V05-VS</t>
  </si>
  <si>
    <t>ACVS-32-R02-SL-A</t>
  </si>
  <si>
    <t>ACVS-32-R02-SL-B</t>
  </si>
  <si>
    <t>ACVS-32-R03-SL</t>
  </si>
  <si>
    <t>ACVS-32-V06-VS</t>
  </si>
  <si>
    <t>ACVS-32-V07-VS</t>
  </si>
  <si>
    <t>ACVS-32-R03-SL-A</t>
  </si>
  <si>
    <t>ACVS-32-R03-SL-B</t>
  </si>
  <si>
    <t>ACVS-32-R04-SL</t>
  </si>
  <si>
    <t>ACVS-32-V08-VS</t>
  </si>
  <si>
    <t>ACVS-32-V09-VS</t>
  </si>
  <si>
    <t>ACVS-32-R04-SL-A</t>
  </si>
  <si>
    <t>ACVS-32-R04-SL-B</t>
  </si>
  <si>
    <t>ACVS-32-R05-SL</t>
  </si>
  <si>
    <t>ACVS-32-V10-VS</t>
  </si>
  <si>
    <t>ACVS-32-V11-VS</t>
  </si>
  <si>
    <t>ACVS-32-R05-SL-A</t>
  </si>
  <si>
    <t>ACVS-32-R05-SL-B</t>
  </si>
  <si>
    <t>ACVS-32-R06-SL</t>
  </si>
  <si>
    <t>ACVS-32-V12-VS</t>
  </si>
  <si>
    <t>ACVS-32-V13-VS</t>
  </si>
  <si>
    <t>ACVS-32-R06-SL-A</t>
  </si>
  <si>
    <t>ACVS-32-R06-SL-B</t>
  </si>
  <si>
    <t>ACVS-32-R07-SL</t>
  </si>
  <si>
    <t>ACVS-32-V14-VS</t>
  </si>
  <si>
    <t>ACVS-32-V15-VS</t>
  </si>
  <si>
    <t>ACVS-32-R07-SL-A</t>
  </si>
  <si>
    <t>ACVS-32-R07-SL-B</t>
  </si>
  <si>
    <t>ACVS-33-R01-SL</t>
  </si>
  <si>
    <t>ACVS-33-V02-VS</t>
  </si>
  <si>
    <t>ACVS-33-V03-VS</t>
  </si>
  <si>
    <t>ACVS-33-R01-SL-A</t>
  </si>
  <si>
    <t>ACVS-33-R01-SL-B</t>
  </si>
  <si>
    <t>ACVS-33-R02-SL</t>
  </si>
  <si>
    <t>ACVS-33-V04-VS</t>
  </si>
  <si>
    <t>ACVS-33-V05-VS</t>
  </si>
  <si>
    <t>ACVS-33-R02-SL-A</t>
  </si>
  <si>
    <t>ACVS-33-R02-SL-B</t>
  </si>
  <si>
    <t>ACVS-33-R03-SL</t>
  </si>
  <si>
    <t>ACVS-33-V06-VS</t>
  </si>
  <si>
    <t>ACVS-33-V07-VS</t>
  </si>
  <si>
    <t>ACVS-33-R03-SL-A</t>
  </si>
  <si>
    <t>ACVS-33-R03-SL-B</t>
  </si>
  <si>
    <t>ACVS-33-R04-SL</t>
  </si>
  <si>
    <t>ACVS-33-V08-VS</t>
  </si>
  <si>
    <t>ACVS-33-V09-VS</t>
  </si>
  <si>
    <t>ACVS-33-R04-SL-A</t>
  </si>
  <si>
    <t>ACVS-33-R04-SL-B</t>
  </si>
  <si>
    <t>ACVS-33-R05-SL</t>
  </si>
  <si>
    <t>ACVS-33-V10-VS</t>
  </si>
  <si>
    <t>ACVS-33-V11-VS</t>
  </si>
  <si>
    <t>ACVS-33-R05-SL-A</t>
  </si>
  <si>
    <t>ACVS-33-R05-SL-B</t>
  </si>
  <si>
    <t>ACVS-33-R06-SL</t>
  </si>
  <si>
    <t>ACVS-33-V12-VS</t>
  </si>
  <si>
    <t>ACVS-33-V13-VS</t>
  </si>
  <si>
    <t>ACVS-33-R06-SL-A</t>
  </si>
  <si>
    <t>ACVS-33-R06-SL-B</t>
  </si>
  <si>
    <t>ACVS-33-R07-SL</t>
  </si>
  <si>
    <t>ACVS-33-V14-VS</t>
  </si>
  <si>
    <t>ACVS-33-V15-VS</t>
  </si>
  <si>
    <t>ACVS-33-R07-SL-A</t>
  </si>
  <si>
    <t>ACVS-33-R07-SL-B</t>
  </si>
  <si>
    <t>ACVS-34-R01-SL</t>
  </si>
  <si>
    <t>ACVS-34-V02-VS</t>
  </si>
  <si>
    <t>ACVS-34-V03-VS</t>
  </si>
  <si>
    <t>ACVS-34-R01-SL-A</t>
  </si>
  <si>
    <t>ACVS-34-R01-SL-B</t>
  </si>
  <si>
    <t>ACVS-34-R02-SL</t>
  </si>
  <si>
    <t>ACVS-34-V04-VS</t>
  </si>
  <si>
    <t>ACVS-34-V05-VS</t>
  </si>
  <si>
    <t>ACVS-34-R02-SL-A</t>
  </si>
  <si>
    <t>ACVS-34-R02-SL-B</t>
  </si>
  <si>
    <t>ACVS-34-R03-SL</t>
  </si>
  <si>
    <t>ACVS-34-V06-VS</t>
  </si>
  <si>
    <t>ACVS-34-V07-VS</t>
  </si>
  <si>
    <t>ACVS-34-R03-SL-A</t>
  </si>
  <si>
    <t>ACVS-34-R03-SL-B</t>
  </si>
  <si>
    <t>ACVS-34-R04-SL</t>
  </si>
  <si>
    <t>ACVS-34-V08-VS</t>
  </si>
  <si>
    <t>ACVS-34-V09-VS</t>
  </si>
  <si>
    <t>ACVS-34-R04-SL-A</t>
  </si>
  <si>
    <t>ACVS-34-R04-SL-B</t>
  </si>
  <si>
    <t>ACVS-34-R05-SL</t>
  </si>
  <si>
    <t>ACVS-34-V10-VS</t>
  </si>
  <si>
    <t>ACVS-34-V11-VS</t>
  </si>
  <si>
    <t>ACVS-34-R05-SL-A</t>
  </si>
  <si>
    <t>ACVS-34-R05-SL-B</t>
  </si>
  <si>
    <t>ACVS-34-R06-SL</t>
  </si>
  <si>
    <t>ACVS-34-V12-VS</t>
  </si>
  <si>
    <t>ACVS-34-V13-VS</t>
  </si>
  <si>
    <t>ACVS-34-R06-SL-A</t>
  </si>
  <si>
    <t>ACVS-34-R06-SL-B</t>
  </si>
  <si>
    <t>ACVS-34-R07-SL</t>
  </si>
  <si>
    <t>ACVS-34-V14-VS</t>
  </si>
  <si>
    <t>ACVS-34-V15-VS</t>
  </si>
  <si>
    <t>ACVS-34-R07-SL-A</t>
  </si>
  <si>
    <t>ACVS-34-R07-SL-B</t>
  </si>
  <si>
    <t>ACVS-35-R01-SL</t>
  </si>
  <si>
    <t>ACVS-35-V02-VS</t>
  </si>
  <si>
    <t>ACVS-35-V03-VS</t>
  </si>
  <si>
    <t>ACVS-35-R01-SL-A</t>
  </si>
  <si>
    <t>ACVS-35-R01-SL-B</t>
  </si>
  <si>
    <t>ACVS-35-R02-SL</t>
  </si>
  <si>
    <t>ACVS-35-V04-VS</t>
  </si>
  <si>
    <t>ACVS-35-V05-VS</t>
  </si>
  <si>
    <t>ACVS-35-R02-SL-A</t>
  </si>
  <si>
    <t>ACVS-35-R02-SL-B</t>
  </si>
  <si>
    <t>ACVS-35-R03-SL</t>
  </si>
  <si>
    <t>ACVS-35-V06-VS</t>
  </si>
  <si>
    <t>ACVS-35-V07-VS</t>
  </si>
  <si>
    <t>ACVS-35-R03-SL-A</t>
  </si>
  <si>
    <t>ACVS-35-R03-SL-B</t>
  </si>
  <si>
    <t>ACVS-35-R04-SL</t>
  </si>
  <si>
    <t>ACVS-35-V08-VS</t>
  </si>
  <si>
    <t>ACVS-35-V09-VS</t>
  </si>
  <si>
    <t>ACVS-35-R04-SL-A</t>
  </si>
  <si>
    <t>ACVS-35-R04-SL-B</t>
  </si>
  <si>
    <t>ACVS-35-R05-SL</t>
  </si>
  <si>
    <t>ACVS-35-V10-VS</t>
  </si>
  <si>
    <t>ACVS-35-V11-VS</t>
  </si>
  <si>
    <t>ACVS-35-R05-SL-A</t>
  </si>
  <si>
    <t>ACVS-35-R05-SL-B</t>
  </si>
  <si>
    <t>ACVS-35-R06-SL</t>
  </si>
  <si>
    <t>ACVS-35-V12-VS</t>
  </si>
  <si>
    <t>ACVS-35-V13-VS</t>
  </si>
  <si>
    <t>ACVS-35-R06-SL-A</t>
  </si>
  <si>
    <t>ACVS-35-R06-SL-B</t>
  </si>
  <si>
    <t>ACVS-35-R07-SL</t>
  </si>
  <si>
    <t>ACVS-35-V14-VS</t>
  </si>
  <si>
    <t>ACVS-35-V15-VS</t>
  </si>
  <si>
    <t>ACVS-35-R07-SL-A</t>
  </si>
  <si>
    <t>ACVS-35-R07-SL-B</t>
  </si>
  <si>
    <t>ACVS-36-R01-SL</t>
  </si>
  <si>
    <t>ACVS-36-V02-VS</t>
  </si>
  <si>
    <t>ACVS-36-V03-VS</t>
  </si>
  <si>
    <t>ACVS-36-R01-SL-A</t>
  </si>
  <si>
    <t>ACVS-36-R01-SL-B</t>
  </si>
  <si>
    <t>ACVS-36-R02-SL</t>
  </si>
  <si>
    <t>ACVS-36-V04-VS</t>
  </si>
  <si>
    <t>ACVS-36-V05-VS</t>
  </si>
  <si>
    <t>ACVS-36-R02-SL-A</t>
  </si>
  <si>
    <t>ACVS-36-R02-SL-B</t>
  </si>
  <si>
    <t>ACVS-36-R03-SL</t>
  </si>
  <si>
    <t>ACVS-36-V06-VS</t>
  </si>
  <si>
    <t>ACVS-36-V07-VS</t>
  </si>
  <si>
    <t>ACVS-36-R03-SL-A</t>
  </si>
  <si>
    <t>ACVS-36-R03-SL-B</t>
  </si>
  <si>
    <t>ACVS-36-R04-SL</t>
  </si>
  <si>
    <t>ACVS-36-V08-VS</t>
  </si>
  <si>
    <t>ACVS-36-V09-VS</t>
  </si>
  <si>
    <t>ACVS-36-R04-SL-A</t>
  </si>
  <si>
    <t>ACVS-36-R04-SL-B</t>
  </si>
  <si>
    <t>ACVS-36-R05-SL</t>
  </si>
  <si>
    <t>ACVS-36-V10-VS</t>
  </si>
  <si>
    <t>ACVS-36-V11-VS</t>
  </si>
  <si>
    <t>ACVS-36-R05-SL-A</t>
  </si>
  <si>
    <t>ACVS-36-R05-SL-B</t>
  </si>
  <si>
    <t>ACVS-36-R06-SL</t>
  </si>
  <si>
    <t>ACVS-36-V12-VS</t>
  </si>
  <si>
    <t>ACVS-36-V13-VS</t>
  </si>
  <si>
    <t>ACVS-36-R06-SL-A</t>
  </si>
  <si>
    <t>ACVS-36-R06-SL-B</t>
  </si>
  <si>
    <t>ACVS-36-R07-SL</t>
  </si>
  <si>
    <t>ACVS-36-V14-VS</t>
  </si>
  <si>
    <t>ACVS-36-V15-VS</t>
  </si>
  <si>
    <t>ACVS-36-R07-SL-A</t>
  </si>
  <si>
    <t>ACVS-36-R07-SL-B</t>
  </si>
  <si>
    <t>ACVS-37-R01-SL</t>
  </si>
  <si>
    <t>ACVS-37-V02-VS</t>
  </si>
  <si>
    <t>ACVS-37-V03-VS</t>
  </si>
  <si>
    <t>ACVS-37-R01-SL-A</t>
  </si>
  <si>
    <t>ACVS-37-R01-SL-B</t>
  </si>
  <si>
    <t>ACVS-37-R02-SL</t>
  </si>
  <si>
    <t>ACVS-37-V04-VS</t>
  </si>
  <si>
    <t>ACVS-37-V05-VS</t>
  </si>
  <si>
    <t>ACVS-37-R02-SL-A</t>
  </si>
  <si>
    <t>ACVS-37-R02-SL-B</t>
  </si>
  <si>
    <t>ACVS-37-R03-SL</t>
  </si>
  <si>
    <t>ACVS-37-V06-VS</t>
  </si>
  <si>
    <t>ACVS-37-V07-VS</t>
  </si>
  <si>
    <t>ACVS-37-R03-SL-A</t>
  </si>
  <si>
    <t>ACVS-37-R03-SL-B</t>
  </si>
  <si>
    <t>ACVS-37-R04-SL</t>
  </si>
  <si>
    <t>ACVS-37-V08-VS</t>
  </si>
  <si>
    <t>ACVS-37-V09-VS</t>
  </si>
  <si>
    <t>ACVS-37-R04-SL-A</t>
  </si>
  <si>
    <t>ACVS-37-R04-SL-B</t>
  </si>
  <si>
    <t>ACVS-37-R05-SL</t>
  </si>
  <si>
    <t>ACVS-37-V10-VS</t>
  </si>
  <si>
    <t>ACVS-37-V11-VS</t>
  </si>
  <si>
    <t>ACVS-37-R05-SL-A</t>
  </si>
  <si>
    <t>ACVS-37-R05-SL-B</t>
  </si>
  <si>
    <t>ACVS-37-R06-SL</t>
  </si>
  <si>
    <t>ACVS-37-V12-VS</t>
  </si>
  <si>
    <t>ACVS-37-V13-VS</t>
  </si>
  <si>
    <t>ACVS-37-R06-SL-A</t>
  </si>
  <si>
    <t>ACVS-37-R06-SL-B</t>
  </si>
  <si>
    <t>ACVS-37-R07-SL</t>
  </si>
  <si>
    <t>ACVS-37-V14-VS</t>
  </si>
  <si>
    <t>ACVS-37-V15-VS</t>
  </si>
  <si>
    <t>ACVS-37-R07-SL-A</t>
  </si>
  <si>
    <t>ACVS-37-R07-SL-B</t>
  </si>
  <si>
    <t>ACVS-38-R01-SL</t>
  </si>
  <si>
    <t>ACVS-38-V02-VS</t>
  </si>
  <si>
    <t>ACVS-38-V03-VS</t>
  </si>
  <si>
    <t>ACVS-38-R01-SL-A</t>
  </si>
  <si>
    <t>ACVS-38-R01-SL-B</t>
  </si>
  <si>
    <t>ACVS-38-R02-SL</t>
  </si>
  <si>
    <t>ACVS-38-V04-VS</t>
  </si>
  <si>
    <t>ACVS-38-V05-VS</t>
  </si>
  <si>
    <t>ACVS-38-R02-SL-A</t>
  </si>
  <si>
    <t>ACVS-38-R02-SL-B</t>
  </si>
  <si>
    <t>ACVS-38-R03-SL</t>
  </si>
  <si>
    <t>ACVS-38-V06-VS</t>
  </si>
  <si>
    <t>ACVS-38-V07-VS</t>
  </si>
  <si>
    <t>ACVS-38-R03-SL-A</t>
  </si>
  <si>
    <t>ACVS-38-R03-SL-B</t>
  </si>
  <si>
    <t>ACVS-38-R04-SL</t>
  </si>
  <si>
    <t>ACVS-38-V08-VS</t>
  </si>
  <si>
    <t>ACVS-38-V09-VS</t>
  </si>
  <si>
    <t>ACVS-38-R04-SL-A</t>
  </si>
  <si>
    <t>ACVS-38-R04-SL-B</t>
  </si>
  <si>
    <t>ACVS-38-R05-SL</t>
  </si>
  <si>
    <t>ACVS-38-V10-VS</t>
  </si>
  <si>
    <t>ACVS-38-V11-VS</t>
  </si>
  <si>
    <t>ACVS-38-R05-SL-A</t>
  </si>
  <si>
    <t>ACVS-38-R05-SL-B</t>
  </si>
  <si>
    <t>ACVS-38-R06-SL</t>
  </si>
  <si>
    <t>ACVS-38-V12-VS</t>
  </si>
  <si>
    <t>ACVS-38-V13-VS</t>
  </si>
  <si>
    <t>ACVS-38-R06-SL-A</t>
  </si>
  <si>
    <t>ACVS-38-R06-SL-B</t>
  </si>
  <si>
    <t>ACVS-38-R07-SL</t>
  </si>
  <si>
    <t>ACVS-38-V14-VS</t>
  </si>
  <si>
    <t>ACVS-38-V15-VS</t>
  </si>
  <si>
    <t>ACVS-38-R07-SL-A</t>
  </si>
  <si>
    <t>ACVS-38-R07-SL-B</t>
  </si>
  <si>
    <t>ACVS-39-R01-SL</t>
  </si>
  <si>
    <t>ACVS-39-V02-VS</t>
  </si>
  <si>
    <t>ACVS-39-V03-VS</t>
  </si>
  <si>
    <t>ACVS-39-R01-SL-A</t>
  </si>
  <si>
    <t>ACVS-39-R01-SL-B</t>
  </si>
  <si>
    <t>ACVS-39-R02-SL</t>
  </si>
  <si>
    <t>ACVS-39-V04-VS</t>
  </si>
  <si>
    <t>ACVS-39-V05-VS</t>
  </si>
  <si>
    <t>ACVS-39-R02-SL-A</t>
  </si>
  <si>
    <t>ACVS-39-R02-SL-B</t>
  </si>
  <si>
    <t>ACVS-39-R03-SL</t>
  </si>
  <si>
    <t>ACVS-39-V06-VS</t>
  </si>
  <si>
    <t>ACVS-39-V07-VS</t>
  </si>
  <si>
    <t>ACVS-39-R03-SL-A</t>
  </si>
  <si>
    <t>ACVS-39-R03-SL-B</t>
  </si>
  <si>
    <t>ACVS-39-R04-SL</t>
  </si>
  <si>
    <t>ACVS-39-V08-VS</t>
  </si>
  <si>
    <t>ACVS-39-V09-VS</t>
  </si>
  <si>
    <t>ACVS-39-R04-SL-A</t>
  </si>
  <si>
    <t>ACVS-39-R04-SL-B</t>
  </si>
  <si>
    <t>ACVS-39-R05-SL</t>
  </si>
  <si>
    <t>ACVS-39-V10-VS</t>
  </si>
  <si>
    <t>ACVS-39-V11-VS</t>
  </si>
  <si>
    <t>ACVS-39-R05-SL-A</t>
  </si>
  <si>
    <t>ACVS-39-R05-SL-B</t>
  </si>
  <si>
    <t>ACVS-39-R06-SL</t>
  </si>
  <si>
    <t>ACVS-39-V12-VS</t>
  </si>
  <si>
    <t>ACVS-39-V13-VS</t>
  </si>
  <si>
    <t>ACVS-39-R06-SL-A</t>
  </si>
  <si>
    <t>ACVS-39-R06-SL-B</t>
  </si>
  <si>
    <t>ACVS-39-R07-SL</t>
  </si>
  <si>
    <t>ACVS-39-V14-VS</t>
  </si>
  <si>
    <t>ACVS-39-V15-VS</t>
  </si>
  <si>
    <t>ACVS-39-R07-SL-A</t>
  </si>
  <si>
    <t>ACVS-39-R07-SL-B</t>
  </si>
  <si>
    <t>ACVS-40-R01-SL</t>
  </si>
  <si>
    <t>ACVS-40-V02-VS</t>
  </si>
  <si>
    <t>ACVS-40-V03-VS</t>
  </si>
  <si>
    <t>ACVS-40-R01-SL-A</t>
  </si>
  <si>
    <t>ACVS-40-R01-SL-B</t>
  </si>
  <si>
    <t>ACVS-40-R02-SL</t>
  </si>
  <si>
    <t>ACVS-40-V04-VS</t>
  </si>
  <si>
    <t>ACVS-40-V05-VS</t>
  </si>
  <si>
    <t>ACVS-40-R02-SL-A</t>
  </si>
  <si>
    <t>ACVS-40-R02-SL-B</t>
  </si>
  <si>
    <t>ACVS-40-R03-SL</t>
  </si>
  <si>
    <t>ACVS-40-V06-VS</t>
  </si>
  <si>
    <t>ACVS-40-V07-VS</t>
  </si>
  <si>
    <t>ACVS-40-R03-SL-A</t>
  </si>
  <si>
    <t>ACVS-40-R03-SL-B</t>
  </si>
  <si>
    <t>ACVS-40-R04-SL</t>
  </si>
  <si>
    <t>ACVS-40-V08-VS</t>
  </si>
  <si>
    <t>ACVS-40-V09-VS</t>
  </si>
  <si>
    <t>ACVS-40-R04-SL-A</t>
  </si>
  <si>
    <t>ACVS-40-R04-SL-B</t>
  </si>
  <si>
    <t>ACVS-40-R05-SL</t>
  </si>
  <si>
    <t>ACVS-40-V10-VS</t>
  </si>
  <si>
    <t>ACVS-40-V11-VS</t>
  </si>
  <si>
    <t>ACVS-40-R05-SL-A</t>
  </si>
  <si>
    <t>ACVS-40-R05-SL-B</t>
  </si>
  <si>
    <t>ACVS-40-R06-SL</t>
  </si>
  <si>
    <t>ACVS-40-V12-VS</t>
  </si>
  <si>
    <t>ACVS-40-V13-VS</t>
  </si>
  <si>
    <t>ACVS-40-R06-SL-A</t>
  </si>
  <si>
    <t>ACVS-40-R06-SL-B</t>
  </si>
  <si>
    <t>ACVS-40-R07-SL</t>
  </si>
  <si>
    <t>ACVS-40-V14-VS</t>
  </si>
  <si>
    <t>ACVS-40-V15-VS</t>
  </si>
  <si>
    <t>ACVS-40-R07-SL-A</t>
  </si>
  <si>
    <t>ACVS-40-R07-SL-B</t>
  </si>
  <si>
    <t>ACVS-41-R01-SL</t>
  </si>
  <si>
    <t>ACVS-41-V02-VS</t>
  </si>
  <si>
    <t>ACVS-41-V03-VS</t>
  </si>
  <si>
    <t>ACVS-41-R01-SL-A</t>
  </si>
  <si>
    <t>ACVS-41-R01-SL-B</t>
  </si>
  <si>
    <t>ACVS-41-R02-SL</t>
  </si>
  <si>
    <t>ACVS-41-V04-VS</t>
  </si>
  <si>
    <t>ACVS-41-V05-VS</t>
  </si>
  <si>
    <t>ACVS-41-R02-SL-A</t>
  </si>
  <si>
    <t>ACVS-41-R02-SL-B</t>
  </si>
  <si>
    <t>ACVS-41-R03-SL</t>
  </si>
  <si>
    <t>ACVS-41-V06-VS</t>
  </si>
  <si>
    <t>ACVS-41-V07-VS</t>
  </si>
  <si>
    <t>ACVS-41-R03-SL-A</t>
  </si>
  <si>
    <t>ACVS-41-R03-SL-B</t>
  </si>
  <si>
    <t>ACVS-41-R04-SL</t>
  </si>
  <si>
    <t>ACVS-41-V08-VS</t>
  </si>
  <si>
    <t>ACVS-41-V09-VS</t>
  </si>
  <si>
    <t>ACVS-41-R04-SL-A</t>
  </si>
  <si>
    <t>ACVS-41-R04-SL-B</t>
  </si>
  <si>
    <t>ACVS-41-R05-SL</t>
  </si>
  <si>
    <t>ACVS-41-V10-VS</t>
  </si>
  <si>
    <t>ACVS-41-V11-VS</t>
  </si>
  <si>
    <t>ACVS-41-R05-SL-A</t>
  </si>
  <si>
    <t>ACVS-41-R05-SL-B</t>
  </si>
  <si>
    <t>ACVS-41-R06-SL</t>
  </si>
  <si>
    <t>ACVS-41-V12-VS</t>
  </si>
  <si>
    <t>ACVS-41-V13-VS</t>
  </si>
  <si>
    <t>ACVS-41-R06-SL-A</t>
  </si>
  <si>
    <t>ACVS-41-R06-SL-B</t>
  </si>
  <si>
    <t>ACVS-41-R07-SL</t>
  </si>
  <si>
    <t>ACVS-41-V14-VS</t>
  </si>
  <si>
    <t>ACVS-41-V15-VS</t>
  </si>
  <si>
    <t>ACVS-41-R07-SL-A</t>
  </si>
  <si>
    <t>ACVS-41-R07-SL-B</t>
  </si>
  <si>
    <t>ACVS-42-R01-SL</t>
  </si>
  <si>
    <t>ACVS-42-V02-VS</t>
  </si>
  <si>
    <t>ACVS-42-V03-VS</t>
  </si>
  <si>
    <t>ACVS-42-R01-SL-A</t>
  </si>
  <si>
    <t>ACVS-42-R01-SL-B</t>
  </si>
  <si>
    <t>ACVS-42-R02-SL</t>
  </si>
  <si>
    <t>ACVS-42-V04-VS</t>
  </si>
  <si>
    <t>ACVS-42-V05-VS</t>
  </si>
  <si>
    <t>ACVS-42-R02-SL-A</t>
  </si>
  <si>
    <t>ACVS-42-R02-SL-B</t>
  </si>
  <si>
    <t>ACVS-42-R03-SL</t>
  </si>
  <si>
    <t>ACVS-42-V06-VS</t>
  </si>
  <si>
    <t>ACVS-42-V07-VS</t>
  </si>
  <si>
    <t>ACVS-42-R03-SL-A</t>
  </si>
  <si>
    <t>ACVS-42-R03-SL-B</t>
  </si>
  <si>
    <t>ACVS-42-R04-SL</t>
  </si>
  <si>
    <t>ACVS-42-V08-VS</t>
  </si>
  <si>
    <t>ACVS-42-V09-VS</t>
  </si>
  <si>
    <t>ACVS-42-R04-SL-A</t>
  </si>
  <si>
    <t>ACVS-42-R04-SL-B</t>
  </si>
  <si>
    <t>ACVS-42-R05-SL</t>
  </si>
  <si>
    <t>ACVS-42-V10-VS</t>
  </si>
  <si>
    <t>ACVS-42-V11-VS</t>
  </si>
  <si>
    <t>ACVS-42-R05-SL-A</t>
  </si>
  <si>
    <t>ACVS-42-R05-SL-B</t>
  </si>
  <si>
    <t>ACVS-42-R06-SL</t>
  </si>
  <si>
    <t>ACVS-42-V12-VS</t>
  </si>
  <si>
    <t>ACVS-42-V13-VS</t>
  </si>
  <si>
    <t>ACVS-42-R06-SL-A</t>
  </si>
  <si>
    <t>ACVS-42-R06-SL-B</t>
  </si>
  <si>
    <t>ACVS-42-R07-SL</t>
  </si>
  <si>
    <t>ACVS-42-V14-VS</t>
  </si>
  <si>
    <t>ACVS-42-V15-VS</t>
  </si>
  <si>
    <t>ACVS-42-R07-SL-A</t>
  </si>
  <si>
    <t>ACVS-42-R07-SL-B</t>
  </si>
  <si>
    <t>ACVS-43-R01-SL</t>
  </si>
  <si>
    <t>ACVS-43-V02-VS</t>
  </si>
  <si>
    <t>ACVS-43-V03-VS</t>
  </si>
  <si>
    <t>ACVS-43-R01-SL-A</t>
  </si>
  <si>
    <t>ACVS-43-R01-SL-B</t>
  </si>
  <si>
    <t>ACVS-43-R02-SL</t>
  </si>
  <si>
    <t>ACVS-43-V04-VS</t>
  </si>
  <si>
    <t>ACVS-43-V05-VS</t>
  </si>
  <si>
    <t>ACVS-43-R02-SL-A</t>
  </si>
  <si>
    <t>ACVS-43-R02-SL-B</t>
  </si>
  <si>
    <t>ACVS-43-R03-SL</t>
  </si>
  <si>
    <t>ACVS-43-V06-VS</t>
  </si>
  <si>
    <t>ACVS-43-V07-VS</t>
  </si>
  <si>
    <t>ACVS-43-R03-SL-A</t>
  </si>
  <si>
    <t>ACVS-43-R03-SL-B</t>
  </si>
  <si>
    <t>ACVS-43-R04-SL</t>
  </si>
  <si>
    <t>ACVS-43-V08-VS</t>
  </si>
  <si>
    <t>ACVS-43-V09-VS</t>
  </si>
  <si>
    <t>ACVS-43-R04-SL-A</t>
  </si>
  <si>
    <t>ACVS-43-R04-SL-B</t>
  </si>
  <si>
    <t>ACVS-43-R05-SL</t>
  </si>
  <si>
    <t>ACVS-43-V10-VS</t>
  </si>
  <si>
    <t>ACVS-43-V11-VS</t>
  </si>
  <si>
    <t>ACVS-43-R05-SL-A</t>
  </si>
  <si>
    <t>ACVS-43-R05-SL-B</t>
  </si>
  <si>
    <t>ACVS-43-R06-SL</t>
  </si>
  <si>
    <t>ACVS-43-V12-VS</t>
  </si>
  <si>
    <t>ACVS-43-V13-VS</t>
  </si>
  <si>
    <t>ACVS-43-R06-SL-A</t>
  </si>
  <si>
    <t>ACVS-43-R06-SL-B</t>
  </si>
  <si>
    <t>ACVS-43-R07-SL</t>
  </si>
  <si>
    <t>ACVS-43-V14-VS</t>
  </si>
  <si>
    <t>ACVS-43-V15-VS</t>
  </si>
  <si>
    <t>ACVS-43-R07-SL-A</t>
  </si>
  <si>
    <t>ACVS-43-R07-SL-B</t>
  </si>
  <si>
    <t>ACVS-44-R01-SL</t>
  </si>
  <si>
    <t>ACVS-44-V02-VS</t>
  </si>
  <si>
    <t>ACVS-44-V03-VS</t>
  </si>
  <si>
    <t>ACVS-44-R01-SL-A</t>
  </si>
  <si>
    <t>ACVS-44-R01-SL-B</t>
  </si>
  <si>
    <t>ACVS-44-R02-SL</t>
  </si>
  <si>
    <t>ACVS-44-V04-VS</t>
  </si>
  <si>
    <t>ACVS-44-V05-VS</t>
  </si>
  <si>
    <t>ACVS-44-R02-SL-A</t>
  </si>
  <si>
    <t>ACVS-44-R02-SL-B</t>
  </si>
  <si>
    <t>ACVS-44-R03-SL</t>
  </si>
  <si>
    <t>ACVS-44-V06-VS</t>
  </si>
  <si>
    <t>ACVS-44-V07-VS</t>
  </si>
  <si>
    <t>ACVS-44-R03-SL-A</t>
  </si>
  <si>
    <t>ACVS-44-R03-SL-B</t>
  </si>
  <si>
    <t>ACVS-44-R04-SL</t>
  </si>
  <si>
    <t>ACVS-44-V08-VS</t>
  </si>
  <si>
    <t>ACVS-44-V09-VS</t>
  </si>
  <si>
    <t>ACVS-44-R04-SL-A</t>
  </si>
  <si>
    <t>ACVS-44-R04-SL-B</t>
  </si>
  <si>
    <t>ACVS-44-R05-SL</t>
  </si>
  <si>
    <t>ACVS-44-V10-VS</t>
  </si>
  <si>
    <t>ACVS-44-V11-VS</t>
  </si>
  <si>
    <t>ACVS-44-R05-SL-A</t>
  </si>
  <si>
    <t>ACVS-44-R05-SL-B</t>
  </si>
  <si>
    <t>ACVS-44-R06-SL</t>
  </si>
  <si>
    <t>ACVS-44-V12-VS</t>
  </si>
  <si>
    <t>ACVS-44-V13-VS</t>
  </si>
  <si>
    <t>ACVS-44-R06-SL-A</t>
  </si>
  <si>
    <t>ACVS-44-R06-SL-B</t>
  </si>
  <si>
    <t>ACVS-44-R07-SL</t>
  </si>
  <si>
    <t>ACVS-44-V14-VS</t>
  </si>
  <si>
    <t>ACVS-44-V15-VS</t>
  </si>
  <si>
    <t>ACVS-44-R07-SL-A</t>
  </si>
  <si>
    <t>ACVS-44-R07-SL-B</t>
  </si>
  <si>
    <t>ACVS-45-R01-SL</t>
  </si>
  <si>
    <t>ACVS-45-V02-VS</t>
  </si>
  <si>
    <t>ACVS-45-V03-VS</t>
  </si>
  <si>
    <t>ACVS-45-R01-SL-A</t>
  </si>
  <si>
    <t>ACVS-45-R01-SL-B</t>
  </si>
  <si>
    <t>ACVS-45-R02-SL</t>
  </si>
  <si>
    <t>ACVS-45-V04-VS</t>
  </si>
  <si>
    <t>ACVS-45-V05-VS</t>
  </si>
  <si>
    <t>ACVS-45-R02-SL-A</t>
  </si>
  <si>
    <t>ACVS-45-R02-SL-B</t>
  </si>
  <si>
    <t>ACVS-45-R03-SL</t>
  </si>
  <si>
    <t>ACVS-45-V06-VS</t>
  </si>
  <si>
    <t>ACVS-45-V07-VS</t>
  </si>
  <si>
    <t>ACVS-45-R03-SL-A</t>
  </si>
  <si>
    <t>ACVS-45-R03-SL-B</t>
  </si>
  <si>
    <t>ACVS-45-R04-SL</t>
  </si>
  <si>
    <t>ACVS-45-V08-VS</t>
  </si>
  <si>
    <t>ACVS-45-V09-VS</t>
  </si>
  <si>
    <t>ACVS-45-R04-SL-A</t>
  </si>
  <si>
    <t>ACVS-45-R04-SL-B</t>
  </si>
  <si>
    <t>ACVS-45-R05-SL</t>
  </si>
  <si>
    <t>ACVS-45-V10-VS</t>
  </si>
  <si>
    <t>ACVS-45-V11-VS</t>
  </si>
  <si>
    <t>ACVS-45-R05-SL-A</t>
  </si>
  <si>
    <t>ACVS-45-R05-SL-B</t>
  </si>
  <si>
    <t>ACVS-45-R06-SL</t>
  </si>
  <si>
    <t>ACVS-45-V12-VS</t>
  </si>
  <si>
    <t>ACVS-45-V13-VS</t>
  </si>
  <si>
    <t>ACVS-45-R06-SL-A</t>
  </si>
  <si>
    <t>ACVS-45-R06-SL-B</t>
  </si>
  <si>
    <t>ACVS-45-R07-SL</t>
  </si>
  <si>
    <t>ACVS-45-V14-VS</t>
  </si>
  <si>
    <t>ACVS-45-V15-VS</t>
  </si>
  <si>
    <t>ACVS-45-R07-SL-A</t>
  </si>
  <si>
    <t>ACVS-45-R07-SL-B</t>
  </si>
  <si>
    <t>ACVS-46-R01-SL</t>
  </si>
  <si>
    <t>ACVS-46-V02-VS</t>
  </si>
  <si>
    <t>ACVS-46-V03-VS</t>
  </si>
  <si>
    <t>ACVS-46-R01-SL-A</t>
  </si>
  <si>
    <t>ACVS-46-R01-SL-B</t>
  </si>
  <si>
    <t>ACVS-46-R02-SL</t>
  </si>
  <si>
    <t>ACVS-46-V04-VS</t>
  </si>
  <si>
    <t>ACVS-46-V05-VS</t>
  </si>
  <si>
    <t>ACVS-46-R02-SL-A</t>
  </si>
  <si>
    <t>ACVS-46-R02-SL-B</t>
  </si>
  <si>
    <t>ACVS-46-R03-SL</t>
  </si>
  <si>
    <t>ACVS-46-V06-VS</t>
  </si>
  <si>
    <t>ACVS-46-V07-VS</t>
  </si>
  <si>
    <t>ACVS-46-R03-SL-A</t>
  </si>
  <si>
    <t>ACVS-46-R03-SL-B</t>
  </si>
  <si>
    <t>ACVS-46-R04-SL</t>
  </si>
  <si>
    <t>ACVS-46-V08-VS</t>
  </si>
  <si>
    <t>ACVS-46-V09-VS</t>
  </si>
  <si>
    <t>ACVS-46-R04-SL-A</t>
  </si>
  <si>
    <t>ACVS-46-R04-SL-B</t>
  </si>
  <si>
    <t>ACVS-46-R05-SL</t>
  </si>
  <si>
    <t>ACVS-46-V10-VS</t>
  </si>
  <si>
    <t>ACVS-46-V11-VS</t>
  </si>
  <si>
    <t>ACVS-46-R05-SL-A</t>
  </si>
  <si>
    <t>ACVS-46-R05-SL-B</t>
  </si>
  <si>
    <t>ACVS-46-R06-SL</t>
  </si>
  <si>
    <t>ACVS-46-V12-VS</t>
  </si>
  <si>
    <t>ACVS-46-V13-VS</t>
  </si>
  <si>
    <t>ACVS-46-R06-SL-A</t>
  </si>
  <si>
    <t>ACVS-46-R06-SL-B</t>
  </si>
  <si>
    <t>ACVS-46-R07-SL</t>
  </si>
  <si>
    <t>ACVS-46-V14-VS</t>
  </si>
  <si>
    <t>ACVS-46-V15-VS</t>
  </si>
  <si>
    <t>ACVS-46-R07-SL-A</t>
  </si>
  <si>
    <t>ACVS-46-R07-SL-B</t>
  </si>
  <si>
    <t>ACVS-47-R01-SL</t>
  </si>
  <si>
    <t>ACVS-47-V02-VS</t>
  </si>
  <si>
    <t>ACVS-47-V03-VS</t>
  </si>
  <si>
    <t>ACVS-47-R01-SL-A</t>
  </si>
  <si>
    <t>ACVS-47-R01-SL-B</t>
  </si>
  <si>
    <t>ACVS-47-R02-SL</t>
  </si>
  <si>
    <t>ACVS-47-V04-VS</t>
  </si>
  <si>
    <t>ACVS-47-V05-VS</t>
  </si>
  <si>
    <t>ACVS-47-R02-SL-A</t>
  </si>
  <si>
    <t>ACVS-47-R02-SL-B</t>
  </si>
  <si>
    <t>ACVS-47-R03-SL</t>
  </si>
  <si>
    <t>ACVS-47-V06-VS</t>
  </si>
  <si>
    <t>ACVS-47-V07-VS</t>
  </si>
  <si>
    <t>ACVS-47-R03-SL-A</t>
  </si>
  <si>
    <t>ACVS-47-R03-SL-B</t>
  </si>
  <si>
    <t>ACVS-47-R04-SL</t>
  </si>
  <si>
    <t>ACVS-47-V08-VS</t>
  </si>
  <si>
    <t>ACVS-47-V09-VS</t>
  </si>
  <si>
    <t>ACVS-47-R04-SL-A</t>
  </si>
  <si>
    <t>ACVS-47-R04-SL-B</t>
  </si>
  <si>
    <t>ACVS-47-R05-SL</t>
  </si>
  <si>
    <t>ACVS-47-V10-VS</t>
  </si>
  <si>
    <t>ACVS-47-V11-VS</t>
  </si>
  <si>
    <t>ACVS-47-R05-SL-A</t>
  </si>
  <si>
    <t>ACVS-47-R05-SL-B</t>
  </si>
  <si>
    <t>ACVS-47-R06-SL</t>
  </si>
  <si>
    <t>ACVS-47-V12-VS</t>
  </si>
  <si>
    <t>ACVS-47-V13-VS</t>
  </si>
  <si>
    <t>ACVS-47-R06-SL-A</t>
  </si>
  <si>
    <t>ACVS-47-R06-SL-B</t>
  </si>
  <si>
    <t>ACVS-47-R07-SL</t>
  </si>
  <si>
    <t>ACVS-47-V14-VS</t>
  </si>
  <si>
    <t>ACVS-47-V15-VS</t>
  </si>
  <si>
    <t>ACVS-47-R07-SL-A</t>
  </si>
  <si>
    <t>ACVS-47-R07-SL-B</t>
  </si>
  <si>
    <t>ACVS-48-R01-SL</t>
  </si>
  <si>
    <t>ACVS-48-V02-VS</t>
  </si>
  <si>
    <t>ACVS-48-V03-VS</t>
  </si>
  <si>
    <t>ACVS-48-R01-SL-A</t>
  </si>
  <si>
    <t>ACVS-48-R01-SL-B</t>
  </si>
  <si>
    <t>ACVS-48-R02-SL</t>
  </si>
  <si>
    <t>ACVS-48-V04-VS</t>
  </si>
  <si>
    <t>ACVS-48-V05-VS</t>
  </si>
  <si>
    <t>ACVS-48-R02-SL-A</t>
  </si>
  <si>
    <t>ACVS-48-R02-SL-B</t>
  </si>
  <si>
    <t>ACVS-48-R03-SL</t>
  </si>
  <si>
    <t>ACVS-48-V06-VS</t>
  </si>
  <si>
    <t>ACVS-48-V07-VS</t>
  </si>
  <si>
    <t>ACVS-48-R03-SL-A</t>
  </si>
  <si>
    <t>ACVS-48-R03-SL-B</t>
  </si>
  <si>
    <t>ACVS-48-R04-SL</t>
  </si>
  <si>
    <t>ACVS-48-V08-VS</t>
  </si>
  <si>
    <t>ACVS-48-V09-VS</t>
  </si>
  <si>
    <t>ACVS-48-R04-SL-A</t>
  </si>
  <si>
    <t>ACVS-48-R04-SL-B</t>
  </si>
  <si>
    <t>ACVS-48-R05-SL</t>
  </si>
  <si>
    <t>ACVS-48-V10-VS</t>
  </si>
  <si>
    <t>ACVS-48-V11-VS</t>
  </si>
  <si>
    <t>ACVS-48-R05-SL-A</t>
  </si>
  <si>
    <t>ACVS-48-R05-SL-B</t>
  </si>
  <si>
    <t>ACVS-48-R06-SL</t>
  </si>
  <si>
    <t>ACVS-48-V12-VS</t>
  </si>
  <si>
    <t>ACVS-48-V13-VS</t>
  </si>
  <si>
    <t>ACVS-48-R06-SL-A</t>
  </si>
  <si>
    <t>ACVS-48-R06-SL-B</t>
  </si>
  <si>
    <t>ACVS-48-R07-SL</t>
  </si>
  <si>
    <t>ACVS-48-V14-VS</t>
  </si>
  <si>
    <t>ACVS-48-V15-VS</t>
  </si>
  <si>
    <t>ACVS-48-R07-SL-A</t>
  </si>
  <si>
    <t>ACVS-48-R07-SL-B</t>
  </si>
  <si>
    <t>ACVS-49-R01-SL</t>
  </si>
  <si>
    <t>ACVS-49-V02-VS</t>
  </si>
  <si>
    <t>ACVS-49-V03-VS</t>
  </si>
  <si>
    <t>ACVS-49-R01-SL-A</t>
  </si>
  <si>
    <t>ACVS-49-R01-SL-B</t>
  </si>
  <si>
    <t>ACVS-49-R02-SL</t>
  </si>
  <si>
    <t>ACVS-49-V04-VS</t>
  </si>
  <si>
    <t>ACVS-49-V05-VS</t>
  </si>
  <si>
    <t>ACVS-49-R02-SL-A</t>
  </si>
  <si>
    <t>ACVS-49-R02-SL-B</t>
  </si>
  <si>
    <t>ACVS-49-R03-SL</t>
  </si>
  <si>
    <t>ACVS-49-V06-VS</t>
  </si>
  <si>
    <t>ACVS-49-V07-VS</t>
  </si>
  <si>
    <t>ACVS-49-R03-SL-A</t>
  </si>
  <si>
    <t>ACVS-49-R03-SL-B</t>
  </si>
  <si>
    <t>ACVS-49-R04-SL</t>
  </si>
  <si>
    <t>ACVS-49-V08-VS</t>
  </si>
  <si>
    <t>ACVS-49-V09-VS</t>
  </si>
  <si>
    <t>ACVS-49-R04-SL-A</t>
  </si>
  <si>
    <t>ACVS-49-R04-SL-B</t>
  </si>
  <si>
    <t>ACVS-49-R05-SL</t>
  </si>
  <si>
    <t>ACVS-49-V10-VS</t>
  </si>
  <si>
    <t>ACVS-49-V11-VS</t>
  </si>
  <si>
    <t>ACVS-49-R05-SL-A</t>
  </si>
  <si>
    <t>ACVS-49-R05-SL-B</t>
  </si>
  <si>
    <t>ACVS-49-R06-SL</t>
  </si>
  <si>
    <t>ACVS-49-V12-VS</t>
  </si>
  <si>
    <t>ACVS-49-V13-VS</t>
  </si>
  <si>
    <t>ACVS-49-R06-SL-A</t>
  </si>
  <si>
    <t>ACVS-49-R06-SL-B</t>
  </si>
  <si>
    <t>ACVS-49-R07-SL</t>
  </si>
  <si>
    <t>ACVS-49-V14-VS</t>
  </si>
  <si>
    <t>ACVS-49-V15-VS</t>
  </si>
  <si>
    <t>ACVS-49-R07-SL-A</t>
  </si>
  <si>
    <t>ACVS-49-R07-SL-B</t>
  </si>
  <si>
    <t>ACVS-50-R01-SL</t>
  </si>
  <si>
    <t>ACVS-50-V02-VS</t>
  </si>
  <si>
    <t>ACVS-50-V03-VS</t>
  </si>
  <si>
    <t>ACVS-50-R01-SL-A</t>
  </si>
  <si>
    <t>ACVS-50-R01-SL-B</t>
  </si>
  <si>
    <t>ACVS-50-R02-SL</t>
  </si>
  <si>
    <t>ACVS-50-V04-VS</t>
  </si>
  <si>
    <t>ACVS-50-V05-VS</t>
  </si>
  <si>
    <t>ACVS-50-R02-SL-A</t>
  </si>
  <si>
    <t>ACVS-50-R02-SL-B</t>
  </si>
  <si>
    <t>ACVS-50-R03-SL</t>
  </si>
  <si>
    <t>ACVS-50-V06-VS</t>
  </si>
  <si>
    <t>ACVS-50-V07-VS</t>
  </si>
  <si>
    <t>ACVS-50-R03-SL-A</t>
  </si>
  <si>
    <t>ACVS-50-R03-SL-B</t>
  </si>
  <si>
    <t>ACVS-50-R04-SL</t>
  </si>
  <si>
    <t>ACVS-50-V08-VS</t>
  </si>
  <si>
    <t>ACVS-50-V09-VS</t>
  </si>
  <si>
    <t>ACVS-50-R04-SL-A</t>
  </si>
  <si>
    <t>ACVS-50-R04-SL-B</t>
  </si>
  <si>
    <t>ACVS-50-R05-SL</t>
  </si>
  <si>
    <t>ACVS-50-V10-VS</t>
  </si>
  <si>
    <t>ACVS-50-V11-VS</t>
  </si>
  <si>
    <t>ACVS-50-R05-SL-A</t>
  </si>
  <si>
    <t>ACVS-50-R05-SL-B</t>
  </si>
  <si>
    <t>ACVS-50-R06-SL</t>
  </si>
  <si>
    <t>ACVS-50-V12-VS</t>
  </si>
  <si>
    <t>ACVS-50-V13-VS</t>
  </si>
  <si>
    <t>ACVS-50-R06-SL-A</t>
  </si>
  <si>
    <t>ACVS-50-R06-SL-B</t>
  </si>
  <si>
    <t>ACVS-50-R07-SL</t>
  </si>
  <si>
    <t>ACVS-50-V14-VS</t>
  </si>
  <si>
    <t>ACVS-50-V15-VS</t>
  </si>
  <si>
    <t>ACVS-50-R07-SL-A</t>
  </si>
  <si>
    <t>ACVS-50-R07-SL-B</t>
  </si>
  <si>
    <t>ACVS-51-R01-SL</t>
  </si>
  <si>
    <t>ACVS-51-V02-VS</t>
  </si>
  <si>
    <t>ACVS-51-V03-VS</t>
  </si>
  <si>
    <t>ACVS-51-R01-SL-A</t>
  </si>
  <si>
    <t>ACVS-51-R01-SL-B</t>
  </si>
  <si>
    <t>ACVS-51-R02-SL</t>
  </si>
  <si>
    <t>ACVS-51-V04-VS</t>
  </si>
  <si>
    <t>ACVS-51-V05-VS</t>
  </si>
  <si>
    <t>ACVS-51-R02-SL-A</t>
  </si>
  <si>
    <t>ACVS-51-R02-SL-B</t>
  </si>
  <si>
    <t>ACVS-51-R03-SL</t>
  </si>
  <si>
    <t>ACVS-51-V06-VS</t>
  </si>
  <si>
    <t>ACVS-51-V07-VS</t>
  </si>
  <si>
    <t>ACVS-51-R03-SL-A</t>
  </si>
  <si>
    <t>ACVS-51-R03-SL-B</t>
  </si>
  <si>
    <t>ACVS-51-R04-SL</t>
  </si>
  <si>
    <t>ACVS-51-V08-VS</t>
  </si>
  <si>
    <t>ACVS-51-V09-VS</t>
  </si>
  <si>
    <t>ACVS-51-R04-SL-A</t>
  </si>
  <si>
    <t>ACVS-51-R04-SL-B</t>
  </si>
  <si>
    <t>ACVS-51-R05-SL</t>
  </si>
  <si>
    <t>ACVS-51-V10-VS</t>
  </si>
  <si>
    <t>ACVS-51-V11-VS</t>
  </si>
  <si>
    <t>ACVS-51-R05-SL-A</t>
  </si>
  <si>
    <t>ACVS-51-R05-SL-B</t>
  </si>
  <si>
    <t>ACVS-51-R06-SL</t>
  </si>
  <si>
    <t>ACVS-51-V12-VS</t>
  </si>
  <si>
    <t>ACVS-51-V13-VS</t>
  </si>
  <si>
    <t>ACVS-51-R06-SL-A</t>
  </si>
  <si>
    <t>ACVS-51-R06-SL-B</t>
  </si>
  <si>
    <t>ACVS-51-R07-SL</t>
  </si>
  <si>
    <t>ACVS-51-V14-VS</t>
  </si>
  <si>
    <t>ACVS-51-V15-VS</t>
  </si>
  <si>
    <t>ACVS-51-R07-SL-A</t>
  </si>
  <si>
    <t>ACVS-51-R07-SL-B</t>
  </si>
  <si>
    <t>ACVS-52-R01-SL</t>
  </si>
  <si>
    <t>ACVS-52-V02-VS</t>
  </si>
  <si>
    <t>ACVS-52-V03-VS</t>
  </si>
  <si>
    <t>ACVS-52-R01-SL-A</t>
  </si>
  <si>
    <t>ACVS-52-R01-SL-B</t>
  </si>
  <si>
    <t>ACVS-52-R02-SL</t>
  </si>
  <si>
    <t>ACVS-52-V04-VS</t>
  </si>
  <si>
    <t>ACVS-52-V05-VS</t>
  </si>
  <si>
    <t>ACVS-52-R02-SL-A</t>
  </si>
  <si>
    <t>ACVS-52-R02-SL-B</t>
  </si>
  <si>
    <t>ACVS-52-R03-SL</t>
  </si>
  <si>
    <t>ACVS-52-V06-VS</t>
  </si>
  <si>
    <t>ACVS-52-V07-VS</t>
  </si>
  <si>
    <t>ACVS-52-R03-SL-A</t>
  </si>
  <si>
    <t>ACVS-52-R03-SL-B</t>
  </si>
  <si>
    <t>ACVS-52-R04-SL</t>
  </si>
  <si>
    <t>ACVS-52-V08-VS</t>
  </si>
  <si>
    <t>ACVS-52-V09-VS</t>
  </si>
  <si>
    <t>ACVS-52-R04-SL-A</t>
  </si>
  <si>
    <t>ACVS-52-R04-SL-B</t>
  </si>
  <si>
    <t>ACVS-52-R05-SL</t>
  </si>
  <si>
    <t>ACVS-52-V10-VS</t>
  </si>
  <si>
    <t>ACVS-52-V11-VS</t>
  </si>
  <si>
    <t>ACVS-52-R05-SL-A</t>
  </si>
  <si>
    <t>ACVS-52-R05-SL-B</t>
  </si>
  <si>
    <t>ACVS-52-R06-SL</t>
  </si>
  <si>
    <t>ACVS-52-V12-VS</t>
  </si>
  <si>
    <t>ACVS-52-V13-VS</t>
  </si>
  <si>
    <t>ACVS-52-R06-SL-A</t>
  </si>
  <si>
    <t>ACVS-52-R06-SL-B</t>
  </si>
  <si>
    <t>ACVS-52-R07-SL</t>
  </si>
  <si>
    <t>ACVS-52-V14-VS</t>
  </si>
  <si>
    <t>ACVS-52-V15-VS</t>
  </si>
  <si>
    <t>ACVS-52-R07-SL-A</t>
  </si>
  <si>
    <t>ACVS-52-R07-SL-B</t>
  </si>
  <si>
    <t>ACVS-53-R01-SL</t>
  </si>
  <si>
    <t>ACVS-53-V02-VS</t>
  </si>
  <si>
    <t>ACVS-53-V03-VS</t>
  </si>
  <si>
    <t>ACVS-53-R01-SL-A</t>
  </si>
  <si>
    <t>ACVS-53-R01-SL-B</t>
  </si>
  <si>
    <t>ACVS-53-R02-SL</t>
  </si>
  <si>
    <t>ACVS-53-V04-VS</t>
  </si>
  <si>
    <t>ACVS-53-V05-VS</t>
  </si>
  <si>
    <t>ACVS-53-R02-SL-A</t>
  </si>
  <si>
    <t>ACVS-53-R02-SL-B</t>
  </si>
  <si>
    <t>ACVS-53-R03-SL</t>
  </si>
  <si>
    <t>ACVS-53-V06-VS</t>
  </si>
  <si>
    <t>ACVS-53-V07-VS</t>
  </si>
  <si>
    <t>ACVS-53-R03-SL-A</t>
  </si>
  <si>
    <t>ACVS-53-R03-SL-B</t>
  </si>
  <si>
    <t>ACVS-53-R04-SL</t>
  </si>
  <si>
    <t>ACVS-53-V08-VS</t>
  </si>
  <si>
    <t>ACVS-53-V09-VS</t>
  </si>
  <si>
    <t>ACVS-53-R04-SL-A</t>
  </si>
  <si>
    <t>ACVS-53-R04-SL-B</t>
  </si>
  <si>
    <t>ACVS-53-R05-SL</t>
  </si>
  <si>
    <t>ACVS-53-V10-VS</t>
  </si>
  <si>
    <t>ACVS-53-V11-VS</t>
  </si>
  <si>
    <t>ACVS-53-R05-SL-A</t>
  </si>
  <si>
    <t>ACVS-53-R05-SL-B</t>
  </si>
  <si>
    <t>ACVS-53-R06-SL</t>
  </si>
  <si>
    <t>ACVS-53-V12-VS</t>
  </si>
  <si>
    <t>ACVS-53-V13-VS</t>
  </si>
  <si>
    <t>ACVS-53-R06-SL-A</t>
  </si>
  <si>
    <t>ACVS-53-R06-SL-B</t>
  </si>
  <si>
    <t>ACVS-53-R07-SL</t>
  </si>
  <si>
    <t>ACVS-53-V14-VS</t>
  </si>
  <si>
    <t>ACVS-53-V15-VS</t>
  </si>
  <si>
    <t>ACVS-53-R07-SL-A</t>
  </si>
  <si>
    <t>ACVS-53-R07-SL-B</t>
  </si>
  <si>
    <t>ACVS-54-R01-SL</t>
  </si>
  <si>
    <t>ACVS-54-V02-VS</t>
  </si>
  <si>
    <t>ACVS-54-V03-VS</t>
  </si>
  <si>
    <t>ACVS-54-R01-SL-A</t>
  </si>
  <si>
    <t>ACVS-54-R01-SL-B</t>
  </si>
  <si>
    <t>ACVS-54-R02-SL</t>
  </si>
  <si>
    <t>ACVS-54-V04-VS</t>
  </si>
  <si>
    <t>ACVS-54-V05-VS</t>
  </si>
  <si>
    <t>ACVS-54-R02-SL-A</t>
  </si>
  <si>
    <t>ACVS-54-R02-SL-B</t>
  </si>
  <si>
    <t>ACVS-54-R03-SL</t>
  </si>
  <si>
    <t>ACVS-54-V06-VS</t>
  </si>
  <si>
    <t>ACVS-54-V07-VS</t>
  </si>
  <si>
    <t>ACVS-54-R03-SL-A</t>
  </si>
  <si>
    <t>ACVS-54-R03-SL-B</t>
  </si>
  <si>
    <t>ACVS-54-R04-SL</t>
  </si>
  <si>
    <t>ACVS-54-V08-VS</t>
  </si>
  <si>
    <t>ACVS-54-V09-VS</t>
  </si>
  <si>
    <t>ACVS-54-R04-SL-A</t>
  </si>
  <si>
    <t>ACVS-54-R04-SL-B</t>
  </si>
  <si>
    <t>ACVS-54-R05-SL</t>
  </si>
  <si>
    <t>ACVS-54-V10-VS</t>
  </si>
  <si>
    <t>ACVS-54-V11-VS</t>
  </si>
  <si>
    <t>ACVS-54-R05-SL-A</t>
  </si>
  <si>
    <t>ACVS-54-R05-SL-B</t>
  </si>
  <si>
    <t>ACVS-54-R06-SL</t>
  </si>
  <si>
    <t>ACVS-54-V12-VS</t>
  </si>
  <si>
    <t>ACVS-54-V13-VS</t>
  </si>
  <si>
    <t>ACVS-54-R06-SL-A</t>
  </si>
  <si>
    <t>ACVS-54-R06-SL-B</t>
  </si>
  <si>
    <t>ACVS-54-R07-SL</t>
  </si>
  <si>
    <t>ACVS-54-V14-VS</t>
  </si>
  <si>
    <t>ACVS-54-V15-VS</t>
  </si>
  <si>
    <t>ACVS-54-R07-SL-A</t>
  </si>
  <si>
    <t>ACVS-54-R07-SL-B</t>
  </si>
  <si>
    <t>ACVS-55-R01-SL</t>
  </si>
  <si>
    <t>ACVS-55-V02-VS</t>
  </si>
  <si>
    <t>ACVS-55-V03-VS</t>
  </si>
  <si>
    <t>ACVS-55-R01-SL-A</t>
  </si>
  <si>
    <t>ACVS-55-R01-SL-B</t>
  </si>
  <si>
    <t>ACVS-55-R02-SL</t>
  </si>
  <si>
    <t>ACVS-55-V04-VS</t>
  </si>
  <si>
    <t>ACVS-55-V05-VS</t>
  </si>
  <si>
    <t>ACVS-55-R02-SL-A</t>
  </si>
  <si>
    <t>ACVS-55-R02-SL-B</t>
  </si>
  <si>
    <t>ACVS-55-R03-SL</t>
  </si>
  <si>
    <t>ACVS-55-V06-VS</t>
  </si>
  <si>
    <t>ACVS-55-V07-VS</t>
  </si>
  <si>
    <t>ACVS-55-R03-SL-A</t>
  </si>
  <si>
    <t>ACVS-55-R03-SL-B</t>
  </si>
  <si>
    <t>ACVS-55-R04-SL</t>
  </si>
  <si>
    <t>ACVS-55-V08-VS</t>
  </si>
  <si>
    <t>ACVS-55-V09-VS</t>
  </si>
  <si>
    <t>ACVS-55-R04-SL-A</t>
  </si>
  <si>
    <t>ACVS-55-R04-SL-B</t>
  </si>
  <si>
    <t>ACVS-55-R05-SL</t>
  </si>
  <si>
    <t>ACVS-55-V10-VS</t>
  </si>
  <si>
    <t>ACVS-55-V11-VS</t>
  </si>
  <si>
    <t>ACVS-55-R05-SL-A</t>
  </si>
  <si>
    <t>ACVS-55-R05-SL-B</t>
  </si>
  <si>
    <t>ACVS-55-R06-SL</t>
  </si>
  <si>
    <t>ACVS-55-V12-VS</t>
  </si>
  <si>
    <t>ACVS-55-V13-VS</t>
  </si>
  <si>
    <t>ACVS-55-R06-SL-A</t>
  </si>
  <si>
    <t>ACVS-55-R06-SL-B</t>
  </si>
  <si>
    <t>ACVS-55-R07-SL</t>
  </si>
  <si>
    <t>ACVS-55-V14-VS</t>
  </si>
  <si>
    <t>ACVS-55-V15-VS</t>
  </si>
  <si>
    <t>ACVS-55-R07-SL-A</t>
  </si>
  <si>
    <t>ACVS-55-R07-SL-B</t>
  </si>
  <si>
    <t>ACVS-56-R01-SL</t>
  </si>
  <si>
    <t>ACVS-56-V02-VS</t>
  </si>
  <si>
    <t>ACVS-56-V03-VS</t>
  </si>
  <si>
    <t>ACVS-56-R01-SL-A</t>
  </si>
  <si>
    <t>ACVS-56-R01-SL-B</t>
  </si>
  <si>
    <t>ACVS-56-R02-SL</t>
  </si>
  <si>
    <t>ACVS-56-V04-VS</t>
  </si>
  <si>
    <t>ACVS-56-V05-VS</t>
  </si>
  <si>
    <t>ACVS-56-R02-SL-A</t>
  </si>
  <si>
    <t>ACVS-56-R02-SL-B</t>
  </si>
  <si>
    <t>ACVS-56-R03-SL</t>
  </si>
  <si>
    <t>ACVS-56-V06-VS</t>
  </si>
  <si>
    <t>ACVS-56-V07-VS</t>
  </si>
  <si>
    <t>ACVS-56-R03-SL-A</t>
  </si>
  <si>
    <t>ACVS-56-R03-SL-B</t>
  </si>
  <si>
    <t>ACVS-56-R04-SL</t>
  </si>
  <si>
    <t>ACVS-56-V08-VS</t>
  </si>
  <si>
    <t>ACVS-56-V09-VS</t>
  </si>
  <si>
    <t>ACVS-56-R04-SL-A</t>
  </si>
  <si>
    <t>ACVS-56-R04-SL-B</t>
  </si>
  <si>
    <t>ACVS-56-R05-SL</t>
  </si>
  <si>
    <t>ACVS-56-V10-VS</t>
  </si>
  <si>
    <t>ACVS-56-V11-VS</t>
  </si>
  <si>
    <t>ACVS-56-R05-SL-A</t>
  </si>
  <si>
    <t>ACVS-56-R05-SL-B</t>
  </si>
  <si>
    <t>ACVS-56-R06-SL</t>
  </si>
  <si>
    <t>ACVS-56-V12-VS</t>
  </si>
  <si>
    <t>ACVS-56-V13-VS</t>
  </si>
  <si>
    <t>ACVS-56-R06-SL-A</t>
  </si>
  <si>
    <t>ACVS-56-R06-SL-B</t>
  </si>
  <si>
    <t>ACVS-56-R07-SL</t>
  </si>
  <si>
    <t>ACVS-56-V14-VS</t>
  </si>
  <si>
    <t>ACVS-56-V15-VS</t>
  </si>
  <si>
    <t>ACVS-56-R07-SL-A</t>
  </si>
  <si>
    <t>ACVS-56-R07-SL-B</t>
  </si>
  <si>
    <t>ACVS-57-R01-SL</t>
  </si>
  <si>
    <t>ACVS-57-V02-VS</t>
  </si>
  <si>
    <t>ACVS-57-V03-VS</t>
  </si>
  <si>
    <t>ACVS-57-R01-SL-A</t>
  </si>
  <si>
    <t>ACVS-57-R01-SL-B</t>
  </si>
  <si>
    <t>ACVS-57-R02-SL</t>
  </si>
  <si>
    <t>ACVS-57-V04-VS</t>
  </si>
  <si>
    <t>ACVS-57-V05-VS</t>
  </si>
  <si>
    <t>ACVS-57-R02-SL-A</t>
  </si>
  <si>
    <t>ACVS-57-R02-SL-B</t>
  </si>
  <si>
    <t>ACVS-57-R03-SL</t>
  </si>
  <si>
    <t>ACVS-57-V06-VS</t>
  </si>
  <si>
    <t>ACVS-57-V07-VS</t>
  </si>
  <si>
    <t>ACVS-57-R03-SL-A</t>
  </si>
  <si>
    <t>ACVS-57-R03-SL-B</t>
  </si>
  <si>
    <t>ACVS-57-R04-SL</t>
  </si>
  <si>
    <t>ACVS-57-V08-VS</t>
  </si>
  <si>
    <t>ACVS-57-V09-VS</t>
  </si>
  <si>
    <t>ACVS-57-R04-SL-A</t>
  </si>
  <si>
    <t>ACVS-57-R04-SL-B</t>
  </si>
  <si>
    <t>ACVS-57-R05-SL</t>
  </si>
  <si>
    <t>ACVS-57-V10-VS</t>
  </si>
  <si>
    <t>ACVS-57-V11-VS</t>
  </si>
  <si>
    <t>ACVS-57-R05-SL-A</t>
  </si>
  <si>
    <t>ACVS-57-R05-SL-B</t>
  </si>
  <si>
    <t>ACVS-57-R06-SL</t>
  </si>
  <si>
    <t>ACVS-57-V12-VS</t>
  </si>
  <si>
    <t>ACVS-57-V13-VS</t>
  </si>
  <si>
    <t>ACVS-57-R06-SL-A</t>
  </si>
  <si>
    <t>ACVS-57-R06-SL-B</t>
  </si>
  <si>
    <t>ACVS-57-R07-SL</t>
  </si>
  <si>
    <t>ACVS-57-V14-VS</t>
  </si>
  <si>
    <t>ACVS-57-V15-VS</t>
  </si>
  <si>
    <t>ACVS-57-R07-SL-A</t>
  </si>
  <si>
    <t>ACVS-57-R07-SL-B</t>
  </si>
  <si>
    <t>ACVS-58-R01-SL</t>
  </si>
  <si>
    <t>ACVS-58-V02-VS</t>
  </si>
  <si>
    <t>ACVS-58-V03-VS</t>
  </si>
  <si>
    <t>ACVS-58-R01-SL-A</t>
  </si>
  <si>
    <t>ACVS-58-R01-SL-B</t>
  </si>
  <si>
    <t>ACVS-58-R02-SL</t>
  </si>
  <si>
    <t>ACVS-58-V04-VS</t>
  </si>
  <si>
    <t>ACVS-58-V05-VS</t>
  </si>
  <si>
    <t>ACVS-58-R02-SL-A</t>
  </si>
  <si>
    <t>ACVS-58-R02-SL-B</t>
  </si>
  <si>
    <t>ACVS-58-R03-SL</t>
  </si>
  <si>
    <t>ACVS-58-V06-VS</t>
  </si>
  <si>
    <t>ACVS-58-V07-VS</t>
  </si>
  <si>
    <t>ACVS-58-R03-SL-A</t>
  </si>
  <si>
    <t>ACVS-58-R03-SL-B</t>
  </si>
  <si>
    <t>ACVS-58-R04-SL</t>
  </si>
  <si>
    <t>ACVS-58-V08-VS</t>
  </si>
  <si>
    <t>ACVS-58-V09-VS</t>
  </si>
  <si>
    <t>ACVS-58-R04-SL-A</t>
  </si>
  <si>
    <t>ACVS-58-R04-SL-B</t>
  </si>
  <si>
    <t>ACVS-58-R05-SL</t>
  </si>
  <si>
    <t>ACVS-58-V10-VS</t>
  </si>
  <si>
    <t>ACVS-58-V11-VS</t>
  </si>
  <si>
    <t>ACVS-58-R05-SL-A</t>
  </si>
  <si>
    <t>ACVS-58-R05-SL-B</t>
  </si>
  <si>
    <t>ACVS-58-R06-SL</t>
  </si>
  <si>
    <t>ACVS-58-V12-VS</t>
  </si>
  <si>
    <t>ACVS-58-V13-VS</t>
  </si>
  <si>
    <t>ACVS-58-R06-SL-A</t>
  </si>
  <si>
    <t>ACVS-58-R06-SL-B</t>
  </si>
  <si>
    <t>ACVS-58-R07-SL</t>
  </si>
  <si>
    <t>ACVS-58-V14-VS</t>
  </si>
  <si>
    <t>ACVS-58-V15-VS</t>
  </si>
  <si>
    <t>ACVS-58-R07-SL-A</t>
  </si>
  <si>
    <t>ACVS-58-R07-SL-B</t>
  </si>
  <si>
    <t>ACVS-59-R01-SL</t>
  </si>
  <si>
    <t>ACVS-59-V02-VS</t>
  </si>
  <si>
    <t>ACVS-59-V03-VS</t>
  </si>
  <si>
    <t>ACVS-59-R01-SL-A</t>
  </si>
  <si>
    <t>ACVS-59-R01-SL-B</t>
  </si>
  <si>
    <t>ACVS-59-R02-SL</t>
  </si>
  <si>
    <t>ACVS-59-V04-VS</t>
  </si>
  <si>
    <t>ACVS-59-V05-VS</t>
  </si>
  <si>
    <t>ACVS-59-R02-SL-A</t>
  </si>
  <si>
    <t>ACVS-59-R02-SL-B</t>
  </si>
  <si>
    <t>ACVS-59-R03-SL</t>
  </si>
  <si>
    <t>ACVS-59-V06-VS</t>
  </si>
  <si>
    <t>ACVS-59-V07-VS</t>
  </si>
  <si>
    <t>ACVS-59-R03-SL-A</t>
  </si>
  <si>
    <t>ACVS-59-R03-SL-B</t>
  </si>
  <si>
    <t>ACVS-59-R04-SL</t>
  </si>
  <si>
    <t>ACVS-59-V08-VS</t>
  </si>
  <si>
    <t>ACVS-59-V09-VS</t>
  </si>
  <si>
    <t>ACVS-59-R04-SL-A</t>
  </si>
  <si>
    <t>ACVS-59-R04-SL-B</t>
  </si>
  <si>
    <t>ACVS-59-R05-SL</t>
  </si>
  <si>
    <t>ACVS-59-V10-VS</t>
  </si>
  <si>
    <t>ACVS-59-V11-VS</t>
  </si>
  <si>
    <t>ACVS-59-R05-SL-A</t>
  </si>
  <si>
    <t>ACVS-59-R05-SL-B</t>
  </si>
  <si>
    <t>ACVS-59-R06-SL</t>
  </si>
  <si>
    <t>ACVS-59-V12-VS</t>
  </si>
  <si>
    <t>ACVS-59-V13-VS</t>
  </si>
  <si>
    <t>ACVS-59-R06-SL-A</t>
  </si>
  <si>
    <t>ACVS-59-R06-SL-B</t>
  </si>
  <si>
    <t>ACVS-59-R07-SL</t>
  </si>
  <si>
    <t>ACVS-59-V14-VS</t>
  </si>
  <si>
    <t>ACVS-59-V15-VS</t>
  </si>
  <si>
    <t>ACVS-59-R07-SL-A</t>
  </si>
  <si>
    <t>ACVS-59-R07-SL-B</t>
  </si>
  <si>
    <t>ACVS-60-R01-SL</t>
  </si>
  <si>
    <t>ACVS-60-V02-VS</t>
  </si>
  <si>
    <t>ACVS-60-V03-VS</t>
  </si>
  <si>
    <t>ACVS-60-R01-SL-A</t>
  </si>
  <si>
    <t>ACVS-60-R01-SL-B</t>
  </si>
  <si>
    <t>ACVS-60-R02-SL</t>
  </si>
  <si>
    <t>ACVS-60-V04-VS</t>
  </si>
  <si>
    <t>ACVS-60-V05-VS</t>
  </si>
  <si>
    <t>ACVS-60-R02-SL-A</t>
  </si>
  <si>
    <t>ACVS-60-R02-SL-B</t>
  </si>
  <si>
    <t>ACVS-60-R03-SL</t>
  </si>
  <si>
    <t>ACVS-60-V06-VS</t>
  </si>
  <si>
    <t>ACVS-60-V07-VS</t>
  </si>
  <si>
    <t>ACVS-60-R03-SL-A</t>
  </si>
  <si>
    <t>ACVS-60-R03-SL-B</t>
  </si>
  <si>
    <t>ACVS-60-R04-SL</t>
  </si>
  <si>
    <t>ACVS-60-V08-VS</t>
  </si>
  <si>
    <t>ACVS-60-V09-VS</t>
  </si>
  <si>
    <t>ACVS-60-R04-SL-A</t>
  </si>
  <si>
    <t>ACVS-60-R04-SL-B</t>
  </si>
  <si>
    <t>ACVS-60-R05-SL</t>
  </si>
  <si>
    <t>ACVS-60-V10-VS</t>
  </si>
  <si>
    <t>ACVS-60-V11-VS</t>
  </si>
  <si>
    <t>ACVS-60-R05-SL-A</t>
  </si>
  <si>
    <t>ACVS-60-R05-SL-B</t>
  </si>
  <si>
    <t>ACVS-60-R06-SL</t>
  </si>
  <si>
    <t>ACVS-60-V12-VS</t>
  </si>
  <si>
    <t>ACVS-60-V13-VS</t>
  </si>
  <si>
    <t>ACVS-60-R06-SL-A</t>
  </si>
  <si>
    <t>ACVS-60-R06-SL-B</t>
  </si>
  <si>
    <t>ACVS-60-R07-SL</t>
  </si>
  <si>
    <t>ACVS-60-V14-VS</t>
  </si>
  <si>
    <t>ACVS-60-V15-VS</t>
  </si>
  <si>
    <t>ACVS-60-R07-SL-A</t>
  </si>
  <si>
    <t>ACVS-60-R07-SL-B</t>
  </si>
  <si>
    <t>ACVS-61-R01-SL</t>
  </si>
  <si>
    <t>ACVS-61-V02-VS</t>
  </si>
  <si>
    <t>ACVS-61-V03-VS</t>
  </si>
  <si>
    <t>ACVS-61-R01-SL-A</t>
  </si>
  <si>
    <t>ACVS-61-R01-SL-B</t>
  </si>
  <si>
    <t>ACVS-61-R02-SL</t>
  </si>
  <si>
    <t>ACVS-61-V04-VS</t>
  </si>
  <si>
    <t>ACVS-61-V05-VS</t>
  </si>
  <si>
    <t>ACVS-61-R02-SL-A</t>
  </si>
  <si>
    <t>ACVS-61-R02-SL-B</t>
  </si>
  <si>
    <t>ACVS-61-R03-SL</t>
  </si>
  <si>
    <t>ACVS-61-V06-VS</t>
  </si>
  <si>
    <t>ACVS-61-V07-VS</t>
  </si>
  <si>
    <t>ACVS-61-R03-SL-A</t>
  </si>
  <si>
    <t>ACVS-61-R03-SL-B</t>
  </si>
  <si>
    <t>ACVS-61-R04-SL</t>
  </si>
  <si>
    <t>ACVS-61-V08-VS</t>
  </si>
  <si>
    <t>ACVS-61-V09-VS</t>
  </si>
  <si>
    <t>ACVS-61-R04-SL-A</t>
  </si>
  <si>
    <t>ACVS-61-R04-SL-B</t>
  </si>
  <si>
    <t>ACVS-61-R05-SL</t>
  </si>
  <si>
    <t>ACVS-61-V10-VS</t>
  </si>
  <si>
    <t>ACVS-61-V11-VS</t>
  </si>
  <si>
    <t>ACVS-61-R05-SL-A</t>
  </si>
  <si>
    <t>ACVS-61-R05-SL-B</t>
  </si>
  <si>
    <t>ACVS-61-R06-SL</t>
  </si>
  <si>
    <t>ACVS-61-V12-VS</t>
  </si>
  <si>
    <t>ACVS-61-V13-VS</t>
  </si>
  <si>
    <t>ACVS-61-R06-SL-A</t>
  </si>
  <si>
    <t>ACVS-61-R06-SL-B</t>
  </si>
  <si>
    <t>ACVS-61-R07-SL</t>
  </si>
  <si>
    <t>ACVS-61-V14-VS</t>
  </si>
  <si>
    <t>ACVS-61-V15-VS</t>
  </si>
  <si>
    <t>ACVS-61-R07-SL-A</t>
  </si>
  <si>
    <t>ACVS-61-R07-SL-B</t>
  </si>
  <si>
    <t>ACVS-62-R01-SL</t>
  </si>
  <si>
    <t>ACVS-62-V02-VS</t>
  </si>
  <si>
    <t>ACVS-62-V03-VS</t>
  </si>
  <si>
    <t>ACVS-62-R01-SL-A</t>
  </si>
  <si>
    <t>ACVS-62-R01-SL-B</t>
  </si>
  <si>
    <t>ACVS-62-R02-SL</t>
  </si>
  <si>
    <t>ACVS-62-V04-VS</t>
  </si>
  <si>
    <t>ACVS-62-V05-VS</t>
  </si>
  <si>
    <t>ACVS-62-R02-SL-A</t>
  </si>
  <si>
    <t>ACVS-62-R02-SL-B</t>
  </si>
  <si>
    <t>ACVS-62-R03-SL</t>
  </si>
  <si>
    <t>ACVS-62-V06-VS</t>
  </si>
  <si>
    <t>ACVS-62-V07-VS</t>
  </si>
  <si>
    <t>ACVS-62-R03-SL-A</t>
  </si>
  <si>
    <t>ACVS-62-R03-SL-B</t>
  </si>
  <si>
    <t>ACVS-62-R04-SL</t>
  </si>
  <si>
    <t>ACVS-62-V08-VS</t>
  </si>
  <si>
    <t>ACVS-62-V09-VS</t>
  </si>
  <si>
    <t>ACVS-62-R04-SL-A</t>
  </si>
  <si>
    <t>ACVS-62-R04-SL-B</t>
  </si>
  <si>
    <t>ACVS-62-R05-SL</t>
  </si>
  <si>
    <t>ACVS-62-V10-VS</t>
  </si>
  <si>
    <t>ACVS-62-V11-VS</t>
  </si>
  <si>
    <t>ACVS-62-R05-SL-A</t>
  </si>
  <si>
    <t>ACVS-62-R05-SL-B</t>
  </si>
  <si>
    <t>ACVS-62-R06-SL</t>
  </si>
  <si>
    <t>ACVS-62-V12-VS</t>
  </si>
  <si>
    <t>ACVS-62-V13-VS</t>
  </si>
  <si>
    <t>ACVS-62-R06-SL-A</t>
  </si>
  <si>
    <t>ACVS-62-R06-SL-B</t>
  </si>
  <si>
    <t>ACVS-62-R07-SL</t>
  </si>
  <si>
    <t>ACVS-62-V14-VS</t>
  </si>
  <si>
    <t>ACVS-62-V15-VS</t>
  </si>
  <si>
    <t>ACVS-62-R07-SL-A</t>
  </si>
  <si>
    <t>ACVS-62-R07-SL-B</t>
  </si>
  <si>
    <t>ACVS-63-R01-SL</t>
  </si>
  <si>
    <t>ACVS-63-V02-VS</t>
  </si>
  <si>
    <t>ACVS-63-V03-VS</t>
  </si>
  <si>
    <t>ACVS-63-R01-SL-A</t>
  </si>
  <si>
    <t>ACVS-63-R01-SL-B</t>
  </si>
  <si>
    <t>ACVS-63-R02-SL</t>
  </si>
  <si>
    <t>ACVS-63-V04-VS</t>
  </si>
  <si>
    <t>ACVS-63-V05-VS</t>
  </si>
  <si>
    <t>ACVS-63-R02-SL-A</t>
  </si>
  <si>
    <t>ACVS-63-R02-SL-B</t>
  </si>
  <si>
    <t>ACVS-63-R03-SL</t>
  </si>
  <si>
    <t>ACVS-63-V06-VS</t>
  </si>
  <si>
    <t>ACVS-63-V07-VS</t>
  </si>
  <si>
    <t>ACVS-63-R03-SL-A</t>
  </si>
  <si>
    <t>ACVS-63-R03-SL-B</t>
  </si>
  <si>
    <t>ACVS-63-R04-SL</t>
  </si>
  <si>
    <t>ACVS-63-V08-VS</t>
  </si>
  <si>
    <t>ACVS-63-V09-VS</t>
  </si>
  <si>
    <t>ACVS-63-R04-SL-A</t>
  </si>
  <si>
    <t>ACVS-63-R04-SL-B</t>
  </si>
  <si>
    <t>ACVS-63-R05-SL</t>
  </si>
  <si>
    <t>ACVS-63-V10-VS</t>
  </si>
  <si>
    <t>ACVS-63-V11-VS</t>
  </si>
  <si>
    <t>ACVS-63-R05-SL-A</t>
  </si>
  <si>
    <t>ACVS-63-R05-SL-B</t>
  </si>
  <si>
    <t>ACVS-63-R06-SL</t>
  </si>
  <si>
    <t>ACVS-63-V12-VS</t>
  </si>
  <si>
    <t>ACVS-63-V13-VS</t>
  </si>
  <si>
    <t>ACVS-63-R06-SL-A</t>
  </si>
  <si>
    <t>ACVS-63-R06-SL-B</t>
  </si>
  <si>
    <t>ACVS-63-R07-SL</t>
  </si>
  <si>
    <t>ACVS-63-V14-VS</t>
  </si>
  <si>
    <t>ACVS-63-V15-VS</t>
  </si>
  <si>
    <t>ACVS-63-R07-SL-A</t>
  </si>
  <si>
    <t>ACVS-63-R07-SL-B</t>
  </si>
  <si>
    <t>ACVS-64-R01-SL</t>
  </si>
  <si>
    <t>ACVS-64-V02-VS</t>
  </si>
  <si>
    <t>ACVS-64-V03-VS</t>
  </si>
  <si>
    <t>ACVS-64-R01-SL-A</t>
  </si>
  <si>
    <t>ACVS-64-R01-SL-B</t>
  </si>
  <si>
    <t>ACVS-64-R02-SL</t>
  </si>
  <si>
    <t>ACVS-64-V04-VS</t>
  </si>
  <si>
    <t>ACVS-64-V05-VS</t>
  </si>
  <si>
    <t>ACVS-64-R02-SL-A</t>
  </si>
  <si>
    <t>ACVS-64-R02-SL-B</t>
  </si>
  <si>
    <t>ACVS-64-R03-SL</t>
  </si>
  <si>
    <t>ACVS-64-V06-VS</t>
  </si>
  <si>
    <t>ACVS-64-V07-VS</t>
  </si>
  <si>
    <t>ACVS-64-R03-SL-A</t>
  </si>
  <si>
    <t>ACVS-64-R03-SL-B</t>
  </si>
  <si>
    <t>ACVS-64-R04-SL</t>
  </si>
  <si>
    <t>ACVS-64-V08-VS</t>
  </si>
  <si>
    <t>ACVS-64-V09-VS</t>
  </si>
  <si>
    <t>ACVS-64-R04-SL-A</t>
  </si>
  <si>
    <t>ACVS-64-R04-SL-B</t>
  </si>
  <si>
    <t>ACVS-64-R05-SL</t>
  </si>
  <si>
    <t>ACVS-64-V10-VS</t>
  </si>
  <si>
    <t>ACVS-64-V11-VS</t>
  </si>
  <si>
    <t>ACVS-64-R05-SL-A</t>
  </si>
  <si>
    <t>ACVS-64-R05-SL-B</t>
  </si>
  <si>
    <t>ACVS-64-R06-SL</t>
  </si>
  <si>
    <t>ACVS-64-V12-VS</t>
  </si>
  <si>
    <t>ACVS-64-V13-VS</t>
  </si>
  <si>
    <t>ACVS-64-R06-SL-A</t>
  </si>
  <si>
    <t>ACVS-64-R06-SL-B</t>
  </si>
  <si>
    <t>ACVS-64-R07-SL</t>
  </si>
  <si>
    <t>ACVS-64-V14-VS</t>
  </si>
  <si>
    <t>ACVS-64-V15-VS</t>
  </si>
  <si>
    <t>ACVS-64-R07-SL-A</t>
  </si>
  <si>
    <t>ACVS-64-R07-SL-B</t>
  </si>
  <si>
    <t>ACVS-65-R01-SL</t>
  </si>
  <si>
    <t>ACVS-65-V02-VS</t>
  </si>
  <si>
    <t>ACVS-65-V03-VS</t>
  </si>
  <si>
    <t>ACVS-65-R01-SL-A</t>
  </si>
  <si>
    <t>ACVS-65-R01-SL-B</t>
  </si>
  <si>
    <t>ACVS-65-R02-SL</t>
  </si>
  <si>
    <t>ACVS-65-V04-VS</t>
  </si>
  <si>
    <t>ACVS-65-V05-VS</t>
  </si>
  <si>
    <t>ACVS-65-R02-SL-A</t>
  </si>
  <si>
    <t>ACVS-65-R02-SL-B</t>
  </si>
  <si>
    <t>ACVS-65-R03-SL</t>
  </si>
  <si>
    <t>ACVS-65-V06-VS</t>
  </si>
  <si>
    <t>ACVS-65-V07-VS</t>
  </si>
  <si>
    <t>ACVS-65-R03-SL-A</t>
  </si>
  <si>
    <t>ACVS-65-R03-SL-B</t>
  </si>
  <si>
    <t>ACVS-65-R04-SL</t>
  </si>
  <si>
    <t>ACVS-65-V08-VS</t>
  </si>
  <si>
    <t>ACVS-65-V09-VS</t>
  </si>
  <si>
    <t>ACVS-65-R04-SL-A</t>
  </si>
  <si>
    <t>ACVS-65-R04-SL-B</t>
  </si>
  <si>
    <t>ACVS-65-R05-SL</t>
  </si>
  <si>
    <t>ACVS-65-V10-VS</t>
  </si>
  <si>
    <t>ACVS-65-V11-VS</t>
  </si>
  <si>
    <t>ACVS-65-R05-SL-A</t>
  </si>
  <si>
    <t>ACVS-65-R05-SL-B</t>
  </si>
  <si>
    <t>ACVS-65-R06-SL</t>
  </si>
  <si>
    <t>ACVS-65-V12-VS</t>
  </si>
  <si>
    <t>ACVS-65-V13-VS</t>
  </si>
  <si>
    <t>ACVS-65-R06-SL-A</t>
  </si>
  <si>
    <t>ACVS-65-R06-SL-B</t>
  </si>
  <si>
    <t>ACVS-65-R07-SL</t>
  </si>
  <si>
    <t>ACVS-65-V14-VS</t>
  </si>
  <si>
    <t>ACVS-65-V15-VS</t>
  </si>
  <si>
    <t>ACVS-65-R07-SL-A</t>
  </si>
  <si>
    <t>ACVS-65-R07-SL-B</t>
  </si>
  <si>
    <t>ACVS-66-R01-SL</t>
  </si>
  <si>
    <t>ACVS-66-V02-VS</t>
  </si>
  <si>
    <t>ACVS-66-V03-VS</t>
  </si>
  <si>
    <t>ACVS-66-R01-SL-A</t>
  </si>
  <si>
    <t>ACVS-66-R01-SL-B</t>
  </si>
  <si>
    <t>ACVS-66-R02-SL</t>
  </si>
  <si>
    <t>ACVS-66-V04-VS</t>
  </si>
  <si>
    <t>ACVS-66-V05-VS</t>
  </si>
  <si>
    <t>ACVS-66-R02-SL-A</t>
  </si>
  <si>
    <t>ACVS-66-R02-SL-B</t>
  </si>
  <si>
    <t>ACVS-66-R03-SL</t>
  </si>
  <si>
    <t>ACVS-66-V06-VS</t>
  </si>
  <si>
    <t>ACVS-66-V07-VS</t>
  </si>
  <si>
    <t>ACVS-66-R03-SL-A</t>
  </si>
  <si>
    <t>ACVS-66-R03-SL-B</t>
  </si>
  <si>
    <t>ACVS-66-R04-SL</t>
  </si>
  <si>
    <t>ACVS-66-V08-VS</t>
  </si>
  <si>
    <t>ACVS-66-V09-VS</t>
  </si>
  <si>
    <t>ACVS-66-R04-SL-A</t>
  </si>
  <si>
    <t>ACVS-66-R04-SL-B</t>
  </si>
  <si>
    <t>ACVS-66-R05-SL</t>
  </si>
  <si>
    <t>ACVS-66-V10-VS</t>
  </si>
  <si>
    <t>ACVS-66-V11-VS</t>
  </si>
  <si>
    <t>ACVS-66-R05-SL-A</t>
  </si>
  <si>
    <t>ACVS-66-R05-SL-B</t>
  </si>
  <si>
    <t>ACVS-66-R06-SL</t>
  </si>
  <si>
    <t>ACVS-66-V12-VS</t>
  </si>
  <si>
    <t>ACVS-66-V13-VS</t>
  </si>
  <si>
    <t>ACVS-66-R06-SL-A</t>
  </si>
  <si>
    <t>ACVS-66-R06-SL-B</t>
  </si>
  <si>
    <t>ACVS-66-R07-SL</t>
  </si>
  <si>
    <t>ACVS-66-V14-VS</t>
  </si>
  <si>
    <t>ACVS-66-V15-VS</t>
  </si>
  <si>
    <t>ACVS-66-R07-SL-A</t>
  </si>
  <si>
    <t>ACVS-66-R07-SL-B</t>
  </si>
  <si>
    <t>ACVS-67-R01-SL</t>
  </si>
  <si>
    <t>ACVS-67-V02-VS</t>
  </si>
  <si>
    <t>ACVS-67-V03-VS</t>
  </si>
  <si>
    <t>ACVS-67-R01-SL-A</t>
  </si>
  <si>
    <t>ACVS-67-R01-SL-B</t>
  </si>
  <si>
    <t>ACVS-67-R02-SL</t>
  </si>
  <si>
    <t>ACVS-67-V04-VS</t>
  </si>
  <si>
    <t>ACVS-67-V05-VS</t>
  </si>
  <si>
    <t>ACVS-67-R02-SL-A</t>
  </si>
  <si>
    <t>ACVS-67-R02-SL-B</t>
  </si>
  <si>
    <t>ACVS-67-R03-SL</t>
  </si>
  <si>
    <t>ACVS-67-V06-VS</t>
  </si>
  <si>
    <t>ACVS-67-V07-VS</t>
  </si>
  <si>
    <t>ACVS-67-R03-SL-A</t>
  </si>
  <si>
    <t>ACVS-67-R03-SL-B</t>
  </si>
  <si>
    <t>ACVS-67-R04-SL</t>
  </si>
  <si>
    <t>ACVS-67-V08-VS</t>
  </si>
  <si>
    <t>ACVS-67-V09-VS</t>
  </si>
  <si>
    <t>ACVS-67-R04-SL-A</t>
  </si>
  <si>
    <t>ACVS-67-R04-SL-B</t>
  </si>
  <si>
    <t>ACVS-67-R05-SL</t>
  </si>
  <si>
    <t>ACVS-67-V10-VS</t>
  </si>
  <si>
    <t>ACVS-67-V11-VS</t>
  </si>
  <si>
    <t>ACVS-67-R05-SL-A</t>
  </si>
  <si>
    <t>ACVS-67-R05-SL-B</t>
  </si>
  <si>
    <t>ACVS-67-R06-SL</t>
  </si>
  <si>
    <t>ACVS-67-V12-VS</t>
  </si>
  <si>
    <t>ACVS-67-V13-VS</t>
  </si>
  <si>
    <t>ACVS-67-R06-SL-A</t>
  </si>
  <si>
    <t>ACVS-67-R06-SL-B</t>
  </si>
  <si>
    <t>ACVS-67-R07-SL</t>
  </si>
  <si>
    <t>ACVS-67-V14-VS</t>
  </si>
  <si>
    <t>ACVS-67-V15-VS</t>
  </si>
  <si>
    <t>ACVS-67-R07-SL-A</t>
  </si>
  <si>
    <t>ACVS-67-R07-SL-B</t>
  </si>
  <si>
    <t>ACVS-68-R01-SL</t>
  </si>
  <si>
    <t>ACVS-68-V02-VS</t>
  </si>
  <si>
    <t>ACVS-68-V03-VS</t>
  </si>
  <si>
    <t>ACVS-68-R01-SL-A</t>
  </si>
  <si>
    <t>ACVS-68-R01-SL-B</t>
  </si>
  <si>
    <t>ACVS-68-R02-SL</t>
  </si>
  <si>
    <t>ACVS-68-V04-VS</t>
  </si>
  <si>
    <t>ACVS-68-V05-VS</t>
  </si>
  <si>
    <t>ACVS-68-R02-SL-A</t>
  </si>
  <si>
    <t>ACVS-68-R02-SL-B</t>
  </si>
  <si>
    <t>ACVS-68-R03-SL</t>
  </si>
  <si>
    <t>ACVS-68-V06-VS</t>
  </si>
  <si>
    <t>ACVS-68-V07-VS</t>
  </si>
  <si>
    <t>ACVS-68-R03-SL-A</t>
  </si>
  <si>
    <t>ACVS-68-R03-SL-B</t>
  </si>
  <si>
    <t>ACVS-68-R04-SL</t>
  </si>
  <si>
    <t>ACVS-68-V08-VS</t>
  </si>
  <si>
    <t>ACVS-68-V09-VS</t>
  </si>
  <si>
    <t>ACVS-68-R04-SL-A</t>
  </si>
  <si>
    <t>ACVS-68-R04-SL-B</t>
  </si>
  <si>
    <t>ACVS-68-R05-SL</t>
  </si>
  <si>
    <t>ACVS-68-V10-VS</t>
  </si>
  <si>
    <t>ACVS-68-V11-VS</t>
  </si>
  <si>
    <t>ACVS-68-R05-SL-A</t>
  </si>
  <si>
    <t>ACVS-68-R05-SL-B</t>
  </si>
  <si>
    <t>ACVS-68-R06-SL</t>
  </si>
  <si>
    <t>ACVS-68-V12-VS</t>
  </si>
  <si>
    <t>ACVS-68-V13-VS</t>
  </si>
  <si>
    <t>ACVS-68-R06-SL-A</t>
  </si>
  <si>
    <t>ACVS-68-R06-SL-B</t>
  </si>
  <si>
    <t>ACVS-68-R07-SL</t>
  </si>
  <si>
    <t>ACVS-68-V14-VS</t>
  </si>
  <si>
    <t>ACVS-68-V15-VS</t>
  </si>
  <si>
    <t>ACVS-68-R07-SL-A</t>
  </si>
  <si>
    <t>ACVS-68-R07-SL-B</t>
  </si>
  <si>
    <t>ACVS-69-R01-SL</t>
  </si>
  <si>
    <t>ACVS-69-V02-VS</t>
  </si>
  <si>
    <t>ACVS-69-V03-VS</t>
  </si>
  <si>
    <t>ACVS-69-R01-SL-A</t>
  </si>
  <si>
    <t>ACVS-69-R01-SL-B</t>
  </si>
  <si>
    <t>ACVS-69-R02-SL</t>
  </si>
  <si>
    <t>ACVS-69-V04-VS</t>
  </si>
  <si>
    <t>ACVS-69-V05-VS</t>
  </si>
  <si>
    <t>ACVS-69-R02-SL-A</t>
  </si>
  <si>
    <t>ACVS-69-R02-SL-B</t>
  </si>
  <si>
    <t>ACVS-69-R03-SL</t>
  </si>
  <si>
    <t>ACVS-69-V06-VS</t>
  </si>
  <si>
    <t>ACVS-69-V07-VS</t>
  </si>
  <si>
    <t>ACVS-69-R03-SL-A</t>
  </si>
  <si>
    <t>ACVS-69-R03-SL-B</t>
  </si>
  <si>
    <t>ACVS-69-R04-SL</t>
  </si>
  <si>
    <t>ACVS-69-V08-VS</t>
  </si>
  <si>
    <t>ACVS-69-V09-VS</t>
  </si>
  <si>
    <t>ACVS-69-R04-SL-A</t>
  </si>
  <si>
    <t>ACVS-69-R04-SL-B</t>
  </si>
  <si>
    <t>ACVS-69-R05-SL</t>
  </si>
  <si>
    <t>ACVS-69-V10-VS</t>
  </si>
  <si>
    <t>ACVS-69-V11-VS</t>
  </si>
  <si>
    <t>ACVS-69-R05-SL-A</t>
  </si>
  <si>
    <t>ACVS-69-R05-SL-B</t>
  </si>
  <si>
    <t>ACVS-69-R06-SL</t>
  </si>
  <si>
    <t>ACVS-69-V12-VS</t>
  </si>
  <si>
    <t>ACVS-69-V13-VS</t>
  </si>
  <si>
    <t>ACVS-69-R06-SL-A</t>
  </si>
  <si>
    <t>ACVS-69-R06-SL-B</t>
  </si>
  <si>
    <t>ACVS-69-R07-SL</t>
  </si>
  <si>
    <t>ACVS-69-V14-VS</t>
  </si>
  <si>
    <t>ACVS-69-V15-VS</t>
  </si>
  <si>
    <t>ACVS-69-R07-SL-A</t>
  </si>
  <si>
    <t>ACVS-69-R07-SL-B</t>
  </si>
  <si>
    <t>ACVS-70-R01-SL</t>
  </si>
  <si>
    <t>ACVS-70-V02-VS</t>
  </si>
  <si>
    <t>ACVS-70-V03-VS</t>
  </si>
  <si>
    <t>ACVS-70-R01-SL-A</t>
  </si>
  <si>
    <t>ACVS-70-R01-SL-B</t>
  </si>
  <si>
    <t>ACVS-70-R02-SL</t>
  </si>
  <si>
    <t>ACVS-70-V04-VS</t>
  </si>
  <si>
    <t>ACVS-70-V05-VS</t>
  </si>
  <si>
    <t>ACVS-70-R02-SL-A</t>
  </si>
  <si>
    <t>ACVS-70-R02-SL-B</t>
  </si>
  <si>
    <t>ACVS-70-R03-SL</t>
  </si>
  <si>
    <t>ACVS-70-V06-VS</t>
  </si>
  <si>
    <t>ACVS-70-V07-VS</t>
  </si>
  <si>
    <t>ACVS-70-R03-SL-A</t>
  </si>
  <si>
    <t>ACVS-70-R03-SL-B</t>
  </si>
  <si>
    <t>ACVS-70-R04-SL</t>
  </si>
  <si>
    <t>ACVS-70-V08-VS</t>
  </si>
  <si>
    <t>ACVS-70-V09-VS</t>
  </si>
  <si>
    <t>ACVS-70-R04-SL-A</t>
  </si>
  <si>
    <t>ACVS-70-R04-SL-B</t>
  </si>
  <si>
    <t>ACVS-70-R05-SL</t>
  </si>
  <si>
    <t>ACVS-70-V10-VS</t>
  </si>
  <si>
    <t>ACVS-70-V11-VS</t>
  </si>
  <si>
    <t>ACVS-70-R05-SL-A</t>
  </si>
  <si>
    <t>ACVS-70-R05-SL-B</t>
  </si>
  <si>
    <t>ACVS-70-R06-SL</t>
  </si>
  <si>
    <t>ACVS-70-V12-VS</t>
  </si>
  <si>
    <t>ACVS-70-V13-VS</t>
  </si>
  <si>
    <t>ACVS-70-R06-SL-A</t>
  </si>
  <si>
    <t>ACVS-70-R06-SL-B</t>
  </si>
  <si>
    <t>ACVS-70-R07-SL</t>
  </si>
  <si>
    <t>ACVS-70-V14-VS</t>
  </si>
  <si>
    <t>ACVS-70-V15-VS</t>
  </si>
  <si>
    <t>ACVS-70-R07-SL-A</t>
  </si>
  <si>
    <t>ACVS-70-R07-SL-B</t>
  </si>
  <si>
    <t>ACVS-71-R01-SL</t>
  </si>
  <si>
    <t>ACVS-71-V02-VS</t>
  </si>
  <si>
    <t>ACVS-71-V03-VS</t>
  </si>
  <si>
    <t>ACVS-71-R01-SL-A</t>
  </si>
  <si>
    <t>ACVS-71-R01-SL-B</t>
  </si>
  <si>
    <t>ACVS-71-R02-SL</t>
  </si>
  <si>
    <t>ACVS-71-V04-VS</t>
  </si>
  <si>
    <t>ACVS-71-V05-VS</t>
  </si>
  <si>
    <t>ACVS-71-R02-SL-A</t>
  </si>
  <si>
    <t>ACVS-71-R02-SL-B</t>
  </si>
  <si>
    <t>ACVS-71-R03-SL</t>
  </si>
  <si>
    <t>ACVS-71-V06-VS</t>
  </si>
  <si>
    <t>ACVS-71-V07-VS</t>
  </si>
  <si>
    <t>ACVS-71-R03-SL-A</t>
  </si>
  <si>
    <t>ACVS-71-R03-SL-B</t>
  </si>
  <si>
    <t>ACVS-71-R04-SL</t>
  </si>
  <si>
    <t>ACVS-71-V08-VS</t>
  </si>
  <si>
    <t>ACVS-71-V09-VS</t>
  </si>
  <si>
    <t>ACVS-71-R04-SL-A</t>
  </si>
  <si>
    <t>ACVS-71-R04-SL-B</t>
  </si>
  <si>
    <t>ACVS-71-R05-SL</t>
  </si>
  <si>
    <t>ACVS-71-V10-VS</t>
  </si>
  <si>
    <t>ACVS-71-V11-VS</t>
  </si>
  <si>
    <t>ACVS-71-R05-SL-A</t>
  </si>
  <si>
    <t>ACVS-71-R05-SL-B</t>
  </si>
  <si>
    <t>ACVS-71-R06-SL</t>
  </si>
  <si>
    <t>ACVS-71-V12-VS</t>
  </si>
  <si>
    <t>ACVS-71-V13-VS</t>
  </si>
  <si>
    <t>ACVS-71-R06-SL-A</t>
  </si>
  <si>
    <t>ACVS-71-R06-SL-B</t>
  </si>
  <si>
    <t>ACVS-71-R07-SL</t>
  </si>
  <si>
    <t>ACVS-71-V14-VS</t>
  </si>
  <si>
    <t>ACVS-71-V15-VS</t>
  </si>
  <si>
    <t>ACVS-71-R07-SL-A</t>
  </si>
  <si>
    <t>ACVS-71-R07-SL-B</t>
  </si>
  <si>
    <t>ACV1-00-R01-SL</t>
  </si>
  <si>
    <t>ACV1-00-V02-BO</t>
  </si>
  <si>
    <t>ACV1-00-V03-BO</t>
  </si>
  <si>
    <t>ACV1-00-R02-SL</t>
  </si>
  <si>
    <t>ACV1-00-V04-BO</t>
  </si>
  <si>
    <t>ACV1-00-V05-BO</t>
  </si>
  <si>
    <t>ACV1-00-R03-SL</t>
  </si>
  <si>
    <t>ACV1-00-V06-BO</t>
  </si>
  <si>
    <t>ACV1-00-V07-BO</t>
  </si>
  <si>
    <t>ACV1-00-R04-SL</t>
  </si>
  <si>
    <t>ACV1-00-V08-BO</t>
  </si>
  <si>
    <t>ACV1-00-V09-BO</t>
  </si>
  <si>
    <t>ACV1-00-R05-SL</t>
  </si>
  <si>
    <t>ACV1-00-V10-BO</t>
  </si>
  <si>
    <t>ACV1-00-V11-BO</t>
  </si>
  <si>
    <t>ACV1-00-R06-SL</t>
  </si>
  <si>
    <t>ACV1-00-V12-BO</t>
  </si>
  <si>
    <t>ACV1-00-V13-BO</t>
  </si>
  <si>
    <t>ACV1-00-R07-SL</t>
  </si>
  <si>
    <t>ACV1-00-V14-BO</t>
  </si>
  <si>
    <t>ACV1-00-V15-BO</t>
  </si>
  <si>
    <t>ACV1-01-R01-SL</t>
  </si>
  <si>
    <t>ACV1-01-V02-BO</t>
  </si>
  <si>
    <t>ACV1-01-V03-BO</t>
  </si>
  <si>
    <t>ACV1-01-R02-SL</t>
  </si>
  <si>
    <t>ACV1-01-V04-BO</t>
  </si>
  <si>
    <t>ACV1-01-V05-BO</t>
  </si>
  <si>
    <t>ACV1-01-R03-SL</t>
  </si>
  <si>
    <t>ACV1-01-V06-BO</t>
  </si>
  <si>
    <t>ACV1-01-V07-BO</t>
  </si>
  <si>
    <t>ACV1-01-R04-SL</t>
  </si>
  <si>
    <t>ACV1-01-V08-BO</t>
  </si>
  <si>
    <t>ACV1-01-V09-BO</t>
  </si>
  <si>
    <t>ACV1-01-R05-SL</t>
  </si>
  <si>
    <t>ACV1-01-V10-BO</t>
  </si>
  <si>
    <t>ACV1-01-V11-BO</t>
  </si>
  <si>
    <t>ACV1-01-R06-SL</t>
  </si>
  <si>
    <t>ACV1-01-V12-BO</t>
  </si>
  <si>
    <t>ACV1-01-V13-BO</t>
  </si>
  <si>
    <t>ACV1-01-R07-SL</t>
  </si>
  <si>
    <t>ACV1-01-V14-BO</t>
  </si>
  <si>
    <t>ACV1-01-V15-BO</t>
  </si>
  <si>
    <t>ACV1-02-R01-SL</t>
  </si>
  <si>
    <t>ACV1-02-V02-BO</t>
  </si>
  <si>
    <t>ACV1-02-V03-BO</t>
  </si>
  <si>
    <t>ACV1-02-R02-SL</t>
  </si>
  <si>
    <t>ACV1-02-V04-BO</t>
  </si>
  <si>
    <t>ACV1-02-V05-BO</t>
  </si>
  <si>
    <t>ACV1-02-R03-SL</t>
  </si>
  <si>
    <t>ACV1-02-V06-BO</t>
  </si>
  <si>
    <t>ACV1-02-V07-BO</t>
  </si>
  <si>
    <t>ACV1-02-R04-SL</t>
  </si>
  <si>
    <t>ACV1-02-V08-BO</t>
  </si>
  <si>
    <t>ACV1-02-V09-BO</t>
  </si>
  <si>
    <t>ACV1-02-R05-SL</t>
  </si>
  <si>
    <t>ACV1-02-V10-BO</t>
  </si>
  <si>
    <t>ACV1-02-V11-BO</t>
  </si>
  <si>
    <t>ACV1-02-R06-SL</t>
  </si>
  <si>
    <t>ACV1-02-V12-BO</t>
  </si>
  <si>
    <t>ACV1-02-V13-BO</t>
  </si>
  <si>
    <t>ACV1-02-R07-SL</t>
  </si>
  <si>
    <t>ACV1-02-V14-BO</t>
  </si>
  <si>
    <t>ACV1-02-V15-BO</t>
  </si>
  <si>
    <t>ACV1-03-R01-SL</t>
  </si>
  <si>
    <t>ACV1-03-V02-BO</t>
  </si>
  <si>
    <t>ACV1-03-V03-BO</t>
  </si>
  <si>
    <t>ACV1-03-R02-SL</t>
  </si>
  <si>
    <t>ACV1-03-V04-BO</t>
  </si>
  <si>
    <t>ACV1-03-V05-BO</t>
  </si>
  <si>
    <t>ACV1-03-R03-SL</t>
  </si>
  <si>
    <t>ACV1-03-V06-BO</t>
  </si>
  <si>
    <t>ACV1-03-V07-BO</t>
  </si>
  <si>
    <t>ACV1-03-R04-SL</t>
  </si>
  <si>
    <t>ACV1-03-V08-BO</t>
  </si>
  <si>
    <t>ACV1-03-V09-BO</t>
  </si>
  <si>
    <t>ACV1-03-R05-SL</t>
  </si>
  <si>
    <t>ACV1-03-V10-BO</t>
  </si>
  <si>
    <t>ACV1-03-V11-BO</t>
  </si>
  <si>
    <t>ACV1-03-R06-SL</t>
  </si>
  <si>
    <t>ACV1-03-V12-BO</t>
  </si>
  <si>
    <t>ACV1-03-V13-BO</t>
  </si>
  <si>
    <t>ACV1-03-R07-SL</t>
  </si>
  <si>
    <t>ACV1-03-V14-BO</t>
  </si>
  <si>
    <t>ACV1-03-V15-BO</t>
  </si>
  <si>
    <t>ACV1-04-R01-SL</t>
  </si>
  <si>
    <t>ACV1-04-V02-BO</t>
  </si>
  <si>
    <t>ACV1-04-V03-BO</t>
  </si>
  <si>
    <t>ACV1-04-R02-SL</t>
  </si>
  <si>
    <t>ACV1-04-V04-BO</t>
  </si>
  <si>
    <t>ACV1-04-V05-BO</t>
  </si>
  <si>
    <t>ACV1-04-R03-SL</t>
  </si>
  <si>
    <t>ACV1-04-V06-BO</t>
  </si>
  <si>
    <t>ACV1-04-V07-BO</t>
  </si>
  <si>
    <t>ACV1-04-R04-SL</t>
  </si>
  <si>
    <t>ACV1-04-V08-BO</t>
  </si>
  <si>
    <t>ACV1-04-V09-BO</t>
  </si>
  <si>
    <t>ACV1-04-R05-SL</t>
  </si>
  <si>
    <t>ACV1-04-V10-BO</t>
  </si>
  <si>
    <t>ACV1-04-V11-BO</t>
  </si>
  <si>
    <t>ACV1-04-R06-SL</t>
  </si>
  <si>
    <t>ACV1-04-V12-BO</t>
  </si>
  <si>
    <t>ACV1-04-V13-BO</t>
  </si>
  <si>
    <t>ACV1-04-R07-SL</t>
  </si>
  <si>
    <t>ACV1-04-V14-BO</t>
  </si>
  <si>
    <t>ACV1-04-V15-BO</t>
  </si>
  <si>
    <t>ACV1-05-R01-SL</t>
  </si>
  <si>
    <t>ACV1-05-V02-BO</t>
  </si>
  <si>
    <t>ACV1-05-V03-BO</t>
  </si>
  <si>
    <t>ACV1-05-R02-SL</t>
  </si>
  <si>
    <t>ACV1-05-V04-BO</t>
  </si>
  <si>
    <t>ACV1-05-V05-BO</t>
  </si>
  <si>
    <t>ACV1-05-R03-SL</t>
  </si>
  <si>
    <t>ACV1-05-V06-BO</t>
  </si>
  <si>
    <t>ACV1-05-V07-BO</t>
  </si>
  <si>
    <t>ACV1-05-R04-SL</t>
  </si>
  <si>
    <t>ACV1-05-V08-BO</t>
  </si>
  <si>
    <t>ACV1-05-V09-BO</t>
  </si>
  <si>
    <t>ACV1-05-R05-SL</t>
  </si>
  <si>
    <t>ACV1-05-V10-BO</t>
  </si>
  <si>
    <t>ACV1-05-V11-BO</t>
  </si>
  <si>
    <t>ACV1-05-R06-SL</t>
  </si>
  <si>
    <t>ACV1-05-V12-BO</t>
  </si>
  <si>
    <t>ACV1-05-V13-BO</t>
  </si>
  <si>
    <t>ACV1-05-R07-SL</t>
  </si>
  <si>
    <t>ACV1-05-V14-BO</t>
  </si>
  <si>
    <t>ACV1-05-V15-BO</t>
  </si>
  <si>
    <t>ACV1-06-R01-SL</t>
  </si>
  <si>
    <t>ACV1-06-V02-BO</t>
  </si>
  <si>
    <t>ACV1-06-V03-BO</t>
  </si>
  <si>
    <t>ACV1-06-R02-SL</t>
  </si>
  <si>
    <t>ACV1-06-V04-BO</t>
  </si>
  <si>
    <t>ACV1-06-V05-BO</t>
  </si>
  <si>
    <t>ACV1-06-R03-SL</t>
  </si>
  <si>
    <t>ACV1-06-V06-BO</t>
  </si>
  <si>
    <t>ACV1-06-V07-BO</t>
  </si>
  <si>
    <t>ACV1-06-R04-SL</t>
  </si>
  <si>
    <t>ACV1-06-V08-BO</t>
  </si>
  <si>
    <t>ACV1-06-V09-BO</t>
  </si>
  <si>
    <t>ACV1-06-R05-SL</t>
  </si>
  <si>
    <t>ACV1-06-V10-BO</t>
  </si>
  <si>
    <t>ACV1-06-V11-BO</t>
  </si>
  <si>
    <t>ACV1-06-R06-SL</t>
  </si>
  <si>
    <t>ACV1-06-V12-BO</t>
  </si>
  <si>
    <t>ACV1-06-V13-BO</t>
  </si>
  <si>
    <t>ACV1-06-R07-SL</t>
  </si>
  <si>
    <t>ACV1-06-V14-BO</t>
  </si>
  <si>
    <t>ACV1-06-V15-BO</t>
  </si>
  <si>
    <t>ACV1-07-R01-SL</t>
  </si>
  <si>
    <t>ACV1-07-V02-BO</t>
  </si>
  <si>
    <t>ACV1-07-V03-BO</t>
  </si>
  <si>
    <t>ACV1-07-R02-SL</t>
  </si>
  <si>
    <t>ACV1-07-V04-BO</t>
  </si>
  <si>
    <t>ACV1-07-V05-BO</t>
  </si>
  <si>
    <t>ACV1-07-R03-SL</t>
  </si>
  <si>
    <t>ACV1-07-V06-BO</t>
  </si>
  <si>
    <t>ACV1-07-V07-BO</t>
  </si>
  <si>
    <t>ACV1-07-R04-SL</t>
  </si>
  <si>
    <t>ACV1-07-V08-BO</t>
  </si>
  <si>
    <t>ACV1-07-V09-BO</t>
  </si>
  <si>
    <t>ACV1-07-R05-SL</t>
  </si>
  <si>
    <t>ACV1-07-V10-BO</t>
  </si>
  <si>
    <t>ACV1-07-V11-BO</t>
  </si>
  <si>
    <t>ACV1-07-R06-SL</t>
  </si>
  <si>
    <t>ACV1-07-V12-BO</t>
  </si>
  <si>
    <t>ACV1-07-V13-BO</t>
  </si>
  <si>
    <t>ACV1-07-R07-SL</t>
  </si>
  <si>
    <t>ACV1-07-V14-BO</t>
  </si>
  <si>
    <t>ACV1-07-V15-BO</t>
  </si>
  <si>
    <t>ACV1-08-R01-SL</t>
  </si>
  <si>
    <t>ACV1-08-V02-BO</t>
  </si>
  <si>
    <t>ACV1-08-V03-BO</t>
  </si>
  <si>
    <t>ACV1-08-R02-SL</t>
  </si>
  <si>
    <t>ACV1-08-V04-BO</t>
  </si>
  <si>
    <t>ACV1-08-V05-BO</t>
  </si>
  <si>
    <t>ACV1-08-R03-SL</t>
  </si>
  <si>
    <t>ACV1-08-V06-BO</t>
  </si>
  <si>
    <t>ACV1-08-V07-BO</t>
  </si>
  <si>
    <t>ACV1-08-R04-SL</t>
  </si>
  <si>
    <t>ACV1-08-V08-BO</t>
  </si>
  <si>
    <t>ACV1-08-V09-BO</t>
  </si>
  <si>
    <t>ACV1-08-R05-SL</t>
  </si>
  <si>
    <t>ACV1-08-V10-BO</t>
  </si>
  <si>
    <t>ACV1-08-V11-BO</t>
  </si>
  <si>
    <t>ACV1-08-R06-SL</t>
  </si>
  <si>
    <t>ACV1-08-V12-BO</t>
  </si>
  <si>
    <t>ACV1-08-V13-BO</t>
  </si>
  <si>
    <t>ACV1-08-R07-SL</t>
  </si>
  <si>
    <t>ACV1-08-V14-BO</t>
  </si>
  <si>
    <t>ACV1-08-V15-BO</t>
  </si>
  <si>
    <t>ACV1-09-R01-SL</t>
  </si>
  <si>
    <t>ACV1-09-V02-BO</t>
  </si>
  <si>
    <t>ACV1-09-V03-BO</t>
  </si>
  <si>
    <t>ACV1-09-R02-SL</t>
  </si>
  <si>
    <t>ACV1-09-V04-BO</t>
  </si>
  <si>
    <t>ACV1-09-V05-BO</t>
  </si>
  <si>
    <t>ACV1-09-R03-SL</t>
  </si>
  <si>
    <t>ACV1-09-V06-BO</t>
  </si>
  <si>
    <t>ACV1-09-V07-BO</t>
  </si>
  <si>
    <t>ACV1-09-R04-SL</t>
  </si>
  <si>
    <t>ACV1-09-V08-BO</t>
  </si>
  <si>
    <t>ACV1-09-V09-BO</t>
  </si>
  <si>
    <t>ACV1-09-R05-SL</t>
  </si>
  <si>
    <t>ACV1-09-V10-BO</t>
  </si>
  <si>
    <t>ACV1-09-V11-BO</t>
  </si>
  <si>
    <t>ACV1-09-R06-SL</t>
  </si>
  <si>
    <t>ACV1-09-V12-BO</t>
  </si>
  <si>
    <t>ACV1-09-V13-BO</t>
  </si>
  <si>
    <t>ACV1-09-R07-SL</t>
  </si>
  <si>
    <t>ACV1-09-V14-BO</t>
  </si>
  <si>
    <t>ACV1-09-V15-BO</t>
  </si>
  <si>
    <t>ACV1-10-R01-SL</t>
  </si>
  <si>
    <t>ACV1-10-V02-BO</t>
  </si>
  <si>
    <t>ACV1-10-V03-BO</t>
  </si>
  <si>
    <t>ACV1-10-R02-SL</t>
  </si>
  <si>
    <t>ACV1-10-V04-BO</t>
  </si>
  <si>
    <t>ACV1-10-V05-BO</t>
  </si>
  <si>
    <t>ACV1-10-R03-SL</t>
  </si>
  <si>
    <t>ACV1-10-V06-BO</t>
  </si>
  <si>
    <t>ACV1-10-V07-BO</t>
  </si>
  <si>
    <t>ACV1-10-R04-SL</t>
  </si>
  <si>
    <t>ACV1-10-V08-BO</t>
  </si>
  <si>
    <t>ACV1-10-V09-BO</t>
  </si>
  <si>
    <t>ACV1-10-R05-SL</t>
  </si>
  <si>
    <t>ACV1-10-V10-BO</t>
  </si>
  <si>
    <t>ACV1-10-V11-BO</t>
  </si>
  <si>
    <t>ACV1-10-R06-SL</t>
  </si>
  <si>
    <t>ACV1-10-V12-BO</t>
  </si>
  <si>
    <t>ACV1-10-V13-BO</t>
  </si>
  <si>
    <t>ACV1-10-R07-SL</t>
  </si>
  <si>
    <t>ACV1-10-V14-BO</t>
  </si>
  <si>
    <t>ACV1-10-V15-BO</t>
  </si>
  <si>
    <t>ACV1-11-R01-SL</t>
  </si>
  <si>
    <t>ACV1-11-V02-BO</t>
  </si>
  <si>
    <t>ACV1-11-V03-BO</t>
  </si>
  <si>
    <t>ACV1-11-R02-SL</t>
  </si>
  <si>
    <t>ACV1-11-V04-BO</t>
  </si>
  <si>
    <t>ACV1-11-V05-BO</t>
  </si>
  <si>
    <t>ACV1-11-R03-SL</t>
  </si>
  <si>
    <t>ACV1-11-V06-BO</t>
  </si>
  <si>
    <t>ACV1-11-V07-BO</t>
  </si>
  <si>
    <t>ACV1-11-R04-SL</t>
  </si>
  <si>
    <t>ACV1-11-V08-BO</t>
  </si>
  <si>
    <t>ACV1-11-V09-BO</t>
  </si>
  <si>
    <t>ACV1-11-R05-SL</t>
  </si>
  <si>
    <t>ACV1-11-V10-BO</t>
  </si>
  <si>
    <t>ACV1-11-V11-BO</t>
  </si>
  <si>
    <t>ACV1-11-R06-SL</t>
  </si>
  <si>
    <t>ACV1-11-V12-BO</t>
  </si>
  <si>
    <t>ACV1-11-V13-BO</t>
  </si>
  <si>
    <t>ACV1-11-R07-SL</t>
  </si>
  <si>
    <t>ACV1-11-V14-BO</t>
  </si>
  <si>
    <t>ACV1-11-V15-BO</t>
  </si>
  <si>
    <t>ACV1-12-R01-SL</t>
  </si>
  <si>
    <t>ACV1-12-V02-BO</t>
  </si>
  <si>
    <t>ACV1-12-V03-BO</t>
  </si>
  <si>
    <t>ACV1-12-R02-SL</t>
  </si>
  <si>
    <t>ACV1-12-V04-BO</t>
  </si>
  <si>
    <t>ACV1-12-V05-BO</t>
  </si>
  <si>
    <t>ACV1-12-R03-SL</t>
  </si>
  <si>
    <t>ACV1-12-V06-BO</t>
  </si>
  <si>
    <t>ACV1-12-V07-BO</t>
  </si>
  <si>
    <t>ACV1-12-R04-SL</t>
  </si>
  <si>
    <t>ACV1-12-V08-BO</t>
  </si>
  <si>
    <t>ACV1-12-V09-BO</t>
  </si>
  <si>
    <t>ACV1-12-R05-SL</t>
  </si>
  <si>
    <t>ACV1-12-V10-BO</t>
  </si>
  <si>
    <t>ACV1-12-V11-BO</t>
  </si>
  <si>
    <t>ACV1-12-R06-SL</t>
  </si>
  <si>
    <t>ACV1-12-V12-BO</t>
  </si>
  <si>
    <t>ACV1-12-V13-BO</t>
  </si>
  <si>
    <t>ACV1-12-R07-SL</t>
  </si>
  <si>
    <t>ACV1-12-V14-BO</t>
  </si>
  <si>
    <t>ACV1-12-V15-BO</t>
  </si>
  <si>
    <t>ACV1-13-R01-SL</t>
  </si>
  <si>
    <t>ACV1-13-V02-BO</t>
  </si>
  <si>
    <t>ACV1-13-V03-BO</t>
  </si>
  <si>
    <t>ACV1-13-R02-SL</t>
  </si>
  <si>
    <t>ACV1-13-V04-BO</t>
  </si>
  <si>
    <t>ACV1-13-V05-BO</t>
  </si>
  <si>
    <t>ACV1-13-R03-SL</t>
  </si>
  <si>
    <t>ACV1-13-V06-BO</t>
  </si>
  <si>
    <t>ACV1-13-V07-BO</t>
  </si>
  <si>
    <t>ACV1-13-R04-SL</t>
  </si>
  <si>
    <t>ACV1-13-V08-BO</t>
  </si>
  <si>
    <t>ACV1-13-V09-BO</t>
  </si>
  <si>
    <t>ACV1-13-R05-SL</t>
  </si>
  <si>
    <t>ACV1-13-V10-BO</t>
  </si>
  <si>
    <t>ACV1-13-V11-BO</t>
  </si>
  <si>
    <t>ACV1-13-R06-SL</t>
  </si>
  <si>
    <t>ACV1-13-V12-BO</t>
  </si>
  <si>
    <t>ACV1-13-V13-BO</t>
  </si>
  <si>
    <t>ACV1-13-R07-SL</t>
  </si>
  <si>
    <t>ACV1-13-V14-BO</t>
  </si>
  <si>
    <t>ACV1-13-V15-BO</t>
  </si>
  <si>
    <t>ACV1-14-R01-SL</t>
  </si>
  <si>
    <t>ACV1-14-V02-BO</t>
  </si>
  <si>
    <t>ACV1-14-V03-BO</t>
  </si>
  <si>
    <t>ACV1-14-R02-SL</t>
  </si>
  <si>
    <t>ACV1-14-V04-BO</t>
  </si>
  <si>
    <t>ACV1-14-V05-BO</t>
  </si>
  <si>
    <t>ACV1-14-R03-SL</t>
  </si>
  <si>
    <t>ACV1-14-V06-BO</t>
  </si>
  <si>
    <t>ACV1-14-V07-BO</t>
  </si>
  <si>
    <t>ACV1-14-R04-SL</t>
  </si>
  <si>
    <t>ACV1-14-V08-BO</t>
  </si>
  <si>
    <t>ACV1-14-V09-BO</t>
  </si>
  <si>
    <t>ACV1-14-R05-SL</t>
  </si>
  <si>
    <t>ACV1-14-V10-BO</t>
  </si>
  <si>
    <t>ACV1-14-V11-BO</t>
  </si>
  <si>
    <t>ACV1-14-R06-SL</t>
  </si>
  <si>
    <t>ACV1-14-V12-BO</t>
  </si>
  <si>
    <t>ACV1-14-V13-BO</t>
  </si>
  <si>
    <t>ACV1-14-R07-SL</t>
  </si>
  <si>
    <t>ACV1-14-V14-BO</t>
  </si>
  <si>
    <t>ACV1-14-V15-BO</t>
  </si>
  <si>
    <t>ACV1-15-R01-SL</t>
  </si>
  <si>
    <t>ACV1-15-V02-BO</t>
  </si>
  <si>
    <t>ACV1-15-V03-BO</t>
  </si>
  <si>
    <t>ACV1-15-R02-SL</t>
  </si>
  <si>
    <t>ACV1-15-V04-BO</t>
  </si>
  <si>
    <t>ACV1-15-V05-BO</t>
  </si>
  <si>
    <t>ACV1-15-R03-SL</t>
  </si>
  <si>
    <t>ACV1-15-V06-BO</t>
  </si>
  <si>
    <t>ACV1-15-V07-BO</t>
  </si>
  <si>
    <t>ACV1-15-R04-SL</t>
  </si>
  <si>
    <t>ACV1-15-V08-BO</t>
  </si>
  <si>
    <t>ACV1-15-V09-BO</t>
  </si>
  <si>
    <t>ACV1-15-R05-SL</t>
  </si>
  <si>
    <t>ACV1-15-V10-BO</t>
  </si>
  <si>
    <t>ACV1-15-V11-BO</t>
  </si>
  <si>
    <t>ACV1-15-R06-SL</t>
  </si>
  <si>
    <t>ACV1-15-V12-BO</t>
  </si>
  <si>
    <t>ACV1-15-V13-BO</t>
  </si>
  <si>
    <t>ACV1-15-R07-SL</t>
  </si>
  <si>
    <t>ACV1-15-V14-BO</t>
  </si>
  <si>
    <t>ACV1-15-V15-BO</t>
  </si>
  <si>
    <t>ACV1-16-R01-SL</t>
  </si>
  <si>
    <t>ACV1-16-V02-BO</t>
  </si>
  <si>
    <t>ACV1-16-V03-BO</t>
  </si>
  <si>
    <t>ACV1-16-R02-SL</t>
  </si>
  <si>
    <t>ACV1-16-V04-BO</t>
  </si>
  <si>
    <t>ACV1-16-V05-BO</t>
  </si>
  <si>
    <t>ACV1-16-R03-SL</t>
  </si>
  <si>
    <t>ACV1-16-V06-BO</t>
  </si>
  <si>
    <t>ACV1-16-V07-BO</t>
  </si>
  <si>
    <t>ACV1-16-R04-SL</t>
  </si>
  <si>
    <t>ACV1-16-V08-BO</t>
  </si>
  <si>
    <t>ACV1-16-V09-BO</t>
  </si>
  <si>
    <t>ACV1-16-R05-SL</t>
  </si>
  <si>
    <t>ACV1-16-V10-BO</t>
  </si>
  <si>
    <t>ACV1-16-V11-BO</t>
  </si>
  <si>
    <t>ACV1-16-R06-SL</t>
  </si>
  <si>
    <t>ACV1-16-V12-BO</t>
  </si>
  <si>
    <t>ACV1-16-V13-BO</t>
  </si>
  <si>
    <t>ACV1-16-R07-SL</t>
  </si>
  <si>
    <t>ACV1-16-V14-BO</t>
  </si>
  <si>
    <t>ACV1-16-V15-BO</t>
  </si>
  <si>
    <t>ACV1-17-R01-SL</t>
  </si>
  <si>
    <t>ACV1-17-V02-BO</t>
  </si>
  <si>
    <t>ACV1-17-V03-BO</t>
  </si>
  <si>
    <t>ACV1-17-R02-SL</t>
  </si>
  <si>
    <t>ACV1-17-V04-BO</t>
  </si>
  <si>
    <t>ACV1-17-V05-BO</t>
  </si>
  <si>
    <t>ACV1-17-R03-SL</t>
  </si>
  <si>
    <t>ACV1-17-V06-BO</t>
  </si>
  <si>
    <t>ACV1-17-V07-BO</t>
  </si>
  <si>
    <t>ACV1-17-R04-SL</t>
  </si>
  <si>
    <t>ACV1-17-V08-BO</t>
  </si>
  <si>
    <t>ACV1-17-V09-BO</t>
  </si>
  <si>
    <t>ACV1-17-R05-SL</t>
  </si>
  <si>
    <t>ACV1-17-V10-BO</t>
  </si>
  <si>
    <t>ACV1-17-V11-BO</t>
  </si>
  <si>
    <t>ACV1-17-R06-SL</t>
  </si>
  <si>
    <t>ACV1-17-V12-BO</t>
  </si>
  <si>
    <t>ACV1-17-V13-BO</t>
  </si>
  <si>
    <t>ACV1-17-R07-SL</t>
  </si>
  <si>
    <t>ACV1-17-V14-BO</t>
  </si>
  <si>
    <t>ACV1-17-V15-BO</t>
  </si>
  <si>
    <t>ACV1-18-R01-SL</t>
  </si>
  <si>
    <t>ACV1-18-V02-BO</t>
  </si>
  <si>
    <t>ACV1-18-V03-BO</t>
  </si>
  <si>
    <t>ACV1-18-R02-SL</t>
  </si>
  <si>
    <t>ACV1-18-V04-BO</t>
  </si>
  <si>
    <t>ACV1-18-V05-BO</t>
  </si>
  <si>
    <t>ACV1-18-R03-SL</t>
  </si>
  <si>
    <t>ACV1-18-V06-BO</t>
  </si>
  <si>
    <t>ACV1-18-V07-BO</t>
  </si>
  <si>
    <t>ACV1-18-R04-SL</t>
  </si>
  <si>
    <t>ACV1-18-V08-BO</t>
  </si>
  <si>
    <t>ACV1-18-V09-BO</t>
  </si>
  <si>
    <t>ACV1-18-R05-SL</t>
  </si>
  <si>
    <t>ACV1-18-V10-BO</t>
  </si>
  <si>
    <t>ACV1-18-V11-BO</t>
  </si>
  <si>
    <t>ACV1-18-R06-SL</t>
  </si>
  <si>
    <t>ACV1-18-V12-BO</t>
  </si>
  <si>
    <t>ACV1-18-V13-BO</t>
  </si>
  <si>
    <t>ACV1-18-R07-SL</t>
  </si>
  <si>
    <t>ACV1-18-V14-BO</t>
  </si>
  <si>
    <t>ACV1-18-V15-BO</t>
  </si>
  <si>
    <t>ACV1-19-R01-SL</t>
  </si>
  <si>
    <t>ACV1-19-V02-BO</t>
  </si>
  <si>
    <t>ACV1-19-V03-BO</t>
  </si>
  <si>
    <t>ACV1-19-R02-SL</t>
  </si>
  <si>
    <t>ACV1-19-V04-BO</t>
  </si>
  <si>
    <t>ACV1-19-V05-BO</t>
  </si>
  <si>
    <t>ACV1-19-R03-SL</t>
  </si>
  <si>
    <t>ACV1-19-V06-BO</t>
  </si>
  <si>
    <t>ACV1-19-V07-BO</t>
  </si>
  <si>
    <t>ACV1-19-R04-SL</t>
  </si>
  <si>
    <t>ACV1-19-V08-BO</t>
  </si>
  <si>
    <t>ACV1-19-V09-BO</t>
  </si>
  <si>
    <t>ACV1-19-R05-SL</t>
  </si>
  <si>
    <t>ACV1-19-V10-BO</t>
  </si>
  <si>
    <t>ACV1-19-V11-BO</t>
  </si>
  <si>
    <t>ACV1-19-R06-SL</t>
  </si>
  <si>
    <t>ACV1-19-V12-BO</t>
  </si>
  <si>
    <t>ACV1-19-V13-BO</t>
  </si>
  <si>
    <t>ACV1-19-R07-SL</t>
  </si>
  <si>
    <t>ACV1-19-V14-BO</t>
  </si>
  <si>
    <t>ACV1-19-V15-BO</t>
  </si>
  <si>
    <t>ACN1-00-V00-CR</t>
  </si>
  <si>
    <t>ACN1-00-V01-CR</t>
  </si>
  <si>
    <t>ACN1-00-R00-BO</t>
  </si>
  <si>
    <t>ACN1-00-V02-CR</t>
  </si>
  <si>
    <t>ACN1-00-V03-CR</t>
  </si>
  <si>
    <t>ACN1-00-R01-BO</t>
  </si>
  <si>
    <t>ACN1-00-V04-CR</t>
  </si>
  <si>
    <t>ACN1-00-V05-CR</t>
  </si>
  <si>
    <t>ACN1-00-R02-BO</t>
  </si>
  <si>
    <t>ACN1-00-V06-CR</t>
  </si>
  <si>
    <t>ACN1-00-V07-CR</t>
  </si>
  <si>
    <t>ACN1-00-R03-BO</t>
  </si>
  <si>
    <t>ACN1-00-V08-CR</t>
  </si>
  <si>
    <t>ACN1-00-V09-CR</t>
  </si>
  <si>
    <t>ACN1-00-R04-BO</t>
  </si>
  <si>
    <t>ACN1-00-V10-CR</t>
  </si>
  <si>
    <t>ACN1-00-V11-CR</t>
  </si>
  <si>
    <t>ACN1-00-R05-BO</t>
  </si>
  <si>
    <t>ACN1-00-V12-CR</t>
  </si>
  <si>
    <t>ACN1-00-V13-CR</t>
  </si>
  <si>
    <t>ACN1-00-R06-BO</t>
  </si>
  <si>
    <t>ACN1-00-V14-CR</t>
  </si>
  <si>
    <t>ACN1-00-V15-CR</t>
  </si>
  <si>
    <t>ACN1-00-R07-BO</t>
  </si>
  <si>
    <t>ACN1-01-V00-CR</t>
  </si>
  <si>
    <t>ACN1-01-V01-CR</t>
  </si>
  <si>
    <t>ACN1-01-R00-BO</t>
  </si>
  <si>
    <t>ACN1-01-V02-CR</t>
  </si>
  <si>
    <t>ACN1-01-V03-CR</t>
  </si>
  <si>
    <t>ACN1-01-R01-BO</t>
  </si>
  <si>
    <t>ACN1-01-V04-CR</t>
  </si>
  <si>
    <t>ACN1-01-V05-CR</t>
  </si>
  <si>
    <t>ACN1-01-R02-BO</t>
  </si>
  <si>
    <t>ACN1-01-V06-CR</t>
  </si>
  <si>
    <t>ACN1-01-V07-CR</t>
  </si>
  <si>
    <t>ACN1-01-R03-BO</t>
  </si>
  <si>
    <t>ACN1-01-V08-CR</t>
  </si>
  <si>
    <t>ACN1-01-V09-CR</t>
  </si>
  <si>
    <t>ACN1-01-R04-BO</t>
  </si>
  <si>
    <t>ACN1-01-V10-CR</t>
  </si>
  <si>
    <t>ACN1-01-V11-CR</t>
  </si>
  <si>
    <t>ACN1-01-R05-BO</t>
  </si>
  <si>
    <t>ACN1-01-V12-CR</t>
  </si>
  <si>
    <t>ACN1-01-V13-CR</t>
  </si>
  <si>
    <t>ACN1-01-R06-BO</t>
  </si>
  <si>
    <t>ACN1-01-V14-CR</t>
  </si>
  <si>
    <t>ACN1-01-V15-CR</t>
  </si>
  <si>
    <t>ACN1-01-R07-BO</t>
  </si>
  <si>
    <t>ACN1-02-V00-CR</t>
  </si>
  <si>
    <t>ACN1-02-V01-CR</t>
  </si>
  <si>
    <t>ACN1-02-R00-BO</t>
  </si>
  <si>
    <t>ACN1-02-V02-CR</t>
  </si>
  <si>
    <t>ACN1-02-V03-CR</t>
  </si>
  <si>
    <t>ACN1-02-R01-BO</t>
  </si>
  <si>
    <t>ACN1-02-V04-CR</t>
  </si>
  <si>
    <t>ACN1-02-V05-CR</t>
  </si>
  <si>
    <t>ACN1-02-R02-BO</t>
  </si>
  <si>
    <t>ACN1-02-V06-CR</t>
  </si>
  <si>
    <t>ACN1-02-V07-CR</t>
  </si>
  <si>
    <t>ACN1-02-R03-BO</t>
  </si>
  <si>
    <t>ACN1-02-V08-CR</t>
  </si>
  <si>
    <t>ACN1-02-V09-CR</t>
  </si>
  <si>
    <t>ACN1-02-R04-BO</t>
  </si>
  <si>
    <t>ACN1-02-V10-CR</t>
  </si>
  <si>
    <t>ACN1-02-V11-CR</t>
  </si>
  <si>
    <t>ACN1-02-R05-BO</t>
  </si>
  <si>
    <t>ACN1-02-V12-CR</t>
  </si>
  <si>
    <t>ACN1-02-V13-CR</t>
  </si>
  <si>
    <t>ACN1-02-R06-BO</t>
  </si>
  <si>
    <t>ACN1-02-V14-CR</t>
  </si>
  <si>
    <t>ACN1-02-V15-CR</t>
  </si>
  <si>
    <t>ACN1-02-R07-BO</t>
  </si>
  <si>
    <t>ACN1-03-V00-CR</t>
  </si>
  <si>
    <t>ACN1-03-V01-CR</t>
  </si>
  <si>
    <t>ACN1-03-R00-BO</t>
  </si>
  <si>
    <t>ACN1-03-V02-CR</t>
  </si>
  <si>
    <t>ACN1-03-V03-CR</t>
  </si>
  <si>
    <t>ACN1-03-R01-BO</t>
  </si>
  <si>
    <t>ACN1-03-V04-CR</t>
  </si>
  <si>
    <t>ACN1-03-V05-CR</t>
  </si>
  <si>
    <t>ACN1-03-R02-BO</t>
  </si>
  <si>
    <t>ACN1-03-V06-CR</t>
  </si>
  <si>
    <t>ACN1-03-V07-CR</t>
  </si>
  <si>
    <t>ACN1-03-R03-BO</t>
  </si>
  <si>
    <t>ACN1-03-V08-CR</t>
  </si>
  <si>
    <t>ACN1-03-V09-CR</t>
  </si>
  <si>
    <t>ACN1-03-R04-BO</t>
  </si>
  <si>
    <t>ACN1-03-V10-CR</t>
  </si>
  <si>
    <t>ACN1-03-V11-CR</t>
  </si>
  <si>
    <t>ACN1-03-R05-BO</t>
  </si>
  <si>
    <t>ACN1-03-V12-CR</t>
  </si>
  <si>
    <t>ACN1-03-V13-CR</t>
  </si>
  <si>
    <t>ACN1-03-R06-BO</t>
  </si>
  <si>
    <t>ACN1-03-V14-CR</t>
  </si>
  <si>
    <t>ACN1-03-V15-CR</t>
  </si>
  <si>
    <t>ACN1-03-R07-BO</t>
  </si>
  <si>
    <t>ACN1-04-V00-CR</t>
  </si>
  <si>
    <t>ACN1-04-V01-CR</t>
  </si>
  <si>
    <t>ACN1-04-R00-BO</t>
  </si>
  <si>
    <t>ACN1-04-V02-CR</t>
  </si>
  <si>
    <t>ACN1-04-V03-CR</t>
  </si>
  <si>
    <t>ACN1-04-R01-BO</t>
  </si>
  <si>
    <t>ACN1-04-V04-CR</t>
  </si>
  <si>
    <t>ACN1-04-V05-CR</t>
  </si>
  <si>
    <t>ACN1-04-R02-BO</t>
  </si>
  <si>
    <t>ACN1-04-V06-CR</t>
  </si>
  <si>
    <t>ACN1-04-V07-CR</t>
  </si>
  <si>
    <t>ACN1-04-R03-BO</t>
  </si>
  <si>
    <t>ACN1-04-V08-CR</t>
  </si>
  <si>
    <t>ACN1-04-V09-CR</t>
  </si>
  <si>
    <t>ACN1-04-R04-BO</t>
  </si>
  <si>
    <t>ACN1-04-V10-CR</t>
  </si>
  <si>
    <t>ACN1-04-V11-CR</t>
  </si>
  <si>
    <t>ACN1-04-R05-BO</t>
  </si>
  <si>
    <t>ACN1-04-V12-CR</t>
  </si>
  <si>
    <t>ACN1-04-V13-CR</t>
  </si>
  <si>
    <t>ACN1-04-R06-BO</t>
  </si>
  <si>
    <t>ACN1-04-V14-CR</t>
  </si>
  <si>
    <t>ACN1-04-V15-CR</t>
  </si>
  <si>
    <t>ACN1-04-R07-BO</t>
  </si>
  <si>
    <t>ACN1-05-V00-CR</t>
  </si>
  <si>
    <t>ACN1-05-V01-CR</t>
  </si>
  <si>
    <t>ACN1-05-R00-BO</t>
  </si>
  <si>
    <t>ACN1-05-V02-CR</t>
  </si>
  <si>
    <t>ACN1-05-V03-CR</t>
  </si>
  <si>
    <t>ACN1-05-R01-BO</t>
  </si>
  <si>
    <t>ACN1-05-V04-CR</t>
  </si>
  <si>
    <t>ACN1-05-V05-CR</t>
  </si>
  <si>
    <t>ACN1-05-R02-BO</t>
  </si>
  <si>
    <t>ACN1-05-V06-CR</t>
  </si>
  <si>
    <t>ACN1-05-V07-CR</t>
  </si>
  <si>
    <t>ACN1-05-R03-BO</t>
  </si>
  <si>
    <t>ACN1-05-V08-CR</t>
  </si>
  <si>
    <t>ACN1-05-V09-CR</t>
  </si>
  <si>
    <t>ACN1-05-R04-BO</t>
  </si>
  <si>
    <t>ACN1-05-V10-CR</t>
  </si>
  <si>
    <t>ACN1-05-V11-CR</t>
  </si>
  <si>
    <t>ACN1-05-R05-BO</t>
  </si>
  <si>
    <t>ACN1-05-V12-CR</t>
  </si>
  <si>
    <t>ACN1-05-V13-CR</t>
  </si>
  <si>
    <t>ACN1-05-R06-BO</t>
  </si>
  <si>
    <t>ACN1-05-V14-CR</t>
  </si>
  <si>
    <t>ACN1-05-V15-CR</t>
  </si>
  <si>
    <t>ACN1-05-R07-BO</t>
  </si>
  <si>
    <t>ACN1-06-V00-CR</t>
  </si>
  <si>
    <t>ACN1-06-V01-CR</t>
  </si>
  <si>
    <t>ACN1-06-R00-BO</t>
  </si>
  <si>
    <t>ACN1-06-V02-CR</t>
  </si>
  <si>
    <t>ACN1-06-V03-CR</t>
  </si>
  <si>
    <t>ACN1-06-R01-BO</t>
  </si>
  <si>
    <t>ACN1-06-V04-CR</t>
  </si>
  <si>
    <t>ACN1-06-V05-CR</t>
  </si>
  <si>
    <t>ACN1-06-R02-BO</t>
  </si>
  <si>
    <t>ACN1-06-V06-CR</t>
  </si>
  <si>
    <t>ACN1-06-V07-CR</t>
  </si>
  <si>
    <t>ACN1-06-R03-BO</t>
  </si>
  <si>
    <t>ACN1-06-V08-CR</t>
  </si>
  <si>
    <t>ACN1-06-V09-CR</t>
  </si>
  <si>
    <t>ACN1-06-R04-BO</t>
  </si>
  <si>
    <t>ACN1-06-V10-CR</t>
  </si>
  <si>
    <t>ACN1-06-V11-CR</t>
  </si>
  <si>
    <t>ACN1-06-R05-BO</t>
  </si>
  <si>
    <t>ACN1-06-V12-CR</t>
  </si>
  <si>
    <t>ACN1-06-V13-CR</t>
  </si>
  <si>
    <t>ACN1-06-R06-BO</t>
  </si>
  <si>
    <t>ACN1-06-V14-CR</t>
  </si>
  <si>
    <t>ACN1-06-V15-CR</t>
  </si>
  <si>
    <t>ACN1-06-R07-BO</t>
  </si>
  <si>
    <t>ACN1-07-V00-CR</t>
  </si>
  <si>
    <t>ACN1-07-V01-CR</t>
  </si>
  <si>
    <t>ACN1-07-R00-BO</t>
  </si>
  <si>
    <t>ACN1-07-V02-CR</t>
  </si>
  <si>
    <t>ACN1-07-V03-CR</t>
  </si>
  <si>
    <t>ACN1-07-R01-BO</t>
  </si>
  <si>
    <t>ACN1-07-V04-CR</t>
  </si>
  <si>
    <t>ACN1-07-V05-CR</t>
  </si>
  <si>
    <t>ACN1-07-R02-BO</t>
  </si>
  <si>
    <t>ACN1-07-V06-CR</t>
  </si>
  <si>
    <t>ACN1-07-V07-CR</t>
  </si>
  <si>
    <t>ACN1-07-R03-BO</t>
  </si>
  <si>
    <t>ACN1-07-V08-CR</t>
  </si>
  <si>
    <t>ACN1-07-V09-CR</t>
  </si>
  <si>
    <t>ACN1-07-R04-BO</t>
  </si>
  <si>
    <t>ACN1-07-V10-CR</t>
  </si>
  <si>
    <t>ACN1-07-V11-CR</t>
  </si>
  <si>
    <t>ACN1-07-R05-BO</t>
  </si>
  <si>
    <t>ACN1-07-V12-CR</t>
  </si>
  <si>
    <t>ACN1-07-V13-CR</t>
  </si>
  <si>
    <t>ACN1-07-R06-BO</t>
  </si>
  <si>
    <t>ACN1-07-V14-CR</t>
  </si>
  <si>
    <t>ACN1-07-V15-CR</t>
  </si>
  <si>
    <t>ACN1-07-R07-BO</t>
  </si>
  <si>
    <t>ACN1-08-V00-CR</t>
  </si>
  <si>
    <t>ACN1-08-V01-CR</t>
  </si>
  <si>
    <t>ACN1-08-R00-BO</t>
  </si>
  <si>
    <t>ACN1-08-V02-CR</t>
  </si>
  <si>
    <t>ACN1-08-V03-CR</t>
  </si>
  <si>
    <t>ACN1-08-R01-BO</t>
  </si>
  <si>
    <t>ACN1-08-V04-CR</t>
  </si>
  <si>
    <t>ACN1-08-V05-CR</t>
  </si>
  <si>
    <t>ACN1-08-R02-BO</t>
  </si>
  <si>
    <t>ACN1-08-V06-CR</t>
  </si>
  <si>
    <t>ACN1-08-V07-CR</t>
  </si>
  <si>
    <t>ACN1-08-R03-BO</t>
  </si>
  <si>
    <t>ACN1-08-V08-CR</t>
  </si>
  <si>
    <t>ACN1-08-V09-CR</t>
  </si>
  <si>
    <t>ACN1-08-R04-BO</t>
  </si>
  <si>
    <t>ACN1-08-V10-CR</t>
  </si>
  <si>
    <t>ACN1-08-V11-CR</t>
  </si>
  <si>
    <t>ACN1-08-R05-BO</t>
  </si>
  <si>
    <t>ACN1-08-V12-CR</t>
  </si>
  <si>
    <t>ACN1-08-V13-CR</t>
  </si>
  <si>
    <t>ACN1-08-R06-BO</t>
  </si>
  <si>
    <t>ACN1-08-V14-CR</t>
  </si>
  <si>
    <t>ACN1-08-V15-CR</t>
  </si>
  <si>
    <t>ACN1-08-R07-BO</t>
  </si>
  <si>
    <t>ACN1-09-V00-CR</t>
  </si>
  <si>
    <t>ACN1-09-V01-CR</t>
  </si>
  <si>
    <t>ACN1-09-R00-BO</t>
  </si>
  <si>
    <t>ACN1-09-V02-CR</t>
  </si>
  <si>
    <t>ACN1-09-V03-CR</t>
  </si>
  <si>
    <t>ACN1-09-R01-BO</t>
  </si>
  <si>
    <t>ACN1-09-V04-CR</t>
  </si>
  <si>
    <t>ACN1-09-V05-CR</t>
  </si>
  <si>
    <t>ACN1-09-R02-BO</t>
  </si>
  <si>
    <t>ACN1-09-V06-CR</t>
  </si>
  <si>
    <t>ACN1-09-V07-CR</t>
  </si>
  <si>
    <t>ACN1-09-R03-BO</t>
  </si>
  <si>
    <t>ACN1-09-V08-CR</t>
  </si>
  <si>
    <t>ACN1-09-V09-CR</t>
  </si>
  <si>
    <t>ACN1-09-R04-BO</t>
  </si>
  <si>
    <t>ACN1-09-V10-CR</t>
  </si>
  <si>
    <t>ACN1-09-V11-CR</t>
  </si>
  <si>
    <t>ACN1-09-R05-BO</t>
  </si>
  <si>
    <t>ACN1-09-V12-CR</t>
  </si>
  <si>
    <t>ACN1-09-V13-CR</t>
  </si>
  <si>
    <t>ACN1-09-R06-BO</t>
  </si>
  <si>
    <t>ACN1-09-V14-CR</t>
  </si>
  <si>
    <t>ACN1-09-V15-CR</t>
  </si>
  <si>
    <t>ACN1-09-R07-BO</t>
  </si>
  <si>
    <t>ACN1-10-V00-CR</t>
  </si>
  <si>
    <t>ACN1-10-V01-CR</t>
  </si>
  <si>
    <t>ACN1-10-R00-BO</t>
  </si>
  <si>
    <t>ACN1-10-V02-CR</t>
  </si>
  <si>
    <t>ACN1-10-V03-CR</t>
  </si>
  <si>
    <t>ACN1-10-R01-BO</t>
  </si>
  <si>
    <t>ACN1-10-V04-CR</t>
  </si>
  <si>
    <t>ACN1-10-V05-CR</t>
  </si>
  <si>
    <t>ACN1-10-R02-BO</t>
  </si>
  <si>
    <t>ACN1-10-V06-CR</t>
  </si>
  <si>
    <t>ACN1-10-V07-CR</t>
  </si>
  <si>
    <t>ACN1-10-R03-BO</t>
  </si>
  <si>
    <t>ACN1-10-V08-CR</t>
  </si>
  <si>
    <t>ACN1-10-V09-CR</t>
  </si>
  <si>
    <t>ACN1-10-R04-BO</t>
  </si>
  <si>
    <t>ACN1-10-V10-CR</t>
  </si>
  <si>
    <t>ACN1-10-V11-CR</t>
  </si>
  <si>
    <t>ACN1-10-R05-BO</t>
  </si>
  <si>
    <t>ACN1-10-V12-CR</t>
  </si>
  <si>
    <t>ACN1-10-V13-CR</t>
  </si>
  <si>
    <t>ACN1-10-R06-BO</t>
  </si>
  <si>
    <t>ACN1-10-V14-CR</t>
  </si>
  <si>
    <t>ACN1-10-V15-CR</t>
  </si>
  <si>
    <t>ACN1-10-R07-BO</t>
  </si>
  <si>
    <t>ACN1-11-V00-CR</t>
  </si>
  <si>
    <t>ACN1-11-V01-CR</t>
  </si>
  <si>
    <t>ACN1-11-R00-BO</t>
  </si>
  <si>
    <t>ACN1-11-V02-CR</t>
  </si>
  <si>
    <t>ACN1-11-V03-CR</t>
  </si>
  <si>
    <t>ACN1-11-R01-BO</t>
  </si>
  <si>
    <t>ACN1-11-V04-CR</t>
  </si>
  <si>
    <t>ACN1-11-V05-CR</t>
  </si>
  <si>
    <t>ACN1-11-R02-BO</t>
  </si>
  <si>
    <t>ACN1-11-V06-CR</t>
  </si>
  <si>
    <t>ACN1-11-V07-CR</t>
  </si>
  <si>
    <t>ACN1-11-R03-BO</t>
  </si>
  <si>
    <t>ACN1-11-V08-CR</t>
  </si>
  <si>
    <t>ACN1-11-V09-CR</t>
  </si>
  <si>
    <t>ACN1-11-R04-BO</t>
  </si>
  <si>
    <t>ACN1-11-V10-CR</t>
  </si>
  <si>
    <t>ACN1-11-V11-CR</t>
  </si>
  <si>
    <t>ACN1-11-R05-BO</t>
  </si>
  <si>
    <t>ACN1-11-V12-CR</t>
  </si>
  <si>
    <t>ACN1-11-V13-CR</t>
  </si>
  <si>
    <t>ACN1-11-R06-BO</t>
  </si>
  <si>
    <t>ACN1-11-V14-CR</t>
  </si>
  <si>
    <t>ACN1-11-V15-CR</t>
  </si>
  <si>
    <t>ACN1-11-R07-BO</t>
  </si>
  <si>
    <t>ACN1-12-V00-CR</t>
  </si>
  <si>
    <t>ACN1-12-V01-CR</t>
  </si>
  <si>
    <t>ACN1-12-R00-BO</t>
  </si>
  <si>
    <t>ACN1-12-V02-CR</t>
  </si>
  <si>
    <t>ACN1-12-V03-CR</t>
  </si>
  <si>
    <t>ACN1-12-R01-BO</t>
  </si>
  <si>
    <t>ACN1-12-V04-CR</t>
  </si>
  <si>
    <t>ACN1-12-V05-CR</t>
  </si>
  <si>
    <t>ACN1-12-R02-BO</t>
  </si>
  <si>
    <t>ACN1-12-V06-CR</t>
  </si>
  <si>
    <t>ACN1-12-V07-CR</t>
  </si>
  <si>
    <t>ACN1-12-R03-BO</t>
  </si>
  <si>
    <t>ACN1-12-V08-CR</t>
  </si>
  <si>
    <t>ACN1-12-V09-CR</t>
  </si>
  <si>
    <t>ACN1-12-R04-BO</t>
  </si>
  <si>
    <t>ACN1-12-V10-CR</t>
  </si>
  <si>
    <t>ACN1-12-V11-CR</t>
  </si>
  <si>
    <t>ACN1-12-R05-BO</t>
  </si>
  <si>
    <t>ACN1-12-V12-CR</t>
  </si>
  <si>
    <t>ACN1-12-V13-CR</t>
  </si>
  <si>
    <t>ACN1-12-R06-BO</t>
  </si>
  <si>
    <t>ACN1-12-V14-CR</t>
  </si>
  <si>
    <t>ACN1-12-V15-CR</t>
  </si>
  <si>
    <t>ACN1-12-R07-BO</t>
  </si>
  <si>
    <t>ACN1-13-V00-CR</t>
  </si>
  <si>
    <t>ACN1-13-V01-CR</t>
  </si>
  <si>
    <t>ACN1-13-R00-BO</t>
  </si>
  <si>
    <t>ACN1-13-V02-CR</t>
  </si>
  <si>
    <t>ACN1-13-V03-CR</t>
  </si>
  <si>
    <t>ACN1-13-R01-BO</t>
  </si>
  <si>
    <t>ACN1-13-V04-CR</t>
  </si>
  <si>
    <t>ACN1-13-V05-CR</t>
  </si>
  <si>
    <t>ACN1-13-R02-BO</t>
  </si>
  <si>
    <t>ACN1-13-V06-CR</t>
  </si>
  <si>
    <t>ACN1-13-V07-CR</t>
  </si>
  <si>
    <t>ACN1-13-R03-BO</t>
  </si>
  <si>
    <t>ACN1-13-V08-CR</t>
  </si>
  <si>
    <t>ACN1-13-V09-CR</t>
  </si>
  <si>
    <t>ACN1-13-R04-BO</t>
  </si>
  <si>
    <t>ACN1-13-V10-CR</t>
  </si>
  <si>
    <t>ACN1-13-V11-CR</t>
  </si>
  <si>
    <t>ACN1-13-R05-BO</t>
  </si>
  <si>
    <t>ACN1-13-V12-CR</t>
  </si>
  <si>
    <t>ACN1-13-V13-CR</t>
  </si>
  <si>
    <t>ACN1-13-R06-BO</t>
  </si>
  <si>
    <t>ACN1-13-V14-CR</t>
  </si>
  <si>
    <t>ACN1-13-V15-CR</t>
  </si>
  <si>
    <t>ACN1-13-R07-BO</t>
  </si>
  <si>
    <t>ACN1-14-V00-CR</t>
  </si>
  <si>
    <t>ACN1-14-V01-CR</t>
  </si>
  <si>
    <t>ACN1-14-R00-BO</t>
  </si>
  <si>
    <t>ACN1-14-V02-CR</t>
  </si>
  <si>
    <t>ACN1-14-V03-CR</t>
  </si>
  <si>
    <t>ACN1-14-R01-BO</t>
  </si>
  <si>
    <t>ACN1-14-V04-CR</t>
  </si>
  <si>
    <t>ACN1-14-V05-CR</t>
  </si>
  <si>
    <t>ACN1-14-R02-BO</t>
  </si>
  <si>
    <t>ACN1-14-V06-CR</t>
  </si>
  <si>
    <t>ACN1-14-V07-CR</t>
  </si>
  <si>
    <t>ACN1-14-R03-BO</t>
  </si>
  <si>
    <t>ACN1-14-V08-CR</t>
  </si>
  <si>
    <t>ACN1-14-V09-CR</t>
  </si>
  <si>
    <t>ACN1-14-R04-BO</t>
  </si>
  <si>
    <t>ACN1-14-V10-CR</t>
  </si>
  <si>
    <t>ACN1-14-V11-CR</t>
  </si>
  <si>
    <t>ACN1-14-R05-BO</t>
  </si>
  <si>
    <t>ACN1-14-V12-CR</t>
  </si>
  <si>
    <t>ACN1-14-V13-CR</t>
  </si>
  <si>
    <t>ACN1-14-R06-BO</t>
  </si>
  <si>
    <t>ACN1-14-V14-CR</t>
  </si>
  <si>
    <t>ACN1-14-V15-CR</t>
  </si>
  <si>
    <t>ACN1-14-R07-BO</t>
  </si>
  <si>
    <t>ACN1-15-V00-CR</t>
  </si>
  <si>
    <t>ACN1-15-V01-CR</t>
  </si>
  <si>
    <t>ACN1-15-R00-BO</t>
  </si>
  <si>
    <t>ACN1-15-V02-CR</t>
  </si>
  <si>
    <t>ACN1-15-V03-CR</t>
  </si>
  <si>
    <t>ACN1-15-R01-BO</t>
  </si>
  <si>
    <t>ACN1-15-V04-CR</t>
  </si>
  <si>
    <t>ACN1-15-V05-CR</t>
  </si>
  <si>
    <t>ACN1-15-R02-BO</t>
  </si>
  <si>
    <t>ACN1-15-V06-CR</t>
  </si>
  <si>
    <t>ACN1-15-V07-CR</t>
  </si>
  <si>
    <t>ACN1-15-R03-BO</t>
  </si>
  <si>
    <t>ACN1-15-V08-CR</t>
  </si>
  <si>
    <t>ACN1-15-V09-CR</t>
  </si>
  <si>
    <t>ACN1-15-R04-BO</t>
  </si>
  <si>
    <t>ACN1-15-V10-CR</t>
  </si>
  <si>
    <t>ACN1-15-V11-CR</t>
  </si>
  <si>
    <t>ACN1-15-R05-BO</t>
  </si>
  <si>
    <t>ACN1-15-V12-CR</t>
  </si>
  <si>
    <t>ACN1-15-V13-CR</t>
  </si>
  <si>
    <t>ACN1-15-R06-BO</t>
  </si>
  <si>
    <t>ACN1-15-V14-CR</t>
  </si>
  <si>
    <t>ACN1-15-V15-CR</t>
  </si>
  <si>
    <t>ACN1-15-R07-BO</t>
  </si>
  <si>
    <t>ACN1-16-V00-CR</t>
  </si>
  <si>
    <t>ACN1-16-V01-CR</t>
  </si>
  <si>
    <t>ACN1-16-R00-BO</t>
  </si>
  <si>
    <t>ACN1-16-V02-CR</t>
  </si>
  <si>
    <t>ACN1-16-V03-CR</t>
  </si>
  <si>
    <t>ACN1-16-R01-BO</t>
  </si>
  <si>
    <t>ACN1-16-V04-CR</t>
  </si>
  <si>
    <t>ACN1-16-V05-CR</t>
  </si>
  <si>
    <t>ACN1-16-R02-BO</t>
  </si>
  <si>
    <t>ACN1-16-V06-CR</t>
  </si>
  <si>
    <t>ACN1-16-V07-CR</t>
  </si>
  <si>
    <t>ACN1-16-R03-BO</t>
  </si>
  <si>
    <t>ACN1-16-V08-CR</t>
  </si>
  <si>
    <t>ACN1-16-V09-CR</t>
  </si>
  <si>
    <t>ACN1-16-R04-BO</t>
  </si>
  <si>
    <t>ACN1-16-V10-CR</t>
  </si>
  <si>
    <t>ACN1-16-V11-CR</t>
  </si>
  <si>
    <t>ACN1-16-R05-BO</t>
  </si>
  <si>
    <t>ACN1-16-V12-CR</t>
  </si>
  <si>
    <t>ACN1-16-V13-CR</t>
  </si>
  <si>
    <t>ACN1-16-R06-BO</t>
  </si>
  <si>
    <t>ACN1-16-V14-CR</t>
  </si>
  <si>
    <t>ACN1-16-V15-CR</t>
  </si>
  <si>
    <t>ACN1-16-R07-BO</t>
  </si>
  <si>
    <t>ACN1-17-V00-CR</t>
  </si>
  <si>
    <t>ACN1-17-V01-CR</t>
  </si>
  <si>
    <t>ACN1-17-R00-BO</t>
  </si>
  <si>
    <t>ACN1-17-V02-CR</t>
  </si>
  <si>
    <t>ACN1-17-V03-CR</t>
  </si>
  <si>
    <t>ACN1-17-R01-BO</t>
  </si>
  <si>
    <t>ACN1-17-V04-CR</t>
  </si>
  <si>
    <t>ACN1-17-V05-CR</t>
  </si>
  <si>
    <t>ACN1-17-R02-BO</t>
  </si>
  <si>
    <t>ACN1-17-V06-CR</t>
  </si>
  <si>
    <t>ACN1-17-V07-CR</t>
  </si>
  <si>
    <t>ACN1-17-R03-BO</t>
  </si>
  <si>
    <t>ACN1-17-V08-CR</t>
  </si>
  <si>
    <t>ACN1-17-V09-CR</t>
  </si>
  <si>
    <t>ACN1-17-R04-BO</t>
  </si>
  <si>
    <t>ACN1-17-V10-CR</t>
  </si>
  <si>
    <t>ACN1-17-V11-CR</t>
  </si>
  <si>
    <t>ACN1-17-R05-BO</t>
  </si>
  <si>
    <t>ACN1-17-V12-CR</t>
  </si>
  <si>
    <t>ACN1-17-V13-CR</t>
  </si>
  <si>
    <t>ACN1-17-R06-BO</t>
  </si>
  <si>
    <t>ACN1-17-V14-CR</t>
  </si>
  <si>
    <t>ACN1-17-V15-CR</t>
  </si>
  <si>
    <t>ACN1-17-R07-BO</t>
  </si>
  <si>
    <t>ACN1-18-V00-CR</t>
  </si>
  <si>
    <t>ACN1-18-V01-CR</t>
  </si>
  <si>
    <t>ACN1-18-R00-BO</t>
  </si>
  <si>
    <t>ACN1-18-V02-CR</t>
  </si>
  <si>
    <t>ACN1-18-V03-CR</t>
  </si>
  <si>
    <t>ACN1-18-R01-BO</t>
  </si>
  <si>
    <t>ACN1-18-V04-CR</t>
  </si>
  <si>
    <t>ACN1-18-V05-CR</t>
  </si>
  <si>
    <t>ACN1-18-R02-BO</t>
  </si>
  <si>
    <t>ACN1-18-V06-CR</t>
  </si>
  <si>
    <t>ACN1-18-V07-CR</t>
  </si>
  <si>
    <t>ACN1-18-R03-BO</t>
  </si>
  <si>
    <t>ACN1-18-V08-CR</t>
  </si>
  <si>
    <t>ACN1-18-V09-CR</t>
  </si>
  <si>
    <t>ACN1-18-R04-BO</t>
  </si>
  <si>
    <t>ACN1-18-V10-CR</t>
  </si>
  <si>
    <t>ACN1-18-V11-CR</t>
  </si>
  <si>
    <t>ACN1-18-R05-BO</t>
  </si>
  <si>
    <t>ACN1-18-V12-CR</t>
  </si>
  <si>
    <t>ACN1-18-V13-CR</t>
  </si>
  <si>
    <t>ACN1-18-R06-BO</t>
  </si>
  <si>
    <t>ACN1-18-V14-CR</t>
  </si>
  <si>
    <t>ACN1-18-V15-CR</t>
  </si>
  <si>
    <t>ACN1-18-R07-BO</t>
  </si>
  <si>
    <t>ACN1-19-V00-CR</t>
  </si>
  <si>
    <t>ACN1-19-V01-CR</t>
  </si>
  <si>
    <t>ACN1-19-R00-BO</t>
  </si>
  <si>
    <t>ACN1-19-V02-CR</t>
  </si>
  <si>
    <t>ACN1-19-V03-CR</t>
  </si>
  <si>
    <t>ACN1-19-R01-BO</t>
  </si>
  <si>
    <t>ACN1-19-V04-CR</t>
  </si>
  <si>
    <t>ACN1-19-V05-CR</t>
  </si>
  <si>
    <t>ACN1-19-R02-BO</t>
  </si>
  <si>
    <t>ACN1-19-V06-CR</t>
  </si>
  <si>
    <t>ACN1-19-V07-CR</t>
  </si>
  <si>
    <t>ACN1-19-R03-BO</t>
  </si>
  <si>
    <t>ACN1-19-V08-CR</t>
  </si>
  <si>
    <t>ACN1-19-V09-CR</t>
  </si>
  <si>
    <t>ACN1-19-R04-BO</t>
  </si>
  <si>
    <t>ACN1-19-V10-CR</t>
  </si>
  <si>
    <t>ACN1-19-V11-CR</t>
  </si>
  <si>
    <t>ACN1-19-R05-BO</t>
  </si>
  <si>
    <t>ACN1-19-V12-CR</t>
  </si>
  <si>
    <t>ACN1-19-V13-CR</t>
  </si>
  <si>
    <t>ACN1-19-R06-BO</t>
  </si>
  <si>
    <t>ACN1-19-V14-CR</t>
  </si>
  <si>
    <t>ACN1-19-V15-CR</t>
  </si>
  <si>
    <t>ACN1-19-R07-BO</t>
  </si>
  <si>
    <t>ACN1-20-V00-CR</t>
  </si>
  <si>
    <t>ACN1-20-V01-CR</t>
  </si>
  <si>
    <t>ACN1-20-R00-BO</t>
  </si>
  <si>
    <t>ACN1-20-V02-CR</t>
  </si>
  <si>
    <t>ACN1-20-V03-CR</t>
  </si>
  <si>
    <t>ACN1-20-R01-BO</t>
  </si>
  <si>
    <t>ACN1-20-V04-CR</t>
  </si>
  <si>
    <t>ACN1-20-V05-CR</t>
  </si>
  <si>
    <t>ACN1-20-R02-BO</t>
  </si>
  <si>
    <t>ACN1-20-V06-CR</t>
  </si>
  <si>
    <t>ACN1-20-V07-CR</t>
  </si>
  <si>
    <t>ACN1-20-R03-BO</t>
  </si>
  <si>
    <t>ACN1-20-V08-CR</t>
  </si>
  <si>
    <t>ACN1-20-V09-CR</t>
  </si>
  <si>
    <t>ACN1-20-R04-BO</t>
  </si>
  <si>
    <t>ACN1-20-V10-CR</t>
  </si>
  <si>
    <t>ACN1-20-V11-CR</t>
  </si>
  <si>
    <t>ACN1-20-R05-BO</t>
  </si>
  <si>
    <t>ACN1-20-V12-CR</t>
  </si>
  <si>
    <t>ACN1-20-V13-CR</t>
  </si>
  <si>
    <t>ACN1-20-R06-BO</t>
  </si>
  <si>
    <t>ACN1-20-V14-CR</t>
  </si>
  <si>
    <t>ACN1-20-V15-CR</t>
  </si>
  <si>
    <t>ACN1-20-R07-BO</t>
  </si>
  <si>
    <t>ACN1-21-V00-CR</t>
  </si>
  <si>
    <t>ACN1-21-V01-CR</t>
  </si>
  <si>
    <t>ACN1-21-R00-BO</t>
  </si>
  <si>
    <t>ACN1-21-V02-CR</t>
  </si>
  <si>
    <t>ACN1-21-V03-CR</t>
  </si>
  <si>
    <t>ACN1-21-R01-BO</t>
  </si>
  <si>
    <t>ACN1-21-V04-CR</t>
  </si>
  <si>
    <t>ACN1-21-V05-CR</t>
  </si>
  <si>
    <t>ACN1-21-R02-BO</t>
  </si>
  <si>
    <t>ACN1-21-V06-CR</t>
  </si>
  <si>
    <t>ACN1-21-V07-CR</t>
  </si>
  <si>
    <t>ACN1-21-R03-BO</t>
  </si>
  <si>
    <t>ACN1-21-V08-CR</t>
  </si>
  <si>
    <t>ACN1-21-V09-CR</t>
  </si>
  <si>
    <t>ACN1-21-R04-BO</t>
  </si>
  <si>
    <t>ACN1-21-V10-CR</t>
  </si>
  <si>
    <t>ACN1-21-V11-CR</t>
  </si>
  <si>
    <t>ACN1-21-R05-BO</t>
  </si>
  <si>
    <t>ACN1-21-V12-CR</t>
  </si>
  <si>
    <t>ACN1-21-V13-CR</t>
  </si>
  <si>
    <t>ACN1-21-R06-BO</t>
  </si>
  <si>
    <t>ACN1-21-V14-CR</t>
  </si>
  <si>
    <t>ACN1-21-V15-CR</t>
  </si>
  <si>
    <t>ACN1-21-R07-BO</t>
  </si>
  <si>
    <t>ACN1-22-V00-CR</t>
  </si>
  <si>
    <t>ACN1-22-V01-CR</t>
  </si>
  <si>
    <t>ACN1-22-R00-BO</t>
  </si>
  <si>
    <t>ACN1-22-V02-CR</t>
  </si>
  <si>
    <t>ACN1-22-V03-CR</t>
  </si>
  <si>
    <t>ACN1-22-R01-BO</t>
  </si>
  <si>
    <t>ACN1-22-V04-CR</t>
  </si>
  <si>
    <t>ACN1-22-V05-CR</t>
  </si>
  <si>
    <t>ACN1-22-R02-BO</t>
  </si>
  <si>
    <t>ACN1-22-V06-CR</t>
  </si>
  <si>
    <t>ACN1-22-V07-CR</t>
  </si>
  <si>
    <t>ACN1-22-R03-BO</t>
  </si>
  <si>
    <t>ACN1-22-V08-CR</t>
  </si>
  <si>
    <t>ACN1-22-V09-CR</t>
  </si>
  <si>
    <t>ACN1-22-R04-BO</t>
  </si>
  <si>
    <t>ACN1-22-V10-CR</t>
  </si>
  <si>
    <t>ACN1-22-V11-CR</t>
  </si>
  <si>
    <t>ACN1-22-R05-BO</t>
  </si>
  <si>
    <t>ACN1-22-V12-CR</t>
  </si>
  <si>
    <t>ACN1-22-V13-CR</t>
  </si>
  <si>
    <t>ACN1-22-R06-BO</t>
  </si>
  <si>
    <t>ACN1-22-V14-CR</t>
  </si>
  <si>
    <t>ACN1-22-V15-CR</t>
  </si>
  <si>
    <t>ACN1-22-R07-BO</t>
  </si>
  <si>
    <t>ACN1-23-V00-CR</t>
  </si>
  <si>
    <t>ACN1-23-V01-CR</t>
  </si>
  <si>
    <t>ACN1-23-R00-BO</t>
  </si>
  <si>
    <t>ACN1-23-V02-CR</t>
  </si>
  <si>
    <t>ACN1-23-V03-CR</t>
  </si>
  <si>
    <t>ACN1-23-R01-BO</t>
  </si>
  <si>
    <t>ACN1-23-V04-CR</t>
  </si>
  <si>
    <t>ACN1-23-V05-CR</t>
  </si>
  <si>
    <t>ACN1-23-R02-BO</t>
  </si>
  <si>
    <t>ACN1-23-V06-CR</t>
  </si>
  <si>
    <t>ACN1-23-V07-CR</t>
  </si>
  <si>
    <t>ACN1-23-R03-BO</t>
  </si>
  <si>
    <t>ACN1-23-V08-CR</t>
  </si>
  <si>
    <t>ACN1-23-V09-CR</t>
  </si>
  <si>
    <t>ACN1-23-R04-BO</t>
  </si>
  <si>
    <t>ACN1-23-V10-CR</t>
  </si>
  <si>
    <t>ACN1-23-V11-CR</t>
  </si>
  <si>
    <t>ACN1-23-R05-BO</t>
  </si>
  <si>
    <t>ACN1-23-V12-CR</t>
  </si>
  <si>
    <t>ACN1-23-V13-CR</t>
  </si>
  <si>
    <t>ACN1-23-R06-BO</t>
  </si>
  <si>
    <t>ACN1-23-V14-CR</t>
  </si>
  <si>
    <t>ACN1-23-V15-CR</t>
  </si>
  <si>
    <t>ACN1-23-R07-BO</t>
  </si>
  <si>
    <t>ACN1-24-V00-CR</t>
  </si>
  <si>
    <t>ACN1-24-V01-CR</t>
  </si>
  <si>
    <t>ACN1-24-R00-BO</t>
  </si>
  <si>
    <t>ACN1-24-V02-CR</t>
  </si>
  <si>
    <t>ACN1-24-V03-CR</t>
  </si>
  <si>
    <t>ACN1-24-R01-BO</t>
  </si>
  <si>
    <t>ACN1-24-V04-CR</t>
  </si>
  <si>
    <t>ACN1-24-V05-CR</t>
  </si>
  <si>
    <t>ACN1-24-R02-BO</t>
  </si>
  <si>
    <t>ACN1-24-V06-CR</t>
  </si>
  <si>
    <t>ACN1-24-V07-CR</t>
  </si>
  <si>
    <t>ACN1-24-R03-BO</t>
  </si>
  <si>
    <t>ACN1-24-V08-CR</t>
  </si>
  <si>
    <t>ACN1-24-V09-CR</t>
  </si>
  <si>
    <t>ACN1-24-R04-BO</t>
  </si>
  <si>
    <t>ACN1-24-V10-CR</t>
  </si>
  <si>
    <t>ACN1-24-V11-CR</t>
  </si>
  <si>
    <t>ACN1-24-R05-BO</t>
  </si>
  <si>
    <t>ACN1-24-V12-CR</t>
  </si>
  <si>
    <t>ACN1-24-V13-CR</t>
  </si>
  <si>
    <t>ACN1-24-R06-BO</t>
  </si>
  <si>
    <t>ACN1-24-V14-CR</t>
  </si>
  <si>
    <t>ACN1-24-V15-CR</t>
  </si>
  <si>
    <t>ACN1-24-R07-BO</t>
  </si>
  <si>
    <t>ACN1-25-V00-CR</t>
  </si>
  <si>
    <t>ACN1-25-V01-CR</t>
  </si>
  <si>
    <t>ACN1-25-R00-BO</t>
  </si>
  <si>
    <t>ACN1-25-V02-CR</t>
  </si>
  <si>
    <t>ACN1-25-V03-CR</t>
  </si>
  <si>
    <t>ACN1-25-R01-BO</t>
  </si>
  <si>
    <t>ACN1-25-V04-CR</t>
  </si>
  <si>
    <t>ACN1-25-V05-CR</t>
  </si>
  <si>
    <t>ACN1-25-R02-BO</t>
  </si>
  <si>
    <t>ACN1-25-V06-CR</t>
  </si>
  <si>
    <t>ACN1-25-V07-CR</t>
  </si>
  <si>
    <t>ACN1-25-R03-BO</t>
  </si>
  <si>
    <t>ACN1-25-V08-CR</t>
  </si>
  <si>
    <t>ACN1-25-V09-CR</t>
  </si>
  <si>
    <t>ACN1-25-R04-BO</t>
  </si>
  <si>
    <t>ACN1-25-V10-CR</t>
  </si>
  <si>
    <t>ACN1-25-V11-CR</t>
  </si>
  <si>
    <t>ACN1-25-R05-BO</t>
  </si>
  <si>
    <t>ACN1-25-V12-CR</t>
  </si>
  <si>
    <t>ACN1-25-V13-CR</t>
  </si>
  <si>
    <t>ACN1-25-R06-BO</t>
  </si>
  <si>
    <t>ACN1-25-V14-CR</t>
  </si>
  <si>
    <t>ACN1-25-V15-CR</t>
  </si>
  <si>
    <t>ACN1-25-R07-BO</t>
  </si>
  <si>
    <t>ACN1-26-V00-CR</t>
  </si>
  <si>
    <t>ACN1-26-V01-CR</t>
  </si>
  <si>
    <t>ACN1-26-R00-BO</t>
  </si>
  <si>
    <t>ACN1-26-V02-CR</t>
  </si>
  <si>
    <t>ACN1-26-V03-CR</t>
  </si>
  <si>
    <t>ACN1-26-R01-BO</t>
  </si>
  <si>
    <t>ACN1-26-V04-CR</t>
  </si>
  <si>
    <t>ACN1-26-V05-CR</t>
  </si>
  <si>
    <t>ACN1-26-R02-BO</t>
  </si>
  <si>
    <t>ACN1-26-V06-CR</t>
  </si>
  <si>
    <t>ACN1-26-V07-CR</t>
  </si>
  <si>
    <t>ACN1-26-R03-BO</t>
  </si>
  <si>
    <t>ACN1-26-V08-CR</t>
  </si>
  <si>
    <t>ACN1-26-V09-CR</t>
  </si>
  <si>
    <t>ACN1-26-R04-BO</t>
  </si>
  <si>
    <t>ACN1-26-V10-CR</t>
  </si>
  <si>
    <t>ACN1-26-V11-CR</t>
  </si>
  <si>
    <t>ACN1-26-R05-BO</t>
  </si>
  <si>
    <t>ACN1-26-V12-CR</t>
  </si>
  <si>
    <t>ACN1-26-V13-CR</t>
  </si>
  <si>
    <t>ACN1-26-R06-BO</t>
  </si>
  <si>
    <t>ACN1-26-V14-CR</t>
  </si>
  <si>
    <t>ACN1-26-V15-CR</t>
  </si>
  <si>
    <t>ACN1-26-R07-BO</t>
  </si>
  <si>
    <t>ACN1-27-V00-CR</t>
  </si>
  <si>
    <t>ACN1-27-V01-CR</t>
  </si>
  <si>
    <t>ACN1-27-R00-BO</t>
  </si>
  <si>
    <t>ACN1-27-V02-CR</t>
  </si>
  <si>
    <t>ACN1-27-V03-CR</t>
  </si>
  <si>
    <t>ACN1-27-R01-BO</t>
  </si>
  <si>
    <t>ACN1-27-V04-CR</t>
  </si>
  <si>
    <t>ACN1-27-V05-CR</t>
  </si>
  <si>
    <t>ACN1-27-R02-BO</t>
  </si>
  <si>
    <t>ACN1-27-V06-CR</t>
  </si>
  <si>
    <t>ACN1-27-V07-CR</t>
  </si>
  <si>
    <t>ACN1-27-R03-BO</t>
  </si>
  <si>
    <t>ACN1-27-V08-CR</t>
  </si>
  <si>
    <t>ACN1-27-V09-CR</t>
  </si>
  <si>
    <t>ACN1-27-R04-BO</t>
  </si>
  <si>
    <t>ACN1-27-V10-CR</t>
  </si>
  <si>
    <t>ACN1-27-V11-CR</t>
  </si>
  <si>
    <t>ACN1-27-R05-BO</t>
  </si>
  <si>
    <t>ACN1-27-V12-CR</t>
  </si>
  <si>
    <t>ACN1-27-V13-CR</t>
  </si>
  <si>
    <t>ACN1-27-R06-BO</t>
  </si>
  <si>
    <t>ACN1-27-V14-CR</t>
  </si>
  <si>
    <t>ACN1-27-V15-CR</t>
  </si>
  <si>
    <t>ACN1-27-R07-BO</t>
  </si>
  <si>
    <t>ACN1-28-V00-CR</t>
  </si>
  <si>
    <t>ACN1-28-V01-CR</t>
  </si>
  <si>
    <t>ACN1-28-R00-BO</t>
  </si>
  <si>
    <t>ACN1-28-V02-CR</t>
  </si>
  <si>
    <t>ACN1-28-V03-CR</t>
  </si>
  <si>
    <t>ACN1-28-R01-BO</t>
  </si>
  <si>
    <t>ACN1-28-V04-CR</t>
  </si>
  <si>
    <t>ACN1-28-V05-CR</t>
  </si>
  <si>
    <t>ACN1-28-R02-BO</t>
  </si>
  <si>
    <t>ACN1-28-V06-CR</t>
  </si>
  <si>
    <t>ACN1-28-V07-CR</t>
  </si>
  <si>
    <t>ACN1-28-R03-BO</t>
  </si>
  <si>
    <t>ACN1-28-V08-CR</t>
  </si>
  <si>
    <t>ACN1-28-V09-CR</t>
  </si>
  <si>
    <t>ACN1-28-R04-BO</t>
  </si>
  <si>
    <t>ACN1-28-V10-CR</t>
  </si>
  <si>
    <t>ACN1-28-V11-CR</t>
  </si>
  <si>
    <t>ACN1-28-R05-BO</t>
  </si>
  <si>
    <t>ACN1-28-V12-CR</t>
  </si>
  <si>
    <t>ACN1-28-V13-CR</t>
  </si>
  <si>
    <t>ACN1-28-R06-BO</t>
  </si>
  <si>
    <t>ACN1-28-V14-CR</t>
  </si>
  <si>
    <t>ACN1-28-V15-CR</t>
  </si>
  <si>
    <t>ACN1-28-R07-BO</t>
  </si>
  <si>
    <t>ACN1-29-V00-CR</t>
  </si>
  <si>
    <t>ACN1-29-V01-CR</t>
  </si>
  <si>
    <t>ACN1-29-R00-BO</t>
  </si>
  <si>
    <t>ACN1-29-V02-CR</t>
  </si>
  <si>
    <t>ACN1-29-V03-CR</t>
  </si>
  <si>
    <t>ACN1-29-R01-BO</t>
  </si>
  <si>
    <t>ACN1-29-V04-CR</t>
  </si>
  <si>
    <t>ACN1-29-V05-CR</t>
  </si>
  <si>
    <t>ACN1-29-R02-BO</t>
  </si>
  <si>
    <t>ACN1-29-V06-CR</t>
  </si>
  <si>
    <t>ACN1-29-V07-CR</t>
  </si>
  <si>
    <t>ACN1-29-R03-BO</t>
  </si>
  <si>
    <t>ACN1-29-V08-CR</t>
  </si>
  <si>
    <t>ACN1-29-V09-CR</t>
  </si>
  <si>
    <t>ACN1-29-R04-BO</t>
  </si>
  <si>
    <t>ACN1-29-V10-CR</t>
  </si>
  <si>
    <t>ACN1-29-V11-CR</t>
  </si>
  <si>
    <t>ACN1-29-R05-BO</t>
  </si>
  <si>
    <t>ACN1-29-V12-CR</t>
  </si>
  <si>
    <t>ACN1-29-V13-CR</t>
  </si>
  <si>
    <t>ACN1-29-R06-BO</t>
  </si>
  <si>
    <t>ACN1-29-V14-CR</t>
  </si>
  <si>
    <t>ACN1-29-V15-CR</t>
  </si>
  <si>
    <t>ACN1-29-R07-BO</t>
  </si>
  <si>
    <t>ACN1-30-V00-CR</t>
  </si>
  <si>
    <t>ACN1-30-V01-CR</t>
  </si>
  <si>
    <t>ACN1-30-R00-BO</t>
  </si>
  <si>
    <t>ACN1-30-V02-CR</t>
  </si>
  <si>
    <t>ACN1-30-V03-CR</t>
  </si>
  <si>
    <t>ACN1-30-R01-BO</t>
  </si>
  <si>
    <t>ACN1-30-V04-CR</t>
  </si>
  <si>
    <t>ACN1-30-V05-CR</t>
  </si>
  <si>
    <t>ACN1-30-R02-BO</t>
  </si>
  <si>
    <t>ACN1-30-V06-CR</t>
  </si>
  <si>
    <t>ACN1-30-V07-CR</t>
  </si>
  <si>
    <t>ACN1-30-R03-BO</t>
  </si>
  <si>
    <t>ACN1-30-V08-CR</t>
  </si>
  <si>
    <t>ACN1-30-V09-CR</t>
  </si>
  <si>
    <t>ACN1-30-R04-BO</t>
  </si>
  <si>
    <t>ACN1-30-V10-CR</t>
  </si>
  <si>
    <t>ACN1-30-V11-CR</t>
  </si>
  <si>
    <t>ACN1-30-R05-BO</t>
  </si>
  <si>
    <t>ACN1-30-V12-CR</t>
  </si>
  <si>
    <t>ACN1-30-V13-CR</t>
  </si>
  <si>
    <t>ACN1-30-R06-BO</t>
  </si>
  <si>
    <t>ACN1-30-V14-CR</t>
  </si>
  <si>
    <t>ACN1-30-V15-CR</t>
  </si>
  <si>
    <t>ACN1-30-R07-BO</t>
  </si>
  <si>
    <t>ACN1-31-V00-CR</t>
  </si>
  <si>
    <t>ACN1-31-V01-CR</t>
  </si>
  <si>
    <t>ACN1-31-R00-BO</t>
  </si>
  <si>
    <t>ACN1-31-V02-CR</t>
  </si>
  <si>
    <t>ACN1-31-V03-CR</t>
  </si>
  <si>
    <t>ACN1-31-R01-BO</t>
  </si>
  <si>
    <t>ACN1-31-V04-CR</t>
  </si>
  <si>
    <t>ACN1-31-V05-CR</t>
  </si>
  <si>
    <t>ACN1-31-R02-BO</t>
  </si>
  <si>
    <t>ACN1-31-V06-CR</t>
  </si>
  <si>
    <t>ACN1-31-V07-CR</t>
  </si>
  <si>
    <t>ACN1-31-R03-BO</t>
  </si>
  <si>
    <t>ACN1-31-V08-CR</t>
  </si>
  <si>
    <t>ACN1-31-V09-CR</t>
  </si>
  <si>
    <t>ACN1-31-R04-BO</t>
  </si>
  <si>
    <t>ACN1-31-V10-CR</t>
  </si>
  <si>
    <t>ACN1-31-V11-CR</t>
  </si>
  <si>
    <t>ACN1-31-R05-BO</t>
  </si>
  <si>
    <t>ACN1-31-V12-CR</t>
  </si>
  <si>
    <t>ACN1-31-V13-CR</t>
  </si>
  <si>
    <t>ACN1-31-R06-BO</t>
  </si>
  <si>
    <t>ACN1-31-V14-CR</t>
  </si>
  <si>
    <t>ACN1-31-V15-CR</t>
  </si>
  <si>
    <t>ACN1-31-R07-BO</t>
  </si>
  <si>
    <t>ACN1-32-V00-CR</t>
  </si>
  <si>
    <t>ACN1-32-V01-CR</t>
  </si>
  <si>
    <t>ACN1-32-R00-BO</t>
  </si>
  <si>
    <t>ACN1-32-V02-CR</t>
  </si>
  <si>
    <t>ACN1-32-V03-CR</t>
  </si>
  <si>
    <t>ACN1-32-R01-BO</t>
  </si>
  <si>
    <t>ACN1-32-V04-CR</t>
  </si>
  <si>
    <t>ACN1-32-V05-CR</t>
  </si>
  <si>
    <t>ACN1-32-R02-BO</t>
  </si>
  <si>
    <t>ACN1-32-V06-CR</t>
  </si>
  <si>
    <t>ACN1-32-V07-CR</t>
  </si>
  <si>
    <t>ACN1-32-R03-BO</t>
  </si>
  <si>
    <t>ACN1-32-V08-CR</t>
  </si>
  <si>
    <t>ACN1-32-V09-CR</t>
  </si>
  <si>
    <t>ACN1-32-R04-BO</t>
  </si>
  <si>
    <t>ACN1-32-V10-CR</t>
  </si>
  <si>
    <t>ACN1-32-V11-CR</t>
  </si>
  <si>
    <t>ACN1-32-R05-BO</t>
  </si>
  <si>
    <t>ACN1-32-V12-CR</t>
  </si>
  <si>
    <t>ACN1-32-V13-CR</t>
  </si>
  <si>
    <t>ACN1-32-R06-BO</t>
  </si>
  <si>
    <t>ACN1-32-V14-CR</t>
  </si>
  <si>
    <t>ACN1-32-V15-CR</t>
  </si>
  <si>
    <t>ACN1-32-R07-BO</t>
  </si>
  <si>
    <t>ACN1-33-V00-CR</t>
  </si>
  <si>
    <t>ACN1-33-V01-CR</t>
  </si>
  <si>
    <t>ACN1-33-R00-BO</t>
  </si>
  <si>
    <t>ACN1-33-V02-CR</t>
  </si>
  <si>
    <t>ACN1-33-V03-CR</t>
  </si>
  <si>
    <t>ACN1-33-R01-BO</t>
  </si>
  <si>
    <t>ACN1-33-V04-CR</t>
  </si>
  <si>
    <t>ACN1-33-V05-CR</t>
  </si>
  <si>
    <t>ACN1-33-R02-BO</t>
  </si>
  <si>
    <t>ACN1-33-V06-CR</t>
  </si>
  <si>
    <t>ACN1-33-V07-CR</t>
  </si>
  <si>
    <t>ACN1-33-R03-BO</t>
  </si>
  <si>
    <t>ACN1-33-V08-CR</t>
  </si>
  <si>
    <t>ACN1-33-V09-CR</t>
  </si>
  <si>
    <t>ACN1-33-R04-BO</t>
  </si>
  <si>
    <t>ACN1-33-V10-CR</t>
  </si>
  <si>
    <t>ACN1-33-V11-CR</t>
  </si>
  <si>
    <t>ACN1-33-R05-BO</t>
  </si>
  <si>
    <t>ACN1-33-V12-CR</t>
  </si>
  <si>
    <t>ACN1-33-V13-CR</t>
  </si>
  <si>
    <t>ACN1-33-R06-BO</t>
  </si>
  <si>
    <t>ACN1-33-V14-CR</t>
  </si>
  <si>
    <t>ACN1-33-V15-CR</t>
  </si>
  <si>
    <t>ACN1-33-R07-BO</t>
  </si>
  <si>
    <t>ACN1-34-V00-CR</t>
  </si>
  <si>
    <t>ACN1-34-V01-CR</t>
  </si>
  <si>
    <t>ACN1-34-R00-BO</t>
  </si>
  <si>
    <t>ACN1-34-V02-CR</t>
  </si>
  <si>
    <t>ACN1-34-V03-CR</t>
  </si>
  <si>
    <t>ACN1-34-R01-BO</t>
  </si>
  <si>
    <t>ACN1-34-V04-CR</t>
  </si>
  <si>
    <t>ACN1-34-V05-CR</t>
  </si>
  <si>
    <t>ACN1-34-R02-BO</t>
  </si>
  <si>
    <t>ACN1-34-V06-CR</t>
  </si>
  <si>
    <t>ACN1-34-V07-CR</t>
  </si>
  <si>
    <t>ACN1-34-R03-BO</t>
  </si>
  <si>
    <t>ACN1-34-V08-CR</t>
  </si>
  <si>
    <t>ACN1-34-V09-CR</t>
  </si>
  <si>
    <t>ACN1-34-R04-BO</t>
  </si>
  <si>
    <t>ACN1-34-V10-CR</t>
  </si>
  <si>
    <t>ACN1-34-V11-CR</t>
  </si>
  <si>
    <t>ACN1-34-R05-BO</t>
  </si>
  <si>
    <t>ACN1-34-V12-CR</t>
  </si>
  <si>
    <t>ACN1-34-V13-CR</t>
  </si>
  <si>
    <t>ACN1-34-R06-BO</t>
  </si>
  <si>
    <t>ACN1-34-V14-CR</t>
  </si>
  <si>
    <t>ACN1-34-V15-CR</t>
  </si>
  <si>
    <t>ACN1-34-R07-BO</t>
  </si>
  <si>
    <t>ACN1-35-V00-CR</t>
  </si>
  <si>
    <t>ACN1-35-V01-CR</t>
  </si>
  <si>
    <t>ACN1-35-R00-BO</t>
  </si>
  <si>
    <t>ACN1-35-V02-CR</t>
  </si>
  <si>
    <t>ACN1-35-V03-CR</t>
  </si>
  <si>
    <t>ACN1-35-R01-BO</t>
  </si>
  <si>
    <t>ACN1-35-V04-CR</t>
  </si>
  <si>
    <t>ACN1-35-V05-CR</t>
  </si>
  <si>
    <t>ACN1-35-R02-BO</t>
  </si>
  <si>
    <t>ACN1-35-V06-CR</t>
  </si>
  <si>
    <t>ACN1-35-V07-CR</t>
  </si>
  <si>
    <t>ACN1-35-R03-BO</t>
  </si>
  <si>
    <t>ACN1-35-V08-CR</t>
  </si>
  <si>
    <t>ACN1-35-V09-CR</t>
  </si>
  <si>
    <t>ACN1-35-R04-BO</t>
  </si>
  <si>
    <t>ACN1-35-V10-CR</t>
  </si>
  <si>
    <t>ACN1-35-V11-CR</t>
  </si>
  <si>
    <t>ACN1-35-R05-BO</t>
  </si>
  <si>
    <t>ACN1-35-V12-CR</t>
  </si>
  <si>
    <t>ACN1-35-V13-CR</t>
  </si>
  <si>
    <t>ACN1-35-R06-BO</t>
  </si>
  <si>
    <t>ACN1-35-V14-CR</t>
  </si>
  <si>
    <t>ACN1-35-V15-CR</t>
  </si>
  <si>
    <t>ACN1-35-R07-BO</t>
  </si>
  <si>
    <t>ACN1-36-V00-CR</t>
  </si>
  <si>
    <t>ACN1-36-V01-CR</t>
  </si>
  <si>
    <t>ACN1-36-R00-BO</t>
  </si>
  <si>
    <t>ACN1-36-V02-CR</t>
  </si>
  <si>
    <t>ACN1-36-V03-CR</t>
  </si>
  <si>
    <t>ACN1-36-R01-BO</t>
  </si>
  <si>
    <t>ACN1-36-V04-CR</t>
  </si>
  <si>
    <t>ACN1-36-V05-CR</t>
  </si>
  <si>
    <t>ACN1-36-R02-BO</t>
  </si>
  <si>
    <t>ACN1-36-V06-CR</t>
  </si>
  <si>
    <t>ACN1-36-V07-CR</t>
  </si>
  <si>
    <t>ACN1-36-R03-BO</t>
  </si>
  <si>
    <t>ACN1-36-V08-CR</t>
  </si>
  <si>
    <t>ACN1-36-V09-CR</t>
  </si>
  <si>
    <t>ACN1-36-R04-BO</t>
  </si>
  <si>
    <t>ACN1-36-V10-CR</t>
  </si>
  <si>
    <t>ACN1-36-V11-CR</t>
  </si>
  <si>
    <t>ACN1-36-R05-BO</t>
  </si>
  <si>
    <t>ACN1-36-V12-CR</t>
  </si>
  <si>
    <t>ACN1-36-V13-CR</t>
  </si>
  <si>
    <t>ACN1-36-R06-BO</t>
  </si>
  <si>
    <t>ACN1-36-V14-CR</t>
  </si>
  <si>
    <t>ACN1-36-V15-CR</t>
  </si>
  <si>
    <t>ACN1-36-R07-BO</t>
  </si>
  <si>
    <t>ACN1-37-V00-CR</t>
  </si>
  <si>
    <t>ACN1-37-V01-CR</t>
  </si>
  <si>
    <t>ACN1-37-R00-BO</t>
  </si>
  <si>
    <t>ACN1-37-V02-CR</t>
  </si>
  <si>
    <t>ACN1-37-V03-CR</t>
  </si>
  <si>
    <t>ACN1-37-R01-BO</t>
  </si>
  <si>
    <t>ACN1-37-V04-CR</t>
  </si>
  <si>
    <t>ACN1-37-V05-CR</t>
  </si>
  <si>
    <t>ACN1-37-R02-BO</t>
  </si>
  <si>
    <t>ACN1-37-V06-CR</t>
  </si>
  <si>
    <t>ACN1-37-V07-CR</t>
  </si>
  <si>
    <t>ACN1-37-R03-BO</t>
  </si>
  <si>
    <t>ACN1-37-V08-CR</t>
  </si>
  <si>
    <t>ACN1-37-V09-CR</t>
  </si>
  <si>
    <t>ACN1-37-R04-BO</t>
  </si>
  <si>
    <t>ACN1-37-V10-CR</t>
  </si>
  <si>
    <t>ACN1-37-V11-CR</t>
  </si>
  <si>
    <t>ACN1-37-R05-BO</t>
  </si>
  <si>
    <t>ACN1-37-V12-CR</t>
  </si>
  <si>
    <t>ACN1-37-V13-CR</t>
  </si>
  <si>
    <t>ACN1-37-R06-BO</t>
  </si>
  <si>
    <t>ACN1-37-V14-CR</t>
  </si>
  <si>
    <t>ACN1-37-V15-CR</t>
  </si>
  <si>
    <t>ACN1-37-R07-BO</t>
  </si>
  <si>
    <t>ACN1-38-V00-CR</t>
  </si>
  <si>
    <t>ACN1-38-V01-CR</t>
  </si>
  <si>
    <t>ACN1-38-R00-BO</t>
  </si>
  <si>
    <t>ACN1-38-V02-CR</t>
  </si>
  <si>
    <t>ACN1-38-V03-CR</t>
  </si>
  <si>
    <t>ACN1-38-R01-BO</t>
  </si>
  <si>
    <t>ACN1-38-V04-CR</t>
  </si>
  <si>
    <t>ACN1-38-V05-CR</t>
  </si>
  <si>
    <t>ACN1-38-R02-BO</t>
  </si>
  <si>
    <t>ACN1-38-V06-CR</t>
  </si>
  <si>
    <t>ACN1-38-V07-CR</t>
  </si>
  <si>
    <t>ACN1-38-R03-BO</t>
  </si>
  <si>
    <t>ACN1-38-V08-CR</t>
  </si>
  <si>
    <t>ACN1-38-V09-CR</t>
  </si>
  <si>
    <t>ACN1-38-R04-BO</t>
  </si>
  <si>
    <t>ACN1-38-V10-CR</t>
  </si>
  <si>
    <t>ACN1-38-V11-CR</t>
  </si>
  <si>
    <t>ACN1-38-R05-BO</t>
  </si>
  <si>
    <t>ACN1-38-V12-CR</t>
  </si>
  <si>
    <t>ACN1-38-V13-CR</t>
  </si>
  <si>
    <t>ACN1-38-R06-BO</t>
  </si>
  <si>
    <t>ACN1-38-V14-CR</t>
  </si>
  <si>
    <t>ACN1-38-V15-CR</t>
  </si>
  <si>
    <t>ACN1-38-R07-BO</t>
  </si>
  <si>
    <t>ACN1-39-V00-CR</t>
  </si>
  <si>
    <t>ACN1-39-V01-CR</t>
  </si>
  <si>
    <t>ACN1-39-R00-BO</t>
  </si>
  <si>
    <t>ACN1-39-V02-CR</t>
  </si>
  <si>
    <t>ACN1-39-V03-CR</t>
  </si>
  <si>
    <t>ACN1-39-R01-BO</t>
  </si>
  <si>
    <t>ACN1-39-V04-CR</t>
  </si>
  <si>
    <t>ACN1-39-V05-CR</t>
  </si>
  <si>
    <t>ACN1-39-R02-BO</t>
  </si>
  <si>
    <t>ACN1-39-V06-CR</t>
  </si>
  <si>
    <t>ACN1-39-V07-CR</t>
  </si>
  <si>
    <t>ACN1-39-R03-BO</t>
  </si>
  <si>
    <t>ACN1-39-V08-CR</t>
  </si>
  <si>
    <t>ACN1-39-V09-CR</t>
  </si>
  <si>
    <t>ACN1-39-R04-BO</t>
  </si>
  <si>
    <t>ACN1-39-V10-CR</t>
  </si>
  <si>
    <t>ACN1-39-V11-CR</t>
  </si>
  <si>
    <t>ACN1-39-R05-BO</t>
  </si>
  <si>
    <t>ACN1-39-V12-CR</t>
  </si>
  <si>
    <t>ACN1-39-V13-CR</t>
  </si>
  <si>
    <t>ACN1-39-R06-BO</t>
  </si>
  <si>
    <t>ACN1-39-V14-CR</t>
  </si>
  <si>
    <t>ACN1-39-V15-CR</t>
  </si>
  <si>
    <t>ACN1-39-R07-BO</t>
  </si>
  <si>
    <t>ACN1-40-V00-CR</t>
  </si>
  <si>
    <t>ACN1-40-V01-CR</t>
  </si>
  <si>
    <t>ACN1-40-R00-BO</t>
  </si>
  <si>
    <t>ACN1-40-V02-CR</t>
  </si>
  <si>
    <t>ACN1-40-V03-CR</t>
  </si>
  <si>
    <t>ACN1-40-R01-BO</t>
  </si>
  <si>
    <t>ACN1-40-V04-CR</t>
  </si>
  <si>
    <t>ACN1-40-V05-CR</t>
  </si>
  <si>
    <t>ACN1-40-R02-BO</t>
  </si>
  <si>
    <t>ACN1-40-V06-CR</t>
  </si>
  <si>
    <t>ACN1-40-V07-CR</t>
  </si>
  <si>
    <t>ACN1-40-R03-BO</t>
  </si>
  <si>
    <t>ACN1-40-V08-CR</t>
  </si>
  <si>
    <t>ACN1-40-V09-CR</t>
  </si>
  <si>
    <t>ACN1-40-R04-BO</t>
  </si>
  <si>
    <t>ACN1-40-V10-CR</t>
  </si>
  <si>
    <t>ACN1-40-V11-CR</t>
  </si>
  <si>
    <t>ACN1-40-R05-BO</t>
  </si>
  <si>
    <t>ACN1-40-V12-CR</t>
  </si>
  <si>
    <t>ACN1-40-V13-CR</t>
  </si>
  <si>
    <t>ACN1-40-R06-BO</t>
  </si>
  <si>
    <t>ACN1-40-V14-CR</t>
  </si>
  <si>
    <t>ACN1-40-V15-CR</t>
  </si>
  <si>
    <t>ACN1-40-R07-BO</t>
  </si>
  <si>
    <t>ACN1-41-V00-CR</t>
  </si>
  <si>
    <t>ACN1-41-V01-CR</t>
  </si>
  <si>
    <t>ACN1-41-R00-BO</t>
  </si>
  <si>
    <t>ACN1-41-V02-CR</t>
  </si>
  <si>
    <t>ACN1-41-V03-CR</t>
  </si>
  <si>
    <t>ACN1-41-R01-BO</t>
  </si>
  <si>
    <t>ACN1-41-V04-CR</t>
  </si>
  <si>
    <t>ACN1-41-V05-CR</t>
  </si>
  <si>
    <t>ACN1-41-R02-BO</t>
  </si>
  <si>
    <t>ACN1-41-V06-CR</t>
  </si>
  <si>
    <t>ACN1-41-V07-CR</t>
  </si>
  <si>
    <t>ACN1-41-R03-BO</t>
  </si>
  <si>
    <t>ACN1-41-V08-CR</t>
  </si>
  <si>
    <t>ACN1-41-V09-CR</t>
  </si>
  <si>
    <t>ACN1-41-R04-BO</t>
  </si>
  <si>
    <t>ACN1-41-V10-CR</t>
  </si>
  <si>
    <t>ACN1-41-V11-CR</t>
  </si>
  <si>
    <t>ACN1-41-R05-BO</t>
  </si>
  <si>
    <t>ACN1-41-V12-CR</t>
  </si>
  <si>
    <t>ACN1-41-V13-CR</t>
  </si>
  <si>
    <t>ACN1-41-R06-BO</t>
  </si>
  <si>
    <t>ACN1-41-V14-CR</t>
  </si>
  <si>
    <t>ACN1-41-V15-CR</t>
  </si>
  <si>
    <t>ACN1-41-R07-BO</t>
  </si>
  <si>
    <t>ACN1-42-V00-CR</t>
  </si>
  <si>
    <t>ACN1-42-V01-CR</t>
  </si>
  <si>
    <t>ACN1-42-R00-BO</t>
  </si>
  <si>
    <t>ACN1-42-V02-CR</t>
  </si>
  <si>
    <t>ACN1-42-V03-CR</t>
  </si>
  <si>
    <t>ACN1-42-R01-BO</t>
  </si>
  <si>
    <t>ACN1-42-V04-CR</t>
  </si>
  <si>
    <t>ACN1-42-V05-CR</t>
  </si>
  <si>
    <t>ACN1-42-R02-BO</t>
  </si>
  <si>
    <t>ACN1-42-V06-CR</t>
  </si>
  <si>
    <t>ACN1-42-V07-CR</t>
  </si>
  <si>
    <t>ACN1-42-R03-BO</t>
  </si>
  <si>
    <t>ACN1-42-V08-CR</t>
  </si>
  <si>
    <t>ACN1-42-V09-CR</t>
  </si>
  <si>
    <t>ACN1-42-R04-BO</t>
  </si>
  <si>
    <t>ACN1-42-V10-CR</t>
  </si>
  <si>
    <t>ACN1-42-V11-CR</t>
  </si>
  <si>
    <t>ACN1-42-R05-BO</t>
  </si>
  <si>
    <t>ACN1-42-V12-CR</t>
  </si>
  <si>
    <t>ACN1-42-V13-CR</t>
  </si>
  <si>
    <t>ACN1-42-R06-BO</t>
  </si>
  <si>
    <t>ACN1-42-V14-CR</t>
  </si>
  <si>
    <t>ACN1-42-V15-CR</t>
  </si>
  <si>
    <t>ACN1-42-R07-BO</t>
  </si>
  <si>
    <t>ACN1-43-V00-CR</t>
  </si>
  <si>
    <t>ACN1-43-V01-CR</t>
  </si>
  <si>
    <t>ACN1-43-R00-BO</t>
  </si>
  <si>
    <t>ACN1-43-V02-CR</t>
  </si>
  <si>
    <t>ACN1-43-V03-CR</t>
  </si>
  <si>
    <t>ACN1-43-R01-BO</t>
  </si>
  <si>
    <t>ACN1-43-V04-CR</t>
  </si>
  <si>
    <t>ACN1-43-V05-CR</t>
  </si>
  <si>
    <t>ACN1-43-R02-BO</t>
  </si>
  <si>
    <t>ACN1-43-V06-CR</t>
  </si>
  <si>
    <t>ACN1-43-V07-CR</t>
  </si>
  <si>
    <t>ACN1-43-R03-BO</t>
  </si>
  <si>
    <t>ACN1-43-V08-CR</t>
  </si>
  <si>
    <t>ACN1-43-V09-CR</t>
  </si>
  <si>
    <t>ACN1-43-R04-BO</t>
  </si>
  <si>
    <t>ACN1-43-V10-CR</t>
  </si>
  <si>
    <t>ACN1-43-V11-CR</t>
  </si>
  <si>
    <t>ACN1-43-R05-BO</t>
  </si>
  <si>
    <t>ACN1-43-V12-CR</t>
  </si>
  <si>
    <t>ACN1-43-V13-CR</t>
  </si>
  <si>
    <t>ACN1-43-R06-BO</t>
  </si>
  <si>
    <t>ACN1-43-V14-CR</t>
  </si>
  <si>
    <t>ACN1-43-V15-CR</t>
  </si>
  <si>
    <t>ACN1-43-R07-BO</t>
  </si>
  <si>
    <t>ACN1-44-V00-CR</t>
  </si>
  <si>
    <t>ACN1-44-V01-CR</t>
  </si>
  <si>
    <t>ACN1-44-R00-BO</t>
  </si>
  <si>
    <t>ACN1-44-V02-CR</t>
  </si>
  <si>
    <t>ACN1-44-V03-CR</t>
  </si>
  <si>
    <t>ACN1-44-R01-BO</t>
  </si>
  <si>
    <t>ACN1-44-V04-CR</t>
  </si>
  <si>
    <t>ACN1-44-V05-CR</t>
  </si>
  <si>
    <t>ACN1-44-R02-BO</t>
  </si>
  <si>
    <t>ACN1-44-V06-CR</t>
  </si>
  <si>
    <t>ACN1-44-V07-CR</t>
  </si>
  <si>
    <t>ACN1-44-R03-BO</t>
  </si>
  <si>
    <t>ACN1-44-V08-CR</t>
  </si>
  <si>
    <t>ACN1-44-V09-CR</t>
  </si>
  <si>
    <t>ACN1-44-R04-BO</t>
  </si>
  <si>
    <t>ACN1-44-V10-CR</t>
  </si>
  <si>
    <t>ACN1-44-V11-CR</t>
  </si>
  <si>
    <t>ACN1-44-R05-BO</t>
  </si>
  <si>
    <t>ACN1-44-V12-CR</t>
  </si>
  <si>
    <t>ACN1-44-V13-CR</t>
  </si>
  <si>
    <t>ACN1-44-R06-BO</t>
  </si>
  <si>
    <t>ACN1-44-V14-CR</t>
  </si>
  <si>
    <t>ACN1-44-V15-CR</t>
  </si>
  <si>
    <t>ACN1-44-R07-BO</t>
  </si>
  <si>
    <t>ACN1-45-V00-CR</t>
  </si>
  <si>
    <t>ACN1-45-V01-CR</t>
  </si>
  <si>
    <t>ACN1-45-R00-BO</t>
  </si>
  <si>
    <t>ACN1-45-V02-CR</t>
  </si>
  <si>
    <t>ACN1-45-V03-CR</t>
  </si>
  <si>
    <t>ACN1-45-R01-BO</t>
  </si>
  <si>
    <t>ACN1-45-V04-CR</t>
  </si>
  <si>
    <t>ACN1-45-V05-CR</t>
  </si>
  <si>
    <t>ACN1-45-R02-BO</t>
  </si>
  <si>
    <t>ACN1-45-V06-CR</t>
  </si>
  <si>
    <t>ACN1-45-V07-CR</t>
  </si>
  <si>
    <t>ACN1-45-R03-BO</t>
  </si>
  <si>
    <t>ACN1-45-V08-CR</t>
  </si>
  <si>
    <t>ACN1-45-V09-CR</t>
  </si>
  <si>
    <t>ACN1-45-R04-BO</t>
  </si>
  <si>
    <t>ACN1-45-V10-CR</t>
  </si>
  <si>
    <t>ACN1-45-V11-CR</t>
  </si>
  <si>
    <t>ACN1-45-R05-BO</t>
  </si>
  <si>
    <t>ACN1-45-V12-CR</t>
  </si>
  <si>
    <t>ACN1-45-V13-CR</t>
  </si>
  <si>
    <t>ACN1-45-R06-BO</t>
  </si>
  <si>
    <t>ACN1-45-V14-CR</t>
  </si>
  <si>
    <t>ACN1-45-V15-CR</t>
  </si>
  <si>
    <t>ACN1-45-R07-BO</t>
  </si>
  <si>
    <t>ACN1-46-V00-CR</t>
  </si>
  <si>
    <t>ACN1-46-V01-CR</t>
  </si>
  <si>
    <t>ACN1-46-R00-BO</t>
  </si>
  <si>
    <t>ACN1-46-V02-CR</t>
  </si>
  <si>
    <t>ACN1-46-V03-CR</t>
  </si>
  <si>
    <t>ACN1-46-R01-BO</t>
  </si>
  <si>
    <t>ACN1-46-V04-CR</t>
  </si>
  <si>
    <t>ACN1-46-V05-CR</t>
  </si>
  <si>
    <t>ACN1-46-R02-BO</t>
  </si>
  <si>
    <t>ACN1-46-V06-CR</t>
  </si>
  <si>
    <t>ACN1-46-V07-CR</t>
  </si>
  <si>
    <t>ACN1-46-R03-BO</t>
  </si>
  <si>
    <t>ACN1-46-V08-CR</t>
  </si>
  <si>
    <t>ACN1-46-V09-CR</t>
  </si>
  <si>
    <t>ACN1-46-R04-BO</t>
  </si>
  <si>
    <t>ACN1-46-V10-CR</t>
  </si>
  <si>
    <t>ACN1-46-V11-CR</t>
  </si>
  <si>
    <t>ACN1-46-R05-BO</t>
  </si>
  <si>
    <t>ACN1-46-V12-CR</t>
  </si>
  <si>
    <t>ACN1-46-V13-CR</t>
  </si>
  <si>
    <t>ACN1-46-R06-BO</t>
  </si>
  <si>
    <t>ACN1-46-V14-CR</t>
  </si>
  <si>
    <t>ACN1-46-V15-CR</t>
  </si>
  <si>
    <t>ACN1-46-R07-BO</t>
  </si>
  <si>
    <t>ACN1-47-V00-CR</t>
  </si>
  <si>
    <t>ACN1-47-V01-CR</t>
  </si>
  <si>
    <t>ACN1-47-R00-BO</t>
  </si>
  <si>
    <t>ACN1-47-V02-CR</t>
  </si>
  <si>
    <t>ACN1-47-V03-CR</t>
  </si>
  <si>
    <t>ACN1-47-R01-BO</t>
  </si>
  <si>
    <t>ACN1-47-V04-CR</t>
  </si>
  <si>
    <t>ACN1-47-V05-CR</t>
  </si>
  <si>
    <t>ACN1-47-R02-BO</t>
  </si>
  <si>
    <t>ACN1-47-V06-CR</t>
  </si>
  <si>
    <t>ACN1-47-V07-CR</t>
  </si>
  <si>
    <t>ACN1-47-R03-BO</t>
  </si>
  <si>
    <t>ACN1-47-V08-CR</t>
  </si>
  <si>
    <t>ACN1-47-V09-CR</t>
  </si>
  <si>
    <t>ACN1-47-R04-BO</t>
  </si>
  <si>
    <t>ACN1-47-V10-CR</t>
  </si>
  <si>
    <t>ACN1-47-V11-CR</t>
  </si>
  <si>
    <t>ACN1-47-R05-BO</t>
  </si>
  <si>
    <t>ACN1-47-V12-CR</t>
  </si>
  <si>
    <t>ACN1-47-V13-CR</t>
  </si>
  <si>
    <t>ACN1-47-R06-BO</t>
  </si>
  <si>
    <t>ACN1-47-V14-CR</t>
  </si>
  <si>
    <t>ACN1-47-V15-CR</t>
  </si>
  <si>
    <t>ACN1-47-R07-BO</t>
  </si>
  <si>
    <t>ACN1-48-V00-CR</t>
  </si>
  <si>
    <t>ACN1-48-V01-CR</t>
  </si>
  <si>
    <t>ACN1-48-R00-BO</t>
  </si>
  <si>
    <t>ACN1-48-V02-CR</t>
  </si>
  <si>
    <t>ACN1-48-V03-CR</t>
  </si>
  <si>
    <t>ACN1-48-R01-BO</t>
  </si>
  <si>
    <t>ACN1-48-V04-CR</t>
  </si>
  <si>
    <t>ACN1-48-V05-CR</t>
  </si>
  <si>
    <t>ACN1-48-R02-BO</t>
  </si>
  <si>
    <t>ACN1-48-V06-CR</t>
  </si>
  <si>
    <t>ACN1-48-V07-CR</t>
  </si>
  <si>
    <t>ACN1-48-R03-BO</t>
  </si>
  <si>
    <t>ACN1-48-V08-CR</t>
  </si>
  <si>
    <t>ACN1-48-V09-CR</t>
  </si>
  <si>
    <t>ACN1-48-R04-BO</t>
  </si>
  <si>
    <t>ACN1-48-V10-CR</t>
  </si>
  <si>
    <t>ACN1-48-V11-CR</t>
  </si>
  <si>
    <t>ACN1-48-R05-BO</t>
  </si>
  <si>
    <t>ACN1-48-V12-CR</t>
  </si>
  <si>
    <t>ACN1-48-V13-CR</t>
  </si>
  <si>
    <t>ACN1-48-R06-BO</t>
  </si>
  <si>
    <t>ACN1-48-V14-CR</t>
  </si>
  <si>
    <t>ACN1-48-V15-CR</t>
  </si>
  <si>
    <t>ACN1-48-R07-BO</t>
  </si>
  <si>
    <t>ACN1-49-V00-CR</t>
  </si>
  <si>
    <t>ACN1-49-V01-CR</t>
  </si>
  <si>
    <t>ACN1-49-R00-BO</t>
  </si>
  <si>
    <t>ACN1-49-V02-CR</t>
  </si>
  <si>
    <t>ACN1-49-V03-CR</t>
  </si>
  <si>
    <t>ACN1-49-R01-BO</t>
  </si>
  <si>
    <t>ACN1-49-V04-CR</t>
  </si>
  <si>
    <t>ACN1-49-V05-CR</t>
  </si>
  <si>
    <t>ACN1-49-R02-BO</t>
  </si>
  <si>
    <t>ACN1-49-V06-CR</t>
  </si>
  <si>
    <t>ACN1-49-V07-CR</t>
  </si>
  <si>
    <t>ACN1-49-R03-BO</t>
  </si>
  <si>
    <t>ACN1-49-V08-CR</t>
  </si>
  <si>
    <t>ACN1-49-V09-CR</t>
  </si>
  <si>
    <t>ACN1-49-R04-BO</t>
  </si>
  <si>
    <t>ACN1-49-V10-CR</t>
  </si>
  <si>
    <t>ACN1-49-V11-CR</t>
  </si>
  <si>
    <t>ACN1-49-R05-BO</t>
  </si>
  <si>
    <t>ACN1-49-V12-CR</t>
  </si>
  <si>
    <t>ACN1-49-V13-CR</t>
  </si>
  <si>
    <t>ACN1-49-R06-BO</t>
  </si>
  <si>
    <t>ACN1-49-V14-CR</t>
  </si>
  <si>
    <t>ACN1-49-V15-CR</t>
  </si>
  <si>
    <t>ACN1-49-R07-BO</t>
  </si>
  <si>
    <t>ACN1-50-V00-CR</t>
  </si>
  <si>
    <t>ACN1-50-V01-CR</t>
  </si>
  <si>
    <t>ACN1-50-R00-BO</t>
  </si>
  <si>
    <t>ACN1-50-V02-CR</t>
  </si>
  <si>
    <t>ACN1-50-V03-CR</t>
  </si>
  <si>
    <t>ACN1-50-R01-BO</t>
  </si>
  <si>
    <t>ACN1-50-V04-CR</t>
  </si>
  <si>
    <t>ACN1-50-V05-CR</t>
  </si>
  <si>
    <t>ACN1-50-R02-BO</t>
  </si>
  <si>
    <t>ACN1-50-V06-CR</t>
  </si>
  <si>
    <t>ACN1-50-V07-CR</t>
  </si>
  <si>
    <t>ACN1-50-R03-BO</t>
  </si>
  <si>
    <t>ACN1-50-V08-CR</t>
  </si>
  <si>
    <t>ACN1-50-V09-CR</t>
  </si>
  <si>
    <t>ACN1-50-R04-BO</t>
  </si>
  <si>
    <t>ACN1-50-V10-CR</t>
  </si>
  <si>
    <t>ACN1-50-V11-CR</t>
  </si>
  <si>
    <t>ACN1-50-R05-BO</t>
  </si>
  <si>
    <t>ACN1-50-V12-CR</t>
  </si>
  <si>
    <t>ACN1-50-V13-CR</t>
  </si>
  <si>
    <t>ACN1-50-R06-BO</t>
  </si>
  <si>
    <t>ACN1-50-V14-CR</t>
  </si>
  <si>
    <t>ACN1-50-V15-CR</t>
  </si>
  <si>
    <t>ACN1-50-R07-BO</t>
  </si>
  <si>
    <t>ACN1-51-V00-CR</t>
  </si>
  <si>
    <t>ACN1-51-V01-CR</t>
  </si>
  <si>
    <t>ACN1-51-R00-BO</t>
  </si>
  <si>
    <t>ACN1-51-V02-CR</t>
  </si>
  <si>
    <t>ACN1-51-V03-CR</t>
  </si>
  <si>
    <t>ACN1-51-R01-BO</t>
  </si>
  <si>
    <t>ACN1-51-V04-CR</t>
  </si>
  <si>
    <t>ACN1-51-V05-CR</t>
  </si>
  <si>
    <t>ACN1-51-R02-BO</t>
  </si>
  <si>
    <t>ACN1-51-V06-CR</t>
  </si>
  <si>
    <t>ACN1-51-V07-CR</t>
  </si>
  <si>
    <t>ACN1-51-R03-BO</t>
  </si>
  <si>
    <t>ACN1-51-V08-CR</t>
  </si>
  <si>
    <t>ACN1-51-V09-CR</t>
  </si>
  <si>
    <t>ACN1-51-R04-BO</t>
  </si>
  <si>
    <t>ACN1-51-V10-CR</t>
  </si>
  <si>
    <t>ACN1-51-V11-CR</t>
  </si>
  <si>
    <t>ACN1-51-R05-BO</t>
  </si>
  <si>
    <t>ACN1-51-V12-CR</t>
  </si>
  <si>
    <t>ACN1-51-V13-CR</t>
  </si>
  <si>
    <t>ACN1-51-R06-BO</t>
  </si>
  <si>
    <t>ACN1-51-V14-CR</t>
  </si>
  <si>
    <t>ACN1-51-V15-CR</t>
  </si>
  <si>
    <t>ACN1-51-R07-BO</t>
  </si>
  <si>
    <t>ACN1-52-V00-CR</t>
  </si>
  <si>
    <t>ACN1-52-V01-CR</t>
  </si>
  <si>
    <t>ACN1-52-R00-BO</t>
  </si>
  <si>
    <t>ACN1-52-V02-CR</t>
  </si>
  <si>
    <t>ACN1-52-V03-CR</t>
  </si>
  <si>
    <t>ACN1-52-R01-BO</t>
  </si>
  <si>
    <t>ACN1-52-V04-CR</t>
  </si>
  <si>
    <t>ACN1-52-V05-CR</t>
  </si>
  <si>
    <t>ACN1-52-R02-BO</t>
  </si>
  <si>
    <t>ACN1-52-V06-CR</t>
  </si>
  <si>
    <t>ACN1-52-V07-CR</t>
  </si>
  <si>
    <t>ACN1-52-R03-BO</t>
  </si>
  <si>
    <t>ACN1-52-V08-CR</t>
  </si>
  <si>
    <t>ACN1-52-V09-CR</t>
  </si>
  <si>
    <t>ACN1-52-R04-BO</t>
  </si>
  <si>
    <t>ACN1-52-V10-CR</t>
  </si>
  <si>
    <t>ACN1-52-V11-CR</t>
  </si>
  <si>
    <t>ACN1-52-R05-BO</t>
  </si>
  <si>
    <t>ACN1-52-V12-CR</t>
  </si>
  <si>
    <t>ACN1-52-V13-CR</t>
  </si>
  <si>
    <t>ACN1-52-R06-BO</t>
  </si>
  <si>
    <t>ACN1-52-V14-CR</t>
  </si>
  <si>
    <t>ACN1-52-V15-CR</t>
  </si>
  <si>
    <t>ACN1-52-R07-BO</t>
  </si>
  <si>
    <t>ACN1-53-V00-CR</t>
  </si>
  <si>
    <t>ACN1-53-V01-CR</t>
  </si>
  <si>
    <t>ACN1-53-R00-BO</t>
  </si>
  <si>
    <t>ACN1-53-V02-CR</t>
  </si>
  <si>
    <t>ACN1-53-V03-CR</t>
  </si>
  <si>
    <t>ACN1-53-R01-BO</t>
  </si>
  <si>
    <t>ACN1-53-V04-CR</t>
  </si>
  <si>
    <t>ACN1-53-V05-CR</t>
  </si>
  <si>
    <t>ACN1-53-R02-BO</t>
  </si>
  <si>
    <t>ACN1-53-V06-CR</t>
  </si>
  <si>
    <t>ACN1-53-V07-CR</t>
  </si>
  <si>
    <t>ACN1-53-R03-BO</t>
  </si>
  <si>
    <t>ACN1-53-V08-CR</t>
  </si>
  <si>
    <t>ACN1-53-V09-CR</t>
  </si>
  <si>
    <t>ACN1-53-R04-BO</t>
  </si>
  <si>
    <t>ACN1-53-V10-CR</t>
  </si>
  <si>
    <t>ACN1-53-V11-CR</t>
  </si>
  <si>
    <t>ACN1-53-R05-BO</t>
  </si>
  <si>
    <t>ACN1-53-V12-CR</t>
  </si>
  <si>
    <t>ACN1-53-V13-CR</t>
  </si>
  <si>
    <t>ACN1-53-R06-BO</t>
  </si>
  <si>
    <t>ACN1-53-V14-CR</t>
  </si>
  <si>
    <t>ACN1-53-V15-CR</t>
  </si>
  <si>
    <t>ACN1-53-R07-BO</t>
  </si>
  <si>
    <t>ACN1-54-V00-CR</t>
  </si>
  <si>
    <t>ACN1-54-V01-CR</t>
  </si>
  <si>
    <t>ACN1-54-R00-BO</t>
  </si>
  <si>
    <t>ACN1-54-V02-CR</t>
  </si>
  <si>
    <t>ACN1-54-V03-CR</t>
  </si>
  <si>
    <t>ACN1-54-R01-BO</t>
  </si>
  <si>
    <t>ACN1-54-V04-CR</t>
  </si>
  <si>
    <t>ACN1-54-V05-CR</t>
  </si>
  <si>
    <t>ACN1-54-R02-BO</t>
  </si>
  <si>
    <t>ACN1-54-V06-CR</t>
  </si>
  <si>
    <t>ACN1-54-V07-CR</t>
  </si>
  <si>
    <t>ACN1-54-R03-BO</t>
  </si>
  <si>
    <t>ACN1-54-V08-CR</t>
  </si>
  <si>
    <t>ACN1-54-V09-CR</t>
  </si>
  <si>
    <t>ACN1-54-R04-BO</t>
  </si>
  <si>
    <t>ACN1-54-V10-CR</t>
  </si>
  <si>
    <t>ACN1-54-V11-CR</t>
  </si>
  <si>
    <t>ACN1-54-R05-BO</t>
  </si>
  <si>
    <t>ACN1-54-V12-CR</t>
  </si>
  <si>
    <t>ACN1-54-V13-CR</t>
  </si>
  <si>
    <t>ACN1-54-R06-BO</t>
  </si>
  <si>
    <t>ACN1-54-V14-CR</t>
  </si>
  <si>
    <t>ACN1-54-V15-CR</t>
  </si>
  <si>
    <t>ACN1-54-R07-BO</t>
  </si>
  <si>
    <t>ACN1-55-V00-CR</t>
  </si>
  <si>
    <t>ACN1-55-V01-CR</t>
  </si>
  <si>
    <t>ACN1-55-R00-BO</t>
  </si>
  <si>
    <t>ACN1-55-V02-CR</t>
  </si>
  <si>
    <t>ACN1-55-V03-CR</t>
  </si>
  <si>
    <t>ACN1-55-R01-BO</t>
  </si>
  <si>
    <t>ACN1-55-V04-CR</t>
  </si>
  <si>
    <t>ACN1-55-V05-CR</t>
  </si>
  <si>
    <t>ACN1-55-R02-BO</t>
  </si>
  <si>
    <t>ACN1-55-V06-CR</t>
  </si>
  <si>
    <t>ACN1-55-V07-CR</t>
  </si>
  <si>
    <t>ACN1-55-R03-BO</t>
  </si>
  <si>
    <t>ACN1-55-V08-CR</t>
  </si>
  <si>
    <t>ACN1-55-V09-CR</t>
  </si>
  <si>
    <t>ACN1-55-R04-BO</t>
  </si>
  <si>
    <t>ACN1-55-V10-CR</t>
  </si>
  <si>
    <t>ACN1-55-V11-CR</t>
  </si>
  <si>
    <t>ACN1-55-R05-BO</t>
  </si>
  <si>
    <t>ACN1-55-V12-CR</t>
  </si>
  <si>
    <t>ACN1-55-V13-CR</t>
  </si>
  <si>
    <t>ACN1-55-R06-BO</t>
  </si>
  <si>
    <t>ACN1-55-V14-CR</t>
  </si>
  <si>
    <t>ACN1-55-V15-CR</t>
  </si>
  <si>
    <t>ACN1-55-R07-BO</t>
  </si>
  <si>
    <t>ACN1-56-V00-CR</t>
  </si>
  <si>
    <t>ACN1-56-V01-CR</t>
  </si>
  <si>
    <t>ACN1-56-R00-BO</t>
  </si>
  <si>
    <t>ACN1-56-V02-CR</t>
  </si>
  <si>
    <t>ACN1-56-V03-CR</t>
  </si>
  <si>
    <t>ACN1-56-R01-BO</t>
  </si>
  <si>
    <t>ACN1-56-V04-CR</t>
  </si>
  <si>
    <t>ACN1-56-V05-CR</t>
  </si>
  <si>
    <t>ACN1-56-R02-BO</t>
  </si>
  <si>
    <t>ACN1-56-V06-CR</t>
  </si>
  <si>
    <t>ACN1-56-V07-CR</t>
  </si>
  <si>
    <t>ACN1-56-R03-BO</t>
  </si>
  <si>
    <t>ACN1-56-V08-CR</t>
  </si>
  <si>
    <t>ACN1-56-V09-CR</t>
  </si>
  <si>
    <t>ACN1-56-R04-BO</t>
  </si>
  <si>
    <t>ACN1-56-V10-CR</t>
  </si>
  <si>
    <t>ACN1-56-V11-CR</t>
  </si>
  <si>
    <t>ACN1-56-R05-BO</t>
  </si>
  <si>
    <t>ACN1-56-V12-CR</t>
  </si>
  <si>
    <t>ACN1-56-V13-CR</t>
  </si>
  <si>
    <t>ACN1-56-R06-BO</t>
  </si>
  <si>
    <t>ACN1-56-V14-CR</t>
  </si>
  <si>
    <t>ACN1-56-V15-CR</t>
  </si>
  <si>
    <t>ACN1-56-R07-BO</t>
  </si>
  <si>
    <t>ACN1-57-V00-CR</t>
  </si>
  <si>
    <t>ACN1-57-V01-CR</t>
  </si>
  <si>
    <t>ACN1-57-R00-BO</t>
  </si>
  <si>
    <t>ACN1-57-V02-CR</t>
  </si>
  <si>
    <t>ACN1-57-V03-CR</t>
  </si>
  <si>
    <t>ACN1-57-R01-BO</t>
  </si>
  <si>
    <t>ACN1-57-V04-CR</t>
  </si>
  <si>
    <t>ACN1-57-V05-CR</t>
  </si>
  <si>
    <t>ACN1-57-R02-BO</t>
  </si>
  <si>
    <t>ACN1-57-V06-CR</t>
  </si>
  <si>
    <t>ACN1-57-V07-CR</t>
  </si>
  <si>
    <t>ACN1-57-R03-BO</t>
  </si>
  <si>
    <t>ACN1-57-V08-CR</t>
  </si>
  <si>
    <t>ACN1-57-V09-CR</t>
  </si>
  <si>
    <t>ACN1-57-R04-BO</t>
  </si>
  <si>
    <t>ACN1-57-V10-CR</t>
  </si>
  <si>
    <t>ACN1-57-V11-CR</t>
  </si>
  <si>
    <t>ACN1-57-R05-BO</t>
  </si>
  <si>
    <t>ACN1-57-V12-CR</t>
  </si>
  <si>
    <t>ACN1-57-V13-CR</t>
  </si>
  <si>
    <t>ACN1-57-R06-BO</t>
  </si>
  <si>
    <t>ACN1-57-V14-CR</t>
  </si>
  <si>
    <t>ACN1-57-V15-CR</t>
  </si>
  <si>
    <t>ACN1-57-R07-BO</t>
  </si>
  <si>
    <t>ACN1-58-V00-CR</t>
  </si>
  <si>
    <t>ACN1-58-V01-CR</t>
  </si>
  <si>
    <t>ACN1-58-R00-BO</t>
  </si>
  <si>
    <t>ACN1-58-V02-CR</t>
  </si>
  <si>
    <t>ACN1-58-V03-CR</t>
  </si>
  <si>
    <t>ACN1-58-R01-BO</t>
  </si>
  <si>
    <t>ACN1-58-V04-CR</t>
  </si>
  <si>
    <t>ACN1-58-V05-CR</t>
  </si>
  <si>
    <t>ACN1-58-R02-BO</t>
  </si>
  <si>
    <t>ACN1-58-V06-CR</t>
  </si>
  <si>
    <t>ACN1-58-V07-CR</t>
  </si>
  <si>
    <t>ACN1-58-R03-BO</t>
  </si>
  <si>
    <t>ACN1-58-V08-CR</t>
  </si>
  <si>
    <t>ACN1-58-V09-CR</t>
  </si>
  <si>
    <t>ACN1-58-R04-BO</t>
  </si>
  <si>
    <t>ACN1-58-V10-CR</t>
  </si>
  <si>
    <t>ACN1-58-V11-CR</t>
  </si>
  <si>
    <t>ACN1-58-R05-BO</t>
  </si>
  <si>
    <t>ACN1-58-V12-CR</t>
  </si>
  <si>
    <t>ACN1-58-V13-CR</t>
  </si>
  <si>
    <t>ACN1-58-R06-BO</t>
  </si>
  <si>
    <t>ACN1-58-V14-CR</t>
  </si>
  <si>
    <t>ACN1-58-V15-CR</t>
  </si>
  <si>
    <t>ACN1-58-R07-BO</t>
  </si>
  <si>
    <t>ACN1-59-V00-CR</t>
  </si>
  <si>
    <t>ACN1-59-V01-CR</t>
  </si>
  <si>
    <t>ACN1-59-R00-BO</t>
  </si>
  <si>
    <t>ACN1-59-V02-CR</t>
  </si>
  <si>
    <t>ACN1-59-V03-CR</t>
  </si>
  <si>
    <t>ACN1-59-R01-BO</t>
  </si>
  <si>
    <t>ACN1-59-V04-CR</t>
  </si>
  <si>
    <t>ACN1-59-V05-CR</t>
  </si>
  <si>
    <t>ACN1-59-R02-BO</t>
  </si>
  <si>
    <t>ACN1-59-V06-CR</t>
  </si>
  <si>
    <t>ACN1-59-V07-CR</t>
  </si>
  <si>
    <t>ACN1-59-R03-BO</t>
  </si>
  <si>
    <t>ACN1-59-V08-CR</t>
  </si>
  <si>
    <t>ACN1-59-V09-CR</t>
  </si>
  <si>
    <t>ACN1-59-R04-BO</t>
  </si>
  <si>
    <t>ACN1-59-V10-CR</t>
  </si>
  <si>
    <t>ACN1-59-V11-CR</t>
  </si>
  <si>
    <t>ACN1-59-R05-BO</t>
  </si>
  <si>
    <t>ACN1-59-V12-CR</t>
  </si>
  <si>
    <t>ACN1-59-V13-CR</t>
  </si>
  <si>
    <t>ACN1-59-R06-BO</t>
  </si>
  <si>
    <t>ACN1-59-V14-CR</t>
  </si>
  <si>
    <t>ACN1-59-V15-CR</t>
  </si>
  <si>
    <t>ACN1-59-R07-BO</t>
  </si>
  <si>
    <t>ACN1-60-V00-CR</t>
  </si>
  <si>
    <t>ACN1-60-V01-CR</t>
  </si>
  <si>
    <t>ACN1-60-R00-BO</t>
  </si>
  <si>
    <t>ACN1-60-V02-CR</t>
  </si>
  <si>
    <t>ACN1-60-V03-CR</t>
  </si>
  <si>
    <t>ACN1-60-R01-BO</t>
  </si>
  <si>
    <t>ACN1-60-V04-CR</t>
  </si>
  <si>
    <t>ACN1-60-V05-CR</t>
  </si>
  <si>
    <t>ACN1-60-R02-BO</t>
  </si>
  <si>
    <t>ACN1-60-V06-CR</t>
  </si>
  <si>
    <t>ACN1-60-V07-CR</t>
  </si>
  <si>
    <t>ACN1-60-R03-BO</t>
  </si>
  <si>
    <t>ACN1-60-V08-CR</t>
  </si>
  <si>
    <t>ACN1-60-V09-CR</t>
  </si>
  <si>
    <t>ACN1-60-R04-BO</t>
  </si>
  <si>
    <t>ACN1-60-V10-CR</t>
  </si>
  <si>
    <t>ACN1-60-V11-CR</t>
  </si>
  <si>
    <t>ACN1-60-R05-BO</t>
  </si>
  <si>
    <t>ACN1-60-V12-CR</t>
  </si>
  <si>
    <t>ACN1-60-V13-CR</t>
  </si>
  <si>
    <t>ACN1-60-R06-BO</t>
  </si>
  <si>
    <t>ACN1-60-V14-CR</t>
  </si>
  <si>
    <t>ACN1-60-V15-CR</t>
  </si>
  <si>
    <t>ACN1-60-R07-BO</t>
  </si>
  <si>
    <t>ACN1-61-V00-CR</t>
  </si>
  <si>
    <t>ACN1-61-V01-CR</t>
  </si>
  <si>
    <t>ACN1-61-R00-BO</t>
  </si>
  <si>
    <t>ACN1-61-V02-CR</t>
  </si>
  <si>
    <t>ACN1-61-V03-CR</t>
  </si>
  <si>
    <t>ACN1-61-R01-BO</t>
  </si>
  <si>
    <t>ACN1-61-V04-CR</t>
  </si>
  <si>
    <t>ACN1-61-V05-CR</t>
  </si>
  <si>
    <t>ACN1-61-R02-BO</t>
  </si>
  <si>
    <t>ACN1-61-V06-CR</t>
  </si>
  <si>
    <t>ACN1-61-V07-CR</t>
  </si>
  <si>
    <t>ACN1-61-R03-BO</t>
  </si>
  <si>
    <t>ACN1-61-V08-CR</t>
  </si>
  <si>
    <t>ACN1-61-V09-CR</t>
  </si>
  <si>
    <t>ACN1-61-R04-BO</t>
  </si>
  <si>
    <t>ACN1-61-V10-CR</t>
  </si>
  <si>
    <t>ACN1-61-V11-CR</t>
  </si>
  <si>
    <t>ACN1-61-R05-BO</t>
  </si>
  <si>
    <t>ACN1-61-V12-CR</t>
  </si>
  <si>
    <t>ACN1-61-V13-CR</t>
  </si>
  <si>
    <t>ACN1-61-R06-BO</t>
  </si>
  <si>
    <t>ACN1-61-V14-CR</t>
  </si>
  <si>
    <t>ACN1-61-V15-CR</t>
  </si>
  <si>
    <t>ACN1-61-R07-BO</t>
  </si>
  <si>
    <t>ACN1-62-V00-CR</t>
  </si>
  <si>
    <t>ACN1-62-V01-CR</t>
  </si>
  <si>
    <t>ACN1-62-R00-BO</t>
  </si>
  <si>
    <t>ACN1-62-V02-CR</t>
  </si>
  <si>
    <t>ACN1-62-V03-CR</t>
  </si>
  <si>
    <t>ACN1-62-R01-BO</t>
  </si>
  <si>
    <t>ACN1-62-V04-CR</t>
  </si>
  <si>
    <t>ACN1-62-V05-CR</t>
  </si>
  <si>
    <t>ACN1-62-R02-BO</t>
  </si>
  <si>
    <t>ACN1-62-V06-CR</t>
  </si>
  <si>
    <t>ACN1-62-V07-CR</t>
  </si>
  <si>
    <t>ACN1-62-R03-BO</t>
  </si>
  <si>
    <t>ACN1-62-V08-CR</t>
  </si>
  <si>
    <t>ACN1-62-V09-CR</t>
  </si>
  <si>
    <t>ACN1-62-R04-BO</t>
  </si>
  <si>
    <t>ACN1-62-V10-CR</t>
  </si>
  <si>
    <t>ACN1-62-V11-CR</t>
  </si>
  <si>
    <t>ACN1-62-R05-BO</t>
  </si>
  <si>
    <t>ACN1-62-V12-CR</t>
  </si>
  <si>
    <t>ACN1-62-V13-CR</t>
  </si>
  <si>
    <t>ACN1-62-R06-BO</t>
  </si>
  <si>
    <t>ACN1-62-V14-CR</t>
  </si>
  <si>
    <t>ACN1-62-V15-CR</t>
  </si>
  <si>
    <t>ACN1-62-R07-BO</t>
  </si>
  <si>
    <t>ACN1-63-V00-CR</t>
  </si>
  <si>
    <t>ACN1-63-V01-CR</t>
  </si>
  <si>
    <t>ACN1-63-R00-BO</t>
  </si>
  <si>
    <t>ACN1-63-V02-CR</t>
  </si>
  <si>
    <t>ACN1-63-V03-CR</t>
  </si>
  <si>
    <t>ACN1-63-R01-BO</t>
  </si>
  <si>
    <t>ACN1-63-V04-CR</t>
  </si>
  <si>
    <t>ACN1-63-V05-CR</t>
  </si>
  <si>
    <t>ACN1-63-R02-BO</t>
  </si>
  <si>
    <t>ACN1-63-V06-CR</t>
  </si>
  <si>
    <t>ACN1-63-V07-CR</t>
  </si>
  <si>
    <t>ACN1-63-R03-BO</t>
  </si>
  <si>
    <t>ACN1-63-V08-CR</t>
  </si>
  <si>
    <t>ACN1-63-V09-CR</t>
  </si>
  <si>
    <t>ACN1-63-R04-BO</t>
  </si>
  <si>
    <t>ACN1-63-V10-CR</t>
  </si>
  <si>
    <t>ACN1-63-V11-CR</t>
  </si>
  <si>
    <t>ACN1-63-R05-BO</t>
  </si>
  <si>
    <t>ACN1-63-V12-CR</t>
  </si>
  <si>
    <t>ACN1-63-V13-CR</t>
  </si>
  <si>
    <t>ACN1-63-R06-BO</t>
  </si>
  <si>
    <t>ACN1-63-V14-CR</t>
  </si>
  <si>
    <t>ACN1-63-V15-CR</t>
  </si>
  <si>
    <t>ACN1-63-R07-BO</t>
  </si>
  <si>
    <t>ACN1-64-V00-CR</t>
  </si>
  <si>
    <t>ACN1-64-V01-CR</t>
  </si>
  <si>
    <t>ACN1-64-R00-BO</t>
  </si>
  <si>
    <t>ACN1-64-V02-CR</t>
  </si>
  <si>
    <t>ACN1-64-V03-CR</t>
  </si>
  <si>
    <t>ACN1-64-R01-BO</t>
  </si>
  <si>
    <t>ACN1-64-V04-CR</t>
  </si>
  <si>
    <t>ACN1-64-V05-CR</t>
  </si>
  <si>
    <t>ACN1-64-R02-BO</t>
  </si>
  <si>
    <t>ACN1-64-V06-CR</t>
  </si>
  <si>
    <t>ACN1-64-V07-CR</t>
  </si>
  <si>
    <t>ACN1-64-R03-BO</t>
  </si>
  <si>
    <t>ACN1-64-V08-CR</t>
  </si>
  <si>
    <t>ACN1-64-V09-CR</t>
  </si>
  <si>
    <t>ACN1-64-R04-BO</t>
  </si>
  <si>
    <t>ACN1-64-V10-CR</t>
  </si>
  <si>
    <t>ACN1-64-V11-CR</t>
  </si>
  <si>
    <t>ACN1-64-R05-BO</t>
  </si>
  <si>
    <t>ACN1-64-V12-CR</t>
  </si>
  <si>
    <t>ACN1-64-V13-CR</t>
  </si>
  <si>
    <t>ACN1-64-R06-BO</t>
  </si>
  <si>
    <t>ACN1-64-V14-CR</t>
  </si>
  <si>
    <t>ACN1-64-V15-CR</t>
  </si>
  <si>
    <t>ACN1-64-R07-BO</t>
  </si>
  <si>
    <t>ACN1-65-V00-CR</t>
  </si>
  <si>
    <t>ACN1-65-V01-CR</t>
  </si>
  <si>
    <t>ACN1-65-R00-BO</t>
  </si>
  <si>
    <t>ACN1-65-V02-CR</t>
  </si>
  <si>
    <t>ACN1-65-V03-CR</t>
  </si>
  <si>
    <t>ACN1-65-R01-BO</t>
  </si>
  <si>
    <t>ACN1-65-V04-CR</t>
  </si>
  <si>
    <t>ACN1-65-V05-CR</t>
  </si>
  <si>
    <t>ACN1-65-R02-BO</t>
  </si>
  <si>
    <t>ACN1-65-V06-CR</t>
  </si>
  <si>
    <t>ACN1-65-V07-CR</t>
  </si>
  <si>
    <t>ACN1-65-R03-BO</t>
  </si>
  <si>
    <t>ACN1-65-V08-CR</t>
  </si>
  <si>
    <t>ACN1-65-V09-CR</t>
  </si>
  <si>
    <t>ACN1-65-R04-BO</t>
  </si>
  <si>
    <t>ACN1-65-V10-CR</t>
  </si>
  <si>
    <t>ACN1-65-V11-CR</t>
  </si>
  <si>
    <t>ACN1-65-R05-BO</t>
  </si>
  <si>
    <t>ACN1-65-V12-CR</t>
  </si>
  <si>
    <t>ACN1-65-V13-CR</t>
  </si>
  <si>
    <t>ACN1-65-R06-BO</t>
  </si>
  <si>
    <t>ACN1-65-V14-CR</t>
  </si>
  <si>
    <t>ACN1-65-V15-CR</t>
  </si>
  <si>
    <t>ACN1-65-R07-BO</t>
  </si>
  <si>
    <t>ACN1-66-V00-CR</t>
  </si>
  <si>
    <t>ACN1-66-V01-CR</t>
  </si>
  <si>
    <t>ACN1-66-R00-BO</t>
  </si>
  <si>
    <t>ACN1-66-V02-CR</t>
  </si>
  <si>
    <t>ACN1-66-V03-CR</t>
  </si>
  <si>
    <t>ACN1-66-R01-BO</t>
  </si>
  <si>
    <t>ACN1-66-V04-CR</t>
  </si>
  <si>
    <t>ACN1-66-V05-CR</t>
  </si>
  <si>
    <t>ACN1-66-R02-BO</t>
  </si>
  <si>
    <t>ACN1-66-V06-CR</t>
  </si>
  <si>
    <t>ACN1-66-V07-CR</t>
  </si>
  <si>
    <t>ACN1-66-R03-BO</t>
  </si>
  <si>
    <t>ACN1-66-V08-CR</t>
  </si>
  <si>
    <t>ACN1-66-V09-CR</t>
  </si>
  <si>
    <t>ACN1-66-R04-BO</t>
  </si>
  <si>
    <t>ACN1-66-V10-CR</t>
  </si>
  <si>
    <t>ACN1-66-V11-CR</t>
  </si>
  <si>
    <t>ACN1-66-R05-BO</t>
  </si>
  <si>
    <t>ACN1-66-V12-CR</t>
  </si>
  <si>
    <t>ACN1-66-V13-CR</t>
  </si>
  <si>
    <t>ACN1-66-R06-BO</t>
  </si>
  <si>
    <t>ACN1-66-V14-CR</t>
  </si>
  <si>
    <t>ACN1-66-V15-CR</t>
  </si>
  <si>
    <t>ACN1-66-R07-BO</t>
  </si>
  <si>
    <t>ACN1-67-V00-CR</t>
  </si>
  <si>
    <t>ACN1-67-V01-CR</t>
  </si>
  <si>
    <t>ACN1-67-R00-BO</t>
  </si>
  <si>
    <t>ACN1-67-V02-CR</t>
  </si>
  <si>
    <t>ACN1-67-V03-CR</t>
  </si>
  <si>
    <t>ACN1-67-R01-BO</t>
  </si>
  <si>
    <t>ACN1-67-V04-CR</t>
  </si>
  <si>
    <t>ACN1-67-V05-CR</t>
  </si>
  <si>
    <t>ACN1-67-R02-BO</t>
  </si>
  <si>
    <t>ACN1-67-V06-CR</t>
  </si>
  <si>
    <t>ACN1-67-V07-CR</t>
  </si>
  <si>
    <t>ACN1-67-R03-BO</t>
  </si>
  <si>
    <t>ACN1-67-V08-CR</t>
  </si>
  <si>
    <t>ACN1-67-V09-CR</t>
  </si>
  <si>
    <t>ACN1-67-R04-BO</t>
  </si>
  <si>
    <t>ACN1-67-V10-CR</t>
  </si>
  <si>
    <t>ACN1-67-V11-CR</t>
  </si>
  <si>
    <t>ACN1-67-R05-BO</t>
  </si>
  <si>
    <t>ACN1-67-V12-CR</t>
  </si>
  <si>
    <t>ACN1-67-V13-CR</t>
  </si>
  <si>
    <t>ACN1-67-R06-BO</t>
  </si>
  <si>
    <t>ACN1-67-V14-CR</t>
  </si>
  <si>
    <t>ACN1-67-V15-CR</t>
  </si>
  <si>
    <t>ACN1-67-R07-BO</t>
  </si>
  <si>
    <t>ACN1-68-V00-CR</t>
  </si>
  <si>
    <t>ACN1-68-V01-CR</t>
  </si>
  <si>
    <t>ACN1-68-R00-BO</t>
  </si>
  <si>
    <t>ACN1-68-V02-CR</t>
  </si>
  <si>
    <t>ACN1-68-V03-CR</t>
  </si>
  <si>
    <t>ACN1-68-R01-BO</t>
  </si>
  <si>
    <t>ACN1-68-V04-CR</t>
  </si>
  <si>
    <t>ACN1-68-V05-CR</t>
  </si>
  <si>
    <t>ACN1-68-R02-BO</t>
  </si>
  <si>
    <t>ACN1-68-V06-CR</t>
  </si>
  <si>
    <t>ACN1-68-V07-CR</t>
  </si>
  <si>
    <t>ACN1-68-R03-BO</t>
  </si>
  <si>
    <t>ACN1-68-V08-CR</t>
  </si>
  <si>
    <t>ACN1-68-V09-CR</t>
  </si>
  <si>
    <t>ACN1-68-R04-BO</t>
  </si>
  <si>
    <t>ACN1-68-V10-CR</t>
  </si>
  <si>
    <t>ACN1-68-V11-CR</t>
  </si>
  <si>
    <t>ACN1-68-R05-BO</t>
  </si>
  <si>
    <t>ACN1-68-V12-CR</t>
  </si>
  <si>
    <t>ACN1-68-V13-CR</t>
  </si>
  <si>
    <t>ACN1-68-R06-BO</t>
  </si>
  <si>
    <t>ACN1-68-V14-CR</t>
  </si>
  <si>
    <t>ACN1-68-V15-CR</t>
  </si>
  <si>
    <t>ACN1-68-R07-BO</t>
  </si>
  <si>
    <t>ACN1-69-V00-CR</t>
  </si>
  <si>
    <t>ACN1-69-V01-CR</t>
  </si>
  <si>
    <t>ACN1-69-R00-BO</t>
  </si>
  <si>
    <t>ACN1-69-V02-CR</t>
  </si>
  <si>
    <t>ACN1-69-V03-CR</t>
  </si>
  <si>
    <t>ACN1-69-R01-BO</t>
  </si>
  <si>
    <t>ACN1-69-V04-CR</t>
  </si>
  <si>
    <t>ACN1-69-V05-CR</t>
  </si>
  <si>
    <t>ACN1-69-R02-BO</t>
  </si>
  <si>
    <t>ACN1-69-V06-CR</t>
  </si>
  <si>
    <t>ACN1-69-V07-CR</t>
  </si>
  <si>
    <t>ACN1-69-R03-BO</t>
  </si>
  <si>
    <t>ACN1-69-V08-CR</t>
  </si>
  <si>
    <t>ACN1-69-V09-CR</t>
  </si>
  <si>
    <t>ACN1-69-R04-BO</t>
  </si>
  <si>
    <t>ACN1-69-V10-CR</t>
  </si>
  <si>
    <t>ACN1-69-V11-CR</t>
  </si>
  <si>
    <t>ACN1-69-R05-BO</t>
  </si>
  <si>
    <t>ACN1-69-V12-CR</t>
  </si>
  <si>
    <t>ACN1-69-V13-CR</t>
  </si>
  <si>
    <t>ACN1-69-R06-BO</t>
  </si>
  <si>
    <t>ACN1-69-V14-CR</t>
  </si>
  <si>
    <t>ACN1-69-V15-CR</t>
  </si>
  <si>
    <t>ACN1-69-R07-BO</t>
  </si>
  <si>
    <t>ACN1-70-V00-CR</t>
  </si>
  <si>
    <t>ACN1-70-V01-CR</t>
  </si>
  <si>
    <t>ACN1-70-R00-BO</t>
  </si>
  <si>
    <t>ACN1-70-V02-CR</t>
  </si>
  <si>
    <t>ACN1-70-V03-CR</t>
  </si>
  <si>
    <t>ACN1-70-R01-BO</t>
  </si>
  <si>
    <t>ACN1-70-V04-CR</t>
  </si>
  <si>
    <t>ACN1-70-V05-CR</t>
  </si>
  <si>
    <t>ACN1-70-R02-BO</t>
  </si>
  <si>
    <t>ACN1-70-V06-CR</t>
  </si>
  <si>
    <t>ACN1-70-V07-CR</t>
  </si>
  <si>
    <t>ACN1-70-R03-BO</t>
  </si>
  <si>
    <t>ACN1-70-V08-CR</t>
  </si>
  <si>
    <t>ACN1-70-V09-CR</t>
  </si>
  <si>
    <t>ACN1-70-R04-BO</t>
  </si>
  <si>
    <t>ACN1-70-V10-CR</t>
  </si>
  <si>
    <t>ACN1-70-V11-CR</t>
  </si>
  <si>
    <t>ACN1-70-R05-BO</t>
  </si>
  <si>
    <t>ACN1-70-V12-CR</t>
  </si>
  <si>
    <t>ACN1-70-V13-CR</t>
  </si>
  <si>
    <t>ACN1-70-R06-BO</t>
  </si>
  <si>
    <t>ACN1-70-V14-CR</t>
  </si>
  <si>
    <t>ACN1-70-V15-CR</t>
  </si>
  <si>
    <t>ACN1-70-R07-BO</t>
  </si>
  <si>
    <t>ACN1-71-V00-CR</t>
  </si>
  <si>
    <t>ACN1-71-V01-CR</t>
  </si>
  <si>
    <t>ACN1-71-R00-BO</t>
  </si>
  <si>
    <t>ACN1-71-V02-CR</t>
  </si>
  <si>
    <t>ACN1-71-V03-CR</t>
  </si>
  <si>
    <t>ACN1-71-R01-BO</t>
  </si>
  <si>
    <t>ACN1-71-V04-CR</t>
  </si>
  <si>
    <t>ACN1-71-V05-CR</t>
  </si>
  <si>
    <t>ACN1-71-R02-BO</t>
  </si>
  <si>
    <t>ACN1-71-V06-CR</t>
  </si>
  <si>
    <t>ACN1-71-V07-CR</t>
  </si>
  <si>
    <t>ACN1-71-R03-BO</t>
  </si>
  <si>
    <t>ACN1-71-V08-CR</t>
  </si>
  <si>
    <t>ACN1-71-V09-CR</t>
  </si>
  <si>
    <t>ACN1-71-R04-BO</t>
  </si>
  <si>
    <t>ACN1-71-V10-CR</t>
  </si>
  <si>
    <t>ACN1-71-V11-CR</t>
  </si>
  <si>
    <t>ACN1-71-R05-BO</t>
  </si>
  <si>
    <t>ACN1-71-V12-CR</t>
  </si>
  <si>
    <t>ACN1-71-V13-CR</t>
  </si>
  <si>
    <t>ACN1-71-R06-BO</t>
  </si>
  <si>
    <t>ACN1-71-V14-CR</t>
  </si>
  <si>
    <t>ACN1-71-V15-CR</t>
  </si>
  <si>
    <t>ACN1-71-R07-BO</t>
  </si>
  <si>
    <t>ACN1-72-V00-CR</t>
  </si>
  <si>
    <t>ACN1-72-V01-CR</t>
  </si>
  <si>
    <t>ACN1-72-R00-BO</t>
  </si>
  <si>
    <t>ACN1-72-V02-CR</t>
  </si>
  <si>
    <t>ACN1-72-V03-CR</t>
  </si>
  <si>
    <t>ACN1-72-R01-BO</t>
  </si>
  <si>
    <t>ACN1-72-V04-CR</t>
  </si>
  <si>
    <t>ACN1-72-V05-CR</t>
  </si>
  <si>
    <t>ACN1-72-R02-BO</t>
  </si>
  <si>
    <t>ACN1-72-V06-CR</t>
  </si>
  <si>
    <t>ACN1-72-V07-CR</t>
  </si>
  <si>
    <t>ACN1-72-R03-BO</t>
  </si>
  <si>
    <t>ACN1-72-V08-CR</t>
  </si>
  <si>
    <t>ACN1-72-V09-CR</t>
  </si>
  <si>
    <t>ACN1-72-R04-BO</t>
  </si>
  <si>
    <t>ACN1-72-V10-CR</t>
  </si>
  <si>
    <t>ACN1-72-V11-CR</t>
  </si>
  <si>
    <t>ACN1-72-R05-BO</t>
  </si>
  <si>
    <t>ACN1-72-V12-CR</t>
  </si>
  <si>
    <t>ACN1-72-V13-CR</t>
  </si>
  <si>
    <t>ACN1-72-R06-BO</t>
  </si>
  <si>
    <t>ACN1-72-V14-CR</t>
  </si>
  <si>
    <t>ACN1-72-V15-CR</t>
  </si>
  <si>
    <t>ACN1-72-R07-BO</t>
  </si>
  <si>
    <t>ACN1-73-V00-CR</t>
  </si>
  <si>
    <t>ACN1-73-V01-CR</t>
  </si>
  <si>
    <t>ACN1-73-R00-BO</t>
  </si>
  <si>
    <t>ACN1-73-V02-CR</t>
  </si>
  <si>
    <t>ACN1-73-V03-CR</t>
  </si>
  <si>
    <t>ACN1-73-R01-BO</t>
  </si>
  <si>
    <t>ACN1-73-V04-CR</t>
  </si>
  <si>
    <t>ACN1-73-V05-CR</t>
  </si>
  <si>
    <t>ACN1-73-R02-BO</t>
  </si>
  <si>
    <t>ACN1-73-V06-CR</t>
  </si>
  <si>
    <t>ACN1-73-V07-CR</t>
  </si>
  <si>
    <t>ACN1-73-R03-BO</t>
  </si>
  <si>
    <t>ACN1-73-V08-CR</t>
  </si>
  <si>
    <t>ACN1-73-V09-CR</t>
  </si>
  <si>
    <t>ACN1-73-R04-BO</t>
  </si>
  <si>
    <t>ACN1-73-V10-CR</t>
  </si>
  <si>
    <t>ACN1-73-V11-CR</t>
  </si>
  <si>
    <t>ACN1-73-R05-BO</t>
  </si>
  <si>
    <t>ACN1-73-V12-CR</t>
  </si>
  <si>
    <t>ACN1-73-V13-CR</t>
  </si>
  <si>
    <t>ACN1-73-R06-BO</t>
  </si>
  <si>
    <t>ACN1-73-V14-CR</t>
  </si>
  <si>
    <t>ACN1-73-V15-CR</t>
  </si>
  <si>
    <t>ACN1-73-R07-BO</t>
  </si>
  <si>
    <t>ACN1-74-V00-CR</t>
  </si>
  <si>
    <t>ACN1-74-V01-CR</t>
  </si>
  <si>
    <t>ACN1-74-R00-BO</t>
  </si>
  <si>
    <t>ACN1-74-V02-CR</t>
  </si>
  <si>
    <t>ACN1-74-V03-CR</t>
  </si>
  <si>
    <t>ACN1-74-R01-BO</t>
  </si>
  <si>
    <t>ACN1-74-V04-CR</t>
  </si>
  <si>
    <t>ACN1-74-V05-CR</t>
  </si>
  <si>
    <t>ACN1-74-R02-BO</t>
  </si>
  <si>
    <t>ACN1-74-V06-CR</t>
  </si>
  <si>
    <t>ACN1-74-V07-CR</t>
  </si>
  <si>
    <t>ACN1-74-R03-BO</t>
  </si>
  <si>
    <t>ACN1-74-V08-CR</t>
  </si>
  <si>
    <t>ACN1-74-V09-CR</t>
  </si>
  <si>
    <t>ACN1-74-R04-BO</t>
  </si>
  <si>
    <t>ACN1-74-V10-CR</t>
  </si>
  <si>
    <t>ACN1-74-V11-CR</t>
  </si>
  <si>
    <t>ACN1-74-R05-BO</t>
  </si>
  <si>
    <t>ACN1-74-V12-CR</t>
  </si>
  <si>
    <t>ACN1-74-V13-CR</t>
  </si>
  <si>
    <t>ACN1-74-R06-BO</t>
  </si>
  <si>
    <t>ACN1-74-V14-CR</t>
  </si>
  <si>
    <t>ACN1-74-V15-CR</t>
  </si>
  <si>
    <t>ACN1-74-R07-BO</t>
  </si>
  <si>
    <t>ACN1-75-V00-CR</t>
  </si>
  <si>
    <t>ACN1-75-V01-CR</t>
  </si>
  <si>
    <t>ACN1-75-R00-BO</t>
  </si>
  <si>
    <t>ACN1-75-V02-CR</t>
  </si>
  <si>
    <t>ACN1-75-V03-CR</t>
  </si>
  <si>
    <t>ACN1-75-R01-BO</t>
  </si>
  <si>
    <t>ACN1-75-V04-CR</t>
  </si>
  <si>
    <t>ACN1-75-V05-CR</t>
  </si>
  <si>
    <t>ACN1-75-R02-BO</t>
  </si>
  <si>
    <t>ACN1-75-V06-CR</t>
  </si>
  <si>
    <t>ACN1-75-V07-CR</t>
  </si>
  <si>
    <t>ACN1-75-R03-BO</t>
  </si>
  <si>
    <t>ACN1-75-V08-CR</t>
  </si>
  <si>
    <t>ACN1-75-V09-CR</t>
  </si>
  <si>
    <t>ACN1-75-R04-BO</t>
  </si>
  <si>
    <t>ACN1-75-V10-CR</t>
  </si>
  <si>
    <t>ACN1-75-V11-CR</t>
  </si>
  <si>
    <t>ACN1-75-R05-BO</t>
  </si>
  <si>
    <t>ACN1-75-V12-CR</t>
  </si>
  <si>
    <t>ACN1-75-V13-CR</t>
  </si>
  <si>
    <t>ACN1-75-R06-BO</t>
  </si>
  <si>
    <t>ACN1-75-V14-CR</t>
  </si>
  <si>
    <t>ACN1-75-V15-CR</t>
  </si>
  <si>
    <t>ACN1-75-R07-BO</t>
  </si>
  <si>
    <t>ACN1-76-V00-CR</t>
  </si>
  <si>
    <t>ACN1-76-V01-CR</t>
  </si>
  <si>
    <t>ACN1-76-R00-BO</t>
  </si>
  <si>
    <t>ACN1-76-V02-CR</t>
  </si>
  <si>
    <t>ACN1-76-V03-CR</t>
  </si>
  <si>
    <t>ACN1-76-R01-BO</t>
  </si>
  <si>
    <t>ACN1-76-V04-CR</t>
  </si>
  <si>
    <t>ACN1-76-V05-CR</t>
  </si>
  <si>
    <t>ACN1-76-R02-BO</t>
  </si>
  <si>
    <t>ACN1-76-V06-CR</t>
  </si>
  <si>
    <t>ACN1-76-V07-CR</t>
  </si>
  <si>
    <t>ACN1-76-R03-BO</t>
  </si>
  <si>
    <t>ACN1-76-V08-CR</t>
  </si>
  <si>
    <t>ACN1-76-V09-CR</t>
  </si>
  <si>
    <t>ACN1-76-R04-BO</t>
  </si>
  <si>
    <t>ACN1-76-V10-CR</t>
  </si>
  <si>
    <t>ACN1-76-V11-CR</t>
  </si>
  <si>
    <t>ACN1-76-R05-BO</t>
  </si>
  <si>
    <t>ACN1-76-V12-CR</t>
  </si>
  <si>
    <t>ACN1-76-V13-CR</t>
  </si>
  <si>
    <t>ACN1-76-R06-BO</t>
  </si>
  <si>
    <t>ACN1-76-V14-CR</t>
  </si>
  <si>
    <t>ACN1-76-V15-CR</t>
  </si>
  <si>
    <t>ACN1-76-R07-BO</t>
  </si>
  <si>
    <t>ACN1-77-V00-CR</t>
  </si>
  <si>
    <t>ACN1-77-V01-CR</t>
  </si>
  <si>
    <t>ACN1-77-R00-BO</t>
  </si>
  <si>
    <t>ACN1-77-V02-CR</t>
  </si>
  <si>
    <t>ACN1-77-V03-CR</t>
  </si>
  <si>
    <t>ACN1-77-R01-BO</t>
  </si>
  <si>
    <t>ACN1-77-V04-CR</t>
  </si>
  <si>
    <t>ACN1-77-V05-CR</t>
  </si>
  <si>
    <t>ACN1-77-R02-BO</t>
  </si>
  <si>
    <t>ACN1-77-V06-CR</t>
  </si>
  <si>
    <t>ACN1-77-V07-CR</t>
  </si>
  <si>
    <t>ACN1-77-R03-BO</t>
  </si>
  <si>
    <t>ACN1-77-V08-CR</t>
  </si>
  <si>
    <t>ACN1-77-V09-CR</t>
  </si>
  <si>
    <t>ACN1-77-R04-BO</t>
  </si>
  <si>
    <t>ACN1-77-V10-CR</t>
  </si>
  <si>
    <t>ACN1-77-V11-CR</t>
  </si>
  <si>
    <t>ACN1-77-R05-BO</t>
  </si>
  <si>
    <t>ACN1-77-V12-CR</t>
  </si>
  <si>
    <t>ACN1-77-V13-CR</t>
  </si>
  <si>
    <t>ACN1-77-R06-BO</t>
  </si>
  <si>
    <t>ACN1-77-V14-CR</t>
  </si>
  <si>
    <t>ACN1-77-V15-CR</t>
  </si>
  <si>
    <t>ACN1-77-R07-BO</t>
  </si>
  <si>
    <t>ACN1-78-V00-CR</t>
  </si>
  <si>
    <t>ACN1-78-V01-CR</t>
  </si>
  <si>
    <t>ACN1-78-R00-BO</t>
  </si>
  <si>
    <t>ACN1-78-V02-CR</t>
  </si>
  <si>
    <t>ACN1-78-V03-CR</t>
  </si>
  <si>
    <t>ACN1-78-R01-BO</t>
  </si>
  <si>
    <t>ACN1-78-V04-CR</t>
  </si>
  <si>
    <t>ACN1-78-V05-CR</t>
  </si>
  <si>
    <t>ACN1-78-R02-BO</t>
  </si>
  <si>
    <t>ACN1-78-V06-CR</t>
  </si>
  <si>
    <t>ACN1-78-V07-CR</t>
  </si>
  <si>
    <t>ACN1-78-R03-BO</t>
  </si>
  <si>
    <t>ACN1-78-V08-CR</t>
  </si>
  <si>
    <t>ACN1-78-V09-CR</t>
  </si>
  <si>
    <t>ACN1-78-R04-BO</t>
  </si>
  <si>
    <t>ACN1-78-V10-CR</t>
  </si>
  <si>
    <t>ACN1-78-V11-CR</t>
  </si>
  <si>
    <t>ACN1-78-R05-BO</t>
  </si>
  <si>
    <t>ACN1-78-V12-CR</t>
  </si>
  <si>
    <t>ACN1-78-V13-CR</t>
  </si>
  <si>
    <t>ACN1-78-R06-BO</t>
  </si>
  <si>
    <t>ACN1-78-V14-CR</t>
  </si>
  <si>
    <t>ACN1-78-V15-CR</t>
  </si>
  <si>
    <t>ACN1-78-R07-BO</t>
  </si>
  <si>
    <t>ACN1-79-V00-CR</t>
  </si>
  <si>
    <t>ACN1-79-V01-CR</t>
  </si>
  <si>
    <t>ACN1-79-R00-BO</t>
  </si>
  <si>
    <t>ACN1-79-V02-CR</t>
  </si>
  <si>
    <t>ACN1-79-V03-CR</t>
  </si>
  <si>
    <t>ACN1-79-R01-BO</t>
  </si>
  <si>
    <t>ACN1-79-V04-CR</t>
  </si>
  <si>
    <t>ACN1-79-V05-CR</t>
  </si>
  <si>
    <t>ACN1-79-R02-BO</t>
  </si>
  <si>
    <t>ACN1-79-V06-CR</t>
  </si>
  <si>
    <t>ACN1-79-V07-CR</t>
  </si>
  <si>
    <t>ACN1-79-R03-BO</t>
  </si>
  <si>
    <t>ACN1-79-V08-CR</t>
  </si>
  <si>
    <t>ACN1-79-V09-CR</t>
  </si>
  <si>
    <t>ACN1-79-R04-BO</t>
  </si>
  <si>
    <t>ACN1-79-V10-CR</t>
  </si>
  <si>
    <t>ACN1-79-V11-CR</t>
  </si>
  <si>
    <t>ACN1-79-R05-BO</t>
  </si>
  <si>
    <t>ACN1-79-V12-CR</t>
  </si>
  <si>
    <t>ACN1-79-V13-CR</t>
  </si>
  <si>
    <t>ACN1-79-R06-BO</t>
  </si>
  <si>
    <t>ACN1-79-V14-CR</t>
  </si>
  <si>
    <t>ACN1-79-V15-CR</t>
  </si>
  <si>
    <t>ACN1-79-R07-BO</t>
  </si>
  <si>
    <t>ACN1-80-V00-CR</t>
  </si>
  <si>
    <t>ACN1-80-V01-CR</t>
  </si>
  <si>
    <t>ACN1-80-R00-BO</t>
  </si>
  <si>
    <t>ACN1-80-V02-CR</t>
  </si>
  <si>
    <t>ACN1-80-V03-CR</t>
  </si>
  <si>
    <t>ACN1-80-R01-BO</t>
  </si>
  <si>
    <t>ACN1-80-V04-CR</t>
  </si>
  <si>
    <t>ACN1-80-V05-CR</t>
  </si>
  <si>
    <t>ACN1-80-R02-BO</t>
  </si>
  <si>
    <t>ACN1-80-V06-CR</t>
  </si>
  <si>
    <t>ACN1-80-V07-CR</t>
  </si>
  <si>
    <t>ACN1-80-R03-BO</t>
  </si>
  <si>
    <t>ACN1-80-V08-CR</t>
  </si>
  <si>
    <t>ACN1-80-V09-CR</t>
  </si>
  <si>
    <t>ACN1-80-R04-BO</t>
  </si>
  <si>
    <t>ACN1-80-V10-CR</t>
  </si>
  <si>
    <t>ACN1-80-V11-CR</t>
  </si>
  <si>
    <t>ACN1-80-R05-BO</t>
  </si>
  <si>
    <t>ACN1-80-V12-CR</t>
  </si>
  <si>
    <t>ACN1-80-V13-CR</t>
  </si>
  <si>
    <t>ACN1-80-R06-BO</t>
  </si>
  <si>
    <t>ACN1-80-V14-CR</t>
  </si>
  <si>
    <t>ACN1-80-V15-CR</t>
  </si>
  <si>
    <t>ACN1-80-R07-BO</t>
  </si>
  <si>
    <t>ACN1-81-V00-CR</t>
  </si>
  <si>
    <t>ACN1-81-V01-CR</t>
  </si>
  <si>
    <t>ACN1-81-R00-BO</t>
  </si>
  <si>
    <t>ACN1-81-V02-CR</t>
  </si>
  <si>
    <t>ACN1-81-V03-CR</t>
  </si>
  <si>
    <t>ACN1-81-R01-BO</t>
  </si>
  <si>
    <t>ACN1-81-V04-CR</t>
  </si>
  <si>
    <t>ACN1-81-V05-CR</t>
  </si>
  <si>
    <t>ACN1-81-R02-BO</t>
  </si>
  <si>
    <t>ACN1-81-V06-CR</t>
  </si>
  <si>
    <t>ACN1-81-V07-CR</t>
  </si>
  <si>
    <t>ACN1-81-R03-BO</t>
  </si>
  <si>
    <t>ACN1-81-V08-CR</t>
  </si>
  <si>
    <t>ACN1-81-V09-CR</t>
  </si>
  <si>
    <t>ACN1-81-R04-BO</t>
  </si>
  <si>
    <t>ACN1-81-V10-CR</t>
  </si>
  <si>
    <t>ACN1-81-V11-CR</t>
  </si>
  <si>
    <t>ACN1-81-R05-BO</t>
  </si>
  <si>
    <t>ACN1-81-V12-CR</t>
  </si>
  <si>
    <t>ACN1-81-V13-CR</t>
  </si>
  <si>
    <t>ACN1-81-R06-BO</t>
  </si>
  <si>
    <t>ACN1-81-V14-CR</t>
  </si>
  <si>
    <t>ACN1-81-V15-CR</t>
  </si>
  <si>
    <t>ACN1-81-R07-BO</t>
  </si>
  <si>
    <t>ACN1-82-V00-CR</t>
  </si>
  <si>
    <t>ACN1-82-V01-CR</t>
  </si>
  <si>
    <t>ACN1-82-R00-BO</t>
  </si>
  <si>
    <t>ACN1-82-V02-CR</t>
  </si>
  <si>
    <t>ACN1-82-V03-CR</t>
  </si>
  <si>
    <t>ACN1-82-R01-BO</t>
  </si>
  <si>
    <t>ACN1-82-V04-CR</t>
  </si>
  <si>
    <t>ACN1-82-V05-CR</t>
  </si>
  <si>
    <t>ACN1-82-R02-BO</t>
  </si>
  <si>
    <t>ACN1-82-V06-CR</t>
  </si>
  <si>
    <t>ACN1-82-V07-CR</t>
  </si>
  <si>
    <t>ACN1-82-R03-BO</t>
  </si>
  <si>
    <t>ACN1-82-V08-CR</t>
  </si>
  <si>
    <t>ACN1-82-V09-CR</t>
  </si>
  <si>
    <t>ACN1-82-R04-BO</t>
  </si>
  <si>
    <t>ACN1-82-V10-CR</t>
  </si>
  <si>
    <t>ACN1-82-V11-CR</t>
  </si>
  <si>
    <t>ACN1-82-R05-BO</t>
  </si>
  <si>
    <t>ACN1-82-V12-CR</t>
  </si>
  <si>
    <t>ACN1-82-V13-CR</t>
  </si>
  <si>
    <t>ACN1-82-R06-BO</t>
  </si>
  <si>
    <t>ACN1-82-V14-CR</t>
  </si>
  <si>
    <t>ACN1-82-V15-CR</t>
  </si>
  <si>
    <t>ACN1-82-R07-BO</t>
  </si>
  <si>
    <t>ACN1-83-V00-CR</t>
  </si>
  <si>
    <t>ACN1-83-V01-CR</t>
  </si>
  <si>
    <t>ACN1-83-R00-BO</t>
  </si>
  <si>
    <t>ACN1-83-V02-CR</t>
  </si>
  <si>
    <t>ACN1-83-V03-CR</t>
  </si>
  <si>
    <t>ACN1-83-R01-BO</t>
  </si>
  <si>
    <t>ACN1-83-V04-CR</t>
  </si>
  <si>
    <t>ACN1-83-V05-CR</t>
  </si>
  <si>
    <t>ACN1-83-R02-BO</t>
  </si>
  <si>
    <t>ACN1-83-V06-CR</t>
  </si>
  <si>
    <t>ACN1-83-V07-CR</t>
  </si>
  <si>
    <t>ACN1-83-R03-BO</t>
  </si>
  <si>
    <t>ACN1-83-V08-CR</t>
  </si>
  <si>
    <t>ACN1-83-V09-CR</t>
  </si>
  <si>
    <t>ACN1-83-R04-BO</t>
  </si>
  <si>
    <t>ACN1-83-V10-CR</t>
  </si>
  <si>
    <t>ACN1-83-V11-CR</t>
  </si>
  <si>
    <t>ACN1-83-R05-BO</t>
  </si>
  <si>
    <t>ACN1-83-V12-CR</t>
  </si>
  <si>
    <t>ACN1-83-V13-CR</t>
  </si>
  <si>
    <t>ACN1-83-R06-BO</t>
  </si>
  <si>
    <t>ACN1-83-V14-CR</t>
  </si>
  <si>
    <t>ACN1-83-V15-CR</t>
  </si>
  <si>
    <t>ACN1-83-R07-BO</t>
  </si>
  <si>
    <t>ACN1-84-V00-CR</t>
  </si>
  <si>
    <t>ACN1-84-V01-CR</t>
  </si>
  <si>
    <t>ACN1-84-R00-BO</t>
  </si>
  <si>
    <t>ACN1-84-V02-CR</t>
  </si>
  <si>
    <t>ACN1-84-V03-CR</t>
  </si>
  <si>
    <t>ACN1-84-R01-BO</t>
  </si>
  <si>
    <t>ACN1-84-V04-CR</t>
  </si>
  <si>
    <t>ACN1-84-V05-CR</t>
  </si>
  <si>
    <t>ACN1-84-R02-BO</t>
  </si>
  <si>
    <t>ACN1-84-V06-CR</t>
  </si>
  <si>
    <t>ACN1-84-V07-CR</t>
  </si>
  <si>
    <t>ACN1-84-R03-BO</t>
  </si>
  <si>
    <t>ACN1-84-V08-CR</t>
  </si>
  <si>
    <t>ACN1-84-V09-CR</t>
  </si>
  <si>
    <t>ACN1-84-R04-BO</t>
  </si>
  <si>
    <t>ACN1-84-V10-CR</t>
  </si>
  <si>
    <t>ACN1-84-V11-CR</t>
  </si>
  <si>
    <t>ACN1-84-R05-BO</t>
  </si>
  <si>
    <t>ACN1-84-V12-CR</t>
  </si>
  <si>
    <t>ACN1-84-V13-CR</t>
  </si>
  <si>
    <t>ACN1-84-R06-BO</t>
  </si>
  <si>
    <t>ACN1-84-V14-CR</t>
  </si>
  <si>
    <t>ACN1-84-V15-CR</t>
  </si>
  <si>
    <t>ACN1-84-R07-BO</t>
  </si>
  <si>
    <t>ACN1-STS-NT</t>
  </si>
  <si>
    <t>source</t>
  </si>
  <si>
    <t>RAW VITAL</t>
  </si>
  <si>
    <t>FILTERED VITAL</t>
  </si>
  <si>
    <t>RAW NON-VITAL</t>
  </si>
  <si>
    <t>ACDS-00-R02-SL</t>
  </si>
  <si>
    <t>ACDS-00-V04-DS</t>
  </si>
  <si>
    <t>ACDS-00-V05-DS</t>
  </si>
  <si>
    <t>ACDS-00-R03-SL</t>
  </si>
  <si>
    <t>ACDS-00-V06-DS</t>
  </si>
  <si>
    <t>ACDS-00-V07-DS</t>
  </si>
  <si>
    <t>ACDS-00-R04-SL</t>
  </si>
  <si>
    <t>ACDS-00-V08-DS</t>
  </si>
  <si>
    <t>ACDS-00-V09-DS</t>
  </si>
  <si>
    <t>ACDS-00-R05-SL</t>
  </si>
  <si>
    <t>ACDS-00-V10-DS</t>
  </si>
  <si>
    <t>ACDS-00-V11-DS</t>
  </si>
  <si>
    <t>ACDS-00-R06-SL</t>
  </si>
  <si>
    <t>ACDS-00-V12-DS</t>
  </si>
  <si>
    <t>ACDS-00-V13-DS</t>
  </si>
  <si>
    <t>ACDS-00-R07-SL</t>
  </si>
  <si>
    <t>ACDS-00-V14-DS</t>
  </si>
  <si>
    <t>ACDS-00-V15-DS</t>
  </si>
  <si>
    <t>ACDS-01-R02-SL</t>
  </si>
  <si>
    <t>ACDS-01-V04-DS</t>
  </si>
  <si>
    <t>ACDS-01-V05-DS</t>
  </si>
  <si>
    <t>ACDS-01-R03-SL</t>
  </si>
  <si>
    <t>ACDS-01-V06-DS</t>
  </si>
  <si>
    <t>ACDS-01-V07-DS</t>
  </si>
  <si>
    <t>ACDS-01-R04-SL</t>
  </si>
  <si>
    <t>ACDS-01-V08-DS</t>
  </si>
  <si>
    <t>ACDS-01-V09-DS</t>
  </si>
  <si>
    <t>ACDS-01-R05-SL</t>
  </si>
  <si>
    <t>ACDS-01-V10-DS</t>
  </si>
  <si>
    <t>ACDS-01-V11-DS</t>
  </si>
  <si>
    <t>ACDS-01-R06-SL</t>
  </si>
  <si>
    <t>ACDS-01-V12-DS</t>
  </si>
  <si>
    <t>ACDS-01-V13-DS</t>
  </si>
  <si>
    <t>ACDS-01-R07-SL</t>
  </si>
  <si>
    <t>ACDS-01-V14-DS</t>
  </si>
  <si>
    <t>ACDS-01-V15-DS</t>
  </si>
  <si>
    <t>ACDS-02-R02-SL</t>
  </si>
  <si>
    <t>ACDS-02-V04-DS</t>
  </si>
  <si>
    <t>ACDS-02-V05-DS</t>
  </si>
  <si>
    <t>ACDS-02-R03-SL</t>
  </si>
  <si>
    <t>ACDS-02-V06-DS</t>
  </si>
  <si>
    <t>ACDS-02-V07-DS</t>
  </si>
  <si>
    <t>ACDS-02-R04-SL</t>
  </si>
  <si>
    <t>ACDS-02-V08-DS</t>
  </si>
  <si>
    <t>ACDS-02-V09-DS</t>
  </si>
  <si>
    <t>ACDS-02-R05-SL</t>
  </si>
  <si>
    <t>ACDS-02-V10-DS</t>
  </si>
  <si>
    <t>ACDS-02-V11-DS</t>
  </si>
  <si>
    <t>ACDS-02-R06-SL</t>
  </si>
  <si>
    <t>ACDS-02-V12-DS</t>
  </si>
  <si>
    <t>ACDS-02-V13-DS</t>
  </si>
  <si>
    <t>ACDS-02-R07-SL</t>
  </si>
  <si>
    <t>ACDS-02-V14-DS</t>
  </si>
  <si>
    <t>ACDS-02-V15-DS</t>
  </si>
  <si>
    <t>ACDS-03-R02-SL</t>
  </si>
  <si>
    <t>ACDS-03-V04-DS</t>
  </si>
  <si>
    <t>ACDS-03-V05-DS</t>
  </si>
  <si>
    <t>ACDS-03-R03-SL</t>
  </si>
  <si>
    <t>ACDS-03-V06-DS</t>
  </si>
  <si>
    <t>ACDS-03-V07-DS</t>
  </si>
  <si>
    <t>ACDS-03-R04-SL</t>
  </si>
  <si>
    <t>ACDS-03-V08-DS</t>
  </si>
  <si>
    <t>ACDS-03-V09-DS</t>
  </si>
  <si>
    <t>ACDS-03-R05-SL</t>
  </si>
  <si>
    <t>ACDS-03-V10-DS</t>
  </si>
  <si>
    <t>ACDS-03-V11-DS</t>
  </si>
  <si>
    <t>ACDS-03-R06-SL</t>
  </si>
  <si>
    <t>ACDS-03-V12-DS</t>
  </si>
  <si>
    <t>ACDS-03-V13-DS</t>
  </si>
  <si>
    <t>ACDS-03-R07-SL</t>
  </si>
  <si>
    <t>ACDS-03-V14-DS</t>
  </si>
  <si>
    <t>ACDS-03-V15-DS</t>
  </si>
  <si>
    <t>ACDS-04-R02-SL</t>
  </si>
  <si>
    <t>ACDS-04-V04-DS</t>
  </si>
  <si>
    <t>ACDS-04-V05-DS</t>
  </si>
  <si>
    <t>ACDS-04-R03-SL</t>
  </si>
  <si>
    <t>ACDS-04-V06-DS</t>
  </si>
  <si>
    <t>ACDS-04-V07-DS</t>
  </si>
  <si>
    <t>ACDS-04-R04-SL</t>
  </si>
  <si>
    <t>ACDS-04-V08-DS</t>
  </si>
  <si>
    <t>ACDS-04-V09-DS</t>
  </si>
  <si>
    <t>ACDS-04-R05-SL</t>
  </si>
  <si>
    <t>ACDS-04-V10-DS</t>
  </si>
  <si>
    <t>ACDS-04-V11-DS</t>
  </si>
  <si>
    <t>ACDS-04-R06-SL</t>
  </si>
  <si>
    <t>ACDS-04-V12-DS</t>
  </si>
  <si>
    <t>ACDS-04-V13-DS</t>
  </si>
  <si>
    <t>ACDS-04-R07-SL</t>
  </si>
  <si>
    <t>ACDS-04-V14-DS</t>
  </si>
  <si>
    <t>ACDS-04-V15-DS</t>
  </si>
  <si>
    <t>ACDS-05-R02-SL</t>
  </si>
  <si>
    <t>ACDS-05-V04-DS</t>
  </si>
  <si>
    <t>ACDS-05-V05-DS</t>
  </si>
  <si>
    <t>ACDS-05-R03-SL</t>
  </si>
  <si>
    <t>ACDS-05-V06-DS</t>
  </si>
  <si>
    <t>ACDS-05-V07-DS</t>
  </si>
  <si>
    <t>ACDS-05-R04-SL</t>
  </si>
  <si>
    <t>ACDS-05-V08-DS</t>
  </si>
  <si>
    <t>ACDS-05-V09-DS</t>
  </si>
  <si>
    <t>ACDS-05-R05-SL</t>
  </si>
  <si>
    <t>ACDS-05-V10-DS</t>
  </si>
  <si>
    <t>ACDS-05-V11-DS</t>
  </si>
  <si>
    <t>ACDS-05-R06-SL</t>
  </si>
  <si>
    <t>ACDS-05-V12-DS</t>
  </si>
  <si>
    <t>ACDS-05-V13-DS</t>
  </si>
  <si>
    <t>ACDS-05-R07-SL</t>
  </si>
  <si>
    <t>ACDS-05-V14-DS</t>
  </si>
  <si>
    <t>ACDS-05-V15-DS</t>
  </si>
  <si>
    <t>ACDS-06-R02-SL</t>
  </si>
  <si>
    <t>ACDS-06-V04-DS</t>
  </si>
  <si>
    <t>ACDS-06-V05-DS</t>
  </si>
  <si>
    <t>ACDS-06-R03-SL</t>
  </si>
  <si>
    <t>ACDS-06-V06-DS</t>
  </si>
  <si>
    <t>ACDS-06-V07-DS</t>
  </si>
  <si>
    <t>ACDS-06-R04-SL</t>
  </si>
  <si>
    <t>ACDS-06-V08-DS</t>
  </si>
  <si>
    <t>ACDS-06-V09-DS</t>
  </si>
  <si>
    <t>ACDS-06-R05-SL</t>
  </si>
  <si>
    <t>ACDS-06-V10-DS</t>
  </si>
  <si>
    <t>ACDS-06-V11-DS</t>
  </si>
  <si>
    <t>ACDS-06-R06-SL</t>
  </si>
  <si>
    <t>ACDS-06-V12-DS</t>
  </si>
  <si>
    <t>ACDS-06-V13-DS</t>
  </si>
  <si>
    <t>ACDS-06-R07-SL</t>
  </si>
  <si>
    <t>ACDS-06-V14-DS</t>
  </si>
  <si>
    <t>ACDS-06-V15-DS</t>
  </si>
  <si>
    <t>ACDS-07-R02-SL</t>
  </si>
  <si>
    <t>ACDS-07-V04-DS</t>
  </si>
  <si>
    <t>ACDS-07-V05-DS</t>
  </si>
  <si>
    <t>ACDS-07-R03-SL</t>
  </si>
  <si>
    <t>ACDS-07-V06-DS</t>
  </si>
  <si>
    <t>ACDS-07-V07-DS</t>
  </si>
  <si>
    <t>ACDS-07-R04-SL</t>
  </si>
  <si>
    <t>ACDS-07-V08-DS</t>
  </si>
  <si>
    <t>ACDS-07-V09-DS</t>
  </si>
  <si>
    <t>ACDS-07-R05-SL</t>
  </si>
  <si>
    <t>ACDS-07-V10-DS</t>
  </si>
  <si>
    <t>ACDS-07-V11-DS</t>
  </si>
  <si>
    <t>ACDS-07-R06-SL</t>
  </si>
  <si>
    <t>ACDS-07-V12-DS</t>
  </si>
  <si>
    <t>ACDS-07-V13-DS</t>
  </si>
  <si>
    <t>ACDS-07-R07-SL</t>
  </si>
  <si>
    <t>ACDS-07-V14-DS</t>
  </si>
  <si>
    <t>ACDS-07-V15-DS</t>
  </si>
  <si>
    <t>ACDS-08-R02-SL</t>
  </si>
  <si>
    <t>ACDS-08-V04-DS</t>
  </si>
  <si>
    <t>ACDS-08-V05-DS</t>
  </si>
  <si>
    <t>ACDS-08-R03-SL</t>
  </si>
  <si>
    <t>ACDS-08-V06-DS</t>
  </si>
  <si>
    <t>ACDS-08-V07-DS</t>
  </si>
  <si>
    <t>ACDS-08-R04-SL</t>
  </si>
  <si>
    <t>ACDS-08-V08-DS</t>
  </si>
  <si>
    <t>ACDS-08-V09-DS</t>
  </si>
  <si>
    <t>ACDS-08-R05-SL</t>
  </si>
  <si>
    <t>ACDS-08-V10-DS</t>
  </si>
  <si>
    <t>ACDS-08-V11-DS</t>
  </si>
  <si>
    <t>ACDS-08-R06-SL</t>
  </si>
  <si>
    <t>ACDS-08-V12-DS</t>
  </si>
  <si>
    <t>ACDS-08-V13-DS</t>
  </si>
  <si>
    <t>ACDS-08-R07-SL</t>
  </si>
  <si>
    <t>ACDS-08-V14-DS</t>
  </si>
  <si>
    <t>ACDS-08-V15-DS</t>
  </si>
  <si>
    <t>ACDS-09-R02-SL</t>
  </si>
  <si>
    <t>ACDS-09-V04-DS</t>
  </si>
  <si>
    <t>ACDS-09-V05-DS</t>
  </si>
  <si>
    <t>ACDS-09-R03-SL</t>
  </si>
  <si>
    <t>ACDS-09-V06-DS</t>
  </si>
  <si>
    <t>ACDS-09-V07-DS</t>
  </si>
  <si>
    <t>ACDS-09-R04-SL</t>
  </si>
  <si>
    <t>ACDS-09-V08-DS</t>
  </si>
  <si>
    <t>ACDS-09-V09-DS</t>
  </si>
  <si>
    <t>ACDS-09-R05-SL</t>
  </si>
  <si>
    <t>ACDS-09-V10-DS</t>
  </si>
  <si>
    <t>ACDS-09-V11-DS</t>
  </si>
  <si>
    <t>ACDS-09-R06-SL</t>
  </si>
  <si>
    <t>ACDS-09-V12-DS</t>
  </si>
  <si>
    <t>ACDS-09-V13-DS</t>
  </si>
  <si>
    <t>ACDS-09-R07-SL</t>
  </si>
  <si>
    <t>ACDS-09-V14-DS</t>
  </si>
  <si>
    <t>ACDS-09-V15-DS</t>
  </si>
  <si>
    <t>ACDS-10-R02-SL</t>
  </si>
  <si>
    <t>ACDS-10-V04-DS</t>
  </si>
  <si>
    <t>ACDS-10-V05-DS</t>
  </si>
  <si>
    <t>ACDS-10-R03-SL</t>
  </si>
  <si>
    <t>ACDS-10-V06-DS</t>
  </si>
  <si>
    <t>ACDS-10-V07-DS</t>
  </si>
  <si>
    <t>ACDS-10-R04-SL</t>
  </si>
  <si>
    <t>ACDS-10-V08-DS</t>
  </si>
  <si>
    <t>ACDS-10-V09-DS</t>
  </si>
  <si>
    <t>ACDS-10-R05-SL</t>
  </si>
  <si>
    <t>ACDS-10-V10-DS</t>
  </si>
  <si>
    <t>ACDS-10-V11-DS</t>
  </si>
  <si>
    <t>ACDS-10-R06-SL</t>
  </si>
  <si>
    <t>ACDS-10-V12-DS</t>
  </si>
  <si>
    <t>ACDS-10-V13-DS</t>
  </si>
  <si>
    <t>ACDS-10-R07-SL</t>
  </si>
  <si>
    <t>ACDS-10-V14-DS</t>
  </si>
  <si>
    <t>ACDS-10-V15-DS</t>
  </si>
  <si>
    <t>ACDS-11-R02-SL</t>
  </si>
  <si>
    <t>ACDS-11-V04-DS</t>
  </si>
  <si>
    <t>ACDS-11-V05-DS</t>
  </si>
  <si>
    <t>ACDS-11-R03-SL</t>
  </si>
  <si>
    <t>ACDS-11-V06-DS</t>
  </si>
  <si>
    <t>ACDS-11-V07-DS</t>
  </si>
  <si>
    <t>ACDS-11-R04-SL</t>
  </si>
  <si>
    <t>ACDS-11-V08-DS</t>
  </si>
  <si>
    <t>ACDS-11-V09-DS</t>
  </si>
  <si>
    <t>ACDS-11-R05-SL</t>
  </si>
  <si>
    <t>ACDS-11-V10-DS</t>
  </si>
  <si>
    <t>ACDS-11-V11-DS</t>
  </si>
  <si>
    <t>ACDS-11-R06-SL</t>
  </si>
  <si>
    <t>ACDS-11-V12-DS</t>
  </si>
  <si>
    <t>ACDS-11-V13-DS</t>
  </si>
  <si>
    <t>ACDS-11-R07-SL</t>
  </si>
  <si>
    <t>ACDS-11-V14-DS</t>
  </si>
  <si>
    <t>ACDS-11-V15-DS</t>
  </si>
  <si>
    <t>ACDS-12-R02-SL</t>
  </si>
  <si>
    <t>ACDS-12-V04-DS</t>
  </si>
  <si>
    <t>ACDS-12-V05-DS</t>
  </si>
  <si>
    <t>ACDS-12-R03-SL</t>
  </si>
  <si>
    <t>ACDS-12-V06-DS</t>
  </si>
  <si>
    <t>ACDS-12-V07-DS</t>
  </si>
  <si>
    <t>ACDS-12-R04-SL</t>
  </si>
  <si>
    <t>ACDS-12-V08-DS</t>
  </si>
  <si>
    <t>ACDS-12-V09-DS</t>
  </si>
  <si>
    <t>ACDS-12-R05-SL</t>
  </si>
  <si>
    <t>ACDS-12-V10-DS</t>
  </si>
  <si>
    <t>ACDS-12-V11-DS</t>
  </si>
  <si>
    <t>ACDS-12-R06-SL</t>
  </si>
  <si>
    <t>ACDS-12-V12-DS</t>
  </si>
  <si>
    <t>ACDS-12-V13-DS</t>
  </si>
  <si>
    <t>ACDS-12-R07-SL</t>
  </si>
  <si>
    <t>ACDS-12-V14-DS</t>
  </si>
  <si>
    <t>ACDS-12-V15-DS</t>
  </si>
  <si>
    <t>ACDS-13-R02-SL</t>
  </si>
  <si>
    <t>ACDS-13-V04-DS</t>
  </si>
  <si>
    <t>ACDS-13-V05-DS</t>
  </si>
  <si>
    <t>ACDS-13-R03-SL</t>
  </si>
  <si>
    <t>ACDS-13-V06-DS</t>
  </si>
  <si>
    <t>ACDS-13-V07-DS</t>
  </si>
  <si>
    <t>ACDS-13-R04-SL</t>
  </si>
  <si>
    <t>ACDS-13-V08-DS</t>
  </si>
  <si>
    <t>ACDS-13-V09-DS</t>
  </si>
  <si>
    <t>ACDS-13-R05-SL</t>
  </si>
  <si>
    <t>ACDS-13-V10-DS</t>
  </si>
  <si>
    <t>ACDS-13-V11-DS</t>
  </si>
  <si>
    <t>ACDS-13-R06-SL</t>
  </si>
  <si>
    <t>ACDS-13-V12-DS</t>
  </si>
  <si>
    <t>ACDS-13-V13-DS</t>
  </si>
  <si>
    <t>ACDS-13-R07-SL</t>
  </si>
  <si>
    <t>ACDS-13-V14-DS</t>
  </si>
  <si>
    <t>ACDS-13-V15-DS</t>
  </si>
  <si>
    <t>ACDS-14-R02-SL</t>
  </si>
  <si>
    <t>ACDS-14-V04-DS</t>
  </si>
  <si>
    <t>ACDS-14-V05-DS</t>
  </si>
  <si>
    <t>ACDS-14-R03-SL</t>
  </si>
  <si>
    <t>ACDS-14-V06-DS</t>
  </si>
  <si>
    <t>ACDS-14-V07-DS</t>
  </si>
  <si>
    <t>ACDS-14-R04-SL</t>
  </si>
  <si>
    <t>ACDS-14-V08-DS</t>
  </si>
  <si>
    <t>ACDS-14-V09-DS</t>
  </si>
  <si>
    <t>ACDS-14-R05-SL</t>
  </si>
  <si>
    <t>ACDS-14-V10-DS</t>
  </si>
  <si>
    <t>ACDS-14-V11-DS</t>
  </si>
  <si>
    <t>ACDS-14-R06-SL</t>
  </si>
  <si>
    <t>ACDS-14-V12-DS</t>
  </si>
  <si>
    <t>ACDS-14-V13-DS</t>
  </si>
  <si>
    <t>ACDS-14-R07-SL</t>
  </si>
  <si>
    <t>ACDS-14-V14-DS</t>
  </si>
  <si>
    <t>ACDS-14-V15-DS</t>
  </si>
  <si>
    <t>ACDS-15-R02-SL</t>
  </si>
  <si>
    <t>ACDS-15-V04-DS</t>
  </si>
  <si>
    <t>ACDS-15-V05-DS</t>
  </si>
  <si>
    <t>ACDS-15-R03-SL</t>
  </si>
  <si>
    <t>ACDS-15-V06-DS</t>
  </si>
  <si>
    <t>ACDS-15-V07-DS</t>
  </si>
  <si>
    <t>ACDS-15-R04-SL</t>
  </si>
  <si>
    <t>ACDS-15-V08-DS</t>
  </si>
  <si>
    <t>ACDS-15-V09-DS</t>
  </si>
  <si>
    <t>ACDS-15-R05-SL</t>
  </si>
  <si>
    <t>ACDS-15-V10-DS</t>
  </si>
  <si>
    <t>ACDS-15-V11-DS</t>
  </si>
  <si>
    <t>ACDS-15-R06-SL</t>
  </si>
  <si>
    <t>ACDS-15-V12-DS</t>
  </si>
  <si>
    <t>ACDS-15-V13-DS</t>
  </si>
  <si>
    <t>ACDS-15-R07-SL</t>
  </si>
  <si>
    <t>ACDS-15-V14-DS</t>
  </si>
  <si>
    <t>ACDS-15-V15-DS</t>
  </si>
  <si>
    <t>ACDS-16-R02-SL</t>
  </si>
  <si>
    <t>ACDS-16-V04-DS</t>
  </si>
  <si>
    <t>ACDS-16-V05-DS</t>
  </si>
  <si>
    <t>ACDS-16-R03-SL</t>
  </si>
  <si>
    <t>ACDS-16-V06-DS</t>
  </si>
  <si>
    <t>ACDS-16-V07-DS</t>
  </si>
  <si>
    <t>ACDS-16-R04-SL</t>
  </si>
  <si>
    <t>ACDS-16-V08-DS</t>
  </si>
  <si>
    <t>ACDS-16-V09-DS</t>
  </si>
  <si>
    <t>ACDS-16-R05-SL</t>
  </si>
  <si>
    <t>ACDS-16-V10-DS</t>
  </si>
  <si>
    <t>ACDS-16-V11-DS</t>
  </si>
  <si>
    <t>ACDS-16-R06-SL</t>
  </si>
  <si>
    <t>ACDS-16-V12-DS</t>
  </si>
  <si>
    <t>ACDS-16-V13-DS</t>
  </si>
  <si>
    <t>ACDS-16-R07-SL</t>
  </si>
  <si>
    <t>ACDS-16-V14-DS</t>
  </si>
  <si>
    <t>ACDS-16-V15-DS</t>
  </si>
  <si>
    <t>ACDS-17-R02-SL</t>
  </si>
  <si>
    <t>ACDS-17-V04-DS</t>
  </si>
  <si>
    <t>ACDS-17-V05-DS</t>
  </si>
  <si>
    <t>ACDS-17-R03-SL</t>
  </si>
  <si>
    <t>ACDS-17-V06-DS</t>
  </si>
  <si>
    <t>ACDS-17-V07-DS</t>
  </si>
  <si>
    <t>ACDS-17-R04-SL</t>
  </si>
  <si>
    <t>ACDS-17-V08-DS</t>
  </si>
  <si>
    <t>ACDS-17-V09-DS</t>
  </si>
  <si>
    <t>ACDS-17-R05-SL</t>
  </si>
  <si>
    <t>ACDS-17-V10-DS</t>
  </si>
  <si>
    <t>ACDS-17-V11-DS</t>
  </si>
  <si>
    <t>ACDS-17-R06-SL</t>
  </si>
  <si>
    <t>ACDS-17-V12-DS</t>
  </si>
  <si>
    <t>ACDS-17-V13-DS</t>
  </si>
  <si>
    <t>ACDS-17-R07-SL</t>
  </si>
  <si>
    <t>ACDS-17-V14-DS</t>
  </si>
  <si>
    <t>ACDS-17-V15-DS</t>
  </si>
  <si>
    <t>ACDS-18-R02-SL</t>
  </si>
  <si>
    <t>ACDS-18-V04-DS</t>
  </si>
  <si>
    <t>ACDS-18-V05-DS</t>
  </si>
  <si>
    <t>ACDS-18-R03-SL</t>
  </si>
  <si>
    <t>ACDS-18-V06-DS</t>
  </si>
  <si>
    <t>ACDS-18-V07-DS</t>
  </si>
  <si>
    <t>ACDS-18-R04-SL</t>
  </si>
  <si>
    <t>ACDS-18-V08-DS</t>
  </si>
  <si>
    <t>ACDS-18-V09-DS</t>
  </si>
  <si>
    <t>ACDS-18-R05-SL</t>
  </si>
  <si>
    <t>ACDS-18-V10-DS</t>
  </si>
  <si>
    <t>ACDS-18-V11-DS</t>
  </si>
  <si>
    <t>ACDS-18-R06-SL</t>
  </si>
  <si>
    <t>ACDS-18-V12-DS</t>
  </si>
  <si>
    <t>ACDS-18-V13-DS</t>
  </si>
  <si>
    <t>ACDS-18-R07-SL</t>
  </si>
  <si>
    <t>ACDS-18-V14-DS</t>
  </si>
  <si>
    <t>ACDS-18-V15-DS</t>
  </si>
  <si>
    <t>ACDS-19-R02-SL</t>
  </si>
  <si>
    <t>ACDS-19-V04-DS</t>
  </si>
  <si>
    <t>ACDS-19-V05-DS</t>
  </si>
  <si>
    <t>ACDS-19-R03-SL</t>
  </si>
  <si>
    <t>ACDS-19-V06-DS</t>
  </si>
  <si>
    <t>ACDS-19-V07-DS</t>
  </si>
  <si>
    <t>ACDS-19-R04-SL</t>
  </si>
  <si>
    <t>ACDS-19-V08-DS</t>
  </si>
  <si>
    <t>ACDS-19-V09-DS</t>
  </si>
  <si>
    <t>ACDS-19-R05-SL</t>
  </si>
  <si>
    <t>ACDS-19-V10-DS</t>
  </si>
  <si>
    <t>ACDS-19-V11-DS</t>
  </si>
  <si>
    <t>ACDS-19-R06-SL</t>
  </si>
  <si>
    <t>ACDS-19-V12-DS</t>
  </si>
  <si>
    <t>ACDS-19-V13-DS</t>
  </si>
  <si>
    <t>ACDS-19-R07-SL</t>
  </si>
  <si>
    <t>ACDS-19-V14-DS</t>
  </si>
  <si>
    <t>ACDS-19-V15-DS</t>
  </si>
  <si>
    <t>ACDS-20-R02-SL</t>
  </si>
  <si>
    <t>ACDS-20-V04-DS</t>
  </si>
  <si>
    <t>ACDS-20-V05-DS</t>
  </si>
  <si>
    <t>ACDS-20-R03-SL</t>
  </si>
  <si>
    <t>ACDS-20-V06-DS</t>
  </si>
  <si>
    <t>ACDS-20-V07-DS</t>
  </si>
  <si>
    <t>ACDS-20-R04-SL</t>
  </si>
  <si>
    <t>ACDS-20-V08-DS</t>
  </si>
  <si>
    <t>ACDS-20-V09-DS</t>
  </si>
  <si>
    <t>ACDS-20-R05-SL</t>
  </si>
  <si>
    <t>ACDS-20-V10-DS</t>
  </si>
  <si>
    <t>ACDS-20-V11-DS</t>
  </si>
  <si>
    <t>ACDS-20-R06-SL</t>
  </si>
  <si>
    <t>ACDS-20-V12-DS</t>
  </si>
  <si>
    <t>ACDS-20-V13-DS</t>
  </si>
  <si>
    <t>ACDS-20-R07-SL</t>
  </si>
  <si>
    <t>ACDS-20-V14-DS</t>
  </si>
  <si>
    <t>ACDS-20-V15-DS</t>
  </si>
  <si>
    <t>ACDS-21-R02-SL</t>
  </si>
  <si>
    <t>ACDS-21-V04-DS</t>
  </si>
  <si>
    <t>ACDS-21-V05-DS</t>
  </si>
  <si>
    <t>ACDS-21-R03-SL</t>
  </si>
  <si>
    <t>ACDS-21-V06-DS</t>
  </si>
  <si>
    <t>ACDS-21-V07-DS</t>
  </si>
  <si>
    <t>ACDS-21-R04-SL</t>
  </si>
  <si>
    <t>ACDS-21-V08-DS</t>
  </si>
  <si>
    <t>ACDS-21-V09-DS</t>
  </si>
  <si>
    <t>ACDS-21-R05-SL</t>
  </si>
  <si>
    <t>ACDS-21-V10-DS</t>
  </si>
  <si>
    <t>ACDS-21-V11-DS</t>
  </si>
  <si>
    <t>ACDS-21-R06-SL</t>
  </si>
  <si>
    <t>ACDS-21-V12-DS</t>
  </si>
  <si>
    <t>ACDS-21-V13-DS</t>
  </si>
  <si>
    <t>ACDS-21-R07-SL</t>
  </si>
  <si>
    <t>ACDS-21-V14-DS</t>
  </si>
  <si>
    <t>ACDS-21-V15-DS</t>
  </si>
  <si>
    <t>ACDS-22-R02-SL</t>
  </si>
  <si>
    <t>ACDS-22-V04-DS</t>
  </si>
  <si>
    <t>ACDS-22-V05-DS</t>
  </si>
  <si>
    <t>ACDS-22-R03-SL</t>
  </si>
  <si>
    <t>ACDS-22-V06-DS</t>
  </si>
  <si>
    <t>ACDS-22-V07-DS</t>
  </si>
  <si>
    <t>ACDS-22-R04-SL</t>
  </si>
  <si>
    <t>ACDS-22-V08-DS</t>
  </si>
  <si>
    <t>ACDS-22-V09-DS</t>
  </si>
  <si>
    <t>ACDS-22-R05-SL</t>
  </si>
  <si>
    <t>ACDS-22-V10-DS</t>
  </si>
  <si>
    <t>ACDS-22-V11-DS</t>
  </si>
  <si>
    <t>ACDS-22-R06-SL</t>
  </si>
  <si>
    <t>ACDS-22-V12-DS</t>
  </si>
  <si>
    <t>ACDS-22-V13-DS</t>
  </si>
  <si>
    <t>ACDS-22-R07-SL</t>
  </si>
  <si>
    <t>ACDS-22-V14-DS</t>
  </si>
  <si>
    <t>ACDS-22-V15-DS</t>
  </si>
  <si>
    <t>ACDS-23-R02-SL</t>
  </si>
  <si>
    <t>ACDS-23-V04-DS</t>
  </si>
  <si>
    <t>ACDS-23-V05-DS</t>
  </si>
  <si>
    <t>ACDS-23-R03-SL</t>
  </si>
  <si>
    <t>ACDS-23-V06-DS</t>
  </si>
  <si>
    <t>ACDS-23-V07-DS</t>
  </si>
  <si>
    <t>ACDS-23-R04-SL</t>
  </si>
  <si>
    <t>ACDS-23-V08-DS</t>
  </si>
  <si>
    <t>ACDS-23-V09-DS</t>
  </si>
  <si>
    <t>ACDS-23-R05-SL</t>
  </si>
  <si>
    <t>ACDS-23-V10-DS</t>
  </si>
  <si>
    <t>ACDS-23-V11-DS</t>
  </si>
  <si>
    <t>ACDS-23-R06-SL</t>
  </si>
  <si>
    <t>ACDS-23-V12-DS</t>
  </si>
  <si>
    <t>ACDS-23-V13-DS</t>
  </si>
  <si>
    <t>ACDS-23-R07-SL</t>
  </si>
  <si>
    <t>ACDS-23-V14-DS</t>
  </si>
  <si>
    <t>ACDS-23-V15-DS</t>
  </si>
  <si>
    <t>ACDS-24-R02-SL</t>
  </si>
  <si>
    <t>ACDS-24-V04-DS</t>
  </si>
  <si>
    <t>ACDS-24-V05-DS</t>
  </si>
  <si>
    <t>ACDS-24-R03-SL</t>
  </si>
  <si>
    <t>ACDS-24-V06-DS</t>
  </si>
  <si>
    <t>ACDS-24-V07-DS</t>
  </si>
  <si>
    <t>ACDS-24-R04-SL</t>
  </si>
  <si>
    <t>ACDS-24-V08-DS</t>
  </si>
  <si>
    <t>ACDS-24-V09-DS</t>
  </si>
  <si>
    <t>ACDS-24-R05-SL</t>
  </si>
  <si>
    <t>ACDS-24-V10-DS</t>
  </si>
  <si>
    <t>ACDS-24-V11-DS</t>
  </si>
  <si>
    <t>ACDS-24-R06-SL</t>
  </si>
  <si>
    <t>ACDS-24-V12-DS</t>
  </si>
  <si>
    <t>ACDS-24-V13-DS</t>
  </si>
  <si>
    <t>ACDS-24-R07-SL</t>
  </si>
  <si>
    <t>ACDS-24-V14-DS</t>
  </si>
  <si>
    <t>ACDS-24-V15-DS</t>
  </si>
  <si>
    <t>ACDS-25-R02-SL</t>
  </si>
  <si>
    <t>ACDS-25-V04-DS</t>
  </si>
  <si>
    <t>ACDS-25-V05-DS</t>
  </si>
  <si>
    <t>ACDS-25-R03-SL</t>
  </si>
  <si>
    <t>ACDS-25-V06-DS</t>
  </si>
  <si>
    <t>ACDS-25-V07-DS</t>
  </si>
  <si>
    <t>ACDS-25-R04-SL</t>
  </si>
  <si>
    <t>ACDS-25-V08-DS</t>
  </si>
  <si>
    <t>ACDS-25-V09-DS</t>
  </si>
  <si>
    <t>ACDS-25-R05-SL</t>
  </si>
  <si>
    <t>ACDS-25-V10-DS</t>
  </si>
  <si>
    <t>ACDS-25-V11-DS</t>
  </si>
  <si>
    <t>ACDS-25-R06-SL</t>
  </si>
  <si>
    <t>ACDS-25-V12-DS</t>
  </si>
  <si>
    <t>ACDS-25-V13-DS</t>
  </si>
  <si>
    <t>ACDS-25-R07-SL</t>
  </si>
  <si>
    <t>ACDS-25-V14-DS</t>
  </si>
  <si>
    <t>ACDS-25-V15-DS</t>
  </si>
  <si>
    <t>ACDS-26-R02-SL</t>
  </si>
  <si>
    <t>ACDS-26-V04-DS</t>
  </si>
  <si>
    <t>ACDS-26-V05-DS</t>
  </si>
  <si>
    <t>ACDS-26-R03-SL</t>
  </si>
  <si>
    <t>ACDS-26-V06-DS</t>
  </si>
  <si>
    <t>ACDS-26-V07-DS</t>
  </si>
  <si>
    <t>ACDS-26-R04-SL</t>
  </si>
  <si>
    <t>ACDS-26-V08-DS</t>
  </si>
  <si>
    <t>ACDS-26-V09-DS</t>
  </si>
  <si>
    <t>ACDS-26-R05-SL</t>
  </si>
  <si>
    <t>ACDS-26-V10-DS</t>
  </si>
  <si>
    <t>ACDS-26-V11-DS</t>
  </si>
  <si>
    <t>ACDS-26-R06-SL</t>
  </si>
  <si>
    <t>ACDS-26-V12-DS</t>
  </si>
  <si>
    <t>ACDS-26-V13-DS</t>
  </si>
  <si>
    <t>ACDS-26-R07-SL</t>
  </si>
  <si>
    <t>ACDS-26-V14-DS</t>
  </si>
  <si>
    <t>ACDS-26-V15-DS</t>
  </si>
  <si>
    <t>ACDS-27-R02-SL</t>
  </si>
  <si>
    <t>ACDS-27-V04-DS</t>
  </si>
  <si>
    <t>ACDS-27-V05-DS</t>
  </si>
  <si>
    <t>ACDS-27-R03-SL</t>
  </si>
  <si>
    <t>ACDS-27-V06-DS</t>
  </si>
  <si>
    <t>ACDS-27-V07-DS</t>
  </si>
  <si>
    <t>ACDS-27-R04-SL</t>
  </si>
  <si>
    <t>ACDS-27-V08-DS</t>
  </si>
  <si>
    <t>ACDS-27-V09-DS</t>
  </si>
  <si>
    <t>ACDS-27-R05-SL</t>
  </si>
  <si>
    <t>ACDS-27-V10-DS</t>
  </si>
  <si>
    <t>ACDS-27-V11-DS</t>
  </si>
  <si>
    <t>ACDS-27-R06-SL</t>
  </si>
  <si>
    <t>ACDS-27-V12-DS</t>
  </si>
  <si>
    <t>ACDS-27-V13-DS</t>
  </si>
  <si>
    <t>ACDS-27-R07-SL</t>
  </si>
  <si>
    <t>ACDS-27-V14-DS</t>
  </si>
  <si>
    <t>ACDS-27-V15-DS</t>
  </si>
  <si>
    <t>ACDS-28-R02-SL</t>
  </si>
  <si>
    <t>ACDS-28-V04-DS</t>
  </si>
  <si>
    <t>ACDS-28-V05-DS</t>
  </si>
  <si>
    <t>ACDS-28-R03-SL</t>
  </si>
  <si>
    <t>ACDS-28-V06-DS</t>
  </si>
  <si>
    <t>ACDS-28-V07-DS</t>
  </si>
  <si>
    <t>ACDS-28-R04-SL</t>
  </si>
  <si>
    <t>ACDS-28-V08-DS</t>
  </si>
  <si>
    <t>ACDS-28-V09-DS</t>
  </si>
  <si>
    <t>ACDS-28-R05-SL</t>
  </si>
  <si>
    <t>ACDS-28-V10-DS</t>
  </si>
  <si>
    <t>ACDS-28-V11-DS</t>
  </si>
  <si>
    <t>ACDS-28-R06-SL</t>
  </si>
  <si>
    <t>ACDS-28-V12-DS</t>
  </si>
  <si>
    <t>ACDS-28-V13-DS</t>
  </si>
  <si>
    <t>ACDS-28-R07-SL</t>
  </si>
  <si>
    <t>ACDS-28-V14-DS</t>
  </si>
  <si>
    <t>ACDS-28-V15-DS</t>
  </si>
  <si>
    <t>ACDS-29-R02-SL</t>
  </si>
  <si>
    <t>ACDS-29-V04-DS</t>
  </si>
  <si>
    <t>ACDS-29-V05-DS</t>
  </si>
  <si>
    <t>ACDS-29-R03-SL</t>
  </si>
  <si>
    <t>ACDS-29-V06-DS</t>
  </si>
  <si>
    <t>ACDS-29-V07-DS</t>
  </si>
  <si>
    <t>ACDS-29-R04-SL</t>
  </si>
  <si>
    <t>ACDS-29-V08-DS</t>
  </si>
  <si>
    <t>ACDS-29-V09-DS</t>
  </si>
  <si>
    <t>ACDS-29-R05-SL</t>
  </si>
  <si>
    <t>ACDS-29-V10-DS</t>
  </si>
  <si>
    <t>ACDS-29-V11-DS</t>
  </si>
  <si>
    <t>ACDS-29-R06-SL</t>
  </si>
  <si>
    <t>ACDS-29-V12-DS</t>
  </si>
  <si>
    <t>ACDS-29-V13-DS</t>
  </si>
  <si>
    <t>ACDS-29-R07-SL</t>
  </si>
  <si>
    <t>ACDS-29-V14-DS</t>
  </si>
  <si>
    <t>ACDS-29-V15-DS</t>
  </si>
  <si>
    <t>ACDS-30-R02-SL</t>
  </si>
  <si>
    <t>ACDS-30-V04-DS</t>
  </si>
  <si>
    <t>ACDS-30-V05-DS</t>
  </si>
  <si>
    <t>ACDS-30-R03-SL</t>
  </si>
  <si>
    <t>ACDS-30-V06-DS</t>
  </si>
  <si>
    <t>ACDS-30-V07-DS</t>
  </si>
  <si>
    <t>ACDS-30-R04-SL</t>
  </si>
  <si>
    <t>ACDS-30-V08-DS</t>
  </si>
  <si>
    <t>ACDS-30-V09-DS</t>
  </si>
  <si>
    <t>ACDS-30-R05-SL</t>
  </si>
  <si>
    <t>ACDS-30-V10-DS</t>
  </si>
  <si>
    <t>ACDS-30-V11-DS</t>
  </si>
  <si>
    <t>ACDS-30-R06-SL</t>
  </si>
  <si>
    <t>ACDS-30-V12-DS</t>
  </si>
  <si>
    <t>ACDS-30-V13-DS</t>
  </si>
  <si>
    <t>ACDS-30-R07-SL</t>
  </si>
  <si>
    <t>ACDS-30-V14-DS</t>
  </si>
  <si>
    <t>ACDS-30-V15-DS</t>
  </si>
  <si>
    <t>ACDS-31-R02-SL</t>
  </si>
  <si>
    <t>ACDS-31-V04-DS</t>
  </si>
  <si>
    <t>ACDS-31-V05-DS</t>
  </si>
  <si>
    <t>ACDS-31-R03-SL</t>
  </si>
  <si>
    <t>ACDS-31-V06-DS</t>
  </si>
  <si>
    <t>ACDS-31-V07-DS</t>
  </si>
  <si>
    <t>ACDS-31-R04-SL</t>
  </si>
  <si>
    <t>ACDS-31-V08-DS</t>
  </si>
  <si>
    <t>ACDS-31-V09-DS</t>
  </si>
  <si>
    <t>ACDS-31-R05-SL</t>
  </si>
  <si>
    <t>ACDS-31-V10-DS</t>
  </si>
  <si>
    <t>ACDS-31-V11-DS</t>
  </si>
  <si>
    <t>ACDS-31-R06-SL</t>
  </si>
  <si>
    <t>ACDS-31-V12-DS</t>
  </si>
  <si>
    <t>ACDS-31-V13-DS</t>
  </si>
  <si>
    <t>ACDS-31-R07-SL</t>
  </si>
  <si>
    <t>ACDS-31-V14-DS</t>
  </si>
  <si>
    <t>ACDS-31-V15-DS</t>
  </si>
  <si>
    <t>ACDS-32-R02-SL</t>
  </si>
  <si>
    <t>ACDS-32-V04-DS</t>
  </si>
  <si>
    <t>ACDS-32-V05-DS</t>
  </si>
  <si>
    <t>ACDS-32-R03-SL</t>
  </si>
  <si>
    <t>ACDS-32-V06-DS</t>
  </si>
  <si>
    <t>ACDS-32-V07-DS</t>
  </si>
  <si>
    <t>ACDS-32-R04-SL</t>
  </si>
  <si>
    <t>ACDS-32-V08-DS</t>
  </si>
  <si>
    <t>ACDS-32-V09-DS</t>
  </si>
  <si>
    <t>ACDS-32-R05-SL</t>
  </si>
  <si>
    <t>ACDS-32-V10-DS</t>
  </si>
  <si>
    <t>ACDS-32-V11-DS</t>
  </si>
  <si>
    <t>ACDS-32-R06-SL</t>
  </si>
  <si>
    <t>ACDS-32-V12-DS</t>
  </si>
  <si>
    <t>ACDS-32-V13-DS</t>
  </si>
  <si>
    <t>ACDS-32-R07-SL</t>
  </si>
  <si>
    <t>ACDS-32-V14-DS</t>
  </si>
  <si>
    <t>ACDS-32-V15-DS</t>
  </si>
  <si>
    <t>ACDS-33-R02-SL</t>
  </si>
  <si>
    <t>ACDS-33-V04-DS</t>
  </si>
  <si>
    <t>ACDS-33-V05-DS</t>
  </si>
  <si>
    <t>ACDS-33-R03-SL</t>
  </si>
  <si>
    <t>ACDS-33-V06-DS</t>
  </si>
  <si>
    <t>ACDS-33-V07-DS</t>
  </si>
  <si>
    <t>ACDS-33-R04-SL</t>
  </si>
  <si>
    <t>ACDS-33-V08-DS</t>
  </si>
  <si>
    <t>ACDS-33-V09-DS</t>
  </si>
  <si>
    <t>ACDS-33-R05-SL</t>
  </si>
  <si>
    <t>ACDS-33-V10-DS</t>
  </si>
  <si>
    <t>ACDS-33-V11-DS</t>
  </si>
  <si>
    <t>ACDS-33-R06-SL</t>
  </si>
  <si>
    <t>ACDS-33-V12-DS</t>
  </si>
  <si>
    <t>ACDS-33-V13-DS</t>
  </si>
  <si>
    <t>ACDS-33-R07-SL</t>
  </si>
  <si>
    <t>ACDS-33-V14-DS</t>
  </si>
  <si>
    <t>ACDS-33-V15-DS</t>
  </si>
  <si>
    <t>ACDS-34-R02-SL</t>
  </si>
  <si>
    <t>ACDS-34-V04-DS</t>
  </si>
  <si>
    <t>ACDS-34-V05-DS</t>
  </si>
  <si>
    <t>ACDS-34-R03-SL</t>
  </si>
  <si>
    <t>ACDS-34-V06-DS</t>
  </si>
  <si>
    <t>ACDS-34-V07-DS</t>
  </si>
  <si>
    <t>ACDS-34-R04-SL</t>
  </si>
  <si>
    <t>ACDS-34-V08-DS</t>
  </si>
  <si>
    <t>ACDS-34-V09-DS</t>
  </si>
  <si>
    <t>ACDS-34-R05-SL</t>
  </si>
  <si>
    <t>ACDS-34-V10-DS</t>
  </si>
  <si>
    <t>ACDS-34-V11-DS</t>
  </si>
  <si>
    <t>ACDS-34-R06-SL</t>
  </si>
  <si>
    <t>ACDS-34-V12-DS</t>
  </si>
  <si>
    <t>ACDS-34-V13-DS</t>
  </si>
  <si>
    <t>ACDS-34-R07-SL</t>
  </si>
  <si>
    <t>ACDS-34-V14-DS</t>
  </si>
  <si>
    <t>ACDS-34-V15-DS</t>
  </si>
  <si>
    <t>ACDS-35-R02-SL</t>
  </si>
  <si>
    <t>ACDS-35-V04-DS</t>
  </si>
  <si>
    <t>ACDS-35-V05-DS</t>
  </si>
  <si>
    <t>ACDS-35-R03-SL</t>
  </si>
  <si>
    <t>ACDS-35-V06-DS</t>
  </si>
  <si>
    <t>ACDS-35-V07-DS</t>
  </si>
  <si>
    <t>ACDS-35-R04-SL</t>
  </si>
  <si>
    <t>ACDS-35-V08-DS</t>
  </si>
  <si>
    <t>ACDS-35-V09-DS</t>
  </si>
  <si>
    <t>ACDS-35-R05-SL</t>
  </si>
  <si>
    <t>ACDS-35-V10-DS</t>
  </si>
  <si>
    <t>ACDS-35-V11-DS</t>
  </si>
  <si>
    <t>ACDS-35-R06-SL</t>
  </si>
  <si>
    <t>ACDS-35-V12-DS</t>
  </si>
  <si>
    <t>ACDS-35-V13-DS</t>
  </si>
  <si>
    <t>ACDS-35-R07-SL</t>
  </si>
  <si>
    <t>ACDS-35-V14-DS</t>
  </si>
  <si>
    <t>ACDS-35-V15-DS</t>
  </si>
  <si>
    <t>ACDS-36-R02-SL</t>
  </si>
  <si>
    <t>ACDS-36-V04-DS</t>
  </si>
  <si>
    <t>ACDS-36-V05-DS</t>
  </si>
  <si>
    <t>ACDS-36-R03-SL</t>
  </si>
  <si>
    <t>ACDS-36-V06-DS</t>
  </si>
  <si>
    <t>ACDS-36-V07-DS</t>
  </si>
  <si>
    <t>ACDS-36-R04-SL</t>
  </si>
  <si>
    <t>ACDS-36-V08-DS</t>
  </si>
  <si>
    <t>ACDS-36-V09-DS</t>
  </si>
  <si>
    <t>ACDS-36-R05-SL</t>
  </si>
  <si>
    <t>ACDS-36-V10-DS</t>
  </si>
  <si>
    <t>ACDS-36-V11-DS</t>
  </si>
  <si>
    <t>ACDS-36-R06-SL</t>
  </si>
  <si>
    <t>ACDS-36-V12-DS</t>
  </si>
  <si>
    <t>ACDS-36-V13-DS</t>
  </si>
  <si>
    <t>ACDS-36-R07-SL</t>
  </si>
  <si>
    <t>ACDS-36-V14-DS</t>
  </si>
  <si>
    <t>ACDS-36-V15-DS</t>
  </si>
  <si>
    <t>ACDS-37-R02-SL</t>
  </si>
  <si>
    <t>ACDS-37-V04-DS</t>
  </si>
  <si>
    <t>ACDS-37-V05-DS</t>
  </si>
  <si>
    <t>ACDS-37-R03-SL</t>
  </si>
  <si>
    <t>ACDS-37-V06-DS</t>
  </si>
  <si>
    <t>ACDS-37-V07-DS</t>
  </si>
  <si>
    <t>ACDS-37-R04-SL</t>
  </si>
  <si>
    <t>ACDS-37-V08-DS</t>
  </si>
  <si>
    <t>ACDS-37-V09-DS</t>
  </si>
  <si>
    <t>ACDS-37-R05-SL</t>
  </si>
  <si>
    <t>ACDS-37-V10-DS</t>
  </si>
  <si>
    <t>ACDS-37-V11-DS</t>
  </si>
  <si>
    <t>ACDS-37-R06-SL</t>
  </si>
  <si>
    <t>ACDS-37-V12-DS</t>
  </si>
  <si>
    <t>ACDS-37-V13-DS</t>
  </si>
  <si>
    <t>ACDS-37-R07-SL</t>
  </si>
  <si>
    <t>ACDS-37-V14-DS</t>
  </si>
  <si>
    <t>ACDS-37-V15-DS</t>
  </si>
  <si>
    <t>ACDS-38-R02-SL</t>
  </si>
  <si>
    <t>ACDS-38-V04-DS</t>
  </si>
  <si>
    <t>ACDS-38-V05-DS</t>
  </si>
  <si>
    <t>ACDS-38-R03-SL</t>
  </si>
  <si>
    <t>ACDS-38-V06-DS</t>
  </si>
  <si>
    <t>ACDS-38-V07-DS</t>
  </si>
  <si>
    <t>ACDS-38-R04-SL</t>
  </si>
  <si>
    <t>ACDS-38-V08-DS</t>
  </si>
  <si>
    <t>ACDS-38-V09-DS</t>
  </si>
  <si>
    <t>ACDS-38-R05-SL</t>
  </si>
  <si>
    <t>ACDS-38-V10-DS</t>
  </si>
  <si>
    <t>ACDS-38-V11-DS</t>
  </si>
  <si>
    <t>ACDS-38-R06-SL</t>
  </si>
  <si>
    <t>ACDS-38-V12-DS</t>
  </si>
  <si>
    <t>ACDS-38-V13-DS</t>
  </si>
  <si>
    <t>ACDS-38-R07-SL</t>
  </si>
  <si>
    <t>ACDS-38-V14-DS</t>
  </si>
  <si>
    <t>ACDS-38-V15-DS</t>
  </si>
  <si>
    <t>ACDS-39-R02-SL</t>
  </si>
  <si>
    <t>ACDS-39-V04-DS</t>
  </si>
  <si>
    <t>ACDS-39-V05-DS</t>
  </si>
  <si>
    <t>ACDS-39-R03-SL</t>
  </si>
  <si>
    <t>ACDS-39-V06-DS</t>
  </si>
  <si>
    <t>ACDS-39-V07-DS</t>
  </si>
  <si>
    <t>ACDS-39-R04-SL</t>
  </si>
  <si>
    <t>ACDS-39-V08-DS</t>
  </si>
  <si>
    <t>ACDS-39-V09-DS</t>
  </si>
  <si>
    <t>ACDS-39-R05-SL</t>
  </si>
  <si>
    <t>ACDS-39-V10-DS</t>
  </si>
  <si>
    <t>ACDS-39-V11-DS</t>
  </si>
  <si>
    <t>ACDS-39-R06-SL</t>
  </si>
  <si>
    <t>ACDS-39-V12-DS</t>
  </si>
  <si>
    <t>ACDS-39-V13-DS</t>
  </si>
  <si>
    <t>ACDS-39-R07-SL</t>
  </si>
  <si>
    <t>ACDS-39-V14-DS</t>
  </si>
  <si>
    <t>ACDS-39-V15-DS</t>
  </si>
  <si>
    <t>ACDS-40-R02-SL</t>
  </si>
  <si>
    <t>ACDS-40-V04-DS</t>
  </si>
  <si>
    <t>ACDS-40-V05-DS</t>
  </si>
  <si>
    <t>ACDS-40-R03-SL</t>
  </si>
  <si>
    <t>ACDS-40-V06-DS</t>
  </si>
  <si>
    <t>ACDS-40-V07-DS</t>
  </si>
  <si>
    <t>ACDS-40-R04-SL</t>
  </si>
  <si>
    <t>ACDS-40-V08-DS</t>
  </si>
  <si>
    <t>ACDS-40-V09-DS</t>
  </si>
  <si>
    <t>ACDS-40-R05-SL</t>
  </si>
  <si>
    <t>ACDS-40-V10-DS</t>
  </si>
  <si>
    <t>ACDS-40-V11-DS</t>
  </si>
  <si>
    <t>ACDS-40-R06-SL</t>
  </si>
  <si>
    <t>ACDS-40-V12-DS</t>
  </si>
  <si>
    <t>ACDS-40-V13-DS</t>
  </si>
  <si>
    <t>ACDS-40-R07-SL</t>
  </si>
  <si>
    <t>ACDS-40-V14-DS</t>
  </si>
  <si>
    <t>ACDS-40-V15-DS</t>
  </si>
  <si>
    <t>ACDS-41-R02-SL</t>
  </si>
  <si>
    <t>ACDS-41-V04-DS</t>
  </si>
  <si>
    <t>ACDS-41-V05-DS</t>
  </si>
  <si>
    <t>ACDS-41-R03-SL</t>
  </si>
  <si>
    <t>ACDS-41-V06-DS</t>
  </si>
  <si>
    <t>ACDS-41-V07-DS</t>
  </si>
  <si>
    <t>ACDS-41-R04-SL</t>
  </si>
  <si>
    <t>ACDS-41-V08-DS</t>
  </si>
  <si>
    <t>ACDS-41-V09-DS</t>
  </si>
  <si>
    <t>ACDS-41-R05-SL</t>
  </si>
  <si>
    <t>ACDS-41-V10-DS</t>
  </si>
  <si>
    <t>ACDS-41-V11-DS</t>
  </si>
  <si>
    <t>ACDS-41-R06-SL</t>
  </si>
  <si>
    <t>ACDS-41-V12-DS</t>
  </si>
  <si>
    <t>ACDS-41-V13-DS</t>
  </si>
  <si>
    <t>ACDS-41-R07-SL</t>
  </si>
  <si>
    <t>ACDS-41-V14-DS</t>
  </si>
  <si>
    <t>ACDS-41-V15-DS</t>
  </si>
  <si>
    <t>ACDS-42-R02-SL</t>
  </si>
  <si>
    <t>ACDS-42-V04-DS</t>
  </si>
  <si>
    <t>ACDS-42-V05-DS</t>
  </si>
  <si>
    <t>ACDS-42-R03-SL</t>
  </si>
  <si>
    <t>ACDS-42-V06-DS</t>
  </si>
  <si>
    <t>ACDS-42-V07-DS</t>
  </si>
  <si>
    <t>ACDS-42-R04-SL</t>
  </si>
  <si>
    <t>ACDS-42-V08-DS</t>
  </si>
  <si>
    <t>ACDS-42-V09-DS</t>
  </si>
  <si>
    <t>ACDS-42-R05-SL</t>
  </si>
  <si>
    <t>ACDS-42-V10-DS</t>
  </si>
  <si>
    <t>ACDS-42-V11-DS</t>
  </si>
  <si>
    <t>ACDS-42-R06-SL</t>
  </si>
  <si>
    <t>ACDS-42-V12-DS</t>
  </si>
  <si>
    <t>ACDS-42-V13-DS</t>
  </si>
  <si>
    <t>ACDS-42-R07-SL</t>
  </si>
  <si>
    <t>ACDS-42-V14-DS</t>
  </si>
  <si>
    <t>ACDS-42-V15-DS</t>
  </si>
  <si>
    <t>ACDS-43-R02-SL</t>
  </si>
  <si>
    <t>ACDS-43-V04-DS</t>
  </si>
  <si>
    <t>ACDS-43-V05-DS</t>
  </si>
  <si>
    <t>ACDS-43-R03-SL</t>
  </si>
  <si>
    <t>ACDS-43-V06-DS</t>
  </si>
  <si>
    <t>ACDS-43-V07-DS</t>
  </si>
  <si>
    <t>ACDS-43-R04-SL</t>
  </si>
  <si>
    <t>ACDS-43-V08-DS</t>
  </si>
  <si>
    <t>ACDS-43-V09-DS</t>
  </si>
  <si>
    <t>ACDS-43-R05-SL</t>
  </si>
  <si>
    <t>ACDS-43-V10-DS</t>
  </si>
  <si>
    <t>ACDS-43-V11-DS</t>
  </si>
  <si>
    <t>ACDS-43-R06-SL</t>
  </si>
  <si>
    <t>ACDS-43-V12-DS</t>
  </si>
  <si>
    <t>ACDS-43-V13-DS</t>
  </si>
  <si>
    <t>ACDS-43-R07-SL</t>
  </si>
  <si>
    <t>ACDS-43-V14-DS</t>
  </si>
  <si>
    <t>ACDS-43-V15-DS</t>
  </si>
  <si>
    <t>ACDS-44-R02-SL</t>
  </si>
  <si>
    <t>ACDS-44-V04-DS</t>
  </si>
  <si>
    <t>ACDS-44-V05-DS</t>
  </si>
  <si>
    <t>ACDS-44-R03-SL</t>
  </si>
  <si>
    <t>ACDS-44-V06-DS</t>
  </si>
  <si>
    <t>ACDS-44-V07-DS</t>
  </si>
  <si>
    <t>ACDS-44-R04-SL</t>
  </si>
  <si>
    <t>ACDS-44-V08-DS</t>
  </si>
  <si>
    <t>ACDS-44-V09-DS</t>
  </si>
  <si>
    <t>ACDS-44-R05-SL</t>
  </si>
  <si>
    <t>ACDS-44-V10-DS</t>
  </si>
  <si>
    <t>ACDS-44-V11-DS</t>
  </si>
  <si>
    <t>ACDS-44-R06-SL</t>
  </si>
  <si>
    <t>ACDS-44-V12-DS</t>
  </si>
  <si>
    <t>ACDS-44-V13-DS</t>
  </si>
  <si>
    <t>ACDS-44-R07-SL</t>
  </si>
  <si>
    <t>ACDS-44-V14-DS</t>
  </si>
  <si>
    <t>ACDS-44-V15-DS</t>
  </si>
  <si>
    <t>ACDS-45-R02-SL</t>
  </si>
  <si>
    <t>ACDS-45-V04-DS</t>
  </si>
  <si>
    <t>ACDS-45-V05-DS</t>
  </si>
  <si>
    <t>ACDS-45-R03-SL</t>
  </si>
  <si>
    <t>ACDS-45-V06-DS</t>
  </si>
  <si>
    <t>ACDS-45-V07-DS</t>
  </si>
  <si>
    <t>ACDS-45-R04-SL</t>
  </si>
  <si>
    <t>ACDS-45-V08-DS</t>
  </si>
  <si>
    <t>ACDS-45-V09-DS</t>
  </si>
  <si>
    <t>ACDS-45-R05-SL</t>
  </si>
  <si>
    <t>ACDS-45-V10-DS</t>
  </si>
  <si>
    <t>ACDS-45-V11-DS</t>
  </si>
  <si>
    <t>ACDS-45-R06-SL</t>
  </si>
  <si>
    <t>ACDS-45-V12-DS</t>
  </si>
  <si>
    <t>ACDS-45-V13-DS</t>
  </si>
  <si>
    <t>ACDS-45-R07-SL</t>
  </si>
  <si>
    <t>ACDS-45-V14-DS</t>
  </si>
  <si>
    <t>ACDS-45-V15-DS</t>
  </si>
  <si>
    <t>ACDS-46-R02-SL</t>
  </si>
  <si>
    <t>ACDS-46-V04-DS</t>
  </si>
  <si>
    <t>ACDS-46-V05-DS</t>
  </si>
  <si>
    <t>ACDS-46-R03-SL</t>
  </si>
  <si>
    <t>ACDS-46-V06-DS</t>
  </si>
  <si>
    <t>ACDS-46-V07-DS</t>
  </si>
  <si>
    <t>ACDS-46-R04-SL</t>
  </si>
  <si>
    <t>ACDS-46-V08-DS</t>
  </si>
  <si>
    <t>ACDS-46-V09-DS</t>
  </si>
  <si>
    <t>ACDS-46-R05-SL</t>
  </si>
  <si>
    <t>ACDS-46-V10-DS</t>
  </si>
  <si>
    <t>ACDS-46-V11-DS</t>
  </si>
  <si>
    <t>ACDS-46-R06-SL</t>
  </si>
  <si>
    <t>ACDS-46-V12-DS</t>
  </si>
  <si>
    <t>ACDS-46-V13-DS</t>
  </si>
  <si>
    <t>ACDS-46-R07-SL</t>
  </si>
  <si>
    <t>ACDS-46-V14-DS</t>
  </si>
  <si>
    <t>ACDS-46-V15-DS</t>
  </si>
  <si>
    <t>ACDS-47-R02-SL</t>
  </si>
  <si>
    <t>ACDS-47-V04-DS</t>
  </si>
  <si>
    <t>ACDS-47-V05-DS</t>
  </si>
  <si>
    <t>ACDS-47-R03-SL</t>
  </si>
  <si>
    <t>ACDS-47-V06-DS</t>
  </si>
  <si>
    <t>ACDS-47-V07-DS</t>
  </si>
  <si>
    <t>ACDS-47-R04-SL</t>
  </si>
  <si>
    <t>ACDS-47-V08-DS</t>
  </si>
  <si>
    <t>ACDS-47-V09-DS</t>
  </si>
  <si>
    <t>ACDS-47-R05-SL</t>
  </si>
  <si>
    <t>ACDS-47-V10-DS</t>
  </si>
  <si>
    <t>ACDS-47-V11-DS</t>
  </si>
  <si>
    <t>ACDS-47-R06-SL</t>
  </si>
  <si>
    <t>ACDS-47-V12-DS</t>
  </si>
  <si>
    <t>ACDS-47-V13-DS</t>
  </si>
  <si>
    <t>ACDS-47-R07-SL</t>
  </si>
  <si>
    <t>ACDS-47-V14-DS</t>
  </si>
  <si>
    <t>ACDS-47-V15-DS</t>
  </si>
  <si>
    <t>ACDS-48-R02-SL</t>
  </si>
  <si>
    <t>ACDS-48-V04-DS</t>
  </si>
  <si>
    <t>ACDS-48-V05-DS</t>
  </si>
  <si>
    <t>ACDS-48-R03-SL</t>
  </si>
  <si>
    <t>ACDS-48-V06-DS</t>
  </si>
  <si>
    <t>ACDS-48-V07-DS</t>
  </si>
  <si>
    <t>ACDS-48-R04-SL</t>
  </si>
  <si>
    <t>ACDS-48-V08-DS</t>
  </si>
  <si>
    <t>ACDS-48-V09-DS</t>
  </si>
  <si>
    <t>ACDS-48-R05-SL</t>
  </si>
  <si>
    <t>ACDS-48-V10-DS</t>
  </si>
  <si>
    <t>ACDS-48-V11-DS</t>
  </si>
  <si>
    <t>ACDS-48-R06-SL</t>
  </si>
  <si>
    <t>ACDS-48-V12-DS</t>
  </si>
  <si>
    <t>ACDS-48-V13-DS</t>
  </si>
  <si>
    <t>ACDS-48-R07-SL</t>
  </si>
  <si>
    <t>ACDS-48-V14-DS</t>
  </si>
  <si>
    <t>ACDS-48-V15-DS</t>
  </si>
  <si>
    <t>ACDS-49-R02-SL</t>
  </si>
  <si>
    <t>ACDS-49-V04-DS</t>
  </si>
  <si>
    <t>ACDS-49-V05-DS</t>
  </si>
  <si>
    <t>ACDS-49-R03-SL</t>
  </si>
  <si>
    <t>ACDS-49-V06-DS</t>
  </si>
  <si>
    <t>ACDS-49-V07-DS</t>
  </si>
  <si>
    <t>ACDS-49-R04-SL</t>
  </si>
  <si>
    <t>ACDS-49-V08-DS</t>
  </si>
  <si>
    <t>ACDS-49-V09-DS</t>
  </si>
  <si>
    <t>ACDS-49-R05-SL</t>
  </si>
  <si>
    <t>ACDS-49-V10-DS</t>
  </si>
  <si>
    <t>ACDS-49-V11-DS</t>
  </si>
  <si>
    <t>ACDS-49-R06-SL</t>
  </si>
  <si>
    <t>ACDS-49-V12-DS</t>
  </si>
  <si>
    <t>ACDS-49-V13-DS</t>
  </si>
  <si>
    <t>ACDS-49-R07-SL</t>
  </si>
  <si>
    <t>ACDS-49-V14-DS</t>
  </si>
  <si>
    <t>ACDS-49-V15-DS</t>
  </si>
  <si>
    <t>ACDS-50-R02-SL</t>
  </si>
  <si>
    <t>ACDS-50-V04-DS</t>
  </si>
  <si>
    <t>ACDS-50-V05-DS</t>
  </si>
  <si>
    <t>ACDS-50-R03-SL</t>
  </si>
  <si>
    <t>ACDS-50-V06-DS</t>
  </si>
  <si>
    <t>ACDS-50-V07-DS</t>
  </si>
  <si>
    <t>ACDS-50-R04-SL</t>
  </si>
  <si>
    <t>ACDS-50-V08-DS</t>
  </si>
  <si>
    <t>ACDS-50-V09-DS</t>
  </si>
  <si>
    <t>ACDS-50-R05-SL</t>
  </si>
  <si>
    <t>ACDS-50-V10-DS</t>
  </si>
  <si>
    <t>ACDS-50-V11-DS</t>
  </si>
  <si>
    <t>ACDS-50-R06-SL</t>
  </si>
  <si>
    <t>ACDS-50-V12-DS</t>
  </si>
  <si>
    <t>ACDS-50-V13-DS</t>
  </si>
  <si>
    <t>ACDS-50-R07-SL</t>
  </si>
  <si>
    <t>ACDS-50-V14-DS</t>
  </si>
  <si>
    <t>ACDS-50-V15-DS</t>
  </si>
  <si>
    <t>ACDS-51-R02-SL</t>
  </si>
  <si>
    <t>ACDS-51-V04-DS</t>
  </si>
  <si>
    <t>ACDS-51-V05-DS</t>
  </si>
  <si>
    <t>ACDS-51-R03-SL</t>
  </si>
  <si>
    <t>ACDS-51-V06-DS</t>
  </si>
  <si>
    <t>ACDS-51-V07-DS</t>
  </si>
  <si>
    <t>ACDS-51-R04-SL</t>
  </si>
  <si>
    <t>ACDS-51-V08-DS</t>
  </si>
  <si>
    <t>ACDS-51-V09-DS</t>
  </si>
  <si>
    <t>ACDS-51-R05-SL</t>
  </si>
  <si>
    <t>ACDS-51-V10-DS</t>
  </si>
  <si>
    <t>ACDS-51-V11-DS</t>
  </si>
  <si>
    <t>ACDS-51-R06-SL</t>
  </si>
  <si>
    <t>ACDS-51-V12-DS</t>
  </si>
  <si>
    <t>ACDS-51-V13-DS</t>
  </si>
  <si>
    <t>ACDS-51-R07-SL</t>
  </si>
  <si>
    <t>ACDS-51-V14-DS</t>
  </si>
  <si>
    <t>ACDS-51-V15-DS</t>
  </si>
  <si>
    <t>ACDS-52-R02-SL</t>
  </si>
  <si>
    <t>ACDS-52-V04-DS</t>
  </si>
  <si>
    <t>ACDS-52-V05-DS</t>
  </si>
  <si>
    <t>ACDS-52-R03-SL</t>
  </si>
  <si>
    <t>ACDS-52-V06-DS</t>
  </si>
  <si>
    <t>ACDS-52-V07-DS</t>
  </si>
  <si>
    <t>ACDS-52-R04-SL</t>
  </si>
  <si>
    <t>ACDS-52-V08-DS</t>
  </si>
  <si>
    <t>ACDS-52-V09-DS</t>
  </si>
  <si>
    <t>ACDS-52-R05-SL</t>
  </si>
  <si>
    <t>ACDS-52-V10-DS</t>
  </si>
  <si>
    <t>ACDS-52-V11-DS</t>
  </si>
  <si>
    <t>ACDS-52-R06-SL</t>
  </si>
  <si>
    <t>ACDS-52-V12-DS</t>
  </si>
  <si>
    <t>ACDS-52-V13-DS</t>
  </si>
  <si>
    <t>ACDS-52-R07-SL</t>
  </si>
  <si>
    <t>ACDS-52-V14-DS</t>
  </si>
  <si>
    <t>ACDS-52-V15-DS</t>
  </si>
  <si>
    <t>ACDS-53-R02-SL</t>
  </si>
  <si>
    <t>ACDS-53-V04-DS</t>
  </si>
  <si>
    <t>ACDS-53-V05-DS</t>
  </si>
  <si>
    <t>ACDS-53-R03-SL</t>
  </si>
  <si>
    <t>ACDS-53-V06-DS</t>
  </si>
  <si>
    <t>ACDS-53-V07-DS</t>
  </si>
  <si>
    <t>ACDS-53-R04-SL</t>
  </si>
  <si>
    <t>ACDS-53-V08-DS</t>
  </si>
  <si>
    <t>ACDS-53-V09-DS</t>
  </si>
  <si>
    <t>ACDS-53-R05-SL</t>
  </si>
  <si>
    <t>ACDS-53-V10-DS</t>
  </si>
  <si>
    <t>ACDS-53-V11-DS</t>
  </si>
  <si>
    <t>ACDS-53-R06-SL</t>
  </si>
  <si>
    <t>ACDS-53-V12-DS</t>
  </si>
  <si>
    <t>ACDS-53-V13-DS</t>
  </si>
  <si>
    <t>ACDS-53-R07-SL</t>
  </si>
  <si>
    <t>ACDS-53-V14-DS</t>
  </si>
  <si>
    <t>ACDS-53-V15-DS</t>
  </si>
  <si>
    <t>ACDS-54-R02-SL</t>
  </si>
  <si>
    <t>ACDS-54-V04-DS</t>
  </si>
  <si>
    <t>ACDS-54-V05-DS</t>
  </si>
  <si>
    <t>ACDS-54-R03-SL</t>
  </si>
  <si>
    <t>ACDS-54-V06-DS</t>
  </si>
  <si>
    <t>ACDS-54-V07-DS</t>
  </si>
  <si>
    <t>ACDS-54-R04-SL</t>
  </si>
  <si>
    <t>ACDS-54-V08-DS</t>
  </si>
  <si>
    <t>ACDS-54-V09-DS</t>
  </si>
  <si>
    <t>ACDS-54-R05-SL</t>
  </si>
  <si>
    <t>ACDS-54-V10-DS</t>
  </si>
  <si>
    <t>ACDS-54-V11-DS</t>
  </si>
  <si>
    <t>ACDS-54-R06-SL</t>
  </si>
  <si>
    <t>ACDS-54-V12-DS</t>
  </si>
  <si>
    <t>ACDS-54-V13-DS</t>
  </si>
  <si>
    <t>ACDS-54-R07-SL</t>
  </si>
  <si>
    <t>ACDS-54-V14-DS</t>
  </si>
  <si>
    <t>ACDS-54-V15-DS</t>
  </si>
  <si>
    <t>ACDS-55-R02-SL</t>
  </si>
  <si>
    <t>ACDS-55-V04-DS</t>
  </si>
  <si>
    <t>ACDS-55-V05-DS</t>
  </si>
  <si>
    <t>ACDS-55-R03-SL</t>
  </si>
  <si>
    <t>ACDS-55-V06-DS</t>
  </si>
  <si>
    <t>ACDS-55-V07-DS</t>
  </si>
  <si>
    <t>ACDS-55-R04-SL</t>
  </si>
  <si>
    <t>ACDS-55-V08-DS</t>
  </si>
  <si>
    <t>ACDS-55-V09-DS</t>
  </si>
  <si>
    <t>ACDS-55-R05-SL</t>
  </si>
  <si>
    <t>ACDS-55-V10-DS</t>
  </si>
  <si>
    <t>ACDS-55-V11-DS</t>
  </si>
  <si>
    <t>ACDS-55-R06-SL</t>
  </si>
  <si>
    <t>ACDS-55-V12-DS</t>
  </si>
  <si>
    <t>ACDS-55-V13-DS</t>
  </si>
  <si>
    <t>ACDS-55-R07-SL</t>
  </si>
  <si>
    <t>ACDS-55-V14-DS</t>
  </si>
  <si>
    <t>ACDS-55-V15-DS</t>
  </si>
  <si>
    <t>ACDS-56-R02-SL</t>
  </si>
  <si>
    <t>ACDS-56-V04-DS</t>
  </si>
  <si>
    <t>ACDS-56-V05-DS</t>
  </si>
  <si>
    <t>ACDS-56-R03-SL</t>
  </si>
  <si>
    <t>ACDS-56-V06-DS</t>
  </si>
  <si>
    <t>ACDS-56-V07-DS</t>
  </si>
  <si>
    <t>ACDS-56-R04-SL</t>
  </si>
  <si>
    <t>ACDS-56-V08-DS</t>
  </si>
  <si>
    <t>ACDS-56-V09-DS</t>
  </si>
  <si>
    <t>ACDS-56-R05-SL</t>
  </si>
  <si>
    <t>ACDS-56-V10-DS</t>
  </si>
  <si>
    <t>ACDS-56-V11-DS</t>
  </si>
  <si>
    <t>ACDS-56-R06-SL</t>
  </si>
  <si>
    <t>ACDS-56-V12-DS</t>
  </si>
  <si>
    <t>ACDS-56-V13-DS</t>
  </si>
  <si>
    <t>ACDS-56-R07-SL</t>
  </si>
  <si>
    <t>ACDS-56-V14-DS</t>
  </si>
  <si>
    <t>ACDS-56-V15-DS</t>
  </si>
  <si>
    <t>ACDS-57-R02-SL</t>
  </si>
  <si>
    <t>ACDS-57-V04-DS</t>
  </si>
  <si>
    <t>ACDS-57-V05-DS</t>
  </si>
  <si>
    <t>ACDS-57-R03-SL</t>
  </si>
  <si>
    <t>ACDS-57-V06-DS</t>
  </si>
  <si>
    <t>ACDS-57-V07-DS</t>
  </si>
  <si>
    <t>ACDS-57-R04-SL</t>
  </si>
  <si>
    <t>ACDS-57-V08-DS</t>
  </si>
  <si>
    <t>ACDS-57-V09-DS</t>
  </si>
  <si>
    <t>ACDS-57-R05-SL</t>
  </si>
  <si>
    <t>ACDS-57-V10-DS</t>
  </si>
  <si>
    <t>ACDS-57-V11-DS</t>
  </si>
  <si>
    <t>ACDS-57-R06-SL</t>
  </si>
  <si>
    <t>ACDS-57-V12-DS</t>
  </si>
  <si>
    <t>ACDS-57-V13-DS</t>
  </si>
  <si>
    <t>ACDS-57-R07-SL</t>
  </si>
  <si>
    <t>ACDS-57-V14-DS</t>
  </si>
  <si>
    <t>ACDS-57-V15-DS</t>
  </si>
  <si>
    <t>ACDS-58-R02-SL</t>
  </si>
  <si>
    <t>ACDS-58-V04-DS</t>
  </si>
  <si>
    <t>ACDS-58-V05-DS</t>
  </si>
  <si>
    <t>ACDS-58-R03-SL</t>
  </si>
  <si>
    <t>ACDS-58-V06-DS</t>
  </si>
  <si>
    <t>ACDS-58-V07-DS</t>
  </si>
  <si>
    <t>ACDS-58-R04-SL</t>
  </si>
  <si>
    <t>ACDS-58-V08-DS</t>
  </si>
  <si>
    <t>ACDS-58-V09-DS</t>
  </si>
  <si>
    <t>ACDS-58-R05-SL</t>
  </si>
  <si>
    <t>ACDS-58-V10-DS</t>
  </si>
  <si>
    <t>ACDS-58-V11-DS</t>
  </si>
  <si>
    <t>ACDS-58-R06-SL</t>
  </si>
  <si>
    <t>ACDS-58-V12-DS</t>
  </si>
  <si>
    <t>ACDS-58-V13-DS</t>
  </si>
  <si>
    <t>ACDS-58-R07-SL</t>
  </si>
  <si>
    <t>ACDS-58-V14-DS</t>
  </si>
  <si>
    <t>ACDS-58-V15-DS</t>
  </si>
  <si>
    <t>ACDS-59-R02-SL</t>
  </si>
  <si>
    <t>ACDS-59-V04-DS</t>
  </si>
  <si>
    <t>ACDS-59-V05-DS</t>
  </si>
  <si>
    <t>ACDS-59-R03-SL</t>
  </si>
  <si>
    <t>ACDS-59-V06-DS</t>
  </si>
  <si>
    <t>ACDS-59-V07-DS</t>
  </si>
  <si>
    <t>ACDS-59-R04-SL</t>
  </si>
  <si>
    <t>ACDS-59-V08-DS</t>
  </si>
  <si>
    <t>ACDS-59-V09-DS</t>
  </si>
  <si>
    <t>ACDS-59-R05-SL</t>
  </si>
  <si>
    <t>ACDS-59-V10-DS</t>
  </si>
  <si>
    <t>ACDS-59-V11-DS</t>
  </si>
  <si>
    <t>ACDS-59-R06-SL</t>
  </si>
  <si>
    <t>ACDS-59-V12-DS</t>
  </si>
  <si>
    <t>ACDS-59-V13-DS</t>
  </si>
  <si>
    <t>ACDS-59-R07-SL</t>
  </si>
  <si>
    <t>ACDS-59-V14-DS</t>
  </si>
  <si>
    <t>ACDS-59-V15-DS</t>
  </si>
  <si>
    <t>ACDS-60-R02-SL</t>
  </si>
  <si>
    <t>ACDS-60-V04-DS</t>
  </si>
  <si>
    <t>ACDS-60-V05-DS</t>
  </si>
  <si>
    <t>ACDS-60-R03-SL</t>
  </si>
  <si>
    <t>ACDS-60-V06-DS</t>
  </si>
  <si>
    <t>ACDS-60-V07-DS</t>
  </si>
  <si>
    <t>ACDS-60-R04-SL</t>
  </si>
  <si>
    <t>ACDS-60-V08-DS</t>
  </si>
  <si>
    <t>ACDS-60-V09-DS</t>
  </si>
  <si>
    <t>ACDS-60-R05-SL</t>
  </si>
  <si>
    <t>ACDS-60-V10-DS</t>
  </si>
  <si>
    <t>ACDS-60-V11-DS</t>
  </si>
  <si>
    <t>ACDS-60-R06-SL</t>
  </si>
  <si>
    <t>ACDS-60-V12-DS</t>
  </si>
  <si>
    <t>ACDS-60-V13-DS</t>
  </si>
  <si>
    <t>ACDS-60-R07-SL</t>
  </si>
  <si>
    <t>ACDS-60-V14-DS</t>
  </si>
  <si>
    <t>ACDS-60-V15-DS</t>
  </si>
  <si>
    <t>ACDS-61-R02-SL</t>
  </si>
  <si>
    <t>ACDS-61-V04-DS</t>
  </si>
  <si>
    <t>ACDS-61-V05-DS</t>
  </si>
  <si>
    <t>ACDS-61-R03-SL</t>
  </si>
  <si>
    <t>ACDS-61-V06-DS</t>
  </si>
  <si>
    <t>ACDS-61-V07-DS</t>
  </si>
  <si>
    <t>ACDS-61-R04-SL</t>
  </si>
  <si>
    <t>ACDS-61-V08-DS</t>
  </si>
  <si>
    <t>ACDS-61-V09-DS</t>
  </si>
  <si>
    <t>ACDS-61-R05-SL</t>
  </si>
  <si>
    <t>ACDS-61-V10-DS</t>
  </si>
  <si>
    <t>ACDS-61-V11-DS</t>
  </si>
  <si>
    <t>ACDS-61-R06-SL</t>
  </si>
  <si>
    <t>ACDS-61-V12-DS</t>
  </si>
  <si>
    <t>ACDS-61-V13-DS</t>
  </si>
  <si>
    <t>ACDS-61-R07-SL</t>
  </si>
  <si>
    <t>ACDS-61-V14-DS</t>
  </si>
  <si>
    <t>ACDS-61-V15-DS</t>
  </si>
  <si>
    <t>ACDS-62-R02-SL</t>
  </si>
  <si>
    <t>ACDS-62-V04-DS</t>
  </si>
  <si>
    <t>ACDS-62-V05-DS</t>
  </si>
  <si>
    <t>ACDS-62-R03-SL</t>
  </si>
  <si>
    <t>ACDS-62-V06-DS</t>
  </si>
  <si>
    <t>ACDS-62-V07-DS</t>
  </si>
  <si>
    <t>ACDS-62-R04-SL</t>
  </si>
  <si>
    <t>ACDS-62-V08-DS</t>
  </si>
  <si>
    <t>ACDS-62-V09-DS</t>
  </si>
  <si>
    <t>ACDS-62-R05-SL</t>
  </si>
  <si>
    <t>ACDS-62-V10-DS</t>
  </si>
  <si>
    <t>ACDS-62-V11-DS</t>
  </si>
  <si>
    <t>ACDS-62-R06-SL</t>
  </si>
  <si>
    <t>ACDS-62-V12-DS</t>
  </si>
  <si>
    <t>ACDS-62-V13-DS</t>
  </si>
  <si>
    <t>ACDS-62-R07-SL</t>
  </si>
  <si>
    <t>ACDS-62-V14-DS</t>
  </si>
  <si>
    <t>ACDS-62-V15-DS</t>
  </si>
  <si>
    <t>ACDS-63-R02-SL</t>
  </si>
  <si>
    <t>ACDS-63-V04-DS</t>
  </si>
  <si>
    <t>ACDS-63-V05-DS</t>
  </si>
  <si>
    <t>ACDS-63-R03-SL</t>
  </si>
  <si>
    <t>ACDS-63-V06-DS</t>
  </si>
  <si>
    <t>ACDS-63-V07-DS</t>
  </si>
  <si>
    <t>ACDS-63-R04-SL</t>
  </si>
  <si>
    <t>ACDS-63-V08-DS</t>
  </si>
  <si>
    <t>ACDS-63-V09-DS</t>
  </si>
  <si>
    <t>ACDS-63-R05-SL</t>
  </si>
  <si>
    <t>ACDS-63-V10-DS</t>
  </si>
  <si>
    <t>ACDS-63-V11-DS</t>
  </si>
  <si>
    <t>ACDS-63-R06-SL</t>
  </si>
  <si>
    <t>ACDS-63-V12-DS</t>
  </si>
  <si>
    <t>ACDS-63-V13-DS</t>
  </si>
  <si>
    <t>ACDS-63-R07-SL</t>
  </si>
  <si>
    <t>ACDS-63-V14-DS</t>
  </si>
  <si>
    <t>ACDS-63-V15-DS</t>
  </si>
  <si>
    <t>ACDS-64-R02-SL</t>
  </si>
  <si>
    <t>ACDS-64-V04-DS</t>
  </si>
  <si>
    <t>ACDS-64-V05-DS</t>
  </si>
  <si>
    <t>ACDS-64-R03-SL</t>
  </si>
  <si>
    <t>ACDS-64-V06-DS</t>
  </si>
  <si>
    <t>ACDS-64-V07-DS</t>
  </si>
  <si>
    <t>ACDS-64-R04-SL</t>
  </si>
  <si>
    <t>ACDS-64-V08-DS</t>
  </si>
  <si>
    <t>ACDS-64-V09-DS</t>
  </si>
  <si>
    <t>ACDS-64-R05-SL</t>
  </si>
  <si>
    <t>ACDS-64-V10-DS</t>
  </si>
  <si>
    <t>ACDS-64-V11-DS</t>
  </si>
  <si>
    <t>ACDS-64-R06-SL</t>
  </si>
  <si>
    <t>ACDS-64-V12-DS</t>
  </si>
  <si>
    <t>ACDS-64-V13-DS</t>
  </si>
  <si>
    <t>ACDS-64-R07-SL</t>
  </si>
  <si>
    <t>ACDS-64-V14-DS</t>
  </si>
  <si>
    <t>ACDS-64-V15-DS</t>
  </si>
  <si>
    <t>ACDS-65-R02-SL</t>
  </si>
  <si>
    <t>ACDS-65-V04-DS</t>
  </si>
  <si>
    <t>ACDS-65-V05-DS</t>
  </si>
  <si>
    <t>ACDS-65-R03-SL</t>
  </si>
  <si>
    <t>ACDS-65-V06-DS</t>
  </si>
  <si>
    <t>ACDS-65-V07-DS</t>
  </si>
  <si>
    <t>ACDS-65-R04-SL</t>
  </si>
  <si>
    <t>ACDS-65-V08-DS</t>
  </si>
  <si>
    <t>ACDS-65-V09-DS</t>
  </si>
  <si>
    <t>ACDS-65-R05-SL</t>
  </si>
  <si>
    <t>ACDS-65-V10-DS</t>
  </si>
  <si>
    <t>ACDS-65-V11-DS</t>
  </si>
  <si>
    <t>ACDS-65-R06-SL</t>
  </si>
  <si>
    <t>ACDS-65-V12-DS</t>
  </si>
  <si>
    <t>ACDS-65-V13-DS</t>
  </si>
  <si>
    <t>ACDS-65-R07-SL</t>
  </si>
  <si>
    <t>ACDS-65-V14-DS</t>
  </si>
  <si>
    <t>ACDS-65-V15-DS</t>
  </si>
  <si>
    <t>ACDS-66-R02-SL</t>
  </si>
  <si>
    <t>ACDS-66-V04-DS</t>
  </si>
  <si>
    <t>ACDS-66-V05-DS</t>
  </si>
  <si>
    <t>ACDS-66-R03-SL</t>
  </si>
  <si>
    <t>ACDS-66-V06-DS</t>
  </si>
  <si>
    <t>ACDS-66-V07-DS</t>
  </si>
  <si>
    <t>ACDS-66-R04-SL</t>
  </si>
  <si>
    <t>ACDS-66-V08-DS</t>
  </si>
  <si>
    <t>ACDS-66-V09-DS</t>
  </si>
  <si>
    <t>ACDS-66-R05-SL</t>
  </si>
  <si>
    <t>ACDS-66-V10-DS</t>
  </si>
  <si>
    <t>ACDS-66-V11-DS</t>
  </si>
  <si>
    <t>ACDS-66-R06-SL</t>
  </si>
  <si>
    <t>ACDS-66-V12-DS</t>
  </si>
  <si>
    <t>ACDS-66-V13-DS</t>
  </si>
  <si>
    <t>ACDS-66-R07-SL</t>
  </si>
  <si>
    <t>ACDS-66-V14-DS</t>
  </si>
  <si>
    <t>ACDS-66-V15-DS</t>
  </si>
  <si>
    <t>ACDS-67-R02-SL</t>
  </si>
  <si>
    <t>ACDS-67-V04-DS</t>
  </si>
  <si>
    <t>ACDS-67-V05-DS</t>
  </si>
  <si>
    <t>ACDS-67-R03-SL</t>
  </si>
  <si>
    <t>ACDS-67-V06-DS</t>
  </si>
  <si>
    <t>ACDS-67-V07-DS</t>
  </si>
  <si>
    <t>ACDS-67-R04-SL</t>
  </si>
  <si>
    <t>ACDS-67-V08-DS</t>
  </si>
  <si>
    <t>ACDS-67-V09-DS</t>
  </si>
  <si>
    <t>ACDS-67-R05-SL</t>
  </si>
  <si>
    <t>ACDS-67-V10-DS</t>
  </si>
  <si>
    <t>ACDS-67-V11-DS</t>
  </si>
  <si>
    <t>ACDS-67-R06-SL</t>
  </si>
  <si>
    <t>ACDS-67-V12-DS</t>
  </si>
  <si>
    <t>ACDS-67-V13-DS</t>
  </si>
  <si>
    <t>ACDS-67-R07-SL</t>
  </si>
  <si>
    <t>ACDS-67-V14-DS</t>
  </si>
  <si>
    <t>ACDS-67-V15-DS</t>
  </si>
  <si>
    <t>ACDS-68-R02-SL</t>
  </si>
  <si>
    <t>ACDS-68-V04-DS</t>
  </si>
  <si>
    <t>ACDS-68-V05-DS</t>
  </si>
  <si>
    <t>ACDS-68-R03-SL</t>
  </si>
  <si>
    <t>ACDS-68-V06-DS</t>
  </si>
  <si>
    <t>ACDS-68-V07-DS</t>
  </si>
  <si>
    <t>ACDS-68-R04-SL</t>
  </si>
  <si>
    <t>ACDS-68-V08-DS</t>
  </si>
  <si>
    <t>ACDS-68-V09-DS</t>
  </si>
  <si>
    <t>ACDS-68-R05-SL</t>
  </si>
  <si>
    <t>ACDS-68-V10-DS</t>
  </si>
  <si>
    <t>ACDS-68-V11-DS</t>
  </si>
  <si>
    <t>ACDS-68-R06-SL</t>
  </si>
  <si>
    <t>ACDS-68-V12-DS</t>
  </si>
  <si>
    <t>ACDS-68-V13-DS</t>
  </si>
  <si>
    <t>ACDS-68-R07-SL</t>
  </si>
  <si>
    <t>ACDS-68-V14-DS</t>
  </si>
  <si>
    <t>ACDS-68-V15-DS</t>
  </si>
  <si>
    <t>ACDS-69-R02-SL</t>
  </si>
  <si>
    <t>ACDS-69-V04-DS</t>
  </si>
  <si>
    <t>ACDS-69-V05-DS</t>
  </si>
  <si>
    <t>ACDS-69-R03-SL</t>
  </si>
  <si>
    <t>ACDS-69-V06-DS</t>
  </si>
  <si>
    <t>ACDS-69-V07-DS</t>
  </si>
  <si>
    <t>ACDS-69-R04-SL</t>
  </si>
  <si>
    <t>ACDS-69-V08-DS</t>
  </si>
  <si>
    <t>ACDS-69-V09-DS</t>
  </si>
  <si>
    <t>ACDS-69-R05-SL</t>
  </si>
  <si>
    <t>ACDS-69-V10-DS</t>
  </si>
  <si>
    <t>ACDS-69-V11-DS</t>
  </si>
  <si>
    <t>ACDS-69-R06-SL</t>
  </si>
  <si>
    <t>ACDS-69-V12-DS</t>
  </si>
  <si>
    <t>ACDS-69-V13-DS</t>
  </si>
  <si>
    <t>ACDS-69-R07-SL</t>
  </si>
  <si>
    <t>ACDS-69-V14-DS</t>
  </si>
  <si>
    <t>ACDS-69-V15-DS</t>
  </si>
  <si>
    <t>Type = Coil</t>
  </si>
  <si>
    <t>Unlatched</t>
  </si>
  <si>
    <t>Latched</t>
  </si>
  <si>
    <t>SUT_Link 1</t>
  </si>
  <si>
    <t>SUT_Link 2</t>
  </si>
  <si>
    <t>ACMB-00-R01-BO</t>
  </si>
  <si>
    <t>ACMB-00-RR01-BO</t>
  </si>
  <si>
    <t>ACMB-00-R01-BOA</t>
  </si>
  <si>
    <t>ACMB-00-RR01-BOA</t>
  </si>
  <si>
    <t>ACMB-00-R01-BOB</t>
  </si>
  <si>
    <t>ACMB-00-RR01-BOB</t>
  </si>
  <si>
    <t>ACMB-00-V02-MS</t>
  </si>
  <si>
    <t>ACMB-00-V03-MS</t>
  </si>
  <si>
    <t>ACMB-00-V02-MSA</t>
  </si>
  <si>
    <t>ACMB-00-V03-MSA</t>
  </si>
  <si>
    <t>ACMB-00-V02-MSB</t>
  </si>
  <si>
    <t>ACMB-00-V03-MSB</t>
  </si>
  <si>
    <t>ACMB-00-R02-BO</t>
  </si>
  <si>
    <t>ACMB-00-RR02-BO</t>
  </si>
  <si>
    <t>ACMB-00-R02-BOA</t>
  </si>
  <si>
    <t>ACMB-00-RR02-BOA</t>
  </si>
  <si>
    <t>ACMB-00-R02-BOB</t>
  </si>
  <si>
    <t>ACMB-00-RR02-BOB</t>
  </si>
  <si>
    <t>ACMB-00-V04-MS</t>
  </si>
  <si>
    <t>ACMB-00-V05-MS</t>
  </si>
  <si>
    <t>ACMB-00-V04-MSA</t>
  </si>
  <si>
    <t>ACMB-00-V05-MSA</t>
  </si>
  <si>
    <t>ACMB-00-V04-MSB</t>
  </si>
  <si>
    <t>ACMB-00-V05-MSB</t>
  </si>
  <si>
    <t>ACMB-00-R03-BO</t>
  </si>
  <si>
    <t>ACMB-00-RR03-BO</t>
  </si>
  <si>
    <t>ACMB-00-R03-BOA</t>
  </si>
  <si>
    <t>ACMB-00-RR03-BOA</t>
  </si>
  <si>
    <t>ACMB-00-R03-BOB</t>
  </si>
  <si>
    <t>ACMB-00-RR03-BOB</t>
  </si>
  <si>
    <t>ACMB-00-V06-MS</t>
  </si>
  <si>
    <t>ACMB-00-V07-MS</t>
  </si>
  <si>
    <t>ACMB-00-V06-MSA</t>
  </si>
  <si>
    <t>ACMB-00-V07-MSA</t>
  </si>
  <si>
    <t>ACMB-00-V06-MSB</t>
  </si>
  <si>
    <t>ACMB-00-V07-MSB</t>
  </si>
  <si>
    <t>SUT_Link 3</t>
  </si>
  <si>
    <t>SUT_Link 4</t>
  </si>
  <si>
    <t>ACMB-00-R04-BO</t>
  </si>
  <si>
    <t>ACMB-00-RR04-BO</t>
  </si>
  <si>
    <t>ACMB-00-R04-BOA</t>
  </si>
  <si>
    <t>ACMB-00-RR04-BOA</t>
  </si>
  <si>
    <t>ACMB-00-R04-BOB</t>
  </si>
  <si>
    <t>ACMB-00-RR04-BOB</t>
  </si>
  <si>
    <t>ACMB-00-V08-MS</t>
  </si>
  <si>
    <t>ACMB-00-V09-MS</t>
  </si>
  <si>
    <t>ACMB-00-V08-MSA</t>
  </si>
  <si>
    <t>ACMB-00-V09-MSA</t>
  </si>
  <si>
    <t>ACMB-00-V08-MSB</t>
  </si>
  <si>
    <t>ACMB-00-V09-MSB</t>
  </si>
  <si>
    <t>ACMB-00-R05-BO</t>
  </si>
  <si>
    <t>ACMB-00-RR05-BO</t>
  </si>
  <si>
    <t>ACMB-00-R05-BOA</t>
  </si>
  <si>
    <t>ACMB-00-RR05-BOA</t>
  </si>
  <si>
    <t>ACMB-00-R05-BOB</t>
  </si>
  <si>
    <t>ACMB-00-RR05-BOB</t>
  </si>
  <si>
    <t>ACMB-00-V10-MS</t>
  </si>
  <si>
    <t>ACMB-00-V11-MS</t>
  </si>
  <si>
    <t>ACMB-00-V10-MSA</t>
  </si>
  <si>
    <t>ACMB-00-V11-MSA</t>
  </si>
  <si>
    <t>ACMB-00-V10-MSB</t>
  </si>
  <si>
    <t>ACMB-00-V11-MSB</t>
  </si>
  <si>
    <t>ACMB-00-R06-BO</t>
  </si>
  <si>
    <t>ACMB-00-RR06-BO</t>
  </si>
  <si>
    <t>ACMB-00-R06-BOA</t>
  </si>
  <si>
    <t>ACMB-00-RR06-BOA</t>
  </si>
  <si>
    <t>ACMB-00-R06-BOB</t>
  </si>
  <si>
    <t>ACMB-00-RR06-BOB</t>
  </si>
  <si>
    <t>ACMB-00-V12-MS</t>
  </si>
  <si>
    <t>ACMB-00-V13-MS</t>
  </si>
  <si>
    <t>ACMB-00-V12-MSA</t>
  </si>
  <si>
    <t>ACMB-00-V13-MSA</t>
  </si>
  <si>
    <t>ACMB-00-V12-MSB</t>
  </si>
  <si>
    <t>ACMB-00-V13-MSB</t>
  </si>
  <si>
    <t>SUT_Link 5</t>
  </si>
  <si>
    <t>SUT_Link 6</t>
  </si>
  <si>
    <t>ACMB-00-R07-BO</t>
  </si>
  <si>
    <t>ACMB-00-RR07-BO</t>
  </si>
  <si>
    <t>ACMB-00-R07-BOA</t>
  </si>
  <si>
    <t>ACMB-00-RR07-BOA</t>
  </si>
  <si>
    <t>ACMB-00-R07-BOB</t>
  </si>
  <si>
    <t>ACMB-00-RR07-BOB</t>
  </si>
  <si>
    <t>ACMB-00-V14-MS</t>
  </si>
  <si>
    <t>ACMB-00-V15-MS</t>
  </si>
  <si>
    <t>ACMB-00-V14-MSA</t>
  </si>
  <si>
    <t>ACMB-00-V15-MSA</t>
  </si>
  <si>
    <t>ACMB-00-V14-MSB</t>
  </si>
  <si>
    <t>ACMB-00-V15-MSB</t>
  </si>
  <si>
    <t>ACMB-01-R01-BO</t>
  </si>
  <si>
    <t>ACMB-01-RR01-BO</t>
  </si>
  <si>
    <t>ACMB-01-R01-BOA</t>
  </si>
  <si>
    <t>ACMB-01-RR01-BOA</t>
  </si>
  <si>
    <t>ACMB-01-R01-BOB</t>
  </si>
  <si>
    <t>ACMB-01-RR01-BOB</t>
  </si>
  <si>
    <t>ACMB-01-V02-MS</t>
  </si>
  <si>
    <t>ACMB-01-V03-MS</t>
  </si>
  <si>
    <t>ACMB-01-V02-MSA</t>
  </si>
  <si>
    <t>ACMB-01-V03-MSA</t>
  </si>
  <si>
    <t>ACMB-01-V02-MSB</t>
  </si>
  <si>
    <t>ACMB-01-V03-MSB</t>
  </si>
  <si>
    <t>ACMB-01-R02-BO</t>
  </si>
  <si>
    <t>ACMB-01-RR02-BO</t>
  </si>
  <si>
    <t>ACMB-01-R02-BOA</t>
  </si>
  <si>
    <t>ACMB-01-RR02-BOA</t>
  </si>
  <si>
    <t>ACMB-01-R02-BOB</t>
  </si>
  <si>
    <t>ACMB-01-RR02-BOB</t>
  </si>
  <si>
    <t>ACMB-01-V04-MS</t>
  </si>
  <si>
    <t>ACMB-01-V05-MS</t>
  </si>
  <si>
    <t>ACMB-01-V04-MSA</t>
  </si>
  <si>
    <t>ACMB-01-V05-MSA</t>
  </si>
  <si>
    <t>ACMB-01-V04-MSB</t>
  </si>
  <si>
    <t>ACMB-01-V05-MSB</t>
  </si>
  <si>
    <t>SUT_Link 7</t>
  </si>
  <si>
    <t>SUT_Link 8</t>
  </si>
  <si>
    <t>ACMB-01-R03-BO</t>
  </si>
  <si>
    <t>ACMB-01-RR03-BO</t>
  </si>
  <si>
    <t>ACMB-01-R03-BOA</t>
  </si>
  <si>
    <t>ACMB-01-RR03-BOA</t>
  </si>
  <si>
    <t>ACMB-01-R03-BOB</t>
  </si>
  <si>
    <t>ACMB-01-RR03-BOB</t>
  </si>
  <si>
    <t>ACMB-01-V06-MS</t>
  </si>
  <si>
    <t>ACMB-01-V07-MS</t>
  </si>
  <si>
    <t>ACMB-01-V06-MSA</t>
  </si>
  <si>
    <t>ACMB-01-V07-MSA</t>
  </si>
  <si>
    <t>ACMB-01-V06-MSB</t>
  </si>
  <si>
    <t>ACMB-01-V07-MSB</t>
  </si>
  <si>
    <t>ACMB-01-R04-BO</t>
  </si>
  <si>
    <t>ACMB-01-RR04-BO</t>
  </si>
  <si>
    <t>ACMB-01-R04-BOA</t>
  </si>
  <si>
    <t>ACMB-01-RR04-BOA</t>
  </si>
  <si>
    <t>ACMB-01-R04-BOB</t>
  </si>
  <si>
    <t>ACMB-01-RR04-BOB</t>
  </si>
  <si>
    <t>ACMB-01-V08-MS</t>
  </si>
  <si>
    <t>ACMB-01-V09-MS</t>
  </si>
  <si>
    <t>ACMB-01-V08-MSA</t>
  </si>
  <si>
    <t>ACMB-01-V09-MSA</t>
  </si>
  <si>
    <t>ACMB-01-V08-MSB</t>
  </si>
  <si>
    <t>ACMB-01-V09-MSB</t>
  </si>
  <si>
    <t>ACMB-01-R05-BO</t>
  </si>
  <si>
    <t>ACMB-01-RR05-BO</t>
  </si>
  <si>
    <t>ACMB-01-R05-BOA</t>
  </si>
  <si>
    <t>ACMB-01-RR05-BOA</t>
  </si>
  <si>
    <t>ACMB-01-R05-BOB</t>
  </si>
  <si>
    <t>ACMB-01-RR05-BOB</t>
  </si>
  <si>
    <t>ACMB-01-V10-MS</t>
  </si>
  <si>
    <t>ACMB-01-V11-MS</t>
  </si>
  <si>
    <t>ACMB-01-V10-MSA</t>
  </si>
  <si>
    <t>ACMB-01-V11-MSA</t>
  </si>
  <si>
    <t>ACMB-01-V10-MSB</t>
  </si>
  <si>
    <t>ACMB-01-V11-MSB</t>
  </si>
  <si>
    <t>SUT_Link 9</t>
  </si>
  <si>
    <t>SUT_Link 10</t>
  </si>
  <si>
    <t>ACMB-01-R06-BO</t>
  </si>
  <si>
    <t>ACMB-01-RR06-BO</t>
  </si>
  <si>
    <t>ACMB-01-R06-BOA</t>
  </si>
  <si>
    <t>ACMB-01-RR06-BOA</t>
  </si>
  <si>
    <t>ACMB-01-R06-BOB</t>
  </si>
  <si>
    <t>ACMB-01-RR06-BOB</t>
  </si>
  <si>
    <t>ACMB-01-V12-MS</t>
  </si>
  <si>
    <t>ACMB-01-V13-MS</t>
  </si>
  <si>
    <t>ACMB-01-V12-MSA</t>
  </si>
  <si>
    <t>ACMB-01-V13-MSA</t>
  </si>
  <si>
    <t>ACMB-01-V12-MSB</t>
  </si>
  <si>
    <t>ACMB-01-V13-MSB</t>
  </si>
  <si>
    <t>ACMB-01-R07-BO</t>
  </si>
  <si>
    <t>ACMB-01-RR07-BO</t>
  </si>
  <si>
    <t>ACMB-01-R07-BOA</t>
  </si>
  <si>
    <t>ACMB-01-RR07-BOA</t>
  </si>
  <si>
    <t>ACMB-01-R07-BOB</t>
  </si>
  <si>
    <t>ACMB-01-RR07-BOB</t>
  </si>
  <si>
    <t>ACMB-01-V14-MS</t>
  </si>
  <si>
    <t>ACMB-01-V15-MS</t>
  </si>
  <si>
    <t>ACMB-01-V14-MSA</t>
  </si>
  <si>
    <t>ACMB-01-V15-MSA</t>
  </si>
  <si>
    <t>ACMB-01-V14-MSB</t>
  </si>
  <si>
    <t>ACMB-01-V15-MSB</t>
  </si>
  <si>
    <t>ACMB-02-R01-BO</t>
  </si>
  <si>
    <t>ACMB-02-RR01-BO</t>
  </si>
  <si>
    <t>ACMB-02-R01-BOA</t>
  </si>
  <si>
    <t>ACMB-02-RR01-BOA</t>
  </si>
  <si>
    <t>ACMB-02-R01-BOB</t>
  </si>
  <si>
    <t>ACMB-02-RR01-BOB</t>
  </si>
  <si>
    <t>ACMB-02-V02-MS</t>
  </si>
  <si>
    <t>ACMB-02-V03-MS</t>
  </si>
  <si>
    <t>ACMB-02-V02-MSA</t>
  </si>
  <si>
    <t>ACMB-02-V03-MSA</t>
  </si>
  <si>
    <t>ACMB-02-V02-MSB</t>
  </si>
  <si>
    <t>ACMB-02-V03-MSB</t>
  </si>
  <si>
    <t>SUT_Link 11</t>
  </si>
  <si>
    <t>SUT_Link 12</t>
  </si>
  <si>
    <t>ACMB-02-R02-BO</t>
  </si>
  <si>
    <t>ACMB-02-RR02-BO</t>
  </si>
  <si>
    <t>ACMB-02-R02-BOA</t>
  </si>
  <si>
    <t>ACMB-02-RR02-BOA</t>
  </si>
  <si>
    <t>ACMB-02-R02-BOB</t>
  </si>
  <si>
    <t>ACMB-02-RR02-BOB</t>
  </si>
  <si>
    <t>ACMB-02-V04-MS</t>
  </si>
  <si>
    <t>ACMB-02-V05-MS</t>
  </si>
  <si>
    <t>ACMB-02-V04-MSA</t>
  </si>
  <si>
    <t>ACMB-02-V05-MSA</t>
  </si>
  <si>
    <t>ACMB-02-V04-MSB</t>
  </si>
  <si>
    <t>ACMB-02-V05-MSB</t>
  </si>
  <si>
    <t>ACMB-02-R03-BO</t>
  </si>
  <si>
    <t>ACMB-02-RR03-BO</t>
  </si>
  <si>
    <t>ACMB-02-R03-BOA</t>
  </si>
  <si>
    <t>ACMB-02-RR03-BOA</t>
  </si>
  <si>
    <t>ACMB-02-R03-BOB</t>
  </si>
  <si>
    <t>ACMB-02-RR03-BOB</t>
  </si>
  <si>
    <t>ACMB-02-V06-MS</t>
  </si>
  <si>
    <t>ACMB-02-V07-MS</t>
  </si>
  <si>
    <t>ACMB-02-V06-MSA</t>
  </si>
  <si>
    <t>ACMB-02-V07-MSA</t>
  </si>
  <si>
    <t>ACMB-02-V06-MSB</t>
  </si>
  <si>
    <t>ACMB-02-V07-MSB</t>
  </si>
  <si>
    <t>ACMB-02-R04-BO</t>
  </si>
  <si>
    <t>ACMB-02-RR04-BO</t>
  </si>
  <si>
    <t>ACMB-02-R04-BOA</t>
  </si>
  <si>
    <t>ACMB-02-RR04-BOA</t>
  </si>
  <si>
    <t>ACMB-02-R04-BOB</t>
  </si>
  <si>
    <t>ACMB-02-RR04-BOB</t>
  </si>
  <si>
    <t>ACMB-02-V08-MS</t>
  </si>
  <si>
    <t>ACMB-02-V09-MS</t>
  </si>
  <si>
    <t>ACMB-02-V08-MSA</t>
  </si>
  <si>
    <t>ACMB-02-V09-MSA</t>
  </si>
  <si>
    <t>ACMB-02-V08-MSB</t>
  </si>
  <si>
    <t>ACMB-02-V09-MSB</t>
  </si>
  <si>
    <t>ACMB-02-R05-BO</t>
  </si>
  <si>
    <t>ACMB-02-RR05-BO</t>
  </si>
  <si>
    <t>ACMB-02-R05-BOA</t>
  </si>
  <si>
    <t>ACMB-02-RR05-BOA</t>
  </si>
  <si>
    <t>ACMB-02-R05-BOB</t>
  </si>
  <si>
    <t>ACMB-02-RR05-BOB</t>
  </si>
  <si>
    <t>ACMB-02-V10-MS</t>
  </si>
  <si>
    <t>ACMB-02-V11-MS</t>
  </si>
  <si>
    <t>ACMB-02-V10-MSA</t>
  </si>
  <si>
    <t>ACMB-02-V11-MSA</t>
  </si>
  <si>
    <t>ACMB-02-V10-MSB</t>
  </si>
  <si>
    <t>ACMB-02-V11-MSB</t>
  </si>
  <si>
    <t>ACMB-02-R06-BO</t>
  </si>
  <si>
    <t>ACMB-02-RR06-BO</t>
  </si>
  <si>
    <t>ACMB-02-R06-BOA</t>
  </si>
  <si>
    <t>ACMB-02-RR06-BOA</t>
  </si>
  <si>
    <t>ACMB-02-R06-BOB</t>
  </si>
  <si>
    <t>ACMB-02-RR06-BOB</t>
  </si>
  <si>
    <t>ACMB-02-V12-MS</t>
  </si>
  <si>
    <t>ACMB-02-V13-MS</t>
  </si>
  <si>
    <t>ACMB-02-V12-MSA</t>
  </si>
  <si>
    <t>ACMB-02-V13-MSA</t>
  </si>
  <si>
    <t>ACMB-02-V12-MSB</t>
  </si>
  <si>
    <t>ACMB-02-V13-MSB</t>
  </si>
  <si>
    <t>ACMB-02-R07-BO</t>
  </si>
  <si>
    <t>ACMB-02-RR07-BO</t>
  </si>
  <si>
    <t>ACMB-02-R07-BOA</t>
  </si>
  <si>
    <t>ACMB-02-RR07-BOA</t>
  </si>
  <si>
    <t>ACMB-02-R07-BOB</t>
  </si>
  <si>
    <t>ACMB-02-RR07-BOB</t>
  </si>
  <si>
    <t>ACMB-02-V14-MS</t>
  </si>
  <si>
    <t>ACMB-02-V15-MS</t>
  </si>
  <si>
    <t>ACMB-02-V14-MSA</t>
  </si>
  <si>
    <t>ACMB-02-V15-MSA</t>
  </si>
  <si>
    <t>ACMB-02-V14-MSB</t>
  </si>
  <si>
    <t>ACMB-02-V15-MSB</t>
  </si>
  <si>
    <t>ACMB-03-R01-BO</t>
  </si>
  <si>
    <t>ACMB-03-RR01-BO</t>
  </si>
  <si>
    <t>ACMB-03-R01-BOA</t>
  </si>
  <si>
    <t>ACMB-03-RR01-BOA</t>
  </si>
  <si>
    <t>ACMB-03-R01-BOB</t>
  </si>
  <si>
    <t>ACMB-03-RR01-BOB</t>
  </si>
  <si>
    <t>ACMB-03-V02-MS</t>
  </si>
  <si>
    <t>ACMB-03-V03-MS</t>
  </si>
  <si>
    <t>ACMB-03-V02-MSA</t>
  </si>
  <si>
    <t>ACMB-03-V03-MSA</t>
  </si>
  <si>
    <t>ACMB-03-V02-MSB</t>
  </si>
  <si>
    <t>ACMB-03-V03-MSB</t>
  </si>
  <si>
    <t>ACMB-03-R02-BO</t>
  </si>
  <si>
    <t>ACMB-03-RR02-BO</t>
  </si>
  <si>
    <t>ACMB-03-R02-BOA</t>
  </si>
  <si>
    <t>ACMB-03-RR02-BOA</t>
  </si>
  <si>
    <t>ACMB-03-R02-BOB</t>
  </si>
  <si>
    <t>ACMB-03-RR02-BOB</t>
  </si>
  <si>
    <t>ACMB-03-V04-MS</t>
  </si>
  <si>
    <t>ACMB-03-V05-MS</t>
  </si>
  <si>
    <t>ACMB-03-V04-MSA</t>
  </si>
  <si>
    <t>ACMB-03-V05-MSA</t>
  </si>
  <si>
    <t>ACMB-03-V04-MSB</t>
  </si>
  <si>
    <t>ACMB-03-V05-MSB</t>
  </si>
  <si>
    <t>ACMB-03-R03-BO</t>
  </si>
  <si>
    <t>ACMB-03-RR03-BO</t>
  </si>
  <si>
    <t>ACMB-03-R03-BOA</t>
  </si>
  <si>
    <t>ACMB-03-RR03-BOA</t>
  </si>
  <si>
    <t>ACMB-03-R03-BOB</t>
  </si>
  <si>
    <t>ACMB-03-RR03-BOB</t>
  </si>
  <si>
    <t>ACMB-03-V06-MS</t>
  </si>
  <si>
    <t>ACMB-03-V07-MS</t>
  </si>
  <si>
    <t>ACMB-03-V06-MSA</t>
  </si>
  <si>
    <t>ACMB-03-V07-MSA</t>
  </si>
  <si>
    <t>ACMB-03-V06-MSB</t>
  </si>
  <si>
    <t>ACMB-03-V07-MSB</t>
  </si>
  <si>
    <t>ACMB-03-R04-BO</t>
  </si>
  <si>
    <t>ACMB-03-RR04-BO</t>
  </si>
  <si>
    <t>ACMB-03-R04-BOA</t>
  </si>
  <si>
    <t>ACMB-03-RR04-BOA</t>
  </si>
  <si>
    <t>ACMB-03-R04-BOB</t>
  </si>
  <si>
    <t>ACMB-03-RR04-BOB</t>
  </si>
  <si>
    <t>ACMB-03-V08-MS</t>
  </si>
  <si>
    <t>ACMB-03-V09-MS</t>
  </si>
  <si>
    <t>ACMB-03-V08-MSA</t>
  </si>
  <si>
    <t>ACMB-03-V09-MSA</t>
  </si>
  <si>
    <t>ACMB-03-V08-MSB</t>
  </si>
  <si>
    <t>ACMB-03-V09-MSB</t>
  </si>
  <si>
    <t>ACMB-03-R05-BO</t>
  </si>
  <si>
    <t>ACMB-03-RR05-BO</t>
  </si>
  <si>
    <t>ACMB-03-R05-BOA</t>
  </si>
  <si>
    <t>ACMB-03-RR05-BOA</t>
  </si>
  <si>
    <t>ACMB-03-R05-BOB</t>
  </si>
  <si>
    <t>ACMB-03-RR05-BOB</t>
  </si>
  <si>
    <t>ACMB-03-V10-MS</t>
  </si>
  <si>
    <t>ACMB-03-V11-MS</t>
  </si>
  <si>
    <t>ACMB-03-V10-MSA</t>
  </si>
  <si>
    <t>ACMB-03-V11-MSA</t>
  </si>
  <si>
    <t>ACMB-03-V10-MSB</t>
  </si>
  <si>
    <t>ACMB-03-V11-MSB</t>
  </si>
  <si>
    <t>ACMB-03-R06-BO</t>
  </si>
  <si>
    <t>ACMB-03-RR06-BO</t>
  </si>
  <si>
    <t>ACMB-03-R06-BOA</t>
  </si>
  <si>
    <t>ACMB-03-RR06-BOA</t>
  </si>
  <si>
    <t>ACMB-03-R06-BOB</t>
  </si>
  <si>
    <t>ACMB-03-RR06-BOB</t>
  </si>
  <si>
    <t>ACMB-03-V12-MS</t>
  </si>
  <si>
    <t>ACMB-03-V13-MS</t>
  </si>
  <si>
    <t>ACMB-03-V12-MSA</t>
  </si>
  <si>
    <t>ACMB-03-V13-MSA</t>
  </si>
  <si>
    <t>ACMB-03-V12-MSB</t>
  </si>
  <si>
    <t>ACMB-03-V13-MSB</t>
  </si>
  <si>
    <t>ACMB-03-R07-BO</t>
  </si>
  <si>
    <t>ACMB-03-RR07-BO</t>
  </si>
  <si>
    <t>ACMB-03-R07-BOA</t>
  </si>
  <si>
    <t>ACMB-03-RR07-BOA</t>
  </si>
  <si>
    <t>ACMB-03-R07-BOB</t>
  </si>
  <si>
    <t>ACMB-03-RR07-BOB</t>
  </si>
  <si>
    <t>ACMB-03-V14-MS</t>
  </si>
  <si>
    <t>ACMB-03-V15-MS</t>
  </si>
  <si>
    <t>ACMB-03-V14-MSA</t>
  </si>
  <si>
    <t>ACMB-03-V15-MSA</t>
  </si>
  <si>
    <t>ACMB-03-V14-MSB</t>
  </si>
  <si>
    <t>ACMB-03-V15-MSB</t>
  </si>
  <si>
    <t>ACMB-04-R01-BO</t>
  </si>
  <si>
    <t>ACMB-04-RR01-BO</t>
  </si>
  <si>
    <t>ACMB-04-R01-BOA</t>
  </si>
  <si>
    <t>ACMB-04-RR01-BOA</t>
  </si>
  <si>
    <t>ACMB-04-R01-BOB</t>
  </si>
  <si>
    <t>ACMB-04-RR01-BOB</t>
  </si>
  <si>
    <t>ACMB-04-V02-MS</t>
  </si>
  <si>
    <t>ACMB-04-V03-MS</t>
  </si>
  <si>
    <t>ACMB-04-V02-MSA</t>
  </si>
  <si>
    <t>ACMB-04-V03-MSA</t>
  </si>
  <si>
    <t>ACMB-04-V02-MSB</t>
  </si>
  <si>
    <t>ACMB-04-V03-MSB</t>
  </si>
  <si>
    <t>ACMB-04-R02-BO</t>
  </si>
  <si>
    <t>ACMB-04-RR02-BO</t>
  </si>
  <si>
    <t>ACMB-04-R02-BOA</t>
  </si>
  <si>
    <t>ACMB-04-RR02-BOA</t>
  </si>
  <si>
    <t>ACMB-04-R02-BOB</t>
  </si>
  <si>
    <t>ACMB-04-RR02-BOB</t>
  </si>
  <si>
    <t>ACMB-04-V04-MS</t>
  </si>
  <si>
    <t>ACMB-04-V05-MS</t>
  </si>
  <si>
    <t>ACMB-04-V04-MSA</t>
  </si>
  <si>
    <t>ACMB-04-V05-MSA</t>
  </si>
  <si>
    <t>ACMB-04-V04-MSB</t>
  </si>
  <si>
    <t>ACMB-04-V05-MSB</t>
  </si>
  <si>
    <t>ACMB-04-R03-BO</t>
  </si>
  <si>
    <t>ACMB-04-RR03-BO</t>
  </si>
  <si>
    <t>ACMB-04-R03-BOA</t>
  </si>
  <si>
    <t>ACMB-04-RR03-BOA</t>
  </si>
  <si>
    <t>ACMB-04-R03-BOB</t>
  </si>
  <si>
    <t>ACMB-04-RR03-BOB</t>
  </si>
  <si>
    <t>ACMB-04-V06-MS</t>
  </si>
  <si>
    <t>ACMB-04-V07-MS</t>
  </si>
  <si>
    <t>ACMB-04-V06-MSA</t>
  </si>
  <si>
    <t>ACMB-04-V07-MSA</t>
  </si>
  <si>
    <t>ACMB-04-V06-MSB</t>
  </si>
  <si>
    <t>ACMB-04-V07-MSB</t>
  </si>
  <si>
    <t>ACMB-04-R04-BO</t>
  </si>
  <si>
    <t>ACMB-04-RR04-BO</t>
  </si>
  <si>
    <t>ACMB-04-R04-BOA</t>
  </si>
  <si>
    <t>ACMB-04-RR04-BOA</t>
  </si>
  <si>
    <t>ACMB-04-R04-BOB</t>
  </si>
  <si>
    <t>ACMB-04-RR04-BOB</t>
  </si>
  <si>
    <t>ACMB-04-V08-MS</t>
  </si>
  <si>
    <t>ACMB-04-V09-MS</t>
  </si>
  <si>
    <t>ACMB-04-V08-MSA</t>
  </si>
  <si>
    <t>ACMB-04-V09-MSA</t>
  </si>
  <si>
    <t>ACMB-04-V08-MSB</t>
  </si>
  <si>
    <t>ACMB-04-V09-MSB</t>
  </si>
  <si>
    <t>ACMB-04-R05-BO</t>
  </si>
  <si>
    <t>ACMB-04-RR05-BO</t>
  </si>
  <si>
    <t>ACMB-04-R05-BOA</t>
  </si>
  <si>
    <t>ACMB-04-RR05-BOA</t>
  </si>
  <si>
    <t>ACMB-04-R05-BOB</t>
  </si>
  <si>
    <t>ACMB-04-RR05-BOB</t>
  </si>
  <si>
    <t>ACMB-04-V10-MS</t>
  </si>
  <si>
    <t>ACMB-04-V11-MS</t>
  </si>
  <si>
    <t>ACMB-04-V10-MSA</t>
  </si>
  <si>
    <t>ACMB-04-V11-MSA</t>
  </si>
  <si>
    <t>ACMB-04-V10-MSB</t>
  </si>
  <si>
    <t>ACMB-04-V11-MSB</t>
  </si>
  <si>
    <t>ACMB-04-R06-BO</t>
  </si>
  <si>
    <t>ACMB-04-RR06-BO</t>
  </si>
  <si>
    <t>ACMB-04-R06-BOA</t>
  </si>
  <si>
    <t>ACMB-04-RR06-BOA</t>
  </si>
  <si>
    <t>ACMB-04-R06-BOB</t>
  </si>
  <si>
    <t>ACMB-04-RR06-BOB</t>
  </si>
  <si>
    <t>ACMB-04-V12-MS</t>
  </si>
  <si>
    <t>ACMB-04-V13-MS</t>
  </si>
  <si>
    <t>ACMB-04-V12-MSA</t>
  </si>
  <si>
    <t>ACMB-04-V13-MSA</t>
  </si>
  <si>
    <t>ACMB-04-V12-MSB</t>
  </si>
  <si>
    <t>ACMB-04-V13-MSB</t>
  </si>
  <si>
    <t>ACMB-04-R07-BO</t>
  </si>
  <si>
    <t>ACMB-04-RR07-BO</t>
  </si>
  <si>
    <t>ACMB-04-R07-BOA</t>
  </si>
  <si>
    <t>ACMB-04-RR07-BOA</t>
  </si>
  <si>
    <t>ACMB-04-R07-BOB</t>
  </si>
  <si>
    <t>ACMB-04-RR07-BOB</t>
  </si>
  <si>
    <t>ACMB-04-V14-MS</t>
  </si>
  <si>
    <t>ACMB-04-V15-MS</t>
  </si>
  <si>
    <t>ACMB-04-V14-MSA</t>
  </si>
  <si>
    <t>ACMB-04-V15-MSA</t>
  </si>
  <si>
    <t>ACMB-04-V14-MSB</t>
  </si>
  <si>
    <t>ACMB-04-V15-MSB</t>
  </si>
  <si>
    <t>ACMB-05-R01-BO</t>
  </si>
  <si>
    <t>ACMB-05-RR01-BO</t>
  </si>
  <si>
    <t>ACMB-05-R01-BOA</t>
  </si>
  <si>
    <t>ACMB-05-RR01-BOA</t>
  </si>
  <si>
    <t>ACMB-05-R01-BOB</t>
  </si>
  <si>
    <t>ACMB-05-RR01-BOB</t>
  </si>
  <si>
    <t>ACMB-05-V02-MS</t>
  </si>
  <si>
    <t>ACMB-05-V03-MS</t>
  </si>
  <si>
    <t>ACMB-05-V02-MSA</t>
  </si>
  <si>
    <t>ACMB-05-V03-MSA</t>
  </si>
  <si>
    <t>ACMB-05-V02-MSB</t>
  </si>
  <si>
    <t>ACMB-05-V03-MSB</t>
  </si>
  <si>
    <t>ACMB-05-R02-BO</t>
  </si>
  <si>
    <t>ACMB-05-RR02-BO</t>
  </si>
  <si>
    <t>ACMB-05-R02-BOA</t>
  </si>
  <si>
    <t>ACMB-05-RR02-BOA</t>
  </si>
  <si>
    <t>ACMB-05-R02-BOB</t>
  </si>
  <si>
    <t>ACMB-05-RR02-BOB</t>
  </si>
  <si>
    <t>ACMB-05-V04-MS</t>
  </si>
  <si>
    <t>ACMB-05-V05-MS</t>
  </si>
  <si>
    <t>ACMB-05-V04-MSA</t>
  </si>
  <si>
    <t>ACMB-05-V05-MSA</t>
  </si>
  <si>
    <t>ACMB-05-V04-MSB</t>
  </si>
  <si>
    <t>ACMB-05-V05-MSB</t>
  </si>
  <si>
    <t>ACMB-05-R03-BO</t>
  </si>
  <si>
    <t>ACMB-05-RR03-BO</t>
  </si>
  <si>
    <t>ACMB-05-R03-BOA</t>
  </si>
  <si>
    <t>ACMB-05-RR03-BOA</t>
  </si>
  <si>
    <t>ACMB-05-R03-BOB</t>
  </si>
  <si>
    <t>ACMB-05-RR03-BOB</t>
  </si>
  <si>
    <t>ACMB-05-V06-MS</t>
  </si>
  <si>
    <t>ACMB-05-V07-MS</t>
  </si>
  <si>
    <t>ACMB-05-V06-MSA</t>
  </si>
  <si>
    <t>ACMB-05-V07-MSA</t>
  </si>
  <si>
    <t>ACMB-05-V06-MSB</t>
  </si>
  <si>
    <t>ACMB-05-V07-MSB</t>
  </si>
  <si>
    <t>ACMB-05-R04-BO</t>
  </si>
  <si>
    <t>ACMB-05-RR04-BO</t>
  </si>
  <si>
    <t>ACMB-05-R04-BOA</t>
  </si>
  <si>
    <t>ACMB-05-RR04-BOA</t>
  </si>
  <si>
    <t>ACMB-05-R04-BOB</t>
  </si>
  <si>
    <t>ACMB-05-RR04-BOB</t>
  </si>
  <si>
    <t>ACMB-05-V08-MS</t>
  </si>
  <si>
    <t>ACMB-05-V09-MS</t>
  </si>
  <si>
    <t>ACMB-05-V08-MSA</t>
  </si>
  <si>
    <t>ACMB-05-V09-MSA</t>
  </si>
  <si>
    <t>ACMB-05-V08-MSB</t>
  </si>
  <si>
    <t>ACMB-05-V09-MSB</t>
  </si>
  <si>
    <t>ACMB-05-R05-BO</t>
  </si>
  <si>
    <t>ACMB-05-RR05-BO</t>
  </si>
  <si>
    <t>ACMB-05-R05-BOA</t>
  </si>
  <si>
    <t>ACMB-05-RR05-BOA</t>
  </si>
  <si>
    <t>ACMB-05-R05-BOB</t>
  </si>
  <si>
    <t>ACMB-05-RR05-BOB</t>
  </si>
  <si>
    <t>ACMB-05-V10-MS</t>
  </si>
  <si>
    <t>ACMB-05-V11-MS</t>
  </si>
  <si>
    <t>ACMB-05-V10-MSA</t>
  </si>
  <si>
    <t>ACMB-05-V11-MSA</t>
  </si>
  <si>
    <t>ACMB-05-V10-MSB</t>
  </si>
  <si>
    <t>ACMB-05-V11-MSB</t>
  </si>
  <si>
    <t>ACMB-05-R06-BO</t>
  </si>
  <si>
    <t>ACMB-05-RR06-BO</t>
  </si>
  <si>
    <t>ACMB-05-R06-BOA</t>
  </si>
  <si>
    <t>ACMB-05-RR06-BOA</t>
  </si>
  <si>
    <t>ACMB-05-R06-BOB</t>
  </si>
  <si>
    <t>ACMB-05-RR06-BOB</t>
  </si>
  <si>
    <t>ACMB-05-V12-MS</t>
  </si>
  <si>
    <t>ACMB-05-V13-MS</t>
  </si>
  <si>
    <t>ACMB-05-V12-MSA</t>
  </si>
  <si>
    <t>ACMB-05-V13-MSA</t>
  </si>
  <si>
    <t>ACMB-05-V12-MSB</t>
  </si>
  <si>
    <t>ACMB-05-V13-MSB</t>
  </si>
  <si>
    <t>ACMB-05-R07-BO</t>
  </si>
  <si>
    <t>ACMB-05-RR07-BO</t>
  </si>
  <si>
    <t>ACMB-05-R07-BOA</t>
  </si>
  <si>
    <t>ACMB-05-RR07-BOA</t>
  </si>
  <si>
    <t>ACMB-05-R07-BOB</t>
  </si>
  <si>
    <t>ACMB-05-RR07-BOB</t>
  </si>
  <si>
    <t>ACMB-05-V14-MS</t>
  </si>
  <si>
    <t>ACMB-05-V15-MS</t>
  </si>
  <si>
    <t>ACMB-05-V14-MSA</t>
  </si>
  <si>
    <t>ACMB-05-V15-MSA</t>
  </si>
  <si>
    <t>ACMB-05-V14-MSB</t>
  </si>
  <si>
    <t>ACMB-05-V15-MSB</t>
  </si>
  <si>
    <t>ACMB-06-R01-BO</t>
  </si>
  <si>
    <t>ACMB-06-RR01-BO</t>
  </si>
  <si>
    <t>ACMB-06-R01-BOA</t>
  </si>
  <si>
    <t>ACMB-06-RR01-BOA</t>
  </si>
  <si>
    <t>ACMB-06-R01-BOB</t>
  </si>
  <si>
    <t>ACMB-06-RR01-BOB</t>
  </si>
  <si>
    <t>ACMB-06-V02-MS</t>
  </si>
  <si>
    <t>ACMB-06-V03-MS</t>
  </si>
  <si>
    <t>ACMB-06-V02-MSA</t>
  </si>
  <si>
    <t>ACMB-06-V03-MSA</t>
  </si>
  <si>
    <t>ACMB-06-V02-MSB</t>
  </si>
  <si>
    <t>ACMB-06-V03-MSB</t>
  </si>
  <si>
    <t>ACMB-06-R02-BO</t>
  </si>
  <si>
    <t>ACMB-06-RR02-BO</t>
  </si>
  <si>
    <t>ACMB-06-R02-BOA</t>
  </si>
  <si>
    <t>ACMB-06-RR02-BOA</t>
  </si>
  <si>
    <t>ACMB-06-R02-BOB</t>
  </si>
  <si>
    <t>ACMB-06-RR02-BOB</t>
  </si>
  <si>
    <t>ACMB-06-V04-MS</t>
  </si>
  <si>
    <t>ACMB-06-V05-MS</t>
  </si>
  <si>
    <t>ACMB-06-V04-MSA</t>
  </si>
  <si>
    <t>ACMB-06-V05-MSA</t>
  </si>
  <si>
    <t>ACMB-06-V04-MSB</t>
  </si>
  <si>
    <t>ACMB-06-V05-MSB</t>
  </si>
  <si>
    <t>ACMB-06-R03-BO</t>
  </si>
  <si>
    <t>ACMB-06-RR03-BO</t>
  </si>
  <si>
    <t>ACMB-06-R03-BOA</t>
  </si>
  <si>
    <t>ACMB-06-RR03-BOA</t>
  </si>
  <si>
    <t>ACMB-06-R03-BOB</t>
  </si>
  <si>
    <t>ACMB-06-RR03-BOB</t>
  </si>
  <si>
    <t>ACMB-06-V06-MS</t>
  </si>
  <si>
    <t>ACMB-06-V07-MS</t>
  </si>
  <si>
    <t>ACMB-06-V06-MSA</t>
  </si>
  <si>
    <t>ACMB-06-V07-MSA</t>
  </si>
  <si>
    <t>ACMB-06-V06-MSB</t>
  </si>
  <si>
    <t>ACMB-06-V07-MSB</t>
  </si>
  <si>
    <t>ACMB-06-R04-BO</t>
  </si>
  <si>
    <t>ACMB-06-RR04-BO</t>
  </si>
  <si>
    <t>ACMB-06-R04-BOA</t>
  </si>
  <si>
    <t>ACMB-06-RR04-BOA</t>
  </si>
  <si>
    <t>ACMB-06-R04-BOB</t>
  </si>
  <si>
    <t>ACMB-06-RR04-BOB</t>
  </si>
  <si>
    <t>ACMB-06-V08-MS</t>
  </si>
  <si>
    <t>ACMB-06-V09-MS</t>
  </si>
  <si>
    <t>ACMB-06-V08-MSA</t>
  </si>
  <si>
    <t>ACMB-06-V09-MSA</t>
  </si>
  <si>
    <t>ACMB-06-V08-MSB</t>
  </si>
  <si>
    <t>ACMB-06-V09-MSB</t>
  </si>
  <si>
    <t>ACMB-06-R05-BO</t>
  </si>
  <si>
    <t>ACMB-06-RR05-BO</t>
  </si>
  <si>
    <t>ACMB-06-R05-BOA</t>
  </si>
  <si>
    <t>ACMB-06-RR05-BOA</t>
  </si>
  <si>
    <t>ACMB-06-R05-BOB</t>
  </si>
  <si>
    <t>ACMB-06-RR05-BOB</t>
  </si>
  <si>
    <t>ACMB-06-V10-MS</t>
  </si>
  <si>
    <t>ACMB-06-V11-MS</t>
  </si>
  <si>
    <t>ACMB-06-V10-MSA</t>
  </si>
  <si>
    <t>ACMB-06-V11-MSA</t>
  </si>
  <si>
    <t>ACMB-06-V10-MSB</t>
  </si>
  <si>
    <t>ACMB-06-V11-MSB</t>
  </si>
  <si>
    <t>ACMB-06-R06-BO</t>
  </si>
  <si>
    <t>ACMB-06-RR06-BO</t>
  </si>
  <si>
    <t>ACMB-06-R06-BOA</t>
  </si>
  <si>
    <t>ACMB-06-RR06-BOA</t>
  </si>
  <si>
    <t>ACMB-06-R06-BOB</t>
  </si>
  <si>
    <t>ACMB-06-RR06-BOB</t>
  </si>
  <si>
    <t>ACMB-06-V12-MS</t>
  </si>
  <si>
    <t>ACMB-06-V13-MS</t>
  </si>
  <si>
    <t>ACMB-06-V12-MSA</t>
  </si>
  <si>
    <t>ACMB-06-V13-MSA</t>
  </si>
  <si>
    <t>ACMB-06-V12-MSB</t>
  </si>
  <si>
    <t>ACMB-06-V13-MSB</t>
  </si>
  <si>
    <t>ACMB-06-R07-BO</t>
  </si>
  <si>
    <t>ACMB-06-RR07-BO</t>
  </si>
  <si>
    <t>ACMB-06-R07-BOA</t>
  </si>
  <si>
    <t>ACMB-06-RR07-BOA</t>
  </si>
  <si>
    <t>ACMB-06-R07-BOB</t>
  </si>
  <si>
    <t>ACMB-06-RR07-BOB</t>
  </si>
  <si>
    <t>ACMB-06-V14-MS</t>
  </si>
  <si>
    <t>ACMB-06-V15-MS</t>
  </si>
  <si>
    <t>ACMB-06-V14-MSA</t>
  </si>
  <si>
    <t>ACMB-06-V15-MSA</t>
  </si>
  <si>
    <t>ACMB-06-V14-MSB</t>
  </si>
  <si>
    <t>ACMB-06-V15-MSB</t>
  </si>
  <si>
    <t>ACMB-07-R01-BO</t>
  </si>
  <si>
    <t>ACMB-07-RR01-BO</t>
  </si>
  <si>
    <t>ACMB-07-R01-BOA</t>
  </si>
  <si>
    <t>ACMB-07-RR01-BOA</t>
  </si>
  <si>
    <t>ACMB-07-R01-BOB</t>
  </si>
  <si>
    <t>ACMB-07-RR01-BOB</t>
  </si>
  <si>
    <t>ACMB-07-V02-MS</t>
  </si>
  <si>
    <t>ACMB-07-V03-MS</t>
  </si>
  <si>
    <t>ACMB-07-V02-MSA</t>
  </si>
  <si>
    <t>ACMB-07-V03-MSA</t>
  </si>
  <si>
    <t>ACMB-07-V02-MSB</t>
  </si>
  <si>
    <t>ACMB-07-V03-MSB</t>
  </si>
  <si>
    <t>ACMB-07-R02-BO</t>
  </si>
  <si>
    <t>ACMB-07-RR02-BO</t>
  </si>
  <si>
    <t>ACMB-07-R02-BOA</t>
  </si>
  <si>
    <t>ACMB-07-RR02-BOA</t>
  </si>
  <si>
    <t>ACMB-07-R02-BOB</t>
  </si>
  <si>
    <t>ACMB-07-RR02-BOB</t>
  </si>
  <si>
    <t>ACMB-07-V04-MS</t>
  </si>
  <si>
    <t>ACMB-07-V05-MS</t>
  </si>
  <si>
    <t>ACMB-07-V04-MSA</t>
  </si>
  <si>
    <t>ACMB-07-V05-MSA</t>
  </si>
  <si>
    <t>ACMB-07-V04-MSB</t>
  </si>
  <si>
    <t>ACMB-07-V05-MSB</t>
  </si>
  <si>
    <t>ACMB-07-R03-BO</t>
  </si>
  <si>
    <t>ACMB-07-RR03-BO</t>
  </si>
  <si>
    <t>ACMB-07-R03-BOA</t>
  </si>
  <si>
    <t>ACMB-07-RR03-BOA</t>
  </si>
  <si>
    <t>ACMB-07-R03-BOB</t>
  </si>
  <si>
    <t>ACMB-07-RR03-BOB</t>
  </si>
  <si>
    <t>ACMB-07-V06-MS</t>
  </si>
  <si>
    <t>ACMB-07-V07-MS</t>
  </si>
  <si>
    <t>ACMB-07-V06-MSA</t>
  </si>
  <si>
    <t>ACMB-07-V07-MSA</t>
  </si>
  <si>
    <t>ACMB-07-V06-MSB</t>
  </si>
  <si>
    <t>ACMB-07-V07-MSB</t>
  </si>
  <si>
    <t>ACMB-07-R04-BO</t>
  </si>
  <si>
    <t>ACMB-07-RR04-BO</t>
  </si>
  <si>
    <t>ACMB-07-R04-BOA</t>
  </si>
  <si>
    <t>ACMB-07-RR04-BOA</t>
  </si>
  <si>
    <t>ACMB-07-R04-BOB</t>
  </si>
  <si>
    <t>ACMB-07-RR04-BOB</t>
  </si>
  <si>
    <t>ACMB-07-V08-MS</t>
  </si>
  <si>
    <t>ACMB-07-V09-MS</t>
  </si>
  <si>
    <t>ACMB-07-V08-MSA</t>
  </si>
  <si>
    <t>ACMB-07-V09-MSA</t>
  </si>
  <si>
    <t>ACMB-07-V08-MSB</t>
  </si>
  <si>
    <t>ACMB-07-V09-MSB</t>
  </si>
  <si>
    <t>ACMB-07-R05-BO</t>
  </si>
  <si>
    <t>ACMB-07-RR05-BO</t>
  </si>
  <si>
    <t>ACMB-07-R05-BOA</t>
  </si>
  <si>
    <t>ACMB-07-RR05-BOA</t>
  </si>
  <si>
    <t>ACMB-07-R05-BOB</t>
  </si>
  <si>
    <t>ACMB-07-RR05-BOB</t>
  </si>
  <si>
    <t>ACMB-07-V10-MS</t>
  </si>
  <si>
    <t>ACMB-07-V11-MS</t>
  </si>
  <si>
    <t>ACMB-07-V10-MSA</t>
  </si>
  <si>
    <t>ACMB-07-V11-MSA</t>
  </si>
  <si>
    <t>ACMB-07-V10-MSB</t>
  </si>
  <si>
    <t>ACMB-07-V11-MSB</t>
  </si>
  <si>
    <t>ACMB-07-R06-BO</t>
  </si>
  <si>
    <t>ACMB-07-RR06-BO</t>
  </si>
  <si>
    <t>ACMB-07-R06-BOA</t>
  </si>
  <si>
    <t>ACMB-07-RR06-BOA</t>
  </si>
  <si>
    <t>ACMB-07-R06-BOB</t>
  </si>
  <si>
    <t>ACMB-07-RR06-BOB</t>
  </si>
  <si>
    <t>ACMB-07-V12-MS</t>
  </si>
  <si>
    <t>ACMB-07-V13-MS</t>
  </si>
  <si>
    <t>ACMB-07-V12-MSA</t>
  </si>
  <si>
    <t>ACMB-07-V13-MSA</t>
  </si>
  <si>
    <t>ACMB-07-V12-MSB</t>
  </si>
  <si>
    <t>ACMB-07-V13-MSB</t>
  </si>
  <si>
    <t>ACMB-07-R07-BO</t>
  </si>
  <si>
    <t>ACMB-07-RR07-BO</t>
  </si>
  <si>
    <t>ACMB-07-R07-BOA</t>
  </si>
  <si>
    <t>ACMB-07-RR07-BOA</t>
  </si>
  <si>
    <t>ACMB-07-R07-BOB</t>
  </si>
  <si>
    <t>ACMB-07-RR07-BOB</t>
  </si>
  <si>
    <t>ACMB-07-V14-MS</t>
  </si>
  <si>
    <t>ACMB-07-V15-MS</t>
  </si>
  <si>
    <t>ACMB-07-V14-MSA</t>
  </si>
  <si>
    <t>ACMB-07-V15-MSA</t>
  </si>
  <si>
    <t>ACMB-07-V14-MSB</t>
  </si>
  <si>
    <t>ACMB-07-V15-MSB</t>
  </si>
  <si>
    <t>ACMB-08-R01-BO</t>
  </si>
  <si>
    <t>ACMB-08-RR01-BO</t>
  </si>
  <si>
    <t>ACMB-08-R01-BOA</t>
  </si>
  <si>
    <t>ACMB-08-RR01-BOA</t>
  </si>
  <si>
    <t>ACMB-08-R01-BOB</t>
  </si>
  <si>
    <t>ACMB-08-RR01-BOB</t>
  </si>
  <si>
    <t>ACMB-08-V02-MS</t>
  </si>
  <si>
    <t>ACMB-08-V03-MS</t>
  </si>
  <si>
    <t>ACMB-08-V02-MSA</t>
  </si>
  <si>
    <t>ACMB-08-V03-MSA</t>
  </si>
  <si>
    <t>ACMB-08-V02-MSB</t>
  </si>
  <si>
    <t>ACMB-08-V03-MSB</t>
  </si>
  <si>
    <t>ACMB-08-R02-BO</t>
  </si>
  <si>
    <t>ACMB-08-RR02-BO</t>
  </si>
  <si>
    <t>ACMB-08-R02-BOA</t>
  </si>
  <si>
    <t>ACMB-08-RR02-BOA</t>
  </si>
  <si>
    <t>ACMB-08-R02-BOB</t>
  </si>
  <si>
    <t>ACMB-08-RR02-BOB</t>
  </si>
  <si>
    <t>ACMB-08-V04-MS</t>
  </si>
  <si>
    <t>ACMB-08-V05-MS</t>
  </si>
  <si>
    <t>ACMB-08-V04-MSA</t>
  </si>
  <si>
    <t>ACMB-08-V05-MSA</t>
  </si>
  <si>
    <t>ACMB-08-V04-MSB</t>
  </si>
  <si>
    <t>ACMB-08-V05-MSB</t>
  </si>
  <si>
    <t>ACMB-08-R03-BO</t>
  </si>
  <si>
    <t>ACMB-08-RR03-BO</t>
  </si>
  <si>
    <t>ACMB-08-R03-BOA</t>
  </si>
  <si>
    <t>ACMB-08-RR03-BOA</t>
  </si>
  <si>
    <t>ACMB-08-R03-BOB</t>
  </si>
  <si>
    <t>ACMB-08-RR03-BOB</t>
  </si>
  <si>
    <t>ACMB-08-V06-MS</t>
  </si>
  <si>
    <t>ACMB-08-V07-MS</t>
  </si>
  <si>
    <t>ACMB-08-V06-MSA</t>
  </si>
  <si>
    <t>ACMB-08-V07-MSA</t>
  </si>
  <si>
    <t>ACMB-08-V06-MSB</t>
  </si>
  <si>
    <t>ACMB-08-V07-MSB</t>
  </si>
  <si>
    <t>ACMB-08-R04-BO</t>
  </si>
  <si>
    <t>ACMB-08-RR04-BO</t>
  </si>
  <si>
    <t>ACMB-08-R04-BOA</t>
  </si>
  <si>
    <t>ACMB-08-RR04-BOA</t>
  </si>
  <si>
    <t>ACMB-08-R04-BOB</t>
  </si>
  <si>
    <t>ACMB-08-RR04-BOB</t>
  </si>
  <si>
    <t>ACMB-08-V08-MS</t>
  </si>
  <si>
    <t>ACMB-08-V09-MS</t>
  </si>
  <si>
    <t>ACMB-08-V08-MSA</t>
  </si>
  <si>
    <t>ACMB-08-V09-MSA</t>
  </si>
  <si>
    <t>ACMB-08-V08-MSB</t>
  </si>
  <si>
    <t>ACMB-08-V09-MSB</t>
  </si>
  <si>
    <t>ACMB-08-R05-BO</t>
  </si>
  <si>
    <t>ACMB-08-RR05-BO</t>
  </si>
  <si>
    <t>ACMB-08-R05-BOA</t>
  </si>
  <si>
    <t>ACMB-08-RR05-BOA</t>
  </si>
  <si>
    <t>ACMB-08-R05-BOB</t>
  </si>
  <si>
    <t>ACMB-08-RR05-BOB</t>
  </si>
  <si>
    <t>ACMB-08-V10-MS</t>
  </si>
  <si>
    <t>ACMB-08-V11-MS</t>
  </si>
  <si>
    <t>ACMB-08-V10-MSA</t>
  </si>
  <si>
    <t>ACMB-08-V11-MSA</t>
  </si>
  <si>
    <t>ACMB-08-V10-MSB</t>
  </si>
  <si>
    <t>ACMB-08-V11-MSB</t>
  </si>
  <si>
    <t>ACMB-08-R06-BO</t>
  </si>
  <si>
    <t>ACMB-08-RR06-BO</t>
  </si>
  <si>
    <t>ACMB-08-R06-BOA</t>
  </si>
  <si>
    <t>ACMB-08-RR06-BOA</t>
  </si>
  <si>
    <t>ACMB-08-R06-BOB</t>
  </si>
  <si>
    <t>ACMB-08-RR06-BOB</t>
  </si>
  <si>
    <t>ACMB-08-V12-MS</t>
  </si>
  <si>
    <t>ACMB-08-V13-MS</t>
  </si>
  <si>
    <t>ACMB-08-V12-MSA</t>
  </si>
  <si>
    <t>ACMB-08-V13-MSA</t>
  </si>
  <si>
    <t>ACMB-08-V12-MSB</t>
  </si>
  <si>
    <t>ACMB-08-V13-MSB</t>
  </si>
  <si>
    <t>ACMB-08-R07-BO</t>
  </si>
  <si>
    <t>ACMB-08-RR07-BO</t>
  </si>
  <si>
    <t>ACMB-08-R07-BOA</t>
  </si>
  <si>
    <t>ACMB-08-RR07-BOA</t>
  </si>
  <si>
    <t>ACMB-08-R07-BOB</t>
  </si>
  <si>
    <t>ACMB-08-RR07-BOB</t>
  </si>
  <si>
    <t>ACMB-08-V14-MS</t>
  </si>
  <si>
    <t>ACMB-08-V15-MS</t>
  </si>
  <si>
    <t>ACMB-08-V14-MSA</t>
  </si>
  <si>
    <t>ACMB-08-V15-MSA</t>
  </si>
  <si>
    <t>ACMB-08-V14-MSB</t>
  </si>
  <si>
    <t>ACMB-08-V15-MSB</t>
  </si>
  <si>
    <t>ACMB-09-R01-BO</t>
  </si>
  <si>
    <t>ACMB-09-RR01-BO</t>
  </si>
  <si>
    <t>ACMB-09-R01-BOA</t>
  </si>
  <si>
    <t>ACMB-09-RR01-BOA</t>
  </si>
  <si>
    <t>ACMB-09-R01-BOB</t>
  </si>
  <si>
    <t>ACMB-09-RR01-BOB</t>
  </si>
  <si>
    <t>ACMB-09-V02-MS</t>
  </si>
  <si>
    <t>ACMB-09-V03-MS</t>
  </si>
  <si>
    <t>ACMB-09-V02-MSA</t>
  </si>
  <si>
    <t>ACMB-09-V03-MSA</t>
  </si>
  <si>
    <t>ACMB-09-V02-MSB</t>
  </si>
  <si>
    <t>ACMB-09-V03-MSB</t>
  </si>
  <si>
    <t>ACMB-09-R02-BO</t>
  </si>
  <si>
    <t>ACMB-09-RR02-BO</t>
  </si>
  <si>
    <t>ACMB-09-R02-BOA</t>
  </si>
  <si>
    <t>ACMB-09-RR02-BOA</t>
  </si>
  <si>
    <t>ACMB-09-R02-BOB</t>
  </si>
  <si>
    <t>ACMB-09-RR02-BOB</t>
  </si>
  <si>
    <t>ACMB-09-V04-MS</t>
  </si>
  <si>
    <t>ACMB-09-V05-MS</t>
  </si>
  <si>
    <t>ACMB-09-V04-MSA</t>
  </si>
  <si>
    <t>ACMB-09-V05-MSA</t>
  </si>
  <si>
    <t>ACMB-09-V04-MSB</t>
  </si>
  <si>
    <t>ACMB-09-V05-MSB</t>
  </si>
  <si>
    <t>ACMB-09-R03-BO</t>
  </si>
  <si>
    <t>ACMB-09-RR03-BO</t>
  </si>
  <si>
    <t>ACMB-09-R03-BOA</t>
  </si>
  <si>
    <t>ACMB-09-RR03-BOA</t>
  </si>
  <si>
    <t>ACMB-09-R03-BOB</t>
  </si>
  <si>
    <t>ACMB-09-RR03-BOB</t>
  </si>
  <si>
    <t>ACMB-09-V06-MS</t>
  </si>
  <si>
    <t>ACMB-09-V07-MS</t>
  </si>
  <si>
    <t>ACMB-09-V06-MSA</t>
  </si>
  <si>
    <t>ACMB-09-V07-MSA</t>
  </si>
  <si>
    <t>ACMB-09-V06-MSB</t>
  </si>
  <si>
    <t>ACMB-09-V07-MSB</t>
  </si>
  <si>
    <t>ACMB-09-R04-BO</t>
  </si>
  <si>
    <t>ACMB-09-RR04-BO</t>
  </si>
  <si>
    <t>ACMB-09-R04-BOA</t>
  </si>
  <si>
    <t>ACMB-09-RR04-BOA</t>
  </si>
  <si>
    <t>ACMB-09-R04-BOB</t>
  </si>
  <si>
    <t>ACMB-09-RR04-BOB</t>
  </si>
  <si>
    <t>ACMB-09-V08-MS</t>
  </si>
  <si>
    <t>ACMB-09-V09-MS</t>
  </si>
  <si>
    <t>ACMB-09-V08-MSA</t>
  </si>
  <si>
    <t>ACMB-09-V09-MSA</t>
  </si>
  <si>
    <t>ACMB-09-V08-MSB</t>
  </si>
  <si>
    <t>ACMB-09-V09-MSB</t>
  </si>
  <si>
    <t>ACMB-09-R05-BO</t>
  </si>
  <si>
    <t>ACMB-09-RR05-BO</t>
  </si>
  <si>
    <t>ACMB-09-R05-BOA</t>
  </si>
  <si>
    <t>ACMB-09-RR05-BOA</t>
  </si>
  <si>
    <t>ACMB-09-R05-BOB</t>
  </si>
  <si>
    <t>ACMB-09-RR05-BOB</t>
  </si>
  <si>
    <t>ACMB-09-V10-MS</t>
  </si>
  <si>
    <t>ACMB-09-V11-MS</t>
  </si>
  <si>
    <t>ACMB-09-V10-MSA</t>
  </si>
  <si>
    <t>ACMB-09-V11-MSA</t>
  </si>
  <si>
    <t>ACMB-09-V10-MSB</t>
  </si>
  <si>
    <t>ACMB-09-V11-MSB</t>
  </si>
  <si>
    <t>ACMB-09-R06-BO</t>
  </si>
  <si>
    <t>ACMB-09-RR06-BO</t>
  </si>
  <si>
    <t>ACMB-09-R06-BOA</t>
  </si>
  <si>
    <t>ACMB-09-RR06-BOA</t>
  </si>
  <si>
    <t>ACMB-09-R06-BOB</t>
  </si>
  <si>
    <t>ACMB-09-RR06-BOB</t>
  </si>
  <si>
    <t>ACMB-09-V12-MS</t>
  </si>
  <si>
    <t>ACMB-09-V13-MS</t>
  </si>
  <si>
    <t>ACMB-09-V12-MSA</t>
  </si>
  <si>
    <t>ACMB-09-V13-MSA</t>
  </si>
  <si>
    <t>ACMB-09-V12-MSB</t>
  </si>
  <si>
    <t>ACMB-09-V13-MSB</t>
  </si>
  <si>
    <t>ACMB-09-R07-BO</t>
  </si>
  <si>
    <t>ACMB-09-RR07-BO</t>
  </si>
  <si>
    <t>ACMB-09-R07-BOA</t>
  </si>
  <si>
    <t>ACMB-09-RR07-BOA</t>
  </si>
  <si>
    <t>ACMB-09-R07-BOB</t>
  </si>
  <si>
    <t>ACMB-09-RR07-BOB</t>
  </si>
  <si>
    <t>ACMB-09-V14-MS</t>
  </si>
  <si>
    <t>ACMB-09-V15-MS</t>
  </si>
  <si>
    <t>ACMB-09-V14-MSA</t>
  </si>
  <si>
    <t>ACMB-09-V15-MSA</t>
  </si>
  <si>
    <t>ACMB-09-V14-MSB</t>
  </si>
  <si>
    <t>ACMB-09-V15-MSB</t>
  </si>
  <si>
    <t>ACMB-10-R01-BO</t>
  </si>
  <si>
    <t>ACMB-10-RR01-BO</t>
  </si>
  <si>
    <t>ACMB-10-R01-BOA</t>
  </si>
  <si>
    <t>ACMB-10-RR01-BOA</t>
  </si>
  <si>
    <t>ACMB-10-R01-BOB</t>
  </si>
  <si>
    <t>ACMB-10-RR01-BOB</t>
  </si>
  <si>
    <t>ACMB-10-V02-MS</t>
  </si>
  <si>
    <t>ACMB-10-V03-MS</t>
  </si>
  <si>
    <t>ACMB-10-V02-MSA</t>
  </si>
  <si>
    <t>ACMB-10-V03-MSA</t>
  </si>
  <si>
    <t>ACMB-10-V02-MSB</t>
  </si>
  <si>
    <t>ACMB-10-V03-MSB</t>
  </si>
  <si>
    <t>ACMB-10-R02-BO</t>
  </si>
  <si>
    <t>ACMB-10-RR02-BO</t>
  </si>
  <si>
    <t>ACMB-10-R02-BOA</t>
  </si>
  <si>
    <t>ACMB-10-RR02-BOA</t>
  </si>
  <si>
    <t>ACMB-10-R02-BOB</t>
  </si>
  <si>
    <t>ACMB-10-RR02-BOB</t>
  </si>
  <si>
    <t>ACMB-10-V04-MS</t>
  </si>
  <si>
    <t>ACMB-10-V05-MS</t>
  </si>
  <si>
    <t>ACMB-10-V04-MSA</t>
  </si>
  <si>
    <t>ACMB-10-V05-MSA</t>
  </si>
  <si>
    <t>ACMB-10-V04-MSB</t>
  </si>
  <si>
    <t>ACMB-10-V05-MSB</t>
  </si>
  <si>
    <t>ACMB-10-R03-BO</t>
  </si>
  <si>
    <t>ACMB-10-RR03-BO</t>
  </si>
  <si>
    <t>ACMB-10-R03-BOA</t>
  </si>
  <si>
    <t>ACMB-10-RR03-BOA</t>
  </si>
  <si>
    <t>ACMB-10-R03-BOB</t>
  </si>
  <si>
    <t>ACMB-10-RR03-BOB</t>
  </si>
  <si>
    <t>ACMB-10-V06-MS</t>
  </si>
  <si>
    <t>ACMB-10-V07-MS</t>
  </si>
  <si>
    <t>ACMB-10-V06-MSA</t>
  </si>
  <si>
    <t>ACMB-10-V07-MSA</t>
  </si>
  <si>
    <t>ACMB-10-V06-MSB</t>
  </si>
  <si>
    <t>ACMB-10-V07-MSB</t>
  </si>
  <si>
    <t>ACMB-10-R04-BO</t>
  </si>
  <si>
    <t>ACMB-10-RR04-BO</t>
  </si>
  <si>
    <t>ACMB-10-R04-BOA</t>
  </si>
  <si>
    <t>ACMB-10-RR04-BOA</t>
  </si>
  <si>
    <t>ACMB-10-R04-BOB</t>
  </si>
  <si>
    <t>ACMB-10-RR04-BOB</t>
  </si>
  <si>
    <t>ACMB-10-V08-MS</t>
  </si>
  <si>
    <t>ACMB-10-V09-MS</t>
  </si>
  <si>
    <t>ACMB-10-V08-MSA</t>
  </si>
  <si>
    <t>ACMB-10-V09-MSA</t>
  </si>
  <si>
    <t>ACMB-10-V08-MSB</t>
  </si>
  <si>
    <t>ACMB-10-V09-MSB</t>
  </si>
  <si>
    <t>ACMB-10-R05-BO</t>
  </si>
  <si>
    <t>ACMB-10-RR05-BO</t>
  </si>
  <si>
    <t>ACMB-10-R05-BOA</t>
  </si>
  <si>
    <t>ACMB-10-RR05-BOA</t>
  </si>
  <si>
    <t>ACMB-10-R05-BOB</t>
  </si>
  <si>
    <t>ACMB-10-RR05-BOB</t>
  </si>
  <si>
    <t>ACMB-10-V10-MS</t>
  </si>
  <si>
    <t>ACMB-10-V11-MS</t>
  </si>
  <si>
    <t>ACMB-10-V10-MSA</t>
  </si>
  <si>
    <t>ACMB-10-V11-MSA</t>
  </si>
  <si>
    <t>ACMB-10-V10-MSB</t>
  </si>
  <si>
    <t>ACMB-10-V11-MSB</t>
  </si>
  <si>
    <t>ACMB-10-R06-BO</t>
  </si>
  <si>
    <t>ACMB-10-RR06-BO</t>
  </si>
  <si>
    <t>ACMB-10-R06-BOA</t>
  </si>
  <si>
    <t>ACMB-10-RR06-BOA</t>
  </si>
  <si>
    <t>ACMB-10-R06-BOB</t>
  </si>
  <si>
    <t>ACMB-10-RR06-BOB</t>
  </si>
  <si>
    <t>ACMB-10-V12-MS</t>
  </si>
  <si>
    <t>ACMB-10-V13-MS</t>
  </si>
  <si>
    <t>ACMB-10-V12-MSA</t>
  </si>
  <si>
    <t>ACMB-10-V13-MSA</t>
  </si>
  <si>
    <t>ACMB-10-V12-MSB</t>
  </si>
  <si>
    <t>ACMB-10-V13-MSB</t>
  </si>
  <si>
    <t>ACMB-10-R07-BO</t>
  </si>
  <si>
    <t>ACMB-10-RR07-BO</t>
  </si>
  <si>
    <t>ACMB-10-R07-BOA</t>
  </si>
  <si>
    <t>ACMB-10-RR07-BOA</t>
  </si>
  <si>
    <t>ACMB-10-R07-BOB</t>
  </si>
  <si>
    <t>ACMB-10-RR07-BOB</t>
  </si>
  <si>
    <t>ACMB-10-V14-MS</t>
  </si>
  <si>
    <t>ACMB-10-V15-MS</t>
  </si>
  <si>
    <t>ACMB-10-V14-MSA</t>
  </si>
  <si>
    <t>ACMB-10-V15-MSA</t>
  </si>
  <si>
    <t>ACMB-10-V14-MSB</t>
  </si>
  <si>
    <t>ACMB-10-V15-MSB</t>
  </si>
  <si>
    <t>ACMB-11-R01-BO</t>
  </si>
  <si>
    <t>ACMB-11-RR01-BO</t>
  </si>
  <si>
    <t>ACMB-11-R01-BOA</t>
  </si>
  <si>
    <t>ACMB-11-RR01-BOA</t>
  </si>
  <si>
    <t>ACMB-11-R01-BOB</t>
  </si>
  <si>
    <t>ACMB-11-RR01-BOB</t>
  </si>
  <si>
    <t>ACMB-11-V02-MS</t>
  </si>
  <si>
    <t>ACMB-11-V03-MS</t>
  </si>
  <si>
    <t>ACMB-11-V02-MSA</t>
  </si>
  <si>
    <t>ACMB-11-V03-MSA</t>
  </si>
  <si>
    <t>ACMB-11-V02-MSB</t>
  </si>
  <si>
    <t>ACMB-11-V03-MSB</t>
  </si>
  <si>
    <t>ACMB-11-R02-BO</t>
  </si>
  <si>
    <t>ACMB-11-RR02-BO</t>
  </si>
  <si>
    <t>ACMB-11-R02-BOA</t>
  </si>
  <si>
    <t>ACMB-11-RR02-BOA</t>
  </si>
  <si>
    <t>ACMB-11-R02-BOB</t>
  </si>
  <si>
    <t>ACMB-11-RR02-BOB</t>
  </si>
  <si>
    <t>ACMB-11-V04-MS</t>
  </si>
  <si>
    <t>ACMB-11-V05-MS</t>
  </si>
  <si>
    <t>ACMB-11-V04-MSA</t>
  </si>
  <si>
    <t>ACMB-11-V05-MSA</t>
  </si>
  <si>
    <t>ACMB-11-V04-MSB</t>
  </si>
  <si>
    <t>ACMB-11-V05-MSB</t>
  </si>
  <si>
    <t>ACMB-11-R03-BO</t>
  </si>
  <si>
    <t>ACMB-11-RR03-BO</t>
  </si>
  <si>
    <t>ACMB-11-R03-BOA</t>
  </si>
  <si>
    <t>ACMB-11-RR03-BOA</t>
  </si>
  <si>
    <t>ACMB-11-R03-BOB</t>
  </si>
  <si>
    <t>ACMB-11-RR03-BOB</t>
  </si>
  <si>
    <t>ACMB-11-V06-MS</t>
  </si>
  <si>
    <t>ACMB-11-V07-MS</t>
  </si>
  <si>
    <t>ACMB-11-V06-MSA</t>
  </si>
  <si>
    <t>ACMB-11-V07-MSA</t>
  </si>
  <si>
    <t>ACMB-11-V06-MSB</t>
  </si>
  <si>
    <t>ACMB-11-V07-MSB</t>
  </si>
  <si>
    <t>ACMB-11-R04-BO</t>
  </si>
  <si>
    <t>ACMB-11-RR04-BO</t>
  </si>
  <si>
    <t>ACMB-11-R04-BOA</t>
  </si>
  <si>
    <t>ACMB-11-RR04-BOA</t>
  </si>
  <si>
    <t>ACMB-11-R04-BOB</t>
  </si>
  <si>
    <t>ACMB-11-RR04-BOB</t>
  </si>
  <si>
    <t>ACMB-11-V08-MS</t>
  </si>
  <si>
    <t>ACMB-11-V09-MS</t>
  </si>
  <si>
    <t>ACMB-11-V08-MSA</t>
  </si>
  <si>
    <t>ACMB-11-V09-MSA</t>
  </si>
  <si>
    <t>ACMB-11-V08-MSB</t>
  </si>
  <si>
    <t>ACMB-11-V09-MSB</t>
  </si>
  <si>
    <t>ACMB-11-R05-BO</t>
  </si>
  <si>
    <t>ACMB-11-RR05-BO</t>
  </si>
  <si>
    <t>ACMB-11-R05-BOA</t>
  </si>
  <si>
    <t>ACMB-11-RR05-BOA</t>
  </si>
  <si>
    <t>ACMB-11-R05-BOB</t>
  </si>
  <si>
    <t>ACMB-11-RR05-BOB</t>
  </si>
  <si>
    <t>ACMB-11-V10-MS</t>
  </si>
  <si>
    <t>ACMB-11-V11-MS</t>
  </si>
  <si>
    <t>ACMB-11-V10-MSA</t>
  </si>
  <si>
    <t>ACMB-11-V11-MSA</t>
  </si>
  <si>
    <t>ACMB-11-V10-MSB</t>
  </si>
  <si>
    <t>ACMB-11-V11-MSB</t>
  </si>
  <si>
    <t>ACMB-11-R06-BO</t>
  </si>
  <si>
    <t>ACMB-11-RR06-BO</t>
  </si>
  <si>
    <t>ACMB-11-R06-BOA</t>
  </si>
  <si>
    <t>ACMB-11-RR06-BOA</t>
  </si>
  <si>
    <t>ACMB-11-R06-BOB</t>
  </si>
  <si>
    <t>ACMB-11-RR06-BOB</t>
  </si>
  <si>
    <t>ACMB-11-V12-MS</t>
  </si>
  <si>
    <t>ACMB-11-V13-MS</t>
  </si>
  <si>
    <t>ACMB-11-V12-MSA</t>
  </si>
  <si>
    <t>ACMB-11-V13-MSA</t>
  </si>
  <si>
    <t>ACMB-11-V12-MSB</t>
  </si>
  <si>
    <t>ACMB-11-V13-MSB</t>
  </si>
  <si>
    <t>ACMB-11-R07-BO</t>
  </si>
  <si>
    <t>ACMB-11-RR07-BO</t>
  </si>
  <si>
    <t>ACMB-11-R07-BOA</t>
  </si>
  <si>
    <t>ACMB-11-RR07-BOA</t>
  </si>
  <si>
    <t>ACMB-11-R07-BOB</t>
  </si>
  <si>
    <t>ACMB-11-RR07-BOB</t>
  </si>
  <si>
    <t>ACMB-11-V14-MS</t>
  </si>
  <si>
    <t>ACMB-11-V15-MS</t>
  </si>
  <si>
    <t>ACMB-11-V14-MSA</t>
  </si>
  <si>
    <t>ACMB-11-V15-MSA</t>
  </si>
  <si>
    <t>ACMB-11-V14-MSB</t>
  </si>
  <si>
    <t>ACMB-11-V15-MSB</t>
  </si>
  <si>
    <t>ACMB-12-R01-BO</t>
  </si>
  <si>
    <t>ACMB-12-RR01-BO</t>
  </si>
  <si>
    <t>ACMB-12-R01-BOA</t>
  </si>
  <si>
    <t>ACMB-12-RR01-BOA</t>
  </si>
  <si>
    <t>ACMB-12-R01-BOB</t>
  </si>
  <si>
    <t>ACMB-12-RR01-BOB</t>
  </si>
  <si>
    <t>ACMB-12-V02-MS</t>
  </si>
  <si>
    <t>ACMB-12-V03-MS</t>
  </si>
  <si>
    <t>ACMB-12-V02-MSA</t>
  </si>
  <si>
    <t>ACMB-12-V03-MSA</t>
  </si>
  <si>
    <t>ACMB-12-V02-MSB</t>
  </si>
  <si>
    <t>ACMB-12-V03-MSB</t>
  </si>
  <si>
    <t>ACMB-12-R02-BO</t>
  </si>
  <si>
    <t>ACMB-12-RR02-BO</t>
  </si>
  <si>
    <t>ACMB-12-R02-BOA</t>
  </si>
  <si>
    <t>ACMB-12-RR02-BOA</t>
  </si>
  <si>
    <t>ACMB-12-R02-BOB</t>
  </si>
  <si>
    <t>ACMB-12-RR02-BOB</t>
  </si>
  <si>
    <t>ACMB-12-V04-MS</t>
  </si>
  <si>
    <t>ACMB-12-V05-MS</t>
  </si>
  <si>
    <t>ACMB-12-V04-MSA</t>
  </si>
  <si>
    <t>ACMB-12-V05-MSA</t>
  </si>
  <si>
    <t>ACMB-12-V04-MSB</t>
  </si>
  <si>
    <t>ACMB-12-V05-MSB</t>
  </si>
  <si>
    <t>ACMB-12-R03-BO</t>
  </si>
  <si>
    <t>ACMB-12-RR03-BO</t>
  </si>
  <si>
    <t>ACMB-12-R03-BOA</t>
  </si>
  <si>
    <t>ACMB-12-RR03-BOA</t>
  </si>
  <si>
    <t>ACMB-12-R03-BOB</t>
  </si>
  <si>
    <t>ACMB-12-RR03-BOB</t>
  </si>
  <si>
    <t>ACMB-12-V06-MS</t>
  </si>
  <si>
    <t>ACMB-12-V07-MS</t>
  </si>
  <si>
    <t>ACMB-12-V06-MSA</t>
  </si>
  <si>
    <t>ACMB-12-V07-MSA</t>
  </si>
  <si>
    <t>ACMB-12-V06-MSB</t>
  </si>
  <si>
    <t>ACMB-12-V07-MSB</t>
  </si>
  <si>
    <t>ACMB-12-R04-BO</t>
  </si>
  <si>
    <t>ACMB-12-RR04-BO</t>
  </si>
  <si>
    <t>ACMB-12-R04-BOA</t>
  </si>
  <si>
    <t>ACMB-12-RR04-BOA</t>
  </si>
  <si>
    <t>ACMB-12-R04-BOB</t>
  </si>
  <si>
    <t>ACMB-12-RR04-BOB</t>
  </si>
  <si>
    <t>ACMB-12-V08-MS</t>
  </si>
  <si>
    <t>ACMB-12-V09-MS</t>
  </si>
  <si>
    <t>ACMB-12-V08-MSA</t>
  </si>
  <si>
    <t>ACMB-12-V09-MSA</t>
  </si>
  <si>
    <t>ACMB-12-V08-MSB</t>
  </si>
  <si>
    <t>ACMB-12-V09-MSB</t>
  </si>
  <si>
    <t>ACMB-12-R05-BO</t>
  </si>
  <si>
    <t>ACMB-12-RR05-BO</t>
  </si>
  <si>
    <t>ACMB-12-R05-BOA</t>
  </si>
  <si>
    <t>ACMB-12-RR05-BOA</t>
  </si>
  <si>
    <t>ACMB-12-R05-BOB</t>
  </si>
  <si>
    <t>ACMB-12-RR05-BOB</t>
  </si>
  <si>
    <t>ACMB-12-V10-MS</t>
  </si>
  <si>
    <t>ACMB-12-V11-MS</t>
  </si>
  <si>
    <t>ACMB-12-V10-MSA</t>
  </si>
  <si>
    <t>ACMB-12-V11-MSA</t>
  </si>
  <si>
    <t>ACMB-12-V10-MSB</t>
  </si>
  <si>
    <t>ACMB-12-V11-MSB</t>
  </si>
  <si>
    <t>ACMB-12-R06-BO</t>
  </si>
  <si>
    <t>ACMB-12-RR06-BO</t>
  </si>
  <si>
    <t>ACMB-12-R06-BOA</t>
  </si>
  <si>
    <t>ACMB-12-RR06-BOA</t>
  </si>
  <si>
    <t>ACMB-12-R06-BOB</t>
  </si>
  <si>
    <t>ACMB-12-RR06-BOB</t>
  </si>
  <si>
    <t>ACMB-12-V12-MS</t>
  </si>
  <si>
    <t>ACMB-12-V13-MS</t>
  </si>
  <si>
    <t>ACMB-12-V12-MSA</t>
  </si>
  <si>
    <t>ACMB-12-V13-MSA</t>
  </si>
  <si>
    <t>ACMB-12-V12-MSB</t>
  </si>
  <si>
    <t>ACMB-12-V13-MSB</t>
  </si>
  <si>
    <t>ACMB-12-R07-BO</t>
  </si>
  <si>
    <t>ACMB-12-RR07-BO</t>
  </si>
  <si>
    <t>ACMB-12-R07-BOA</t>
  </si>
  <si>
    <t>ACMB-12-RR07-BOA</t>
  </si>
  <si>
    <t>ACMB-12-R07-BOB</t>
  </si>
  <si>
    <t>ACMB-12-RR07-BOB</t>
  </si>
  <si>
    <t>ACMB-12-V14-MS</t>
  </si>
  <si>
    <t>ACMB-12-V15-MS</t>
  </si>
  <si>
    <t>ACMB-12-V14-MSA</t>
  </si>
  <si>
    <t>ACMB-12-V15-MSA</t>
  </si>
  <si>
    <t>ACMB-12-V14-MSB</t>
  </si>
  <si>
    <t>ACMB-12-V15-MSB</t>
  </si>
  <si>
    <t>ACMB-13-R01-BO</t>
  </si>
  <si>
    <t>ACMB-13-RR01-BO</t>
  </si>
  <si>
    <t>ACMB-13-R01-BOA</t>
  </si>
  <si>
    <t>ACMB-13-RR01-BOA</t>
  </si>
  <si>
    <t>ACMB-13-R01-BOB</t>
  </si>
  <si>
    <t>ACMB-13-RR01-BOB</t>
  </si>
  <si>
    <t>ACMB-13-V02-MS</t>
  </si>
  <si>
    <t>ACMB-13-V03-MS</t>
  </si>
  <si>
    <t>ACMB-13-V02-MSA</t>
  </si>
  <si>
    <t>ACMB-13-V03-MSA</t>
  </si>
  <si>
    <t>ACMB-13-V02-MSB</t>
  </si>
  <si>
    <t>ACMB-13-V03-MSB</t>
  </si>
  <si>
    <t>ACMB-13-R02-BO</t>
  </si>
  <si>
    <t>ACMB-13-RR02-BO</t>
  </si>
  <si>
    <t>ACMB-13-R02-BOA</t>
  </si>
  <si>
    <t>ACMB-13-RR02-BOA</t>
  </si>
  <si>
    <t>ACMB-13-R02-BOB</t>
  </si>
  <si>
    <t>ACMB-13-RR02-BOB</t>
  </si>
  <si>
    <t>ACMB-13-V04-MS</t>
  </si>
  <si>
    <t>ACMB-13-V05-MS</t>
  </si>
  <si>
    <t>ACMB-13-V04-MSA</t>
  </si>
  <si>
    <t>ACMB-13-V05-MSA</t>
  </si>
  <si>
    <t>ACMB-13-V04-MSB</t>
  </si>
  <si>
    <t>ACMB-13-V05-MSB</t>
  </si>
  <si>
    <t>ACMB-13-R03-BO</t>
  </si>
  <si>
    <t>ACMB-13-RR03-BO</t>
  </si>
  <si>
    <t>ACMB-13-R03-BOA</t>
  </si>
  <si>
    <t>ACMB-13-RR03-BOA</t>
  </si>
  <si>
    <t>ACMB-13-R03-BOB</t>
  </si>
  <si>
    <t>ACMB-13-RR03-BOB</t>
  </si>
  <si>
    <t>ACMB-13-V06-MS</t>
  </si>
  <si>
    <t>ACMB-13-V07-MS</t>
  </si>
  <si>
    <t>ACMB-13-V06-MSA</t>
  </si>
  <si>
    <t>ACMB-13-V07-MSA</t>
  </si>
  <si>
    <t>ACMB-13-V06-MSB</t>
  </si>
  <si>
    <t>ACMB-13-V07-MSB</t>
  </si>
  <si>
    <t>ACMB-13-R04-BO</t>
  </si>
  <si>
    <t>ACMB-13-RR04-BO</t>
  </si>
  <si>
    <t>ACMB-13-R04-BOA</t>
  </si>
  <si>
    <t>ACMB-13-RR04-BOA</t>
  </si>
  <si>
    <t>ACMB-13-R04-BOB</t>
  </si>
  <si>
    <t>ACMB-13-RR04-BOB</t>
  </si>
  <si>
    <t>ACMB-13-V08-MS</t>
  </si>
  <si>
    <t>ACMB-13-V09-MS</t>
  </si>
  <si>
    <t>ACMB-13-V08-MSA</t>
  </si>
  <si>
    <t>ACMB-13-V09-MSA</t>
  </si>
  <si>
    <t>ACMB-13-V08-MSB</t>
  </si>
  <si>
    <t>ACMB-13-V09-MSB</t>
  </si>
  <si>
    <t>ACMB-13-R05-BO</t>
  </si>
  <si>
    <t>ACMB-13-RR05-BO</t>
  </si>
  <si>
    <t>ACMB-13-R05-BOA</t>
  </si>
  <si>
    <t>ACMB-13-RR05-BOA</t>
  </si>
  <si>
    <t>ACMB-13-R05-BOB</t>
  </si>
  <si>
    <t>ACMB-13-RR05-BOB</t>
  </si>
  <si>
    <t>ACMB-13-V10-MS</t>
  </si>
  <si>
    <t>ACMB-13-V11-MS</t>
  </si>
  <si>
    <t>ACMB-13-V10-MSA</t>
  </si>
  <si>
    <t>ACMB-13-V11-MSA</t>
  </si>
  <si>
    <t>ACMB-13-V10-MSB</t>
  </si>
  <si>
    <t>ACMB-13-V11-MSB</t>
  </si>
  <si>
    <t>ACMB-13-R06-BO</t>
  </si>
  <si>
    <t>ACMB-13-RR06-BO</t>
  </si>
  <si>
    <t>ACMB-13-R06-BOA</t>
  </si>
  <si>
    <t>ACMB-13-RR06-BOA</t>
  </si>
  <si>
    <t>ACMB-13-R06-BOB</t>
  </si>
  <si>
    <t>ACMB-13-RR06-BOB</t>
  </si>
  <si>
    <t>ACMB-13-V12-MS</t>
  </si>
  <si>
    <t>ACMB-13-V13-MS</t>
  </si>
  <si>
    <t>ACMB-13-V12-MSA</t>
  </si>
  <si>
    <t>ACMB-13-V13-MSA</t>
  </si>
  <si>
    <t>ACMB-13-V12-MSB</t>
  </si>
  <si>
    <t>ACMB-13-V13-MSB</t>
  </si>
  <si>
    <t>ACMB-13-R07-BO</t>
  </si>
  <si>
    <t>ACMB-13-RR07-BO</t>
  </si>
  <si>
    <t>ACMB-13-R07-BOA</t>
  </si>
  <si>
    <t>ACMB-13-RR07-BOA</t>
  </si>
  <si>
    <t>ACMB-13-R07-BOB</t>
  </si>
  <si>
    <t>ACMB-13-RR07-BOB</t>
  </si>
  <si>
    <t>ACMB-13-V14-MS</t>
  </si>
  <si>
    <t>ACMB-13-V15-MS</t>
  </si>
  <si>
    <t>ACMB-13-V14-MSA</t>
  </si>
  <si>
    <t>ACMB-13-V15-MSA</t>
  </si>
  <si>
    <t>ACMB-13-V14-MSB</t>
  </si>
  <si>
    <t>ACMB-13-V15-MSB</t>
  </si>
  <si>
    <t>ACMB-14-R01-BO</t>
  </si>
  <si>
    <t>ACMB-14-RR01-BO</t>
  </si>
  <si>
    <t>ACMB-14-R01-BOA</t>
  </si>
  <si>
    <t>ACMB-14-RR01-BOA</t>
  </si>
  <si>
    <t>ACMB-14-R01-BOB</t>
  </si>
  <si>
    <t>ACMB-14-RR01-BOB</t>
  </si>
  <si>
    <t>ACMB-14-V02-MS</t>
  </si>
  <si>
    <t>ACMB-14-V03-MS</t>
  </si>
  <si>
    <t>ACMB-14-V02-MSA</t>
  </si>
  <si>
    <t>ACMB-14-V03-MSA</t>
  </si>
  <si>
    <t>ACMB-14-V02-MSB</t>
  </si>
  <si>
    <t>ACMB-14-V03-MSB</t>
  </si>
  <si>
    <t>ACMB-14-R02-BO</t>
  </si>
  <si>
    <t>ACMB-14-RR02-BO</t>
  </si>
  <si>
    <t>ACMB-14-R02-BOA</t>
  </si>
  <si>
    <t>ACMB-14-RR02-BOA</t>
  </si>
  <si>
    <t>ACMB-14-R02-BOB</t>
  </si>
  <si>
    <t>ACMB-14-RR02-BOB</t>
  </si>
  <si>
    <t>ACMB-14-V04-MS</t>
  </si>
  <si>
    <t>ACMB-14-V05-MS</t>
  </si>
  <si>
    <t>ACMB-14-V04-MSA</t>
  </si>
  <si>
    <t>ACMB-14-V05-MSA</t>
  </si>
  <si>
    <t>ACMB-14-V04-MSB</t>
  </si>
  <si>
    <t>ACMB-14-V05-MSB</t>
  </si>
  <si>
    <t>ACMB-14-R03-BO</t>
  </si>
  <si>
    <t>ACMB-14-RR03-BO</t>
  </si>
  <si>
    <t>ACMB-14-R03-BOA</t>
  </si>
  <si>
    <t>ACMB-14-RR03-BOA</t>
  </si>
  <si>
    <t>ACMB-14-R03-BOB</t>
  </si>
  <si>
    <t>ACMB-14-RR03-BOB</t>
  </si>
  <si>
    <t>ACMB-14-V06-MS</t>
  </si>
  <si>
    <t>ACMB-14-V07-MS</t>
  </si>
  <si>
    <t>ACMB-14-V06-MSA</t>
  </si>
  <si>
    <t>ACMB-14-V07-MSA</t>
  </si>
  <si>
    <t>ACMB-14-V06-MSB</t>
  </si>
  <si>
    <t>ACMB-14-V07-MSB</t>
  </si>
  <si>
    <t>ACMB-14-R04-BO</t>
  </si>
  <si>
    <t>ACMB-14-RR04-BO</t>
  </si>
  <si>
    <t>ACMB-14-R04-BOA</t>
  </si>
  <si>
    <t>ACMB-14-RR04-BOA</t>
  </si>
  <si>
    <t>ACMB-14-R04-BOB</t>
  </si>
  <si>
    <t>ACMB-14-RR04-BOB</t>
  </si>
  <si>
    <t>ACMB-14-V08-MS</t>
  </si>
  <si>
    <t>ACMB-14-V09-MS</t>
  </si>
  <si>
    <t>ACMB-14-V08-MSA</t>
  </si>
  <si>
    <t>ACMB-14-V09-MSA</t>
  </si>
  <si>
    <t>ACMB-14-V08-MSB</t>
  </si>
  <si>
    <t>ACMB-14-V09-MSB</t>
  </si>
  <si>
    <t>ACMB-14-R05-BO</t>
  </si>
  <si>
    <t>ACMB-14-RR05-BO</t>
  </si>
  <si>
    <t>ACMB-14-R05-BOA</t>
  </si>
  <si>
    <t>ACMB-14-RR05-BOA</t>
  </si>
  <si>
    <t>ACMB-14-R05-BOB</t>
  </si>
  <si>
    <t>ACMB-14-RR05-BOB</t>
  </si>
  <si>
    <t>ACMB-14-V10-MS</t>
  </si>
  <si>
    <t>ACMB-14-V11-MS</t>
  </si>
  <si>
    <t>ACMB-14-V10-MSA</t>
  </si>
  <si>
    <t>ACMB-14-V11-MSA</t>
  </si>
  <si>
    <t>ACMB-14-V10-MSB</t>
  </si>
  <si>
    <t>ACMB-14-V11-MSB</t>
  </si>
  <si>
    <t>ACMB-14-R06-BO</t>
  </si>
  <si>
    <t>ACMB-14-RR06-BO</t>
  </si>
  <si>
    <t>ACMB-14-R06-BOA</t>
  </si>
  <si>
    <t>ACMB-14-RR06-BOA</t>
  </si>
  <si>
    <t>ACMB-14-R06-BOB</t>
  </si>
  <si>
    <t>ACMB-14-RR06-BOB</t>
  </si>
  <si>
    <t>ACMB-14-V12-MS</t>
  </si>
  <si>
    <t>ACMB-14-V13-MS</t>
  </si>
  <si>
    <t>ACMB-14-V12-MSA</t>
  </si>
  <si>
    <t>ACMB-14-V13-MSA</t>
  </si>
  <si>
    <t>ACMB-14-V12-MSB</t>
  </si>
  <si>
    <t>ACMB-14-V13-MSB</t>
  </si>
  <si>
    <t>ACMB-14-R07-BO</t>
  </si>
  <si>
    <t>ACMB-14-RR07-BO</t>
  </si>
  <si>
    <t>ACMB-14-R07-BOA</t>
  </si>
  <si>
    <t>ACMB-14-RR07-BOA</t>
  </si>
  <si>
    <t>ACMB-14-R07-BOB</t>
  </si>
  <si>
    <t>ACMB-14-RR07-BOB</t>
  </si>
  <si>
    <t>ACMB-14-V14-MS</t>
  </si>
  <si>
    <t>ACMB-14-V15-MS</t>
  </si>
  <si>
    <t>ACMB-14-V14-MSA</t>
  </si>
  <si>
    <t>ACMB-14-V15-MSA</t>
  </si>
  <si>
    <t>ACMB-14-V14-MSB</t>
  </si>
  <si>
    <t>ACMB-14-V15-MSB</t>
  </si>
  <si>
    <t>ACMB-15-R01-BO</t>
  </si>
  <si>
    <t>ACMB-15-RR01-BO</t>
  </si>
  <si>
    <t>ACMB-15-R01-BOA</t>
  </si>
  <si>
    <t>ACMB-15-RR01-BOA</t>
  </si>
  <si>
    <t>ACMB-15-R01-BOB</t>
  </si>
  <si>
    <t>ACMB-15-RR01-BOB</t>
  </si>
  <si>
    <t>ACMB-15-V02-MS</t>
  </si>
  <si>
    <t>ACMB-15-V03-MS</t>
  </si>
  <si>
    <t>ACMB-15-V02-MSA</t>
  </si>
  <si>
    <t>ACMB-15-V03-MSA</t>
  </si>
  <si>
    <t>ACMB-15-V02-MSB</t>
  </si>
  <si>
    <t>ACMB-15-V03-MSB</t>
  </si>
  <si>
    <t>ACMB-15-R02-BO</t>
  </si>
  <si>
    <t>ACMB-15-RR02-BO</t>
  </si>
  <si>
    <t>ACMB-15-R02-BOA</t>
  </si>
  <si>
    <t>ACMB-15-RR02-BOA</t>
  </si>
  <si>
    <t>ACMB-15-R02-BOB</t>
  </si>
  <si>
    <t>ACMB-15-RR02-BOB</t>
  </si>
  <si>
    <t>ACMB-15-V04-MS</t>
  </si>
  <si>
    <t>ACMB-15-V05-MS</t>
  </si>
  <si>
    <t>ACMB-15-V04-MSA</t>
  </si>
  <si>
    <t>ACMB-15-V05-MSA</t>
  </si>
  <si>
    <t>ACMB-15-V04-MSB</t>
  </si>
  <si>
    <t>ACMB-15-V05-MSB</t>
  </si>
  <si>
    <t>ACMB-15-R03-BO</t>
  </si>
  <si>
    <t>ACMB-15-RR03-BO</t>
  </si>
  <si>
    <t>ACMB-15-R03-BOA</t>
  </si>
  <si>
    <t>ACMB-15-RR03-BOA</t>
  </si>
  <si>
    <t>ACMB-15-R03-BOB</t>
  </si>
  <si>
    <t>ACMB-15-RR03-BOB</t>
  </si>
  <si>
    <t>ACMB-15-V06-MS</t>
  </si>
  <si>
    <t>ACMB-15-V07-MS</t>
  </si>
  <si>
    <t>ACMB-15-V06-MSA</t>
  </si>
  <si>
    <t>ACMB-15-V07-MSA</t>
  </si>
  <si>
    <t>ACMB-15-V06-MSB</t>
  </si>
  <si>
    <t>ACMB-15-V07-MSB</t>
  </si>
  <si>
    <t>ACMB-15-R04-BO</t>
  </si>
  <si>
    <t>ACMB-15-RR04-BO</t>
  </si>
  <si>
    <t>ACMB-15-R04-BOA</t>
  </si>
  <si>
    <t>ACMB-15-RR04-BOA</t>
  </si>
  <si>
    <t>ACMB-15-R04-BOB</t>
  </si>
  <si>
    <t>ACMB-15-RR04-BOB</t>
  </si>
  <si>
    <t>ACMB-15-V08-MS</t>
  </si>
  <si>
    <t>ACMB-15-V09-MS</t>
  </si>
  <si>
    <t>ACMB-15-V08-MSA</t>
  </si>
  <si>
    <t>ACMB-15-V09-MSA</t>
  </si>
  <si>
    <t>ACMB-15-V08-MSB</t>
  </si>
  <si>
    <t>ACMB-15-V09-MSB</t>
  </si>
  <si>
    <t>ACMB-15-R05-BO</t>
  </si>
  <si>
    <t>ACMB-15-RR05-BO</t>
  </si>
  <si>
    <t>ACMB-15-R05-BOA</t>
  </si>
  <si>
    <t>ACMB-15-RR05-BOA</t>
  </si>
  <si>
    <t>ACMB-15-R05-BOB</t>
  </si>
  <si>
    <t>ACMB-15-RR05-BOB</t>
  </si>
  <si>
    <t>ACMB-15-V10-MS</t>
  </si>
  <si>
    <t>ACMB-15-V11-MS</t>
  </si>
  <si>
    <t>ACMB-15-V10-MSA</t>
  </si>
  <si>
    <t>ACMB-15-V11-MSA</t>
  </si>
  <si>
    <t>ACMB-15-V10-MSB</t>
  </si>
  <si>
    <t>ACMB-15-V11-MSB</t>
  </si>
  <si>
    <t>ACMB-15-R06-BO</t>
  </si>
  <si>
    <t>ACMB-15-RR06-BO</t>
  </si>
  <si>
    <t>ACMB-15-R06-BOA</t>
  </si>
  <si>
    <t>ACMB-15-RR06-BOA</t>
  </si>
  <si>
    <t>ACMB-15-R06-BOB</t>
  </si>
  <si>
    <t>ACMB-15-RR06-BOB</t>
  </si>
  <si>
    <t>ACMB-15-V12-MS</t>
  </si>
  <si>
    <t>ACMB-15-V13-MS</t>
  </si>
  <si>
    <t>ACMB-15-V12-MSA</t>
  </si>
  <si>
    <t>ACMB-15-V13-MSA</t>
  </si>
  <si>
    <t>ACMB-15-V12-MSB</t>
  </si>
  <si>
    <t>ACMB-15-V13-MSB</t>
  </si>
  <si>
    <t>ACMB-15-R07-BO</t>
  </si>
  <si>
    <t>ACMB-15-RR07-BO</t>
  </si>
  <si>
    <t>ACMB-15-R07-BOA</t>
  </si>
  <si>
    <t>ACMB-15-RR07-BOA</t>
  </si>
  <si>
    <t>ACMB-15-R07-BOB</t>
  </si>
  <si>
    <t>ACMB-15-RR07-BOB</t>
  </si>
  <si>
    <t>ACMB-15-V14-MS</t>
  </si>
  <si>
    <t>ACMB-15-V15-MS</t>
  </si>
  <si>
    <t>ACMB-15-V14-MSA</t>
  </si>
  <si>
    <t>ACMB-15-V15-MSA</t>
  </si>
  <si>
    <t>ACMB-15-V14-MSB</t>
  </si>
  <si>
    <t>ACMB-15-V15-MSB</t>
  </si>
  <si>
    <t>ACMB-16-R01-BO</t>
  </si>
  <si>
    <t>ACMB-16-RR01-BO</t>
  </si>
  <si>
    <t>ACMB-16-R01-BOA</t>
  </si>
  <si>
    <t>ACMB-16-RR01-BOA</t>
  </si>
  <si>
    <t>ACMB-16-R01-BOB</t>
  </si>
  <si>
    <t>ACMB-16-RR01-BOB</t>
  </si>
  <si>
    <t>ACMB-16-V02-MS</t>
  </si>
  <si>
    <t>ACMB-16-V03-MS</t>
  </si>
  <si>
    <t>ACMB-16-V02-MSA</t>
  </si>
  <si>
    <t>ACMB-16-V03-MSA</t>
  </si>
  <si>
    <t>ACMB-16-V02-MSB</t>
  </si>
  <si>
    <t>ACMB-16-V03-MSB</t>
  </si>
  <si>
    <t>ACMB-16-R02-BO</t>
  </si>
  <si>
    <t>ACMB-16-RR02-BO</t>
  </si>
  <si>
    <t>ACMB-16-R02-BOA</t>
  </si>
  <si>
    <t>ACMB-16-RR02-BOA</t>
  </si>
  <si>
    <t>ACMB-16-R02-BOB</t>
  </si>
  <si>
    <t>ACMB-16-RR02-BOB</t>
  </si>
  <si>
    <t>ACMB-16-V04-MS</t>
  </si>
  <si>
    <t>ACMB-16-V05-MS</t>
  </si>
  <si>
    <t>ACMB-16-V04-MSA</t>
  </si>
  <si>
    <t>ACMB-16-V05-MSA</t>
  </si>
  <si>
    <t>ACMB-16-V04-MSB</t>
  </si>
  <si>
    <t>ACMB-16-V05-MSB</t>
  </si>
  <si>
    <t>ACMB-16-R03-BO</t>
  </si>
  <si>
    <t>ACMB-16-RR03-BO</t>
  </si>
  <si>
    <t>ACMB-16-R03-BOA</t>
  </si>
  <si>
    <t>ACMB-16-RR03-BOA</t>
  </si>
  <si>
    <t>ACMB-16-R03-BOB</t>
  </si>
  <si>
    <t>ACMB-16-RR03-BOB</t>
  </si>
  <si>
    <t>ACMB-16-V06-MS</t>
  </si>
  <si>
    <t>ACMB-16-V07-MS</t>
  </si>
  <si>
    <t>ACMB-16-V06-MSA</t>
  </si>
  <si>
    <t>ACMB-16-V07-MSA</t>
  </si>
  <si>
    <t>ACMB-16-V06-MSB</t>
  </si>
  <si>
    <t>ACMB-16-V07-MSB</t>
  </si>
  <si>
    <t>ACMB-16-R04-BO</t>
  </si>
  <si>
    <t>ACMB-16-RR04-BO</t>
  </si>
  <si>
    <t>ACMB-16-R04-BOA</t>
  </si>
  <si>
    <t>ACMB-16-RR04-BOA</t>
  </si>
  <si>
    <t>ACMB-16-R04-BOB</t>
  </si>
  <si>
    <t>ACMB-16-RR04-BOB</t>
  </si>
  <si>
    <t>ACMB-16-V08-MS</t>
  </si>
  <si>
    <t>ACMB-16-V09-MS</t>
  </si>
  <si>
    <t>ACMB-16-V08-MSA</t>
  </si>
  <si>
    <t>ACMB-16-V09-MSA</t>
  </si>
  <si>
    <t>ACMB-16-V08-MSB</t>
  </si>
  <si>
    <t>ACMB-16-V09-MSB</t>
  </si>
  <si>
    <t>ACMB-16-R05-BO</t>
  </si>
  <si>
    <t>ACMB-16-RR05-BO</t>
  </si>
  <si>
    <t>ACMB-16-R05-BOA</t>
  </si>
  <si>
    <t>ACMB-16-RR05-BOA</t>
  </si>
  <si>
    <t>ACMB-16-R05-BOB</t>
  </si>
  <si>
    <t>ACMB-16-RR05-BOB</t>
  </si>
  <si>
    <t>ACMB-16-V10-MS</t>
  </si>
  <si>
    <t>ACMB-16-V11-MS</t>
  </si>
  <si>
    <t>ACMB-16-V10-MSA</t>
  </si>
  <si>
    <t>ACMB-16-V11-MSA</t>
  </si>
  <si>
    <t>ACMB-16-V10-MSB</t>
  </si>
  <si>
    <t>ACMB-16-V11-MSB</t>
  </si>
  <si>
    <t>ACMB-16-R06-BO</t>
  </si>
  <si>
    <t>ACMB-16-RR06-BO</t>
  </si>
  <si>
    <t>ACMB-16-R06-BOA</t>
  </si>
  <si>
    <t>ACMB-16-RR06-BOA</t>
  </si>
  <si>
    <t>ACMB-16-R06-BOB</t>
  </si>
  <si>
    <t>ACMB-16-RR06-BOB</t>
  </si>
  <si>
    <t>ACMB-16-V12-MS</t>
  </si>
  <si>
    <t>ACMB-16-V13-MS</t>
  </si>
  <si>
    <t>ACMB-16-V12-MSA</t>
  </si>
  <si>
    <t>ACMB-16-V13-MSA</t>
  </si>
  <si>
    <t>ACMB-16-V12-MSB</t>
  </si>
  <si>
    <t>ACMB-16-V13-MSB</t>
  </si>
  <si>
    <t>ACMB-16-R07-BO</t>
  </si>
  <si>
    <t>ACMB-16-RR07-BO</t>
  </si>
  <si>
    <t>ACMB-16-R07-BOA</t>
  </si>
  <si>
    <t>ACMB-16-RR07-BOA</t>
  </si>
  <si>
    <t>ACMB-16-R07-BOB</t>
  </si>
  <si>
    <t>ACMB-16-RR07-BOB</t>
  </si>
  <si>
    <t>ACMB-16-V14-MS</t>
  </si>
  <si>
    <t>ACMB-16-V15-MS</t>
  </si>
  <si>
    <t>ACMB-16-V14-MSA</t>
  </si>
  <si>
    <t>ACMB-16-V15-MSA</t>
  </si>
  <si>
    <t>ACMB-16-V14-MSB</t>
  </si>
  <si>
    <t>ACMB-16-V15-MSB</t>
  </si>
  <si>
    <t>ACMB-17-R01-BO</t>
  </si>
  <si>
    <t>ACMB-17-RR01-BO</t>
  </si>
  <si>
    <t>ACMB-17-R01-BOA</t>
  </si>
  <si>
    <t>ACMB-17-RR01-BOA</t>
  </si>
  <si>
    <t>ACMB-17-R01-BOB</t>
  </si>
  <si>
    <t>ACMB-17-RR01-BOB</t>
  </si>
  <si>
    <t>ACMB-17-V02-MS</t>
  </si>
  <si>
    <t>ACMB-17-V03-MS</t>
  </si>
  <si>
    <t>ACMB-17-V02-MSA</t>
  </si>
  <si>
    <t>ACMB-17-V03-MSA</t>
  </si>
  <si>
    <t>ACMB-17-V02-MSB</t>
  </si>
  <si>
    <t>ACMB-17-V03-MSB</t>
  </si>
  <si>
    <t>ACMB-17-R02-BO</t>
  </si>
  <si>
    <t>ACMB-17-RR02-BO</t>
  </si>
  <si>
    <t>ACMB-17-R02-BOA</t>
  </si>
  <si>
    <t>ACMB-17-RR02-BOA</t>
  </si>
  <si>
    <t>ACMB-17-R02-BOB</t>
  </si>
  <si>
    <t>ACMB-17-RR02-BOB</t>
  </si>
  <si>
    <t>ACMB-17-V04-MS</t>
  </si>
  <si>
    <t>ACMB-17-V05-MS</t>
  </si>
  <si>
    <t>ACMB-17-V04-MSA</t>
  </si>
  <si>
    <t>ACMB-17-V05-MSA</t>
  </si>
  <si>
    <t>ACMB-17-V04-MSB</t>
  </si>
  <si>
    <t>ACMB-17-V05-MSB</t>
  </si>
  <si>
    <t>ACMB-17-R03-BO</t>
  </si>
  <si>
    <t>ACMB-17-RR03-BO</t>
  </si>
  <si>
    <t>ACMB-17-R03-BOA</t>
  </si>
  <si>
    <t>ACMB-17-RR03-BOA</t>
  </si>
  <si>
    <t>ACMB-17-R03-BOB</t>
  </si>
  <si>
    <t>ACMB-17-RR03-BOB</t>
  </si>
  <si>
    <t>ACMB-17-V06-MS</t>
  </si>
  <si>
    <t>ACMB-17-V07-MS</t>
  </si>
  <si>
    <t>ACMB-17-V06-MSA</t>
  </si>
  <si>
    <t>ACMB-17-V07-MSA</t>
  </si>
  <si>
    <t>ACMB-17-V06-MSB</t>
  </si>
  <si>
    <t>ACMB-17-V07-MSB</t>
  </si>
  <si>
    <t>ACMB-17-R04-BO</t>
  </si>
  <si>
    <t>ACMB-17-RR04-BO</t>
  </si>
  <si>
    <t>ACMB-17-R04-BOA</t>
  </si>
  <si>
    <t>ACMB-17-RR04-BOA</t>
  </si>
  <si>
    <t>ACMB-17-R04-BOB</t>
  </si>
  <si>
    <t>ACMB-17-RR04-BOB</t>
  </si>
  <si>
    <t>ACMB-17-V08-MS</t>
  </si>
  <si>
    <t>ACMB-17-V09-MS</t>
  </si>
  <si>
    <t>ACMB-17-V08-MSA</t>
  </si>
  <si>
    <t>ACMB-17-V09-MSA</t>
  </si>
  <si>
    <t>ACMB-17-V08-MSB</t>
  </si>
  <si>
    <t>ACMB-17-V09-MSB</t>
  </si>
  <si>
    <t>ACMB-17-R05-BO</t>
  </si>
  <si>
    <t>ACMB-17-RR05-BO</t>
  </si>
  <si>
    <t>ACMB-17-R05-BOA</t>
  </si>
  <si>
    <t>ACMB-17-RR05-BOA</t>
  </si>
  <si>
    <t>ACMB-17-R05-BOB</t>
  </si>
  <si>
    <t>ACMB-17-RR05-BOB</t>
  </si>
  <si>
    <t>ACMB-17-V10-MS</t>
  </si>
  <si>
    <t>ACMB-17-V11-MS</t>
  </si>
  <si>
    <t>ACMB-17-V10-MSA</t>
  </si>
  <si>
    <t>ACMB-17-V11-MSA</t>
  </si>
  <si>
    <t>ACMB-17-V10-MSB</t>
  </si>
  <si>
    <t>ACMB-17-V11-MSB</t>
  </si>
  <si>
    <t>ACMB-17-R06-BO</t>
  </si>
  <si>
    <t>ACMB-17-RR06-BO</t>
  </si>
  <si>
    <t>ACMB-17-R06-BOA</t>
  </si>
  <si>
    <t>ACMB-17-RR06-BOA</t>
  </si>
  <si>
    <t>ACMB-17-R06-BOB</t>
  </si>
  <si>
    <t>ACMB-17-RR06-BOB</t>
  </si>
  <si>
    <t>ACMB-17-V12-MS</t>
  </si>
  <si>
    <t>ACMB-17-V13-MS</t>
  </si>
  <si>
    <t>ACMB-17-V12-MSA</t>
  </si>
  <si>
    <t>ACMB-17-V13-MSA</t>
  </si>
  <si>
    <t>ACMB-17-V12-MSB</t>
  </si>
  <si>
    <t>ACMB-17-V13-MSB</t>
  </si>
  <si>
    <t>ACMB-17-R07-BO</t>
  </si>
  <si>
    <t>ACMB-17-RR07-BO</t>
  </si>
  <si>
    <t>ACMB-17-R07-BOA</t>
  </si>
  <si>
    <t>ACMB-17-RR07-BOA</t>
  </si>
  <si>
    <t>ACMB-17-R07-BOB</t>
  </si>
  <si>
    <t>ACMB-17-RR07-BOB</t>
  </si>
  <si>
    <t>ACMB-17-V14-MS</t>
  </si>
  <si>
    <t>ACMB-17-V15-MS</t>
  </si>
  <si>
    <t>ACMB-17-V14-MSA</t>
  </si>
  <si>
    <t>ACMB-17-V15-MSA</t>
  </si>
  <si>
    <t>ACMB-17-V14-MSB</t>
  </si>
  <si>
    <t>ACMB-17-V15-MSB</t>
  </si>
  <si>
    <t>ACMB-18-R01-BO</t>
  </si>
  <si>
    <t>ACMB-18-RR01-BO</t>
  </si>
  <si>
    <t>ACMB-18-R01-BOA</t>
  </si>
  <si>
    <t>ACMB-18-RR01-BOA</t>
  </si>
  <si>
    <t>ACMB-18-R01-BOB</t>
  </si>
  <si>
    <t>ACMB-18-RR01-BOB</t>
  </si>
  <si>
    <t>ACMB-18-V02-MS</t>
  </si>
  <si>
    <t>ACMB-18-V03-MS</t>
  </si>
  <si>
    <t>ACMB-18-V02-MSA</t>
  </si>
  <si>
    <t>ACMB-18-V03-MSA</t>
  </si>
  <si>
    <t>ACMB-18-V02-MSB</t>
  </si>
  <si>
    <t>ACMB-18-V03-MSB</t>
  </si>
  <si>
    <t>ACMB-18-R02-BO</t>
  </si>
  <si>
    <t>ACMB-18-RR02-BO</t>
  </si>
  <si>
    <t>ACMB-18-R02-BOA</t>
  </si>
  <si>
    <t>ACMB-18-RR02-BOA</t>
  </si>
  <si>
    <t>ACMB-18-R02-BOB</t>
  </si>
  <si>
    <t>ACMB-18-RR02-BOB</t>
  </si>
  <si>
    <t>ACMB-18-V04-MS</t>
  </si>
  <si>
    <t>ACMB-18-V05-MS</t>
  </si>
  <si>
    <t>ACMB-18-V04-MSA</t>
  </si>
  <si>
    <t>ACMB-18-V05-MSA</t>
  </si>
  <si>
    <t>ACMB-18-V04-MSB</t>
  </si>
  <si>
    <t>ACMB-18-V05-MSB</t>
  </si>
  <si>
    <t>ACMB-18-R03-BO</t>
  </si>
  <si>
    <t>ACMB-18-RR03-BO</t>
  </si>
  <si>
    <t>ACMB-18-R03-BOA</t>
  </si>
  <si>
    <t>ACMB-18-RR03-BOA</t>
  </si>
  <si>
    <t>ACMB-18-R03-BOB</t>
  </si>
  <si>
    <t>ACMB-18-RR03-BOB</t>
  </si>
  <si>
    <t>ACMB-18-V06-MS</t>
  </si>
  <si>
    <t>ACMB-18-V07-MS</t>
  </si>
  <si>
    <t>ACMB-18-V06-MSA</t>
  </si>
  <si>
    <t>ACMB-18-V07-MSA</t>
  </si>
  <si>
    <t>ACMB-18-V06-MSB</t>
  </si>
  <si>
    <t>ACMB-18-V07-MSB</t>
  </si>
  <si>
    <t>ACMB-18-R04-BO</t>
  </si>
  <si>
    <t>ACMB-18-RR04-BO</t>
  </si>
  <si>
    <t>ACMB-18-R04-BOA</t>
  </si>
  <si>
    <t>ACMB-18-RR04-BOA</t>
  </si>
  <si>
    <t>ACMB-18-R04-BOB</t>
  </si>
  <si>
    <t>ACMB-18-RR04-BOB</t>
  </si>
  <si>
    <t>ACMB-18-V08-MS</t>
  </si>
  <si>
    <t>ACMB-18-V09-MS</t>
  </si>
  <si>
    <t>ACMB-18-V08-MSA</t>
  </si>
  <si>
    <t>ACMB-18-V09-MSA</t>
  </si>
  <si>
    <t>ACMB-18-V08-MSB</t>
  </si>
  <si>
    <t>ACMB-18-V09-MSB</t>
  </si>
  <si>
    <t>ACMB-18-R05-BO</t>
  </si>
  <si>
    <t>ACMB-18-RR05-BO</t>
  </si>
  <si>
    <t>ACMB-18-R05-BOA</t>
  </si>
  <si>
    <t>ACMB-18-RR05-BOA</t>
  </si>
  <si>
    <t>ACMB-18-R05-BOB</t>
  </si>
  <si>
    <t>ACMB-18-RR05-BOB</t>
  </si>
  <si>
    <t>ACMB-18-V10-MS</t>
  </si>
  <si>
    <t>ACMB-18-V11-MS</t>
  </si>
  <si>
    <t>ACMB-18-V10-MSA</t>
  </si>
  <si>
    <t>ACMB-18-V11-MSA</t>
  </si>
  <si>
    <t>ACMB-18-V10-MSB</t>
  </si>
  <si>
    <t>ACMB-18-V11-MSB</t>
  </si>
  <si>
    <t>ACMB-18-R06-BO</t>
  </si>
  <si>
    <t>ACMB-18-RR06-BO</t>
  </si>
  <si>
    <t>ACMB-18-R06-BOA</t>
  </si>
  <si>
    <t>ACMB-18-RR06-BOA</t>
  </si>
  <si>
    <t>ACMB-18-R06-BOB</t>
  </si>
  <si>
    <t>ACMB-18-RR06-BOB</t>
  </si>
  <si>
    <t>ACMB-18-V12-MS</t>
  </si>
  <si>
    <t>ACMB-18-V13-MS</t>
  </si>
  <si>
    <t>ACMB-18-V12-MSA</t>
  </si>
  <si>
    <t>ACMB-18-V13-MSA</t>
  </si>
  <si>
    <t>ACMB-18-V12-MSB</t>
  </si>
  <si>
    <t>ACMB-18-V13-MSB</t>
  </si>
  <si>
    <t>ACMB-18-R07-BO</t>
  </si>
  <si>
    <t>ACMB-18-RR07-BO</t>
  </si>
  <si>
    <t>ACMB-18-R07-BOA</t>
  </si>
  <si>
    <t>ACMB-18-RR07-BOA</t>
  </si>
  <si>
    <t>ACMB-18-R07-BOB</t>
  </si>
  <si>
    <t>ACMB-18-RR07-BOB</t>
  </si>
  <si>
    <t>ACMB-18-V14-MS</t>
  </si>
  <si>
    <t>ACMB-18-V15-MS</t>
  </si>
  <si>
    <t>ACMB-18-V14-MSA</t>
  </si>
  <si>
    <t>ACMB-18-V15-MSA</t>
  </si>
  <si>
    <t>ACMB-18-V14-MSB</t>
  </si>
  <si>
    <t>ACMB-18-V15-MSB</t>
  </si>
  <si>
    <t>ACMB-19-R01-BO</t>
  </si>
  <si>
    <t>ACMB-19-RR01-BO</t>
  </si>
  <si>
    <t>ACMB-19-R01-BOA</t>
  </si>
  <si>
    <t>ACMB-19-RR01-BOA</t>
  </si>
  <si>
    <t>ACMB-19-R01-BOB</t>
  </si>
  <si>
    <t>ACMB-19-RR01-BOB</t>
  </si>
  <si>
    <t>ACMB-19-V02-MS</t>
  </si>
  <si>
    <t>ACMB-19-V03-MS</t>
  </si>
  <si>
    <t>ACMB-19-V02-MSA</t>
  </si>
  <si>
    <t>ACMB-19-V03-MSA</t>
  </si>
  <si>
    <t>ACMB-19-V02-MSB</t>
  </si>
  <si>
    <t>ACMB-19-V03-MSB</t>
  </si>
  <si>
    <t>ACMB-19-R02-BO</t>
  </si>
  <si>
    <t>ACMB-19-RR02-BO</t>
  </si>
  <si>
    <t>ACMB-19-R02-BOA</t>
  </si>
  <si>
    <t>ACMB-19-RR02-BOA</t>
  </si>
  <si>
    <t>ACMB-19-R02-BOB</t>
  </si>
  <si>
    <t>ACMB-19-RR02-BOB</t>
  </si>
  <si>
    <t>ACMB-19-V04-MS</t>
  </si>
  <si>
    <t>ACMB-19-V05-MS</t>
  </si>
  <si>
    <t>ACMB-19-V04-MSA</t>
  </si>
  <si>
    <t>ACMB-19-V05-MSA</t>
  </si>
  <si>
    <t>ACMB-19-V04-MSB</t>
  </si>
  <si>
    <t>ACMB-19-V05-MSB</t>
  </si>
  <si>
    <t>ACMB-19-R03-BO</t>
  </si>
  <si>
    <t>ACMB-19-RR03-BO</t>
  </si>
  <si>
    <t>ACMB-19-R03-BOA</t>
  </si>
  <si>
    <t>ACMB-19-RR03-BOA</t>
  </si>
  <si>
    <t>ACMB-19-R03-BOB</t>
  </si>
  <si>
    <t>ACMB-19-RR03-BOB</t>
  </si>
  <si>
    <t>ACMB-19-V06-MS</t>
  </si>
  <si>
    <t>ACMB-19-V07-MS</t>
  </si>
  <si>
    <t>ACMB-19-V06-MSA</t>
  </si>
  <si>
    <t>ACMB-19-V07-MSA</t>
  </si>
  <si>
    <t>ACMB-19-V06-MSB</t>
  </si>
  <si>
    <t>ACMB-19-V07-MSB</t>
  </si>
  <si>
    <t>ACMB-19-R04-BO</t>
  </si>
  <si>
    <t>ACMB-19-RR04-BO</t>
  </si>
  <si>
    <t>ACMB-19-R04-BOA</t>
  </si>
  <si>
    <t>ACMB-19-RR04-BOA</t>
  </si>
  <si>
    <t>ACMB-19-R04-BOB</t>
  </si>
  <si>
    <t>ACMB-19-RR04-BOB</t>
  </si>
  <si>
    <t>ACMB-19-V08-MS</t>
  </si>
  <si>
    <t>ACMB-19-V09-MS</t>
  </si>
  <si>
    <t>ACMB-19-V08-MSA</t>
  </si>
  <si>
    <t>ACMB-19-V09-MSA</t>
  </si>
  <si>
    <t>ACMB-19-V08-MSB</t>
  </si>
  <si>
    <t>ACMB-19-V09-MSB</t>
  </si>
  <si>
    <t>ACMB-19-R05-BO</t>
  </si>
  <si>
    <t>ACMB-19-RR05-BO</t>
  </si>
  <si>
    <t>ACMB-19-R05-BOA</t>
  </si>
  <si>
    <t>ACMB-19-RR05-BOA</t>
  </si>
  <si>
    <t>ACMB-19-R05-BOB</t>
  </si>
  <si>
    <t>ACMB-19-RR05-BOB</t>
  </si>
  <si>
    <t>ACMB-19-V10-MS</t>
  </si>
  <si>
    <t>ACMB-19-V11-MS</t>
  </si>
  <si>
    <t>ACMB-19-V10-MSA</t>
  </si>
  <si>
    <t>ACMB-19-V11-MSA</t>
  </si>
  <si>
    <t>ACMB-19-V10-MSB</t>
  </si>
  <si>
    <t>ACMB-19-V11-MSB</t>
  </si>
  <si>
    <t>ACMB-19-R06-BO</t>
  </si>
  <si>
    <t>ACMB-19-RR06-BO</t>
  </si>
  <si>
    <t>ACMB-19-R06-BOA</t>
  </si>
  <si>
    <t>ACMB-19-RR06-BOA</t>
  </si>
  <si>
    <t>ACMB-19-R06-BOB</t>
  </si>
  <si>
    <t>ACMB-19-RR06-BOB</t>
  </si>
  <si>
    <t>ACMB-19-V12-MS</t>
  </si>
  <si>
    <t>ACMB-19-V13-MS</t>
  </si>
  <si>
    <t>ACMB-19-V12-MSA</t>
  </si>
  <si>
    <t>ACMB-19-V13-MSA</t>
  </si>
  <si>
    <t>ACMB-19-V12-MSB</t>
  </si>
  <si>
    <t>ACMB-19-V13-MSB</t>
  </si>
  <si>
    <t>ACMB-19-R07-BO</t>
  </si>
  <si>
    <t>ACMB-19-RR07-BO</t>
  </si>
  <si>
    <t>ACMB-19-R07-BOA</t>
  </si>
  <si>
    <t>ACMB-19-RR07-BOA</t>
  </si>
  <si>
    <t>ACMB-19-R07-BOB</t>
  </si>
  <si>
    <t>ACMB-19-RR07-BOB</t>
  </si>
  <si>
    <t>ACMB-19-V14-MS</t>
  </si>
  <si>
    <t>ACMB-19-V15-MS</t>
  </si>
  <si>
    <t>ACMB-19-V14-MSA</t>
  </si>
  <si>
    <t>ACMB-19-V15-MSA</t>
  </si>
  <si>
    <t>ACMB-19-V14-MSB</t>
  </si>
  <si>
    <t>ACMB-19-V15-MSB</t>
  </si>
  <si>
    <t>ACMB-20-R01-BO</t>
  </si>
  <si>
    <t>ACMB-20-RR01-BO</t>
  </si>
  <si>
    <t>ACMB-20-R01-BOA</t>
  </si>
  <si>
    <t>ACMB-20-RR01-BOA</t>
  </si>
  <si>
    <t>ACMB-20-R01-BOB</t>
  </si>
  <si>
    <t>ACMB-20-RR01-BOB</t>
  </si>
  <si>
    <t>ACMB-20-V02-MS</t>
  </si>
  <si>
    <t>ACMB-20-V03-MS</t>
  </si>
  <si>
    <t>ACMB-20-V02-MSA</t>
  </si>
  <si>
    <t>ACMB-20-V03-MSA</t>
  </si>
  <si>
    <t>ACMB-20-V02-MSB</t>
  </si>
  <si>
    <t>ACMB-20-V03-MSB</t>
  </si>
  <si>
    <t>ACMB-20-R02-BO</t>
  </si>
  <si>
    <t>ACMB-20-RR02-BO</t>
  </si>
  <si>
    <t>ACMB-20-R02-BOA</t>
  </si>
  <si>
    <t>ACMB-20-RR02-BOA</t>
  </si>
  <si>
    <t>ACMB-20-R02-BOB</t>
  </si>
  <si>
    <t>ACMB-20-RR02-BOB</t>
  </si>
  <si>
    <t>ACMB-20-V04-MS</t>
  </si>
  <si>
    <t>ACMB-20-V05-MS</t>
  </si>
  <si>
    <t>ACMB-20-V04-MSA</t>
  </si>
  <si>
    <t>ACMB-20-V05-MSA</t>
  </si>
  <si>
    <t>ACMB-20-V04-MSB</t>
  </si>
  <si>
    <t>ACMB-20-V05-MSB</t>
  </si>
  <si>
    <t>ACMB-20-R03-BO</t>
  </si>
  <si>
    <t>ACMB-20-RR03-BO</t>
  </si>
  <si>
    <t>ACMB-20-R03-BOA</t>
  </si>
  <si>
    <t>ACMB-20-RR03-BOA</t>
  </si>
  <si>
    <t>ACMB-20-R03-BOB</t>
  </si>
  <si>
    <t>ACMB-20-RR03-BOB</t>
  </si>
  <si>
    <t>ACMB-20-V06-MS</t>
  </si>
  <si>
    <t>ACMB-20-V07-MS</t>
  </si>
  <si>
    <t>ACMB-20-V06-MSA</t>
  </si>
  <si>
    <t>ACMB-20-V07-MSA</t>
  </si>
  <si>
    <t>ACMB-20-V06-MSB</t>
  </si>
  <si>
    <t>ACMB-20-V07-MSB</t>
  </si>
  <si>
    <t>ACMB-20-R04-BO</t>
  </si>
  <si>
    <t>ACMB-20-RR04-BO</t>
  </si>
  <si>
    <t>ACMB-20-R04-BOA</t>
  </si>
  <si>
    <t>ACMB-20-RR04-BOA</t>
  </si>
  <si>
    <t>ACMB-20-R04-BOB</t>
  </si>
  <si>
    <t>ACMB-20-RR04-BOB</t>
  </si>
  <si>
    <t>ACMB-20-V08-MS</t>
  </si>
  <si>
    <t>ACMB-20-V09-MS</t>
  </si>
  <si>
    <t>ACMB-20-V08-MSA</t>
  </si>
  <si>
    <t>ACMB-20-V09-MSA</t>
  </si>
  <si>
    <t>ACMB-20-V08-MSB</t>
  </si>
  <si>
    <t>ACMB-20-V09-MSB</t>
  </si>
  <si>
    <t>ACMB-20-R05-BO</t>
  </si>
  <si>
    <t>ACMB-20-RR05-BO</t>
  </si>
  <si>
    <t>ACMB-20-R05-BOA</t>
  </si>
  <si>
    <t>ACMB-20-RR05-BOA</t>
  </si>
  <si>
    <t>ACMB-20-R05-BOB</t>
  </si>
  <si>
    <t>ACMB-20-RR05-BOB</t>
  </si>
  <si>
    <t>ACMB-20-V10-MS</t>
  </si>
  <si>
    <t>ACMB-20-V11-MS</t>
  </si>
  <si>
    <t>ACMB-20-V10-MSA</t>
  </si>
  <si>
    <t>ACMB-20-V11-MSA</t>
  </si>
  <si>
    <t>ACMB-20-V10-MSB</t>
  </si>
  <si>
    <t>ACMB-20-V11-MSB</t>
  </si>
  <si>
    <t>ACMB-20-R06-BO</t>
  </si>
  <si>
    <t>ACMB-20-RR06-BO</t>
  </si>
  <si>
    <t>ACMB-20-R06-BOA</t>
  </si>
  <si>
    <t>ACMB-20-RR06-BOA</t>
  </si>
  <si>
    <t>ACMB-20-R06-BOB</t>
  </si>
  <si>
    <t>ACMB-20-RR06-BOB</t>
  </si>
  <si>
    <t>ACMB-20-V12-MS</t>
  </si>
  <si>
    <t>ACMB-20-V13-MS</t>
  </si>
  <si>
    <t>ACMB-20-V12-MSA</t>
  </si>
  <si>
    <t>ACMB-20-V13-MSA</t>
  </si>
  <si>
    <t>ACMB-20-V12-MSB</t>
  </si>
  <si>
    <t>ACMB-20-V13-MSB</t>
  </si>
  <si>
    <t>ACMB-20-R07-BO</t>
  </si>
  <si>
    <t>ACMB-20-RR07-BO</t>
  </si>
  <si>
    <t>ACMB-20-R07-BOA</t>
  </si>
  <si>
    <t>ACMB-20-RR07-BOA</t>
  </si>
  <si>
    <t>ACMB-20-R07-BOB</t>
  </si>
  <si>
    <t>ACMB-20-RR07-BOB</t>
  </si>
  <si>
    <t>ACMB-20-V14-MS</t>
  </si>
  <si>
    <t>ACMB-20-V15-MS</t>
  </si>
  <si>
    <t>ACMB-20-V14-MSA</t>
  </si>
  <si>
    <t>ACMB-20-V15-MSA</t>
  </si>
  <si>
    <t>ACMB-20-V14-MSB</t>
  </si>
  <si>
    <t>ACMB-20-V15-MSB</t>
  </si>
  <si>
    <t>ACMB-21-R01-BO</t>
  </si>
  <si>
    <t>ACMB-21-RR01-BO</t>
  </si>
  <si>
    <t>ACMB-21-R01-BOA</t>
  </si>
  <si>
    <t>ACMB-21-RR01-BOA</t>
  </si>
  <si>
    <t>ACMB-21-R01-BOB</t>
  </si>
  <si>
    <t>ACMB-21-RR01-BOB</t>
  </si>
  <si>
    <t>ACMB-21-V02-MS</t>
  </si>
  <si>
    <t>ACMB-21-V03-MS</t>
  </si>
  <si>
    <t>ACMB-21-V02-MSA</t>
  </si>
  <si>
    <t>ACMB-21-V03-MSA</t>
  </si>
  <si>
    <t>ACMB-21-V02-MSB</t>
  </si>
  <si>
    <t>ACMB-21-V03-MSB</t>
  </si>
  <si>
    <t>ACMB-21-R02-BO</t>
  </si>
  <si>
    <t>ACMB-21-RR02-BO</t>
  </si>
  <si>
    <t>ACMB-21-R02-BOA</t>
  </si>
  <si>
    <t>ACMB-21-RR02-BOA</t>
  </si>
  <si>
    <t>ACMB-21-R02-BOB</t>
  </si>
  <si>
    <t>ACMB-21-RR02-BOB</t>
  </si>
  <si>
    <t>ACMB-21-V04-MS</t>
  </si>
  <si>
    <t>ACMB-21-V05-MS</t>
  </si>
  <si>
    <t>ACMB-21-V04-MSA</t>
  </si>
  <si>
    <t>ACMB-21-V05-MSA</t>
  </si>
  <si>
    <t>ACMB-21-V04-MSB</t>
  </si>
  <si>
    <t>ACMB-21-V05-MSB</t>
  </si>
  <si>
    <t>ACMB-21-R03-BO</t>
  </si>
  <si>
    <t>ACMB-21-RR03-BO</t>
  </si>
  <si>
    <t>ACMB-21-R03-BOA</t>
  </si>
  <si>
    <t>ACMB-21-RR03-BOA</t>
  </si>
  <si>
    <t>ACMB-21-R03-BOB</t>
  </si>
  <si>
    <t>ACMB-21-RR03-BOB</t>
  </si>
  <si>
    <t>ACMB-21-V06-MS</t>
  </si>
  <si>
    <t>ACMB-21-V07-MS</t>
  </si>
  <si>
    <t>ACMB-21-V06-MSA</t>
  </si>
  <si>
    <t>ACMB-21-V07-MSA</t>
  </si>
  <si>
    <t>ACMB-21-V06-MSB</t>
  </si>
  <si>
    <t>ACMB-21-V07-MSB</t>
  </si>
  <si>
    <t>ACMB-21-R04-BO</t>
  </si>
  <si>
    <t>ACMB-21-RR04-BO</t>
  </si>
  <si>
    <t>ACMB-21-R04-BOA</t>
  </si>
  <si>
    <t>ACMB-21-RR04-BOA</t>
  </si>
  <si>
    <t>ACMB-21-R04-BOB</t>
  </si>
  <si>
    <t>ACMB-21-RR04-BOB</t>
  </si>
  <si>
    <t>ACMB-21-V08-MS</t>
  </si>
  <si>
    <t>ACMB-21-V09-MS</t>
  </si>
  <si>
    <t>ACMB-21-V08-MSA</t>
  </si>
  <si>
    <t>ACMB-21-V09-MSA</t>
  </si>
  <si>
    <t>ACMB-21-V08-MSB</t>
  </si>
  <si>
    <t>ACMB-21-V09-MSB</t>
  </si>
  <si>
    <t>ACMB-21-R05-BO</t>
  </si>
  <si>
    <t>ACMB-21-RR05-BO</t>
  </si>
  <si>
    <t>ACMB-21-R05-BOA</t>
  </si>
  <si>
    <t>ACMB-21-RR05-BOA</t>
  </si>
  <si>
    <t>ACMB-21-R05-BOB</t>
  </si>
  <si>
    <t>ACMB-21-RR05-BOB</t>
  </si>
  <si>
    <t>ACMB-21-V10-MS</t>
  </si>
  <si>
    <t>ACMB-21-V11-MS</t>
  </si>
  <si>
    <t>ACMB-21-V10-MSA</t>
  </si>
  <si>
    <t>ACMB-21-V11-MSA</t>
  </si>
  <si>
    <t>ACMB-21-V10-MSB</t>
  </si>
  <si>
    <t>ACMB-21-V11-MSB</t>
  </si>
  <si>
    <t>ACMB-21-R06-BO</t>
  </si>
  <si>
    <t>ACMB-21-RR06-BO</t>
  </si>
  <si>
    <t>ACMB-21-R06-BOA</t>
  </si>
  <si>
    <t>ACMB-21-RR06-BOA</t>
  </si>
  <si>
    <t>ACMB-21-R06-BOB</t>
  </si>
  <si>
    <t>ACMB-21-RR06-BOB</t>
  </si>
  <si>
    <t>ACMB-21-V12-MS</t>
  </si>
  <si>
    <t>ACMB-21-V13-MS</t>
  </si>
  <si>
    <t>ACMB-21-V12-MSA</t>
  </si>
  <si>
    <t>ACMB-21-V13-MSA</t>
  </si>
  <si>
    <t>ACMB-21-V12-MSB</t>
  </si>
  <si>
    <t>ACMB-21-V13-MSB</t>
  </si>
  <si>
    <t>ACMB-21-R07-BO</t>
  </si>
  <si>
    <t>ACMB-21-RR07-BO</t>
  </si>
  <si>
    <t>ACMB-21-R07-BOA</t>
  </si>
  <si>
    <t>ACMB-21-RR07-BOA</t>
  </si>
  <si>
    <t>ACMB-21-R07-BOB</t>
  </si>
  <si>
    <t>ACMB-21-RR07-BOB</t>
  </si>
  <si>
    <t>ACMB-21-V14-MS</t>
  </si>
  <si>
    <t>ACMB-21-V15-MS</t>
  </si>
  <si>
    <t>ACMB-21-V14-MSA</t>
  </si>
  <si>
    <t>ACMB-21-V15-MSA</t>
  </si>
  <si>
    <t>ACMB-21-V14-MSB</t>
  </si>
  <si>
    <t>ACMB-21-V15-MSB</t>
  </si>
  <si>
    <t>ACMB-22-R01-BO</t>
  </si>
  <si>
    <t>ACMB-22-RR01-BO</t>
  </si>
  <si>
    <t>ACMB-22-R01-BOA</t>
  </si>
  <si>
    <t>ACMB-22-RR01-BOA</t>
  </si>
  <si>
    <t>ACMB-22-R01-BOB</t>
  </si>
  <si>
    <t>ACMB-22-RR01-BOB</t>
  </si>
  <si>
    <t>ACMB-22-V02-MS</t>
  </si>
  <si>
    <t>ACMB-22-V03-MS</t>
  </si>
  <si>
    <t>ACMB-22-V02-MSA</t>
  </si>
  <si>
    <t>ACMB-22-V03-MSA</t>
  </si>
  <si>
    <t>ACMB-22-V02-MSB</t>
  </si>
  <si>
    <t>ACMB-22-V03-MSB</t>
  </si>
  <si>
    <t>ACMB-22-R02-BO</t>
  </si>
  <si>
    <t>ACMB-22-RR02-BO</t>
  </si>
  <si>
    <t>ACMB-22-R02-BOA</t>
  </si>
  <si>
    <t>ACMB-22-RR02-BOA</t>
  </si>
  <si>
    <t>ACMB-22-R02-BOB</t>
  </si>
  <si>
    <t>ACMB-22-RR02-BOB</t>
  </si>
  <si>
    <t>ACMB-22-V04-MS</t>
  </si>
  <si>
    <t>ACMB-22-V05-MS</t>
  </si>
  <si>
    <t>ACMB-22-V04-MSA</t>
  </si>
  <si>
    <t>ACMB-22-V05-MSA</t>
  </si>
  <si>
    <t>ACMB-22-V04-MSB</t>
  </si>
  <si>
    <t>ACMB-22-V05-MSB</t>
  </si>
  <si>
    <t>ACMB-22-R03-BO</t>
  </si>
  <si>
    <t>ACMB-22-RR03-BO</t>
  </si>
  <si>
    <t>ACMB-22-R03-BOA</t>
  </si>
  <si>
    <t>ACMB-22-RR03-BOA</t>
  </si>
  <si>
    <t>ACMB-22-R03-BOB</t>
  </si>
  <si>
    <t>ACMB-22-RR03-BOB</t>
  </si>
  <si>
    <t>ACMB-22-V06-MS</t>
  </si>
  <si>
    <t>ACMB-22-V07-MS</t>
  </si>
  <si>
    <t>ACMB-22-V06-MSA</t>
  </si>
  <si>
    <t>ACMB-22-V07-MSA</t>
  </si>
  <si>
    <t>ACMB-22-V06-MSB</t>
  </si>
  <si>
    <t>ACMB-22-V07-MSB</t>
  </si>
  <si>
    <t>ACMB-22-R04-BO</t>
  </si>
  <si>
    <t>ACMB-22-RR04-BO</t>
  </si>
  <si>
    <t>ACMB-22-R04-BOA</t>
  </si>
  <si>
    <t>ACMB-22-RR04-BOA</t>
  </si>
  <si>
    <t>ACMB-22-R04-BOB</t>
  </si>
  <si>
    <t>ACMB-22-RR04-BOB</t>
  </si>
  <si>
    <t>ACMB-22-V08-MS</t>
  </si>
  <si>
    <t>ACMB-22-V09-MS</t>
  </si>
  <si>
    <t>ACMB-22-V08-MSA</t>
  </si>
  <si>
    <t>ACMB-22-V09-MSA</t>
  </si>
  <si>
    <t>ACMB-22-V08-MSB</t>
  </si>
  <si>
    <t>ACMB-22-V09-MSB</t>
  </si>
  <si>
    <t>ACMB-22-R05-BO</t>
  </si>
  <si>
    <t>ACMB-22-RR05-BO</t>
  </si>
  <si>
    <t>ACMB-22-R05-BOA</t>
  </si>
  <si>
    <t>ACMB-22-RR05-BOA</t>
  </si>
  <si>
    <t>ACMB-22-R05-BOB</t>
  </si>
  <si>
    <t>ACMB-22-RR05-BOB</t>
  </si>
  <si>
    <t>ACMB-22-V10-MS</t>
  </si>
  <si>
    <t>ACMB-22-V11-MS</t>
  </si>
  <si>
    <t>ACMB-22-V10-MSA</t>
  </si>
  <si>
    <t>ACMB-22-V11-MSA</t>
  </si>
  <si>
    <t>ACMB-22-V10-MSB</t>
  </si>
  <si>
    <t>ACMB-22-V11-MSB</t>
  </si>
  <si>
    <t>ACMB-22-R06-BO</t>
  </si>
  <si>
    <t>ACMB-22-RR06-BO</t>
  </si>
  <si>
    <t>ACMB-22-R06-BOA</t>
  </si>
  <si>
    <t>ACMB-22-RR06-BOA</t>
  </si>
  <si>
    <t>ACMB-22-R06-BOB</t>
  </si>
  <si>
    <t>ACMB-22-RR06-BOB</t>
  </si>
  <si>
    <t>ACMB-22-V12-MS</t>
  </si>
  <si>
    <t>ACMB-22-V13-MS</t>
  </si>
  <si>
    <t>ACMB-22-V12-MSA</t>
  </si>
  <si>
    <t>ACMB-22-V13-MSA</t>
  </si>
  <si>
    <t>ACMB-22-V12-MSB</t>
  </si>
  <si>
    <t>ACMB-22-V13-MSB</t>
  </si>
  <si>
    <t>ACMB-22-R07-BO</t>
  </si>
  <si>
    <t>ACMB-22-RR07-BO</t>
  </si>
  <si>
    <t>ACMB-22-R07-BOA</t>
  </si>
  <si>
    <t>ACMB-22-RR07-BOA</t>
  </si>
  <si>
    <t>ACMB-22-R07-BOB</t>
  </si>
  <si>
    <t>ACMB-22-RR07-BOB</t>
  </si>
  <si>
    <t>ACMB-22-V14-MS</t>
  </si>
  <si>
    <t>ACMB-22-V15-MS</t>
  </si>
  <si>
    <t>ACMB-22-V14-MSA</t>
  </si>
  <si>
    <t>ACMB-22-V15-MSA</t>
  </si>
  <si>
    <t>ACMB-22-V14-MSB</t>
  </si>
  <si>
    <t>ACMB-22-V15-MSB</t>
  </si>
  <si>
    <t>ACMB-23-R01-BO</t>
  </si>
  <si>
    <t>ACMB-23-RR01-BO</t>
  </si>
  <si>
    <t>ACMB-23-R01-BOA</t>
  </si>
  <si>
    <t>ACMB-23-RR01-BOA</t>
  </si>
  <si>
    <t>ACMB-23-R01-BOB</t>
  </si>
  <si>
    <t>ACMB-23-RR01-BOB</t>
  </si>
  <si>
    <t>ACMB-23-V02-MS</t>
  </si>
  <si>
    <t>ACMB-23-V03-MS</t>
  </si>
  <si>
    <t>ACMB-23-V02-MSA</t>
  </si>
  <si>
    <t>ACMB-23-V03-MSA</t>
  </si>
  <si>
    <t>ACMB-23-V02-MSB</t>
  </si>
  <si>
    <t>ACMB-23-V03-MSB</t>
  </si>
  <si>
    <t>ACMB-23-R02-BO</t>
  </si>
  <si>
    <t>ACMB-23-RR02-BO</t>
  </si>
  <si>
    <t>ACMB-23-R02-BOA</t>
  </si>
  <si>
    <t>ACMB-23-RR02-BOA</t>
  </si>
  <si>
    <t>ACMB-23-R02-BOB</t>
  </si>
  <si>
    <t>ACMB-23-RR02-BOB</t>
  </si>
  <si>
    <t>ACMB-23-V04-MS</t>
  </si>
  <si>
    <t>ACMB-23-V05-MS</t>
  </si>
  <si>
    <t>ACMB-23-V04-MSA</t>
  </si>
  <si>
    <t>ACMB-23-V05-MSA</t>
  </si>
  <si>
    <t>ACMB-23-V04-MSB</t>
  </si>
  <si>
    <t>ACMB-23-V05-MSB</t>
  </si>
  <si>
    <t>ACMB-23-R03-BO</t>
  </si>
  <si>
    <t>ACMB-23-RR03-BO</t>
  </si>
  <si>
    <t>ACMB-23-R03-BOA</t>
  </si>
  <si>
    <t>ACMB-23-RR03-BOA</t>
  </si>
  <si>
    <t>ACMB-23-R03-BOB</t>
  </si>
  <si>
    <t>ACMB-23-RR03-BOB</t>
  </si>
  <si>
    <t>ACMB-23-V06-MS</t>
  </si>
  <si>
    <t>ACMB-23-V07-MS</t>
  </si>
  <si>
    <t>ACMB-23-V06-MSA</t>
  </si>
  <si>
    <t>ACMB-23-V07-MSA</t>
  </si>
  <si>
    <t>ACMB-23-V06-MSB</t>
  </si>
  <si>
    <t>ACMB-23-V07-MSB</t>
  </si>
  <si>
    <t>ACMB-23-R04-BO</t>
  </si>
  <si>
    <t>ACMB-23-RR04-BO</t>
  </si>
  <si>
    <t>ACMB-23-R04-BOA</t>
  </si>
  <si>
    <t>ACMB-23-RR04-BOA</t>
  </si>
  <si>
    <t>ACMB-23-R04-BOB</t>
  </si>
  <si>
    <t>ACMB-23-RR04-BOB</t>
  </si>
  <si>
    <t>ACMB-23-V08-MS</t>
  </si>
  <si>
    <t>ACMB-23-V09-MS</t>
  </si>
  <si>
    <t>ACMB-23-V08-MSA</t>
  </si>
  <si>
    <t>ACMB-23-V09-MSA</t>
  </si>
  <si>
    <t>ACMB-23-V08-MSB</t>
  </si>
  <si>
    <t>ACMB-23-V09-MSB</t>
  </si>
  <si>
    <t>ACMB-23-R05-BO</t>
  </si>
  <si>
    <t>ACMB-23-RR05-BO</t>
  </si>
  <si>
    <t>ACMB-23-R05-BOA</t>
  </si>
  <si>
    <t>ACMB-23-RR05-BOA</t>
  </si>
  <si>
    <t>ACMB-23-R05-BOB</t>
  </si>
  <si>
    <t>ACMB-23-RR05-BOB</t>
  </si>
  <si>
    <t>ACMB-23-V10-MS</t>
  </si>
  <si>
    <t>ACMB-23-V11-MS</t>
  </si>
  <si>
    <t>ACMB-23-V10-MSA</t>
  </si>
  <si>
    <t>ACMB-23-V11-MSA</t>
  </si>
  <si>
    <t>ACMB-23-V10-MSB</t>
  </si>
  <si>
    <t>ACMB-23-V11-MSB</t>
  </si>
  <si>
    <t>ACMB-23-R06-BO</t>
  </si>
  <si>
    <t>ACMB-23-RR06-BO</t>
  </si>
  <si>
    <t>ACMB-23-R06-BOA</t>
  </si>
  <si>
    <t>ACMB-23-RR06-BOA</t>
  </si>
  <si>
    <t>ACMB-23-R06-BOB</t>
  </si>
  <si>
    <t>ACMB-23-RR06-BOB</t>
  </si>
  <si>
    <t>ACMB-23-V12-MS</t>
  </si>
  <si>
    <t>ACMB-23-V13-MS</t>
  </si>
  <si>
    <t>ACMB-23-V12-MSA</t>
  </si>
  <si>
    <t>ACMB-23-V13-MSA</t>
  </si>
  <si>
    <t>ACMB-23-V12-MSB</t>
  </si>
  <si>
    <t>ACMB-23-V13-MSB</t>
  </si>
  <si>
    <t>ACMB-23-R07-BO</t>
  </si>
  <si>
    <t>ACMB-23-RR07-BO</t>
  </si>
  <si>
    <t>ACMB-23-R07-BOA</t>
  </si>
  <si>
    <t>ACMB-23-RR07-BOA</t>
  </si>
  <si>
    <t>ACMB-23-R07-BOB</t>
  </si>
  <si>
    <t>ACMB-23-RR07-BOB</t>
  </si>
  <si>
    <t>ACMB-23-V14-MS</t>
  </si>
  <si>
    <t>ACMB-23-V15-MS</t>
  </si>
  <si>
    <t>ACMB-23-V14-MSA</t>
  </si>
  <si>
    <t>ACMB-23-V15-MSA</t>
  </si>
  <si>
    <t>ACMB-23-V14-MSB</t>
  </si>
  <si>
    <t>ACMB-23-V15-MSB</t>
  </si>
  <si>
    <t>ACMB-24-R01-BO</t>
  </si>
  <si>
    <t>ACMB-24-RR01-BO</t>
  </si>
  <si>
    <t>ACMB-24-R01-BOA</t>
  </si>
  <si>
    <t>ACMB-24-RR01-BOA</t>
  </si>
  <si>
    <t>ACMB-24-R01-BOB</t>
  </si>
  <si>
    <t>ACMB-24-RR01-BOB</t>
  </si>
  <si>
    <t>ACMB-24-V02-MS</t>
  </si>
  <si>
    <t>ACMB-24-V03-MS</t>
  </si>
  <si>
    <t>ACMB-24-V02-MSA</t>
  </si>
  <si>
    <t>ACMB-24-V03-MSA</t>
  </si>
  <si>
    <t>ACMB-24-V02-MSB</t>
  </si>
  <si>
    <t>ACMB-24-V03-MSB</t>
  </si>
  <si>
    <t>ACMB-24-R02-BO</t>
  </si>
  <si>
    <t>ACMB-24-RR02-BO</t>
  </si>
  <si>
    <t>ACMB-24-R02-BOA</t>
  </si>
  <si>
    <t>ACMB-24-RR02-BOA</t>
  </si>
  <si>
    <t>ACMB-24-R02-BOB</t>
  </si>
  <si>
    <t>ACMB-24-RR02-BOB</t>
  </si>
  <si>
    <t>ACMB-24-V04-MS</t>
  </si>
  <si>
    <t>ACMB-24-V05-MS</t>
  </si>
  <si>
    <t>ACMB-24-V04-MSA</t>
  </si>
  <si>
    <t>ACMB-24-V05-MSA</t>
  </si>
  <si>
    <t>ACMB-24-V04-MSB</t>
  </si>
  <si>
    <t>ACMB-24-V05-MSB</t>
  </si>
  <si>
    <t>ACMB-24-R03-BO</t>
  </si>
  <si>
    <t>ACMB-24-RR03-BO</t>
  </si>
  <si>
    <t>ACMB-24-R03-BOA</t>
  </si>
  <si>
    <t>ACMB-24-RR03-BOA</t>
  </si>
  <si>
    <t>ACMB-24-R03-BOB</t>
  </si>
  <si>
    <t>ACMB-24-RR03-BOB</t>
  </si>
  <si>
    <t>ACMB-24-V06-MS</t>
  </si>
  <si>
    <t>ACMB-24-V07-MS</t>
  </si>
  <si>
    <t>ACMB-24-V06-MSA</t>
  </si>
  <si>
    <t>ACMB-24-V07-MSA</t>
  </si>
  <si>
    <t>ACMB-24-V06-MSB</t>
  </si>
  <si>
    <t>ACMB-24-V07-MSB</t>
  </si>
  <si>
    <t>ACMB-24-R04-BO</t>
  </si>
  <si>
    <t>ACMB-24-RR04-BO</t>
  </si>
  <si>
    <t>ACMB-24-R04-BOA</t>
  </si>
  <si>
    <t>ACMB-24-RR04-BOA</t>
  </si>
  <si>
    <t>ACMB-24-R04-BOB</t>
  </si>
  <si>
    <t>ACMB-24-RR04-BOB</t>
  </si>
  <si>
    <t>ACMB-24-V08-MS</t>
  </si>
  <si>
    <t>ACMB-24-V09-MS</t>
  </si>
  <si>
    <t>ACMB-24-V08-MSA</t>
  </si>
  <si>
    <t>ACMB-24-V09-MSA</t>
  </si>
  <si>
    <t>ACMB-24-V08-MSB</t>
  </si>
  <si>
    <t>ACMB-24-V09-MSB</t>
  </si>
  <si>
    <t>ACMB-24-R05-BO</t>
  </si>
  <si>
    <t>ACMB-24-RR05-BO</t>
  </si>
  <si>
    <t>ACMB-24-R05-BOA</t>
  </si>
  <si>
    <t>ACMB-24-RR05-BOA</t>
  </si>
  <si>
    <t>ACMB-24-R05-BOB</t>
  </si>
  <si>
    <t>ACMB-24-RR05-BOB</t>
  </si>
  <si>
    <t>ACMB-24-V10-MS</t>
  </si>
  <si>
    <t>ACMB-24-V11-MS</t>
  </si>
  <si>
    <t>ACMB-24-V10-MSA</t>
  </si>
  <si>
    <t>ACMB-24-V11-MSA</t>
  </si>
  <si>
    <t>ACMB-24-V10-MSB</t>
  </si>
  <si>
    <t>ACMB-24-V11-MSB</t>
  </si>
  <si>
    <t>ACMB-24-R06-BO</t>
  </si>
  <si>
    <t>ACMB-24-RR06-BO</t>
  </si>
  <si>
    <t>ACMB-24-R06-BOA</t>
  </si>
  <si>
    <t>ACMB-24-RR06-BOA</t>
  </si>
  <si>
    <t>ACMB-24-R06-BOB</t>
  </si>
  <si>
    <t>ACMB-24-RR06-BOB</t>
  </si>
  <si>
    <t>ACMB-24-V12-MS</t>
  </si>
  <si>
    <t>ACMB-24-V13-MS</t>
  </si>
  <si>
    <t>ACMB-24-V12-MSA</t>
  </si>
  <si>
    <t>ACMB-24-V13-MSA</t>
  </si>
  <si>
    <t>ACMB-24-V12-MSB</t>
  </si>
  <si>
    <t>ACMB-24-V13-MSB</t>
  </si>
  <si>
    <t>ACMB-24-R07-BO</t>
  </si>
  <si>
    <t>ACMB-24-RR07-BO</t>
  </si>
  <si>
    <t>ACMB-24-R07-BOA</t>
  </si>
  <si>
    <t>ACMB-24-RR07-BOA</t>
  </si>
  <si>
    <t>ACMB-24-R07-BOB</t>
  </si>
  <si>
    <t>ACMB-24-RR07-BOB</t>
  </si>
  <si>
    <t>ACMB-24-V14-MS</t>
  </si>
  <si>
    <t>ACMB-24-V15-MS</t>
  </si>
  <si>
    <t>ACMB-24-V14-MSA</t>
  </si>
  <si>
    <t>ACMB-24-V15-MSA</t>
  </si>
  <si>
    <t>ACMB-24-V14-MSB</t>
  </si>
  <si>
    <t>ACMB-24-V15-MSB</t>
  </si>
  <si>
    <t>ACMB-25-R01-BO</t>
  </si>
  <si>
    <t>ACMB-25-RR01-BO</t>
  </si>
  <si>
    <t>ACMB-25-R01-BOA</t>
  </si>
  <si>
    <t>ACMB-25-RR01-BOA</t>
  </si>
  <si>
    <t>ACMB-25-R01-BOB</t>
  </si>
  <si>
    <t>ACMB-25-RR01-BOB</t>
  </si>
  <si>
    <t>ACMB-25-V02-MS</t>
  </si>
  <si>
    <t>ACMB-25-V03-MS</t>
  </si>
  <si>
    <t>ACMB-25-V02-MSA</t>
  </si>
  <si>
    <t>ACMB-25-V03-MSA</t>
  </si>
  <si>
    <t>ACMB-25-V02-MSB</t>
  </si>
  <si>
    <t>ACMB-25-V03-MSB</t>
  </si>
  <si>
    <t>ACMB-25-R02-BO</t>
  </si>
  <si>
    <t>ACMB-25-RR02-BO</t>
  </si>
  <si>
    <t>ACMB-25-R02-BOA</t>
  </si>
  <si>
    <t>ACMB-25-RR02-BOA</t>
  </si>
  <si>
    <t>ACMB-25-R02-BOB</t>
  </si>
  <si>
    <t>ACMB-25-RR02-BOB</t>
  </si>
  <si>
    <t>ACMB-25-V04-MS</t>
  </si>
  <si>
    <t>ACMB-25-V05-MS</t>
  </si>
  <si>
    <t>ACMB-25-V04-MSA</t>
  </si>
  <si>
    <t>ACMB-25-V05-MSA</t>
  </si>
  <si>
    <t>ACMB-25-V04-MSB</t>
  </si>
  <si>
    <t>ACMB-25-V05-MSB</t>
  </si>
  <si>
    <t>ACMB-25-R03-BO</t>
  </si>
  <si>
    <t>ACMB-25-RR03-BO</t>
  </si>
  <si>
    <t>ACMB-25-R03-BOA</t>
  </si>
  <si>
    <t>ACMB-25-RR03-BOA</t>
  </si>
  <si>
    <t>ACMB-25-R03-BOB</t>
  </si>
  <si>
    <t>ACMB-25-RR03-BOB</t>
  </si>
  <si>
    <t>ACMB-25-V06-MS</t>
  </si>
  <si>
    <t>ACMB-25-V07-MS</t>
  </si>
  <si>
    <t>ACMB-25-V06-MSA</t>
  </si>
  <si>
    <t>ACMB-25-V07-MSA</t>
  </si>
  <si>
    <t>ACMB-25-V06-MSB</t>
  </si>
  <si>
    <t>ACMB-25-V07-MSB</t>
  </si>
  <si>
    <t>ACMB-25-R04-BO</t>
  </si>
  <si>
    <t>ACMB-25-RR04-BO</t>
  </si>
  <si>
    <t>ACMB-25-R04-BOA</t>
  </si>
  <si>
    <t>ACMB-25-RR04-BOA</t>
  </si>
  <si>
    <t>ACMB-25-R04-BOB</t>
  </si>
  <si>
    <t>ACMB-25-RR04-BOB</t>
  </si>
  <si>
    <t>ACMB-25-V08-MS</t>
  </si>
  <si>
    <t>ACMB-25-V09-MS</t>
  </si>
  <si>
    <t>ACMB-25-V08-MSA</t>
  </si>
  <si>
    <t>ACMB-25-V09-MSA</t>
  </si>
  <si>
    <t>ACMB-25-V08-MSB</t>
  </si>
  <si>
    <t>ACMB-25-V09-MSB</t>
  </si>
  <si>
    <t>ACMB-25-R05-BO</t>
  </si>
  <si>
    <t>ACMB-25-RR05-BO</t>
  </si>
  <si>
    <t>ACMB-25-R05-BOA</t>
  </si>
  <si>
    <t>ACMB-25-RR05-BOA</t>
  </si>
  <si>
    <t>ACMB-25-R05-BOB</t>
  </si>
  <si>
    <t>ACMB-25-RR05-BOB</t>
  </si>
  <si>
    <t>ACMB-25-V10-MS</t>
  </si>
  <si>
    <t>ACMB-25-V11-MS</t>
  </si>
  <si>
    <t>ACMB-25-V10-MSA</t>
  </si>
  <si>
    <t>ACMB-25-V11-MSA</t>
  </si>
  <si>
    <t>ACMB-25-V10-MSB</t>
  </si>
  <si>
    <t>ACMB-25-V11-MSB</t>
  </si>
  <si>
    <t>ACMB-25-R06-BO</t>
  </si>
  <si>
    <t>ACMB-25-RR06-BO</t>
  </si>
  <si>
    <t>ACMB-25-R06-BOA</t>
  </si>
  <si>
    <t>ACMB-25-RR06-BOA</t>
  </si>
  <si>
    <t>ACMB-25-R06-BOB</t>
  </si>
  <si>
    <t>ACMB-25-RR06-BOB</t>
  </si>
  <si>
    <t>ACMB-25-V12-MS</t>
  </si>
  <si>
    <t>ACMB-25-V13-MS</t>
  </si>
  <si>
    <t>ACMB-25-V12-MSA</t>
  </si>
  <si>
    <t>ACMB-25-V13-MSA</t>
  </si>
  <si>
    <t>ACMB-25-V12-MSB</t>
  </si>
  <si>
    <t>ACMB-25-V13-MSB</t>
  </si>
  <si>
    <t>ACMB-25-R07-BO</t>
  </si>
  <si>
    <t>ACMB-25-RR07-BO</t>
  </si>
  <si>
    <t>ACMB-25-R07-BOA</t>
  </si>
  <si>
    <t>ACMB-25-RR07-BOA</t>
  </si>
  <si>
    <t>ACMB-25-R07-BOB</t>
  </si>
  <si>
    <t>ACMB-25-RR07-BOB</t>
  </si>
  <si>
    <t>ACMB-25-V14-MS</t>
  </si>
  <si>
    <t>ACMB-25-V15-MS</t>
  </si>
  <si>
    <t>ACMB-25-V14-MSA</t>
  </si>
  <si>
    <t>ACMB-25-V15-MSA</t>
  </si>
  <si>
    <t>ACMB-25-V14-MSB</t>
  </si>
  <si>
    <t>ACMB-25-V15-MSB</t>
  </si>
  <si>
    <t>ACMB-26-R01-BO</t>
  </si>
  <si>
    <t>ACMB-26-RR01-BO</t>
  </si>
  <si>
    <t>ACMB-26-R01-BOA</t>
  </si>
  <si>
    <t>ACMB-26-RR01-BOA</t>
  </si>
  <si>
    <t>ACMB-26-R01-BOB</t>
  </si>
  <si>
    <t>ACMB-26-RR01-BOB</t>
  </si>
  <si>
    <t>ACMB-26-V02-MS</t>
  </si>
  <si>
    <t>ACMB-26-V03-MS</t>
  </si>
  <si>
    <t>ACMB-26-V02-MSA</t>
  </si>
  <si>
    <t>ACMB-26-V03-MSA</t>
  </si>
  <si>
    <t>ACMB-26-V02-MSB</t>
  </si>
  <si>
    <t>ACMB-26-V03-MSB</t>
  </si>
  <si>
    <t>ACMB-26-R02-BO</t>
  </si>
  <si>
    <t>ACMB-26-RR02-BO</t>
  </si>
  <si>
    <t>ACMB-26-R02-BOA</t>
  </si>
  <si>
    <t>ACMB-26-RR02-BOA</t>
  </si>
  <si>
    <t>ACMB-26-R02-BOB</t>
  </si>
  <si>
    <t>ACMB-26-RR02-BOB</t>
  </si>
  <si>
    <t>ACMB-26-V04-MS</t>
  </si>
  <si>
    <t>ACMB-26-V05-MS</t>
  </si>
  <si>
    <t>ACMB-26-V04-MSA</t>
  </si>
  <si>
    <t>ACMB-26-V05-MSA</t>
  </si>
  <si>
    <t>ACMB-26-V04-MSB</t>
  </si>
  <si>
    <t>ACMB-26-V05-MSB</t>
  </si>
  <si>
    <t>ACMB-26-R03-BO</t>
  </si>
  <si>
    <t>ACMB-26-RR03-BO</t>
  </si>
  <si>
    <t>ACMB-26-R03-BOA</t>
  </si>
  <si>
    <t>ACMB-26-RR03-BOA</t>
  </si>
  <si>
    <t>ACMB-26-R03-BOB</t>
  </si>
  <si>
    <t>ACMB-26-RR03-BOB</t>
  </si>
  <si>
    <t>ACMB-26-V06-MS</t>
  </si>
  <si>
    <t>ACMB-26-V07-MS</t>
  </si>
  <si>
    <t>ACMB-26-V06-MSA</t>
  </si>
  <si>
    <t>ACMB-26-V07-MSA</t>
  </si>
  <si>
    <t>ACMB-26-V06-MSB</t>
  </si>
  <si>
    <t>ACMB-26-V07-MSB</t>
  </si>
  <si>
    <t>ACMB-26-R04-BO</t>
  </si>
  <si>
    <t>ACMB-26-RR04-BO</t>
  </si>
  <si>
    <t>ACMB-26-R04-BOA</t>
  </si>
  <si>
    <t>ACMB-26-RR04-BOA</t>
  </si>
  <si>
    <t>ACMB-26-R04-BOB</t>
  </si>
  <si>
    <t>ACMB-26-RR04-BOB</t>
  </si>
  <si>
    <t>ACMB-26-V08-MS</t>
  </si>
  <si>
    <t>ACMB-26-V09-MS</t>
  </si>
  <si>
    <t>ACMB-26-V08-MSA</t>
  </si>
  <si>
    <t>ACMB-26-V09-MSA</t>
  </si>
  <si>
    <t>ACMB-26-V08-MSB</t>
  </si>
  <si>
    <t>ACMB-26-V09-MSB</t>
  </si>
  <si>
    <t>ACMB-26-R05-BO</t>
  </si>
  <si>
    <t>ACMB-26-RR05-BO</t>
  </si>
  <si>
    <t>ACMB-26-R05-BOA</t>
  </si>
  <si>
    <t>ACMB-26-RR05-BOA</t>
  </si>
  <si>
    <t>ACMB-26-R05-BOB</t>
  </si>
  <si>
    <t>ACMB-26-RR05-BOB</t>
  </si>
  <si>
    <t>ACMB-26-V10-MS</t>
  </si>
  <si>
    <t>ACMB-26-V11-MS</t>
  </si>
  <si>
    <t>ACMB-26-V10-MSA</t>
  </si>
  <si>
    <t>ACMB-26-V11-MSA</t>
  </si>
  <si>
    <t>ACMB-26-V10-MSB</t>
  </si>
  <si>
    <t>ACMB-26-V11-MSB</t>
  </si>
  <si>
    <t>ACMB-26-R06-BO</t>
  </si>
  <si>
    <t>ACMB-26-RR06-BO</t>
  </si>
  <si>
    <t>ACMB-26-R06-BOA</t>
  </si>
  <si>
    <t>ACMB-26-RR06-BOA</t>
  </si>
  <si>
    <t>ACMB-26-R06-BOB</t>
  </si>
  <si>
    <t>ACMB-26-RR06-BOB</t>
  </si>
  <si>
    <t>ACMB-26-V12-MS</t>
  </si>
  <si>
    <t>ACMB-26-V13-MS</t>
  </si>
  <si>
    <t>ACMB-26-V12-MSA</t>
  </si>
  <si>
    <t>ACMB-26-V13-MSA</t>
  </si>
  <si>
    <t>ACMB-26-V12-MSB</t>
  </si>
  <si>
    <t>ACMB-26-V13-MSB</t>
  </si>
  <si>
    <t>ACMB-26-R07-BO</t>
  </si>
  <si>
    <t>ACMB-26-RR07-BO</t>
  </si>
  <si>
    <t>ACMB-26-R07-BOA</t>
  </si>
  <si>
    <t>ACMB-26-RR07-BOA</t>
  </si>
  <si>
    <t>ACMB-26-R07-BOB</t>
  </si>
  <si>
    <t>ACMB-26-RR07-BOB</t>
  </si>
  <si>
    <t>ACMB-26-V14-MS</t>
  </si>
  <si>
    <t>ACMB-26-V15-MS</t>
  </si>
  <si>
    <t>ACMB-26-V14-MSA</t>
  </si>
  <si>
    <t>ACMB-26-V15-MSA</t>
  </si>
  <si>
    <t>ACMB-26-V14-MSB</t>
  </si>
  <si>
    <t>ACMB-26-V15-MSB</t>
  </si>
  <si>
    <t>ACMB-27-R01-BO</t>
  </si>
  <si>
    <t>ACMB-27-RR01-BO</t>
  </si>
  <si>
    <t>ACMB-27-R01-BOA</t>
  </si>
  <si>
    <t>ACMB-27-RR01-BOA</t>
  </si>
  <si>
    <t>ACMB-27-R01-BOB</t>
  </si>
  <si>
    <t>ACMB-27-RR01-BOB</t>
  </si>
  <si>
    <t>ACMB-27-V02-MS</t>
  </si>
  <si>
    <t>ACMB-27-V03-MS</t>
  </si>
  <si>
    <t>ACMB-27-V02-MSA</t>
  </si>
  <si>
    <t>ACMB-27-V03-MSA</t>
  </si>
  <si>
    <t>ACMB-27-V02-MSB</t>
  </si>
  <si>
    <t>ACMB-27-V03-MSB</t>
  </si>
  <si>
    <t>ACMB-27-R02-BO</t>
  </si>
  <si>
    <t>ACMB-27-RR02-BO</t>
  </si>
  <si>
    <t>ACMB-27-R02-BOA</t>
  </si>
  <si>
    <t>ACMB-27-RR02-BOA</t>
  </si>
  <si>
    <t>ACMB-27-R02-BOB</t>
  </si>
  <si>
    <t>ACMB-27-RR02-BOB</t>
  </si>
  <si>
    <t>ACMB-27-V04-MS</t>
  </si>
  <si>
    <t>ACMB-27-V05-MS</t>
  </si>
  <si>
    <t>ACMB-27-V04-MSA</t>
  </si>
  <si>
    <t>ACMB-27-V05-MSA</t>
  </si>
  <si>
    <t>ACMB-27-V04-MSB</t>
  </si>
  <si>
    <t>ACMB-27-V05-MSB</t>
  </si>
  <si>
    <t>ACMB-27-R03-BO</t>
  </si>
  <si>
    <t>ACMB-27-RR03-BO</t>
  </si>
  <si>
    <t>ACMB-27-R03-BOA</t>
  </si>
  <si>
    <t>ACMB-27-RR03-BOA</t>
  </si>
  <si>
    <t>ACMB-27-R03-BOB</t>
  </si>
  <si>
    <t>ACMB-27-RR03-BOB</t>
  </si>
  <si>
    <t>ACMB-27-V06-MS</t>
  </si>
  <si>
    <t>ACMB-27-V07-MS</t>
  </si>
  <si>
    <t>ACMB-27-V06-MSA</t>
  </si>
  <si>
    <t>ACMB-27-V07-MSA</t>
  </si>
  <si>
    <t>ACMB-27-V06-MSB</t>
  </si>
  <si>
    <t>ACMB-27-V07-MSB</t>
  </si>
  <si>
    <t>ACMB-27-R04-BO</t>
  </si>
  <si>
    <t>ACMB-27-RR04-BO</t>
  </si>
  <si>
    <t>ACMB-27-R04-BOA</t>
  </si>
  <si>
    <t>ACMB-27-RR04-BOA</t>
  </si>
  <si>
    <t>ACMB-27-R04-BOB</t>
  </si>
  <si>
    <t>ACMB-27-RR04-BOB</t>
  </si>
  <si>
    <t>ACMB-27-V08-MS</t>
  </si>
  <si>
    <t>ACMB-27-V09-MS</t>
  </si>
  <si>
    <t>ACMB-27-V08-MSA</t>
  </si>
  <si>
    <t>ACMB-27-V09-MSA</t>
  </si>
  <si>
    <t>ACMB-27-V08-MSB</t>
  </si>
  <si>
    <t>ACMB-27-V09-MSB</t>
  </si>
  <si>
    <t>ACMB-27-R05-BO</t>
  </si>
  <si>
    <t>ACMB-27-RR05-BO</t>
  </si>
  <si>
    <t>ACMB-27-R05-BOA</t>
  </si>
  <si>
    <t>ACMB-27-RR05-BOA</t>
  </si>
  <si>
    <t>ACMB-27-R05-BOB</t>
  </si>
  <si>
    <t>ACMB-27-RR05-BOB</t>
  </si>
  <si>
    <t>ACMB-27-V10-MS</t>
  </si>
  <si>
    <t>ACMB-27-V11-MS</t>
  </si>
  <si>
    <t>ACMB-27-V10-MSA</t>
  </si>
  <si>
    <t>ACMB-27-V11-MSA</t>
  </si>
  <si>
    <t>ACMB-27-V10-MSB</t>
  </si>
  <si>
    <t>ACMB-27-V11-MSB</t>
  </si>
  <si>
    <t>ACMB-27-R06-BO</t>
  </si>
  <si>
    <t>ACMB-27-RR06-BO</t>
  </si>
  <si>
    <t>ACMB-27-R06-BOA</t>
  </si>
  <si>
    <t>ACMB-27-RR06-BOA</t>
  </si>
  <si>
    <t>ACMB-27-R06-BOB</t>
  </si>
  <si>
    <t>ACMB-27-RR06-BOB</t>
  </si>
  <si>
    <t>ACMB-27-V12-MS</t>
  </si>
  <si>
    <t>ACMB-27-V13-MS</t>
  </si>
  <si>
    <t>ACMB-27-V12-MSA</t>
  </si>
  <si>
    <t>ACMB-27-V13-MSA</t>
  </si>
  <si>
    <t>ACMB-27-V12-MSB</t>
  </si>
  <si>
    <t>ACMB-27-V13-MSB</t>
  </si>
  <si>
    <t>ACMB-27-R07-BO</t>
  </si>
  <si>
    <t>ACMB-27-RR07-BO</t>
  </si>
  <si>
    <t>ACMB-27-R07-BOA</t>
  </si>
  <si>
    <t>ACMB-27-RR07-BOA</t>
  </si>
  <si>
    <t>ACMB-27-R07-BOB</t>
  </si>
  <si>
    <t>ACMB-27-RR07-BOB</t>
  </si>
  <si>
    <t>ACMB-27-V14-MS</t>
  </si>
  <si>
    <t>ACMB-27-V15-MS</t>
  </si>
  <si>
    <t>ACMB-27-V14-MSA</t>
  </si>
  <si>
    <t>ACMB-27-V15-MSA</t>
  </si>
  <si>
    <t>ACMB-27-V14-MSB</t>
  </si>
  <si>
    <t>ACMB-27-V15-MSB</t>
  </si>
  <si>
    <t>ACMB-28-R01-BO</t>
  </si>
  <si>
    <t>ACMB-28-RR01-BO</t>
  </si>
  <si>
    <t>ACMB-28-R01-BOA</t>
  </si>
  <si>
    <t>ACMB-28-RR01-BOA</t>
  </si>
  <si>
    <t>ACMB-28-R01-BOB</t>
  </si>
  <si>
    <t>ACMB-28-RR01-BOB</t>
  </si>
  <si>
    <t>ACMB-28-V02-MS</t>
  </si>
  <si>
    <t>ACMB-28-V03-MS</t>
  </si>
  <si>
    <t>ACMB-28-V02-MSA</t>
  </si>
  <si>
    <t>ACMB-28-V03-MSA</t>
  </si>
  <si>
    <t>ACMB-28-V02-MSB</t>
  </si>
  <si>
    <t>ACMB-28-V03-MSB</t>
  </si>
  <si>
    <t>ACMB-28-R02-BO</t>
  </si>
  <si>
    <t>ACMB-28-RR02-BO</t>
  </si>
  <si>
    <t>ACMB-28-R02-BOA</t>
  </si>
  <si>
    <t>ACMB-28-RR02-BOA</t>
  </si>
  <si>
    <t>ACMB-28-R02-BOB</t>
  </si>
  <si>
    <t>ACMB-28-RR02-BOB</t>
  </si>
  <si>
    <t>ACMB-28-V04-MS</t>
  </si>
  <si>
    <t>ACMB-28-V05-MS</t>
  </si>
  <si>
    <t>ACMB-28-V04-MSA</t>
  </si>
  <si>
    <t>ACMB-28-V05-MSA</t>
  </si>
  <si>
    <t>ACMB-28-V04-MSB</t>
  </si>
  <si>
    <t>ACMB-28-V05-MSB</t>
  </si>
  <si>
    <t>ACMB-28-R03-BO</t>
  </si>
  <si>
    <t>ACMB-28-RR03-BO</t>
  </si>
  <si>
    <t>ACMB-28-R03-BOA</t>
  </si>
  <si>
    <t>ACMB-28-RR03-BOA</t>
  </si>
  <si>
    <t>ACMB-28-R03-BOB</t>
  </si>
  <si>
    <t>ACMB-28-RR03-BOB</t>
  </si>
  <si>
    <t>ACMB-28-V06-MS</t>
  </si>
  <si>
    <t>ACMB-28-V07-MS</t>
  </si>
  <si>
    <t>ACMB-28-V06-MSA</t>
  </si>
  <si>
    <t>ACMB-28-V07-MSA</t>
  </si>
  <si>
    <t>ACMB-28-V06-MSB</t>
  </si>
  <si>
    <t>ACMB-28-V07-MSB</t>
  </si>
  <si>
    <t>ACMB-28-R04-BO</t>
  </si>
  <si>
    <t>ACMB-28-RR04-BO</t>
  </si>
  <si>
    <t>ACMB-28-R04-BOA</t>
  </si>
  <si>
    <t>ACMB-28-RR04-BOA</t>
  </si>
  <si>
    <t>ACMB-28-R04-BOB</t>
  </si>
  <si>
    <t>ACMB-28-RR04-BOB</t>
  </si>
  <si>
    <t>ACMB-28-V08-MS</t>
  </si>
  <si>
    <t>ACMB-28-V09-MS</t>
  </si>
  <si>
    <t>ACMB-28-V08-MSA</t>
  </si>
  <si>
    <t>ACMB-28-V09-MSA</t>
  </si>
  <si>
    <t>ACMB-28-V08-MSB</t>
  </si>
  <si>
    <t>ACMB-28-V09-MSB</t>
  </si>
  <si>
    <t>ACMB-28-R05-BO</t>
  </si>
  <si>
    <t>ACMB-28-RR05-BO</t>
  </si>
  <si>
    <t>ACMB-28-R05-BOA</t>
  </si>
  <si>
    <t>ACMB-28-RR05-BOA</t>
  </si>
  <si>
    <t>ACMB-28-R05-BOB</t>
  </si>
  <si>
    <t>ACMB-28-RR05-BOB</t>
  </si>
  <si>
    <t>ACMB-28-V10-MS</t>
  </si>
  <si>
    <t>ACMB-28-V11-MS</t>
  </si>
  <si>
    <t>ACMB-28-V10-MSA</t>
  </si>
  <si>
    <t>ACMB-28-V11-MSA</t>
  </si>
  <si>
    <t>ACMB-28-V10-MSB</t>
  </si>
  <si>
    <t>ACMB-28-V11-MSB</t>
  </si>
  <si>
    <t>ACMB-28-R06-BO</t>
  </si>
  <si>
    <t>ACMB-28-RR06-BO</t>
  </si>
  <si>
    <t>ACMB-28-R06-BOA</t>
  </si>
  <si>
    <t>ACMB-28-RR06-BOA</t>
  </si>
  <si>
    <t>ACMB-28-R06-BOB</t>
  </si>
  <si>
    <t>ACMB-28-RR06-BOB</t>
  </si>
  <si>
    <t>ACMB-28-V12-MS</t>
  </si>
  <si>
    <t>ACMB-28-V13-MS</t>
  </si>
  <si>
    <t>ACMB-28-V12-MSA</t>
  </si>
  <si>
    <t>ACMB-28-V13-MSA</t>
  </si>
  <si>
    <t>ACMB-28-V12-MSB</t>
  </si>
  <si>
    <t>ACMB-28-V13-MSB</t>
  </si>
  <si>
    <t>ACMB-28-R07-BO</t>
  </si>
  <si>
    <t>ACMB-28-RR07-BO</t>
  </si>
  <si>
    <t>ACMB-28-R07-BOA</t>
  </si>
  <si>
    <t>ACMB-28-RR07-BOA</t>
  </si>
  <si>
    <t>ACMB-28-R07-BOB</t>
  </si>
  <si>
    <t>ACMB-28-RR07-BOB</t>
  </si>
  <si>
    <t>ACMB-28-V14-MS</t>
  </si>
  <si>
    <t>ACMB-28-V15-MS</t>
  </si>
  <si>
    <t>ACMB-28-V14-MSA</t>
  </si>
  <si>
    <t>ACMB-28-V15-MSA</t>
  </si>
  <si>
    <t>ACMB-28-V14-MSB</t>
  </si>
  <si>
    <t>ACMB-28-V15-MSB</t>
  </si>
  <si>
    <t>ACMB-29-R01-BO</t>
  </si>
  <si>
    <t>ACMB-29-RR01-BO</t>
  </si>
  <si>
    <t>ACMB-29-R01-BOA</t>
  </si>
  <si>
    <t>ACMB-29-RR01-BOA</t>
  </si>
  <si>
    <t>ACMB-29-R01-BOB</t>
  </si>
  <si>
    <t>ACMB-29-RR01-BOB</t>
  </si>
  <si>
    <t>ACMB-29-V02-MS</t>
  </si>
  <si>
    <t>ACMB-29-V03-MS</t>
  </si>
  <si>
    <t>ACMB-29-V02-MSA</t>
  </si>
  <si>
    <t>ACMB-29-V03-MSA</t>
  </si>
  <si>
    <t>ACMB-29-V02-MSB</t>
  </si>
  <si>
    <t>ACMB-29-V03-MSB</t>
  </si>
  <si>
    <t>ACMB-29-R02-BO</t>
  </si>
  <si>
    <t>ACMB-29-RR02-BO</t>
  </si>
  <si>
    <t>ACMB-29-R02-BOA</t>
  </si>
  <si>
    <t>ACMB-29-RR02-BOA</t>
  </si>
  <si>
    <t>ACMB-29-R02-BOB</t>
  </si>
  <si>
    <t>ACMB-29-RR02-BOB</t>
  </si>
  <si>
    <t>ACMB-29-V04-MS</t>
  </si>
  <si>
    <t>ACMB-29-V05-MS</t>
  </si>
  <si>
    <t>ACMB-29-V04-MSA</t>
  </si>
  <si>
    <t>ACMB-29-V05-MSA</t>
  </si>
  <si>
    <t>ACMB-29-V04-MSB</t>
  </si>
  <si>
    <t>ACMB-29-V05-MSB</t>
  </si>
  <si>
    <t>ACMB-29-R03-BO</t>
  </si>
  <si>
    <t>ACMB-29-RR03-BO</t>
  </si>
  <si>
    <t>ACMB-29-R03-BOA</t>
  </si>
  <si>
    <t>ACMB-29-RR03-BOA</t>
  </si>
  <si>
    <t>ACMB-29-R03-BOB</t>
  </si>
  <si>
    <t>ACMB-29-RR03-BOB</t>
  </si>
  <si>
    <t>ACMB-29-V06-MS</t>
  </si>
  <si>
    <t>ACMB-29-V07-MS</t>
  </si>
  <si>
    <t>ACMB-29-V06-MSA</t>
  </si>
  <si>
    <t>ACMB-29-V07-MSA</t>
  </si>
  <si>
    <t>ACMB-29-V06-MSB</t>
  </si>
  <si>
    <t>ACMB-29-V07-MSB</t>
  </si>
  <si>
    <t>ACMB-29-R04-BO</t>
  </si>
  <si>
    <t>ACMB-29-RR04-BO</t>
  </si>
  <si>
    <t>ACMB-29-R04-BOA</t>
  </si>
  <si>
    <t>ACMB-29-RR04-BOA</t>
  </si>
  <si>
    <t>ACMB-29-R04-BOB</t>
  </si>
  <si>
    <t>ACMB-29-RR04-BOB</t>
  </si>
  <si>
    <t>ACMB-29-V08-MS</t>
  </si>
  <si>
    <t>ACMB-29-V09-MS</t>
  </si>
  <si>
    <t>ACMB-29-V08-MSA</t>
  </si>
  <si>
    <t>ACMB-29-V09-MSA</t>
  </si>
  <si>
    <t>ACMB-29-V08-MSB</t>
  </si>
  <si>
    <t>ACMB-29-V09-MSB</t>
  </si>
  <si>
    <t>ACMB-29-R05-BO</t>
  </si>
  <si>
    <t>ACMB-29-RR05-BO</t>
  </si>
  <si>
    <t>ACMB-29-R05-BOA</t>
  </si>
  <si>
    <t>ACMB-29-RR05-BOA</t>
  </si>
  <si>
    <t>ACMB-29-R05-BOB</t>
  </si>
  <si>
    <t>ACMB-29-RR05-BOB</t>
  </si>
  <si>
    <t>ACMB-29-V10-MS</t>
  </si>
  <si>
    <t>ACMB-29-V11-MS</t>
  </si>
  <si>
    <t>ACMB-29-V10-MSA</t>
  </si>
  <si>
    <t>ACMB-29-V11-MSA</t>
  </si>
  <si>
    <t>ACMB-29-V10-MSB</t>
  </si>
  <si>
    <t>ACMB-29-V11-MSB</t>
  </si>
  <si>
    <t>ACMB-29-R06-BO</t>
  </si>
  <si>
    <t>ACMB-29-RR06-BO</t>
  </si>
  <si>
    <t>ACMB-29-R06-BOA</t>
  </si>
  <si>
    <t>ACMB-29-RR06-BOA</t>
  </si>
  <si>
    <t>ACMB-29-R06-BOB</t>
  </si>
  <si>
    <t>ACMB-29-RR06-BOB</t>
  </si>
  <si>
    <t>ACMB-29-V12-MS</t>
  </si>
  <si>
    <t>ACMB-29-V13-MS</t>
  </si>
  <si>
    <t>ACMB-29-V12-MSA</t>
  </si>
  <si>
    <t>ACMB-29-V13-MSA</t>
  </si>
  <si>
    <t>ACMB-29-V12-MSB</t>
  </si>
  <si>
    <t>ACMB-29-V13-MSB</t>
  </si>
  <si>
    <t>ACMB-29-R07-BO</t>
  </si>
  <si>
    <t>ACMB-29-RR07-BO</t>
  </si>
  <si>
    <t>ACMB-29-R07-BOA</t>
  </si>
  <si>
    <t>ACMB-29-RR07-BOA</t>
  </si>
  <si>
    <t>ACMB-29-R07-BOB</t>
  </si>
  <si>
    <t>ACMB-29-RR07-BOB</t>
  </si>
  <si>
    <t>ACMB-29-V14-MS</t>
  </si>
  <si>
    <t>ACMB-29-V15-MS</t>
  </si>
  <si>
    <t>ACMB-29-V14-MSA</t>
  </si>
  <si>
    <t>ACMB-29-V15-MSA</t>
  </si>
  <si>
    <t>ACMB-29-V14-MSB</t>
  </si>
  <si>
    <t>ACMB-29-V15-MSB</t>
  </si>
  <si>
    <t>ACMB-30-R01-BO</t>
  </si>
  <si>
    <t>ACMB-30-RR01-BO</t>
  </si>
  <si>
    <t>ACMB-30-R01-BOA</t>
  </si>
  <si>
    <t>ACMB-30-RR01-BOA</t>
  </si>
  <si>
    <t>ACMB-30-R01-BOB</t>
  </si>
  <si>
    <t>ACMB-30-RR01-BOB</t>
  </si>
  <si>
    <t>ACMB-30-V02-MS</t>
  </si>
  <si>
    <t>ACMB-30-V03-MS</t>
  </si>
  <si>
    <t>ACMB-30-V02-MSA</t>
  </si>
  <si>
    <t>ACMB-30-V03-MSA</t>
  </si>
  <si>
    <t>ACMB-30-V02-MSB</t>
  </si>
  <si>
    <t>ACMB-30-V03-MSB</t>
  </si>
  <si>
    <t>ACMB-30-R02-BO</t>
  </si>
  <si>
    <t>ACMB-30-RR02-BO</t>
  </si>
  <si>
    <t>ACMB-30-R02-BOA</t>
  </si>
  <si>
    <t>ACMB-30-RR02-BOA</t>
  </si>
  <si>
    <t>ACMB-30-R02-BOB</t>
  </si>
  <si>
    <t>ACMB-30-RR02-BOB</t>
  </si>
  <si>
    <t>ACMB-30-V04-MS</t>
  </si>
  <si>
    <t>ACMB-30-V05-MS</t>
  </si>
  <si>
    <t>ACMB-30-V04-MSA</t>
  </si>
  <si>
    <t>ACMB-30-V05-MSA</t>
  </si>
  <si>
    <t>ACMB-30-V04-MSB</t>
  </si>
  <si>
    <t>ACMB-30-V05-MSB</t>
  </si>
  <si>
    <t>ACMB-30-R03-BO</t>
  </si>
  <si>
    <t>ACMB-30-RR03-BO</t>
  </si>
  <si>
    <t>ACMB-30-R03-BOA</t>
  </si>
  <si>
    <t>ACMB-30-RR03-BOA</t>
  </si>
  <si>
    <t>ACMB-30-R03-BOB</t>
  </si>
  <si>
    <t>ACMB-30-RR03-BOB</t>
  </si>
  <si>
    <t>ACMB-30-V06-MS</t>
  </si>
  <si>
    <t>ACMB-30-V07-MS</t>
  </si>
  <si>
    <t>ACMB-30-V06-MSA</t>
  </si>
  <si>
    <t>ACMB-30-V07-MSA</t>
  </si>
  <si>
    <t>ACMB-30-V06-MSB</t>
  </si>
  <si>
    <t>ACMB-30-V07-MSB</t>
  </si>
  <si>
    <t>ACMB-30-R04-BO</t>
  </si>
  <si>
    <t>ACMB-30-RR04-BO</t>
  </si>
  <si>
    <t>ACMB-30-R04-BOA</t>
  </si>
  <si>
    <t>ACMB-30-RR04-BOA</t>
  </si>
  <si>
    <t>ACMB-30-R04-BOB</t>
  </si>
  <si>
    <t>ACMB-30-RR04-BOB</t>
  </si>
  <si>
    <t>ACMB-30-V08-MS</t>
  </si>
  <si>
    <t>ACMB-30-V09-MS</t>
  </si>
  <si>
    <t>ACMB-30-V08-MSA</t>
  </si>
  <si>
    <t>ACMB-30-V09-MSA</t>
  </si>
  <si>
    <t>ACMB-30-V08-MSB</t>
  </si>
  <si>
    <t>ACMB-30-V09-MSB</t>
  </si>
  <si>
    <t>ACMB-30-R05-BO</t>
  </si>
  <si>
    <t>ACMB-30-RR05-BO</t>
  </si>
  <si>
    <t>ACMB-30-R05-BOA</t>
  </si>
  <si>
    <t>ACMB-30-RR05-BOA</t>
  </si>
  <si>
    <t>ACMB-30-R05-BOB</t>
  </si>
  <si>
    <t>ACMB-30-RR05-BOB</t>
  </si>
  <si>
    <t>ACMB-30-V10-MS</t>
  </si>
  <si>
    <t>ACMB-30-V11-MS</t>
  </si>
  <si>
    <t>ACMB-30-V10-MSA</t>
  </si>
  <si>
    <t>ACMB-30-V11-MSA</t>
  </si>
  <si>
    <t>ACMB-30-V10-MSB</t>
  </si>
  <si>
    <t>ACMB-30-V11-MSB</t>
  </si>
  <si>
    <t>ACMB-30-R06-BO</t>
  </si>
  <si>
    <t>ACMB-30-RR06-BO</t>
  </si>
  <si>
    <t>ACMB-30-R06-BOA</t>
  </si>
  <si>
    <t>ACMB-30-RR06-BOA</t>
  </si>
  <si>
    <t>ACMB-30-R06-BOB</t>
  </si>
  <si>
    <t>ACMB-30-RR06-BOB</t>
  </si>
  <si>
    <t>ACMB-30-V12-MS</t>
  </si>
  <si>
    <t>ACMB-30-V13-MS</t>
  </si>
  <si>
    <t>ACMB-30-V12-MSA</t>
  </si>
  <si>
    <t>ACMB-30-V13-MSA</t>
  </si>
  <si>
    <t>ACMB-30-V12-MSB</t>
  </si>
  <si>
    <t>ACMB-30-V13-MSB</t>
  </si>
  <si>
    <t>ACMB-30-R07-BO</t>
  </si>
  <si>
    <t>ACMB-30-RR07-BO</t>
  </si>
  <si>
    <t>ACMB-30-R07-BOA</t>
  </si>
  <si>
    <t>ACMB-30-RR07-BOA</t>
  </si>
  <si>
    <t>ACMB-30-R07-BOB</t>
  </si>
  <si>
    <t>ACMB-30-RR07-BOB</t>
  </si>
  <si>
    <t>ACMB-30-V14-MS</t>
  </si>
  <si>
    <t>ACMB-30-V15-MS</t>
  </si>
  <si>
    <t>ACMB-30-V14-MSA</t>
  </si>
  <si>
    <t>ACMB-30-V15-MSA</t>
  </si>
  <si>
    <t>ACMB-30-V14-MSB</t>
  </si>
  <si>
    <t>ACMB-30-V15-MSB</t>
  </si>
  <si>
    <t>ACMB-31-R01-BO</t>
  </si>
  <si>
    <t>ACMB-31-RR01-BO</t>
  </si>
  <si>
    <t>ACMB-31-R01-BOA</t>
  </si>
  <si>
    <t>ACMB-31-RR01-BOA</t>
  </si>
  <si>
    <t>ACMB-31-R01-BOB</t>
  </si>
  <si>
    <t>ACMB-31-RR01-BOB</t>
  </si>
  <si>
    <t>ACMB-31-V02-MS</t>
  </si>
  <si>
    <t>ACMB-31-V03-MS</t>
  </si>
  <si>
    <t>ACMB-31-V02-MSA</t>
  </si>
  <si>
    <t>ACMB-31-V03-MSA</t>
  </si>
  <si>
    <t>ACMB-31-V02-MSB</t>
  </si>
  <si>
    <t>ACMB-31-V03-MSB</t>
  </si>
  <si>
    <t>ACMB-31-R02-BO</t>
  </si>
  <si>
    <t>ACMB-31-RR02-BO</t>
  </si>
  <si>
    <t>ACMB-31-R02-BOA</t>
  </si>
  <si>
    <t>ACMB-31-RR02-BOA</t>
  </si>
  <si>
    <t>ACMB-31-R02-BOB</t>
  </si>
  <si>
    <t>ACMB-31-RR02-BOB</t>
  </si>
  <si>
    <t>ACMB-31-V04-MS</t>
  </si>
  <si>
    <t>ACMB-31-V05-MS</t>
  </si>
  <si>
    <t>ACMB-31-V04-MSA</t>
  </si>
  <si>
    <t>ACMB-31-V05-MSA</t>
  </si>
  <si>
    <t>ACMB-31-V04-MSB</t>
  </si>
  <si>
    <t>ACMB-31-V05-MSB</t>
  </si>
  <si>
    <t>ACMB-31-R03-BO</t>
  </si>
  <si>
    <t>ACMB-31-RR03-BO</t>
  </si>
  <si>
    <t>ACMB-31-R03-BOA</t>
  </si>
  <si>
    <t>ACMB-31-RR03-BOA</t>
  </si>
  <si>
    <t>ACMB-31-R03-BOB</t>
  </si>
  <si>
    <t>ACMB-31-RR03-BOB</t>
  </si>
  <si>
    <t>ACMB-31-V06-MS</t>
  </si>
  <si>
    <t>ACMB-31-V07-MS</t>
  </si>
  <si>
    <t>ACMB-31-V06-MSA</t>
  </si>
  <si>
    <t>ACMB-31-V07-MSA</t>
  </si>
  <si>
    <t>ACMB-31-V06-MSB</t>
  </si>
  <si>
    <t>ACMB-31-V07-MSB</t>
  </si>
  <si>
    <t>ACMB-31-R04-BO</t>
  </si>
  <si>
    <t>ACMB-31-RR04-BO</t>
  </si>
  <si>
    <t>ACMB-31-R04-BOA</t>
  </si>
  <si>
    <t>ACMB-31-RR04-BOA</t>
  </si>
  <si>
    <t>ACMB-31-R04-BOB</t>
  </si>
  <si>
    <t>ACMB-31-RR04-BOB</t>
  </si>
  <si>
    <t>ACMB-31-V08-MS</t>
  </si>
  <si>
    <t>ACMB-31-V09-MS</t>
  </si>
  <si>
    <t>ACMB-31-V08-MSA</t>
  </si>
  <si>
    <t>ACMB-31-V09-MSA</t>
  </si>
  <si>
    <t>ACMB-31-V08-MSB</t>
  </si>
  <si>
    <t>ACMB-31-V09-MSB</t>
  </si>
  <si>
    <t>ACMB-31-R05-BO</t>
  </si>
  <si>
    <t>ACMB-31-RR05-BO</t>
  </si>
  <si>
    <t>ACMB-31-R05-BOA</t>
  </si>
  <si>
    <t>ACMB-31-RR05-BOA</t>
  </si>
  <si>
    <t>ACMB-31-R05-BOB</t>
  </si>
  <si>
    <t>ACMB-31-RR05-BOB</t>
  </si>
  <si>
    <t>ACMB-31-V10-MS</t>
  </si>
  <si>
    <t>ACMB-31-V11-MS</t>
  </si>
  <si>
    <t>ACMB-31-V10-MSA</t>
  </si>
  <si>
    <t>ACMB-31-V11-MSA</t>
  </si>
  <si>
    <t>ACMB-31-V10-MSB</t>
  </si>
  <si>
    <t>ACMB-31-V11-MSB</t>
  </si>
  <si>
    <t>ACMB-31-R06-BO</t>
  </si>
  <si>
    <t>ACMB-31-RR06-BO</t>
  </si>
  <si>
    <t>ACMB-31-R06-BOA</t>
  </si>
  <si>
    <t>ACMB-31-RR06-BOA</t>
  </si>
  <si>
    <t>ACMB-31-R06-BOB</t>
  </si>
  <si>
    <t>ACMB-31-RR06-BOB</t>
  </si>
  <si>
    <t>ACMB-31-V12-MS</t>
  </si>
  <si>
    <t>ACMB-31-V13-MS</t>
  </si>
  <si>
    <t>ACMB-31-V12-MSA</t>
  </si>
  <si>
    <t>ACMB-31-V13-MSA</t>
  </si>
  <si>
    <t>ACMB-31-V12-MSB</t>
  </si>
  <si>
    <t>ACMB-31-V13-MSB</t>
  </si>
  <si>
    <t>ACMB-31-R07-BO</t>
  </si>
  <si>
    <t>ACMB-31-RR07-BO</t>
  </si>
  <si>
    <t>ACMB-31-R07-BOA</t>
  </si>
  <si>
    <t>ACMB-31-RR07-BOA</t>
  </si>
  <si>
    <t>ACMB-31-R07-BOB</t>
  </si>
  <si>
    <t>ACMB-31-RR07-BOB</t>
  </si>
  <si>
    <t>ACMB-31-V14-MS</t>
  </si>
  <si>
    <t>ACMB-31-V15-MS</t>
  </si>
  <si>
    <t>ACMB-31-V14-MSA</t>
  </si>
  <si>
    <t>ACMB-31-V15-MSA</t>
  </si>
  <si>
    <t>ACMB-31-V14-MSB</t>
  </si>
  <si>
    <t>ACMB-31-V15-MSB</t>
  </si>
  <si>
    <t>ACMB-32-R01-BO</t>
  </si>
  <si>
    <t>ACMB-32-RR01-BO</t>
  </si>
  <si>
    <t>ACMB-32-R01-BOA</t>
  </si>
  <si>
    <t>ACMB-32-RR01-BOA</t>
  </si>
  <si>
    <t>ACMB-32-R01-BOB</t>
  </si>
  <si>
    <t>ACMB-32-RR01-BOB</t>
  </si>
  <si>
    <t>ACMB-32-V02-MS</t>
  </si>
  <si>
    <t>ACMB-32-V03-MS</t>
  </si>
  <si>
    <t>ACMB-32-V02-MSA</t>
  </si>
  <si>
    <t>ACMB-32-V03-MSA</t>
  </si>
  <si>
    <t>ACMB-32-V02-MSB</t>
  </si>
  <si>
    <t>ACMB-32-V03-MSB</t>
  </si>
  <si>
    <t>ACMB-32-R02-BO</t>
  </si>
  <si>
    <t>ACMB-32-RR02-BO</t>
  </si>
  <si>
    <t>ACMB-32-R02-BOA</t>
  </si>
  <si>
    <t>ACMB-32-RR02-BOA</t>
  </si>
  <si>
    <t>ACMB-32-R02-BOB</t>
  </si>
  <si>
    <t>ACMB-32-RR02-BOB</t>
  </si>
  <si>
    <t>ACMB-32-V04-MS</t>
  </si>
  <si>
    <t>ACMB-32-V05-MS</t>
  </si>
  <si>
    <t>ACMB-32-V04-MSA</t>
  </si>
  <si>
    <t>ACMB-32-V05-MSA</t>
  </si>
  <si>
    <t>ACMB-32-V04-MSB</t>
  </si>
  <si>
    <t>ACMB-32-V05-MSB</t>
  </si>
  <si>
    <t>ACMB-32-R03-BO</t>
  </si>
  <si>
    <t>ACMB-32-RR03-BO</t>
  </si>
  <si>
    <t>ACMB-32-R03-BOA</t>
  </si>
  <si>
    <t>ACMB-32-RR03-BOA</t>
  </si>
  <si>
    <t>ACMB-32-R03-BOB</t>
  </si>
  <si>
    <t>ACMB-32-RR03-BOB</t>
  </si>
  <si>
    <t>ACMB-32-V06-MS</t>
  </si>
  <si>
    <t>ACMB-32-V07-MS</t>
  </si>
  <si>
    <t>ACMB-32-V06-MSA</t>
  </si>
  <si>
    <t>ACMB-32-V07-MSA</t>
  </si>
  <si>
    <t>ACMB-32-V06-MSB</t>
  </si>
  <si>
    <t>ACMB-32-V07-MSB</t>
  </si>
  <si>
    <t>ACMB-32-R04-BO</t>
  </si>
  <si>
    <t>ACMB-32-RR04-BO</t>
  </si>
  <si>
    <t>ACMB-32-R04-BOA</t>
  </si>
  <si>
    <t>ACMB-32-RR04-BOA</t>
  </si>
  <si>
    <t>ACMB-32-R04-BOB</t>
  </si>
  <si>
    <t>ACMB-32-RR04-BOB</t>
  </si>
  <si>
    <t>ACMB-32-V08-MS</t>
  </si>
  <si>
    <t>ACMB-32-V09-MS</t>
  </si>
  <si>
    <t>ACMB-32-V08-MSA</t>
  </si>
  <si>
    <t>ACMB-32-V09-MSA</t>
  </si>
  <si>
    <t>ACMB-32-V08-MSB</t>
  </si>
  <si>
    <t>ACMB-32-V09-MSB</t>
  </si>
  <si>
    <t>ACMB-32-R05-BO</t>
  </si>
  <si>
    <t>ACMB-32-RR05-BO</t>
  </si>
  <si>
    <t>ACMB-32-R05-BOA</t>
  </si>
  <si>
    <t>ACMB-32-RR05-BOA</t>
  </si>
  <si>
    <t>ACMB-32-R05-BOB</t>
  </si>
  <si>
    <t>ACMB-32-RR05-BOB</t>
  </si>
  <si>
    <t>ACMB-32-V10-MS</t>
  </si>
  <si>
    <t>ACMB-32-V11-MS</t>
  </si>
  <si>
    <t>ACMB-32-V10-MSA</t>
  </si>
  <si>
    <t>ACMB-32-V11-MSA</t>
  </si>
  <si>
    <t>ACMB-32-V10-MSB</t>
  </si>
  <si>
    <t>ACMB-32-V11-MSB</t>
  </si>
  <si>
    <t>ACMB-32-R06-BO</t>
  </si>
  <si>
    <t>ACMB-32-RR06-BO</t>
  </si>
  <si>
    <t>ACMB-32-R06-BOA</t>
  </si>
  <si>
    <t>ACMB-32-RR06-BOA</t>
  </si>
  <si>
    <t>ACMB-32-R06-BOB</t>
  </si>
  <si>
    <t>ACMB-32-RR06-BOB</t>
  </si>
  <si>
    <t>ACMB-32-V12-MS</t>
  </si>
  <si>
    <t>ACMB-32-V13-MS</t>
  </si>
  <si>
    <t>ACMB-32-V12-MSA</t>
  </si>
  <si>
    <t>ACMB-32-V13-MSA</t>
  </si>
  <si>
    <t>ACMB-32-V12-MSB</t>
  </si>
  <si>
    <t>ACMB-32-V13-MSB</t>
  </si>
  <si>
    <t>ACMB-32-R07-BO</t>
  </si>
  <si>
    <t>ACMB-32-RR07-BO</t>
  </si>
  <si>
    <t>ACMB-32-R07-BOA</t>
  </si>
  <si>
    <t>ACMB-32-RR07-BOA</t>
  </si>
  <si>
    <t>ACMB-32-R07-BOB</t>
  </si>
  <si>
    <t>ACMB-32-RR07-BOB</t>
  </si>
  <si>
    <t>ACMB-32-V14-MS</t>
  </si>
  <si>
    <t>ACMB-32-V15-MS</t>
  </si>
  <si>
    <t>ACMB-32-V14-MSA</t>
  </si>
  <si>
    <t>ACMB-32-V15-MSA</t>
  </si>
  <si>
    <t>ACMB-32-V14-MSB</t>
  </si>
  <si>
    <t>ACMB-32-V15-MSB</t>
  </si>
  <si>
    <t>ACMB-33-R01-BO</t>
  </si>
  <si>
    <t>ACMB-33-RR01-BO</t>
  </si>
  <si>
    <t>ACMB-33-R01-BOA</t>
  </si>
  <si>
    <t>ACMB-33-RR01-BOA</t>
  </si>
  <si>
    <t>ACMB-33-R01-BOB</t>
  </si>
  <si>
    <t>ACMB-33-RR01-BOB</t>
  </si>
  <si>
    <t>ACMB-33-V02-MS</t>
  </si>
  <si>
    <t>ACMB-33-V03-MS</t>
  </si>
  <si>
    <t>ACMB-33-V02-MSA</t>
  </si>
  <si>
    <t>ACMB-33-V03-MSA</t>
  </si>
  <si>
    <t>ACMB-33-V02-MSB</t>
  </si>
  <si>
    <t>ACMB-33-V03-MSB</t>
  </si>
  <si>
    <t>ACMB-33-R02-BO</t>
  </si>
  <si>
    <t>ACMB-33-RR02-BO</t>
  </si>
  <si>
    <t>ACMB-33-R02-BOA</t>
  </si>
  <si>
    <t>ACMB-33-RR02-BOA</t>
  </si>
  <si>
    <t>ACMB-33-R02-BOB</t>
  </si>
  <si>
    <t>ACMB-33-RR02-BOB</t>
  </si>
  <si>
    <t>ACMB-33-V04-MS</t>
  </si>
  <si>
    <t>ACMB-33-V05-MS</t>
  </si>
  <si>
    <t>ACMB-33-V04-MSA</t>
  </si>
  <si>
    <t>ACMB-33-V05-MSA</t>
  </si>
  <si>
    <t>ACMB-33-V04-MSB</t>
  </si>
  <si>
    <t>ACMB-33-V05-MSB</t>
  </si>
  <si>
    <t>ACMB-33-R03-BO</t>
  </si>
  <si>
    <t>ACMB-33-RR03-BO</t>
  </si>
  <si>
    <t>ACMB-33-R03-BOA</t>
  </si>
  <si>
    <t>ACMB-33-RR03-BOA</t>
  </si>
  <si>
    <t>ACMB-33-R03-BOB</t>
  </si>
  <si>
    <t>ACMB-33-RR03-BOB</t>
  </si>
  <si>
    <t>ACMB-33-V06-MS</t>
  </si>
  <si>
    <t>ACMB-33-V07-MS</t>
  </si>
  <si>
    <t>ACMB-33-V06-MSA</t>
  </si>
  <si>
    <t>ACMB-33-V07-MSA</t>
  </si>
  <si>
    <t>ACMB-33-V06-MSB</t>
  </si>
  <si>
    <t>ACMB-33-V07-MSB</t>
  </si>
  <si>
    <t>ACMB-33-R04-BO</t>
  </si>
  <si>
    <t>ACMB-33-RR04-BO</t>
  </si>
  <si>
    <t>ACMB-33-R04-BOA</t>
  </si>
  <si>
    <t>ACMB-33-RR04-BOA</t>
  </si>
  <si>
    <t>ACMB-33-R04-BOB</t>
  </si>
  <si>
    <t>ACMB-33-RR04-BOB</t>
  </si>
  <si>
    <t>ACMB-33-V08-MS</t>
  </si>
  <si>
    <t>ACMB-33-V09-MS</t>
  </si>
  <si>
    <t>ACMB-33-V08-MSA</t>
  </si>
  <si>
    <t>ACMB-33-V09-MSA</t>
  </si>
  <si>
    <t>ACMB-33-V08-MSB</t>
  </si>
  <si>
    <t>ACMB-33-V09-MSB</t>
  </si>
  <si>
    <t>ACMB-33-R05-BO</t>
  </si>
  <si>
    <t>ACMB-33-RR05-BO</t>
  </si>
  <si>
    <t>ACMB-33-R05-BOA</t>
  </si>
  <si>
    <t>ACMB-33-RR05-BOA</t>
  </si>
  <si>
    <t>ACMB-33-R05-BOB</t>
  </si>
  <si>
    <t>ACMB-33-RR05-BOB</t>
  </si>
  <si>
    <t>ACMB-33-V10-MS</t>
  </si>
  <si>
    <t>ACMB-33-V11-MS</t>
  </si>
  <si>
    <t>ACMB-33-V10-MSA</t>
  </si>
  <si>
    <t>ACMB-33-V11-MSA</t>
  </si>
  <si>
    <t>ACMB-33-V10-MSB</t>
  </si>
  <si>
    <t>ACMB-33-V11-MSB</t>
  </si>
  <si>
    <t>ACMB-33-R06-BO</t>
  </si>
  <si>
    <t>ACMB-33-RR06-BO</t>
  </si>
  <si>
    <t>ACMB-33-R06-BOA</t>
  </si>
  <si>
    <t>ACMB-33-RR06-BOA</t>
  </si>
  <si>
    <t>ACMB-33-R06-BOB</t>
  </si>
  <si>
    <t>ACMB-33-RR06-BOB</t>
  </si>
  <si>
    <t>ACMB-33-V12-MS</t>
  </si>
  <si>
    <t>ACMB-33-V13-MS</t>
  </si>
  <si>
    <t>ACMB-33-V12-MSA</t>
  </si>
  <si>
    <t>ACMB-33-V13-MSA</t>
  </si>
  <si>
    <t>ACMB-33-V12-MSB</t>
  </si>
  <si>
    <t>ACMB-33-V13-MSB</t>
  </si>
  <si>
    <t>ACMB-33-R07-BO</t>
  </si>
  <si>
    <t>ACMB-33-RR07-BO</t>
  </si>
  <si>
    <t>ACMB-33-R07-BOA</t>
  </si>
  <si>
    <t>ACMB-33-RR07-BOA</t>
  </si>
  <si>
    <t>ACMB-33-R07-BOB</t>
  </si>
  <si>
    <t>ACMB-33-RR07-BOB</t>
  </si>
  <si>
    <t>ACMB-33-V14-MS</t>
  </si>
  <si>
    <t>ACMB-33-V15-MS</t>
  </si>
  <si>
    <t>ACMB-33-V14-MSA</t>
  </si>
  <si>
    <t>ACMB-33-V15-MSA</t>
  </si>
  <si>
    <t>ACMB-33-V14-MSB</t>
  </si>
  <si>
    <t>ACMB-33-V15-MSB</t>
  </si>
  <si>
    <t>ACMB-34-R01-BO</t>
  </si>
  <si>
    <t>ACMB-34-RR01-BO</t>
  </si>
  <si>
    <t>ACMB-34-R01-BOA</t>
  </si>
  <si>
    <t>ACMB-34-RR01-BOA</t>
  </si>
  <si>
    <t>ACMB-34-R01-BOB</t>
  </si>
  <si>
    <t>ACMB-34-RR01-BOB</t>
  </si>
  <si>
    <t>ACMB-34-V02-MS</t>
  </si>
  <si>
    <t>ACMB-34-V03-MS</t>
  </si>
  <si>
    <t>ACMB-34-V02-MSA</t>
  </si>
  <si>
    <t>ACMB-34-V03-MSA</t>
  </si>
  <si>
    <t>ACMB-34-V02-MSB</t>
  </si>
  <si>
    <t>ACMB-34-V03-MSB</t>
  </si>
  <si>
    <t>ACMB-34-R02-BO</t>
  </si>
  <si>
    <t>ACMB-34-RR02-BO</t>
  </si>
  <si>
    <t>ACMB-34-R02-BOA</t>
  </si>
  <si>
    <t>ACMB-34-RR02-BOA</t>
  </si>
  <si>
    <t>ACMB-34-R02-BOB</t>
  </si>
  <si>
    <t>ACMB-34-RR02-BOB</t>
  </si>
  <si>
    <t>ACMB-34-V04-MS</t>
  </si>
  <si>
    <t>ACMB-34-V05-MS</t>
  </si>
  <si>
    <t>ACMB-34-V04-MSA</t>
  </si>
  <si>
    <t>ACMB-34-V05-MSA</t>
  </si>
  <si>
    <t>ACMB-34-V04-MSB</t>
  </si>
  <si>
    <t>ACMB-34-V05-MSB</t>
  </si>
  <si>
    <t>ACMB-34-R03-BO</t>
  </si>
  <si>
    <t>ACMB-34-RR03-BO</t>
  </si>
  <si>
    <t>ACMB-34-R03-BOA</t>
  </si>
  <si>
    <t>ACMB-34-RR03-BOA</t>
  </si>
  <si>
    <t>ACMB-34-R03-BOB</t>
  </si>
  <si>
    <t>ACMB-34-RR03-BOB</t>
  </si>
  <si>
    <t>ACMB-34-V06-MS</t>
  </si>
  <si>
    <t>ACMB-34-V07-MS</t>
  </si>
  <si>
    <t>ACMB-34-V06-MSA</t>
  </si>
  <si>
    <t>ACMB-34-V07-MSA</t>
  </si>
  <si>
    <t>ACMB-34-V06-MSB</t>
  </si>
  <si>
    <t>ACMB-34-V07-MSB</t>
  </si>
  <si>
    <t>ACMB-34-R04-BO</t>
  </si>
  <si>
    <t>ACMB-34-RR04-BO</t>
  </si>
  <si>
    <t>ACMB-34-R04-BOA</t>
  </si>
  <si>
    <t>ACMB-34-RR04-BOA</t>
  </si>
  <si>
    <t>ACMB-34-R04-BOB</t>
  </si>
  <si>
    <t>ACMB-34-RR04-BOB</t>
  </si>
  <si>
    <t>ACMB-34-V08-MS</t>
  </si>
  <si>
    <t>ACMB-34-V09-MS</t>
  </si>
  <si>
    <t>ACMB-34-V08-MSA</t>
  </si>
  <si>
    <t>ACMB-34-V09-MSA</t>
  </si>
  <si>
    <t>ACMB-34-V08-MSB</t>
  </si>
  <si>
    <t>ACMB-34-V09-MSB</t>
  </si>
  <si>
    <t>ACMB-34-R05-BO</t>
  </si>
  <si>
    <t>ACMB-34-RR05-BO</t>
  </si>
  <si>
    <t>ACMB-34-R05-BOA</t>
  </si>
  <si>
    <t>ACMB-34-RR05-BOA</t>
  </si>
  <si>
    <t>ACMB-34-R05-BOB</t>
  </si>
  <si>
    <t>ACMB-34-RR05-BOB</t>
  </si>
  <si>
    <t>ACMB-34-V10-MS</t>
  </si>
  <si>
    <t>ACMB-34-V11-MS</t>
  </si>
  <si>
    <t>ACMB-34-V10-MSA</t>
  </si>
  <si>
    <t>ACMB-34-V11-MSA</t>
  </si>
  <si>
    <t>ACMB-34-V10-MSB</t>
  </si>
  <si>
    <t>ACMB-34-V11-MSB</t>
  </si>
  <si>
    <t>ACMB-34-R06-BO</t>
  </si>
  <si>
    <t>ACMB-34-RR06-BO</t>
  </si>
  <si>
    <t>ACMB-34-R06-BOA</t>
  </si>
  <si>
    <t>ACMB-34-RR06-BOA</t>
  </si>
  <si>
    <t>ACMB-34-R06-BOB</t>
  </si>
  <si>
    <t>ACMB-34-RR06-BOB</t>
  </si>
  <si>
    <t>ACMB-34-V12-MS</t>
  </si>
  <si>
    <t>ACMB-34-V13-MS</t>
  </si>
  <si>
    <t>ACMB-34-V12-MSA</t>
  </si>
  <si>
    <t>ACMB-34-V13-MSA</t>
  </si>
  <si>
    <t>ACMB-34-V12-MSB</t>
  </si>
  <si>
    <t>ACMB-34-V13-MSB</t>
  </si>
  <si>
    <t>ACMB-34-R07-BO</t>
  </si>
  <si>
    <t>ACMB-34-RR07-BO</t>
  </si>
  <si>
    <t>ACMB-34-R07-BOA</t>
  </si>
  <si>
    <t>ACMB-34-RR07-BOA</t>
  </si>
  <si>
    <t>ACMB-34-R07-BOB</t>
  </si>
  <si>
    <t>ACMB-34-RR07-BOB</t>
  </si>
  <si>
    <t>ACMB-34-V14-MS</t>
  </si>
  <si>
    <t>ACMB-34-V15-MS</t>
  </si>
  <si>
    <t>ACMB-34-V14-MSA</t>
  </si>
  <si>
    <t>ACMB-34-V15-MSA</t>
  </si>
  <si>
    <t>ACMB-34-V14-MSB</t>
  </si>
  <si>
    <t>ACMB-34-V15-MSB</t>
  </si>
  <si>
    <t>ACMB-35-R01-BO</t>
  </si>
  <si>
    <t>ACMB-35-RR01-BO</t>
  </si>
  <si>
    <t>ACMB-35-R01-BOA</t>
  </si>
  <si>
    <t>ACMB-35-RR01-BOA</t>
  </si>
  <si>
    <t>ACMB-35-R01-BOB</t>
  </si>
  <si>
    <t>ACMB-35-RR01-BOB</t>
  </si>
  <si>
    <t>ACMB-35-V02-MS</t>
  </si>
  <si>
    <t>ACMB-35-V03-MS</t>
  </si>
  <si>
    <t>ACMB-35-V02-MSA</t>
  </si>
  <si>
    <t>ACMB-35-V03-MSA</t>
  </si>
  <si>
    <t>ACMB-35-V02-MSB</t>
  </si>
  <si>
    <t>ACMB-35-V03-MSB</t>
  </si>
  <si>
    <t>ACMB-35-R02-BO</t>
  </si>
  <si>
    <t>ACMB-35-RR02-BO</t>
  </si>
  <si>
    <t>ACMB-35-R02-BOA</t>
  </si>
  <si>
    <t>ACMB-35-RR02-BOA</t>
  </si>
  <si>
    <t>ACMB-35-R02-BOB</t>
  </si>
  <si>
    <t>ACMB-35-RR02-BOB</t>
  </si>
  <si>
    <t>ACMB-35-V04-MS</t>
  </si>
  <si>
    <t>ACMB-35-V05-MS</t>
  </si>
  <si>
    <t>ACMB-35-V04-MSA</t>
  </si>
  <si>
    <t>ACMB-35-V05-MSA</t>
  </si>
  <si>
    <t>ACMB-35-V04-MSB</t>
  </si>
  <si>
    <t>ACMB-35-V05-MSB</t>
  </si>
  <si>
    <t>ACMB-35-R03-BO</t>
  </si>
  <si>
    <t>ACMB-35-RR03-BO</t>
  </si>
  <si>
    <t>ACMB-35-R03-BOA</t>
  </si>
  <si>
    <t>ACMB-35-RR03-BOA</t>
  </si>
  <si>
    <t>ACMB-35-R03-BOB</t>
  </si>
  <si>
    <t>ACMB-35-RR03-BOB</t>
  </si>
  <si>
    <t>ACMB-35-V06-MS</t>
  </si>
  <si>
    <t>ACMB-35-V07-MS</t>
  </si>
  <si>
    <t>ACMB-35-V06-MSA</t>
  </si>
  <si>
    <t>ACMB-35-V07-MSA</t>
  </si>
  <si>
    <t>ACMB-35-V06-MSB</t>
  </si>
  <si>
    <t>ACMB-35-V07-MSB</t>
  </si>
  <si>
    <t>ACMB-35-R04-BO</t>
  </si>
  <si>
    <t>ACMB-35-RR04-BO</t>
  </si>
  <si>
    <t>ACMB-35-R04-BOA</t>
  </si>
  <si>
    <t>ACMB-35-RR04-BOA</t>
  </si>
  <si>
    <t>ACMB-35-R04-BOB</t>
  </si>
  <si>
    <t>ACMB-35-RR04-BOB</t>
  </si>
  <si>
    <t>ACMB-35-V08-MS</t>
  </si>
  <si>
    <t>ACMB-35-V09-MS</t>
  </si>
  <si>
    <t>ACMB-35-V08-MSA</t>
  </si>
  <si>
    <t>ACMB-35-V09-MSA</t>
  </si>
  <si>
    <t>ACMB-35-V08-MSB</t>
  </si>
  <si>
    <t>ACMB-35-V09-MSB</t>
  </si>
  <si>
    <t>ACMB-35-R05-BO</t>
  </si>
  <si>
    <t>ACMB-35-RR05-BO</t>
  </si>
  <si>
    <t>ACMB-35-R05-BOA</t>
  </si>
  <si>
    <t>ACMB-35-RR05-BOA</t>
  </si>
  <si>
    <t>ACMB-35-R05-BOB</t>
  </si>
  <si>
    <t>ACMB-35-RR05-BOB</t>
  </si>
  <si>
    <t>ACMB-35-V10-MS</t>
  </si>
  <si>
    <t>ACMB-35-V11-MS</t>
  </si>
  <si>
    <t>ACMB-35-V10-MSA</t>
  </si>
  <si>
    <t>ACMB-35-V11-MSA</t>
  </si>
  <si>
    <t>ACMB-35-V10-MSB</t>
  </si>
  <si>
    <t>ACMB-35-V11-MSB</t>
  </si>
  <si>
    <t>ACMB-35-R06-BO</t>
  </si>
  <si>
    <t>ACMB-35-RR06-BO</t>
  </si>
  <si>
    <t>ACMB-35-R06-BOA</t>
  </si>
  <si>
    <t>ACMB-35-RR06-BOA</t>
  </si>
  <si>
    <t>ACMB-35-R06-BOB</t>
  </si>
  <si>
    <t>ACMB-35-RR06-BOB</t>
  </si>
  <si>
    <t>ACMB-35-V12-MS</t>
  </si>
  <si>
    <t>ACMB-35-V13-MS</t>
  </si>
  <si>
    <t>ACMB-35-V12-MSA</t>
  </si>
  <si>
    <t>ACMB-35-V13-MSA</t>
  </si>
  <si>
    <t>ACMB-35-V12-MSB</t>
  </si>
  <si>
    <t>ACMB-35-V13-MSB</t>
  </si>
  <si>
    <t>ACMB-35-R07-BO</t>
  </si>
  <si>
    <t>ACMB-35-RR07-BO</t>
  </si>
  <si>
    <t>ACMB-35-R07-BOA</t>
  </si>
  <si>
    <t>ACMB-35-RR07-BOA</t>
  </si>
  <si>
    <t>ACMB-35-R07-BOB</t>
  </si>
  <si>
    <t>ACMB-35-RR07-BOB</t>
  </si>
  <si>
    <t>ACMB-35-V14-MS</t>
  </si>
  <si>
    <t>ACMB-35-V15-MS</t>
  </si>
  <si>
    <t>ACMB-35-V14-MSA</t>
  </si>
  <si>
    <t>ACMB-35-V15-MSA</t>
  </si>
  <si>
    <t>ACMB-35-V14-MSB</t>
  </si>
  <si>
    <t>ACMB-35-V15-MSB</t>
  </si>
  <si>
    <t>ACMB-36-R01-BO</t>
  </si>
  <si>
    <t>ACMB-36-RR01-BO</t>
  </si>
  <si>
    <t>ACMB-36-R01-BOA</t>
  </si>
  <si>
    <t>ACMB-36-RR01-BOA</t>
  </si>
  <si>
    <t>ACMB-36-R01-BOB</t>
  </si>
  <si>
    <t>ACMB-36-RR01-BOB</t>
  </si>
  <si>
    <t>ACMB-36-V02-MS</t>
  </si>
  <si>
    <t>ACMB-36-V03-MS</t>
  </si>
  <si>
    <t>ACMB-36-V02-MSA</t>
  </si>
  <si>
    <t>ACMB-36-V03-MSA</t>
  </si>
  <si>
    <t>ACMB-36-V02-MSB</t>
  </si>
  <si>
    <t>ACMB-36-V03-MSB</t>
  </si>
  <si>
    <t>ACMB-36-R02-BO</t>
  </si>
  <si>
    <t>ACMB-36-RR02-BO</t>
  </si>
  <si>
    <t>ACMB-36-R02-BOA</t>
  </si>
  <si>
    <t>ACMB-36-RR02-BOA</t>
  </si>
  <si>
    <t>ACMB-36-R02-BOB</t>
  </si>
  <si>
    <t>ACMB-36-RR02-BOB</t>
  </si>
  <si>
    <t>ACMB-36-V04-MS</t>
  </si>
  <si>
    <t>ACMB-36-V05-MS</t>
  </si>
  <si>
    <t>ACMB-36-V04-MSA</t>
  </si>
  <si>
    <t>ACMB-36-V05-MSA</t>
  </si>
  <si>
    <t>ACMB-36-V04-MSB</t>
  </si>
  <si>
    <t>ACMB-36-V05-MSB</t>
  </si>
  <si>
    <t>ACMB-36-R03-BO</t>
  </si>
  <si>
    <t>ACMB-36-RR03-BO</t>
  </si>
  <si>
    <t>ACMB-36-R03-BOA</t>
  </si>
  <si>
    <t>ACMB-36-RR03-BOA</t>
  </si>
  <si>
    <t>ACMB-36-R03-BOB</t>
  </si>
  <si>
    <t>ACMB-36-RR03-BOB</t>
  </si>
  <si>
    <t>ACMB-36-V06-MS</t>
  </si>
  <si>
    <t>ACMB-36-V07-MS</t>
  </si>
  <si>
    <t>ACMB-36-V06-MSA</t>
  </si>
  <si>
    <t>ACMB-36-V07-MSA</t>
  </si>
  <si>
    <t>ACMB-36-V06-MSB</t>
  </si>
  <si>
    <t>ACMB-36-V07-MSB</t>
  </si>
  <si>
    <t>ACMB-36-R04-BO</t>
  </si>
  <si>
    <t>ACMB-36-RR04-BO</t>
  </si>
  <si>
    <t>ACMB-36-R04-BOA</t>
  </si>
  <si>
    <t>ACMB-36-RR04-BOA</t>
  </si>
  <si>
    <t>ACMB-36-R04-BOB</t>
  </si>
  <si>
    <t>ACMB-36-RR04-BOB</t>
  </si>
  <si>
    <t>ACMB-36-V08-MS</t>
  </si>
  <si>
    <t>ACMB-36-V09-MS</t>
  </si>
  <si>
    <t>ACMB-36-V08-MSA</t>
  </si>
  <si>
    <t>ACMB-36-V09-MSA</t>
  </si>
  <si>
    <t>ACMB-36-V08-MSB</t>
  </si>
  <si>
    <t>ACMB-36-V09-MSB</t>
  </si>
  <si>
    <t>ACMB-36-R05-BO</t>
  </si>
  <si>
    <t>ACMB-36-RR05-BO</t>
  </si>
  <si>
    <t>ACMB-36-R05-BOA</t>
  </si>
  <si>
    <t>ACMB-36-RR05-BOA</t>
  </si>
  <si>
    <t>ACMB-36-R05-BOB</t>
  </si>
  <si>
    <t>ACMB-36-RR05-BOB</t>
  </si>
  <si>
    <t>ACMB-36-V10-MS</t>
  </si>
  <si>
    <t>ACMB-36-V11-MS</t>
  </si>
  <si>
    <t>ACMB-36-V10-MSA</t>
  </si>
  <si>
    <t>ACMB-36-V11-MSA</t>
  </si>
  <si>
    <t>ACMB-36-V10-MSB</t>
  </si>
  <si>
    <t>ACMB-36-V11-MSB</t>
  </si>
  <si>
    <t>ACMB-36-R06-BO</t>
  </si>
  <si>
    <t>ACMB-36-RR06-BO</t>
  </si>
  <si>
    <t>ACMB-36-R06-BOA</t>
  </si>
  <si>
    <t>ACMB-36-RR06-BOA</t>
  </si>
  <si>
    <t>ACMB-36-R06-BOB</t>
  </si>
  <si>
    <t>ACMB-36-RR06-BOB</t>
  </si>
  <si>
    <t>ACMB-36-V12-MS</t>
  </si>
  <si>
    <t>ACMB-36-V13-MS</t>
  </si>
  <si>
    <t>ACMB-36-V12-MSA</t>
  </si>
  <si>
    <t>ACMB-36-V13-MSA</t>
  </si>
  <si>
    <t>ACMB-36-V12-MSB</t>
  </si>
  <si>
    <t>ACMB-36-V13-MSB</t>
  </si>
  <si>
    <t>ACMB-36-R07-BO</t>
  </si>
  <si>
    <t>ACMB-36-RR07-BO</t>
  </si>
  <si>
    <t>ACMB-36-R07-BOA</t>
  </si>
  <si>
    <t>ACMB-36-RR07-BOA</t>
  </si>
  <si>
    <t>ACMB-36-R07-BOB</t>
  </si>
  <si>
    <t>ACMB-36-RR07-BOB</t>
  </si>
  <si>
    <t>ACMB-36-V14-MS</t>
  </si>
  <si>
    <t>ACMB-36-V15-MS</t>
  </si>
  <si>
    <t>ACMB-36-V14-MSA</t>
  </si>
  <si>
    <t>ACMB-36-V15-MSA</t>
  </si>
  <si>
    <t>ACMB-36-V14-MSB</t>
  </si>
  <si>
    <t>ACMB-36-V15-MSB</t>
  </si>
  <si>
    <t>ACMB-37-R01-BO</t>
  </si>
  <si>
    <t>ACMB-37-RR01-BO</t>
  </si>
  <si>
    <t>ACMB-37-R01-BOA</t>
  </si>
  <si>
    <t>ACMB-37-RR01-BOA</t>
  </si>
  <si>
    <t>ACMB-37-R01-BOB</t>
  </si>
  <si>
    <t>ACMB-37-RR01-BOB</t>
  </si>
  <si>
    <t>ACMB-37-V02-MS</t>
  </si>
  <si>
    <t>ACMB-37-V03-MS</t>
  </si>
  <si>
    <t>ACMB-37-V02-MSA</t>
  </si>
  <si>
    <t>ACMB-37-V03-MSA</t>
  </si>
  <si>
    <t>ACMB-37-V02-MSB</t>
  </si>
  <si>
    <t>ACMB-37-V03-MSB</t>
  </si>
  <si>
    <t>ACMB-37-R02-BO</t>
  </si>
  <si>
    <t>ACMB-37-RR02-BO</t>
  </si>
  <si>
    <t>ACMB-37-R02-BOA</t>
  </si>
  <si>
    <t>ACMB-37-RR02-BOA</t>
  </si>
  <si>
    <t>ACMB-37-R02-BOB</t>
  </si>
  <si>
    <t>ACMB-37-RR02-BOB</t>
  </si>
  <si>
    <t>ACMB-37-V04-MS</t>
  </si>
  <si>
    <t>ACMB-37-V05-MS</t>
  </si>
  <si>
    <t>ACMB-37-V04-MSA</t>
  </si>
  <si>
    <t>ACMB-37-V05-MSA</t>
  </si>
  <si>
    <t>ACMB-37-V04-MSB</t>
  </si>
  <si>
    <t>ACMB-37-V05-MSB</t>
  </si>
  <si>
    <t>ACMB-37-R03-BO</t>
  </si>
  <si>
    <t>ACMB-37-RR03-BO</t>
  </si>
  <si>
    <t>ACMB-37-R03-BOA</t>
  </si>
  <si>
    <t>ACMB-37-RR03-BOA</t>
  </si>
  <si>
    <t>ACMB-37-R03-BOB</t>
  </si>
  <si>
    <t>ACMB-37-RR03-BOB</t>
  </si>
  <si>
    <t>ACMB-37-V06-MS</t>
  </si>
  <si>
    <t>ACMB-37-V07-MS</t>
  </si>
  <si>
    <t>ACMB-37-V06-MSA</t>
  </si>
  <si>
    <t>ACMB-37-V07-MSA</t>
  </si>
  <si>
    <t>ACMB-37-V06-MSB</t>
  </si>
  <si>
    <t>ACMB-37-V07-MSB</t>
  </si>
  <si>
    <t>ACMB-37-R04-BO</t>
  </si>
  <si>
    <t>ACMB-37-RR04-BO</t>
  </si>
  <si>
    <t>ACMB-37-R04-BOA</t>
  </si>
  <si>
    <t>ACMB-37-RR04-BOA</t>
  </si>
  <si>
    <t>ACMB-37-R04-BOB</t>
  </si>
  <si>
    <t>ACMB-37-RR04-BOB</t>
  </si>
  <si>
    <t>ACMB-37-V08-MS</t>
  </si>
  <si>
    <t>ACMB-37-V09-MS</t>
  </si>
  <si>
    <t>ACMB-37-V08-MSA</t>
  </si>
  <si>
    <t>ACMB-37-V09-MSA</t>
  </si>
  <si>
    <t>ACMB-37-V08-MSB</t>
  </si>
  <si>
    <t>ACMB-37-V09-MSB</t>
  </si>
  <si>
    <t>ACMB-37-R05-BO</t>
  </si>
  <si>
    <t>ACMB-37-RR05-BO</t>
  </si>
  <si>
    <t>ACMB-37-R05-BOA</t>
  </si>
  <si>
    <t>ACMB-37-RR05-BOA</t>
  </si>
  <si>
    <t>ACMB-37-R05-BOB</t>
  </si>
  <si>
    <t>ACMB-37-RR05-BOB</t>
  </si>
  <si>
    <t>ACMB-37-V10-MS</t>
  </si>
  <si>
    <t>ACMB-37-V11-MS</t>
  </si>
  <si>
    <t>ACMB-37-V10-MSA</t>
  </si>
  <si>
    <t>ACMB-37-V11-MSA</t>
  </si>
  <si>
    <t>ACMB-37-V10-MSB</t>
  </si>
  <si>
    <t>ACMB-37-V11-MSB</t>
  </si>
  <si>
    <t>ACMB-37-R06-BO</t>
  </si>
  <si>
    <t>ACMB-37-RR06-BO</t>
  </si>
  <si>
    <t>ACMB-37-R06-BOA</t>
  </si>
  <si>
    <t>ACMB-37-RR06-BOA</t>
  </si>
  <si>
    <t>ACMB-37-R06-BOB</t>
  </si>
  <si>
    <t>ACMB-37-RR06-BOB</t>
  </si>
  <si>
    <t>ACMB-37-V12-MS</t>
  </si>
  <si>
    <t>ACMB-37-V13-MS</t>
  </si>
  <si>
    <t>ACMB-37-V12-MSA</t>
  </si>
  <si>
    <t>ACMB-37-V13-MSA</t>
  </si>
  <si>
    <t>ACMB-37-V12-MSB</t>
  </si>
  <si>
    <t>ACMB-37-V13-MSB</t>
  </si>
  <si>
    <t>ACMB-37-R07-BO</t>
  </si>
  <si>
    <t>ACMB-37-RR07-BO</t>
  </si>
  <si>
    <t>ACMB-37-R07-BOA</t>
  </si>
  <si>
    <t>ACMB-37-RR07-BOA</t>
  </si>
  <si>
    <t>ACMB-37-R07-BOB</t>
  </si>
  <si>
    <t>ACMB-37-RR07-BOB</t>
  </si>
  <si>
    <t>ACMB-37-V14-MS</t>
  </si>
  <si>
    <t>ACMB-37-V15-MS</t>
  </si>
  <si>
    <t>ACMB-37-V14-MSA</t>
  </si>
  <si>
    <t>ACMB-37-V15-MSA</t>
  </si>
  <si>
    <t>ACMB-37-V14-MSB</t>
  </si>
  <si>
    <t>ACMB-37-V15-MSB</t>
  </si>
  <si>
    <t>ACMB-38-R01-BO</t>
  </si>
  <si>
    <t>ACMB-38-RR01-BO</t>
  </si>
  <si>
    <t>ACMB-38-R01-BOA</t>
  </si>
  <si>
    <t>ACMB-38-RR01-BOA</t>
  </si>
  <si>
    <t>ACMB-38-R01-BOB</t>
  </si>
  <si>
    <t>ACMB-38-RR01-BOB</t>
  </si>
  <si>
    <t>ACMB-38-V02-MS</t>
  </si>
  <si>
    <t>ACMB-38-V03-MS</t>
  </si>
  <si>
    <t>ACMB-38-V02-MSA</t>
  </si>
  <si>
    <t>ACMB-38-V03-MSA</t>
  </si>
  <si>
    <t>ACMB-38-V02-MSB</t>
  </si>
  <si>
    <t>ACMB-38-V03-MSB</t>
  </si>
  <si>
    <t>ACMB-38-R02-BO</t>
  </si>
  <si>
    <t>ACMB-38-RR02-BO</t>
  </si>
  <si>
    <t>ACMB-38-R02-BOA</t>
  </si>
  <si>
    <t>ACMB-38-RR02-BOA</t>
  </si>
  <si>
    <t>ACMB-38-R02-BOB</t>
  </si>
  <si>
    <t>ACMB-38-RR02-BOB</t>
  </si>
  <si>
    <t>ACMB-38-V04-MS</t>
  </si>
  <si>
    <t>ACMB-38-V05-MS</t>
  </si>
  <si>
    <t>ACMB-38-V04-MSA</t>
  </si>
  <si>
    <t>ACMB-38-V05-MSA</t>
  </si>
  <si>
    <t>ACMB-38-V04-MSB</t>
  </si>
  <si>
    <t>ACMB-38-V05-MSB</t>
  </si>
  <si>
    <t>ACMB-38-R03-BO</t>
  </si>
  <si>
    <t>ACMB-38-RR03-BO</t>
  </si>
  <si>
    <t>ACMB-38-R03-BOA</t>
  </si>
  <si>
    <t>ACMB-38-RR03-BOA</t>
  </si>
  <si>
    <t>ACMB-38-R03-BOB</t>
  </si>
  <si>
    <t>ACMB-38-RR03-BOB</t>
  </si>
  <si>
    <t>ACMB-38-V06-MS</t>
  </si>
  <si>
    <t>ACMB-38-V07-MS</t>
  </si>
  <si>
    <t>ACMB-38-V06-MSA</t>
  </si>
  <si>
    <t>ACMB-38-V07-MSA</t>
  </si>
  <si>
    <t>ACMB-38-V06-MSB</t>
  </si>
  <si>
    <t>ACMB-38-V07-MSB</t>
  </si>
  <si>
    <t>ACMB-38-R04-BO</t>
  </si>
  <si>
    <t>ACMB-38-RR04-BO</t>
  </si>
  <si>
    <t>ACMB-38-R04-BOA</t>
  </si>
  <si>
    <t>ACMB-38-RR04-BOA</t>
  </si>
  <si>
    <t>ACMB-38-R04-BOB</t>
  </si>
  <si>
    <t>ACMB-38-RR04-BOB</t>
  </si>
  <si>
    <t>ACMB-38-V08-MS</t>
  </si>
  <si>
    <t>ACMB-38-V09-MS</t>
  </si>
  <si>
    <t>ACMB-38-V08-MSA</t>
  </si>
  <si>
    <t>ACMB-38-V09-MSA</t>
  </si>
  <si>
    <t>ACMB-38-V08-MSB</t>
  </si>
  <si>
    <t>ACMB-38-V09-MSB</t>
  </si>
  <si>
    <t>ACMB-38-R05-BO</t>
  </si>
  <si>
    <t>ACMB-38-RR05-BO</t>
  </si>
  <si>
    <t>ACMB-38-R05-BOA</t>
  </si>
  <si>
    <t>ACMB-38-RR05-BOA</t>
  </si>
  <si>
    <t>ACMB-38-R05-BOB</t>
  </si>
  <si>
    <t>ACMB-38-RR05-BOB</t>
  </si>
  <si>
    <t>ACMB-38-V10-MS</t>
  </si>
  <si>
    <t>ACMB-38-V11-MS</t>
  </si>
  <si>
    <t>ACMB-38-V10-MSA</t>
  </si>
  <si>
    <t>ACMB-38-V11-MSA</t>
  </si>
  <si>
    <t>ACMB-38-V10-MSB</t>
  </si>
  <si>
    <t>ACMB-38-V11-MSB</t>
  </si>
  <si>
    <t>ACMB-38-R06-BO</t>
  </si>
  <si>
    <t>ACMB-38-RR06-BO</t>
  </si>
  <si>
    <t>ACMB-38-R06-BOA</t>
  </si>
  <si>
    <t>ACMB-38-RR06-BOA</t>
  </si>
  <si>
    <t>ACMB-38-R06-BOB</t>
  </si>
  <si>
    <t>ACMB-38-RR06-BOB</t>
  </si>
  <si>
    <t>ACMB-38-V12-MS</t>
  </si>
  <si>
    <t>ACMB-38-V13-MS</t>
  </si>
  <si>
    <t>ACMB-38-V12-MSA</t>
  </si>
  <si>
    <t>ACMB-38-V13-MSA</t>
  </si>
  <si>
    <t>ACMB-38-V12-MSB</t>
  </si>
  <si>
    <t>ACMB-38-V13-MSB</t>
  </si>
  <si>
    <t>ACMB-38-R07-BO</t>
  </si>
  <si>
    <t>ACMB-38-RR07-BO</t>
  </si>
  <si>
    <t>ACMB-38-R07-BOA</t>
  </si>
  <si>
    <t>ACMB-38-RR07-BOA</t>
  </si>
  <si>
    <t>ACMB-38-R07-BOB</t>
  </si>
  <si>
    <t>ACMB-38-RR07-BOB</t>
  </si>
  <si>
    <t>ACMB-38-V14-MS</t>
  </si>
  <si>
    <t>ACMB-38-V15-MS</t>
  </si>
  <si>
    <t>ACMB-38-V14-MSA</t>
  </si>
  <si>
    <t>ACMB-38-V15-MSA</t>
  </si>
  <si>
    <t>ACMB-38-V14-MSB</t>
  </si>
  <si>
    <t>ACMB-38-V15-MSB</t>
  </si>
  <si>
    <t>ACMB-39-R01-BO</t>
  </si>
  <si>
    <t>ACMB-39-RR01-BO</t>
  </si>
  <si>
    <t>ACMB-39-R01-BOA</t>
  </si>
  <si>
    <t>ACMB-39-RR01-BOA</t>
  </si>
  <si>
    <t>ACMB-39-R01-BOB</t>
  </si>
  <si>
    <t>ACMB-39-RR01-BOB</t>
  </si>
  <si>
    <t>ACMB-39-V02-MS</t>
  </si>
  <si>
    <t>ACMB-39-V03-MS</t>
  </si>
  <si>
    <t>ACMB-39-V02-MSA</t>
  </si>
  <si>
    <t>ACMB-39-V03-MSA</t>
  </si>
  <si>
    <t>ACMB-39-V02-MSB</t>
  </si>
  <si>
    <t>ACMB-39-V03-MSB</t>
  </si>
  <si>
    <t>ACMB-39-R02-BO</t>
  </si>
  <si>
    <t>ACMB-39-RR02-BO</t>
  </si>
  <si>
    <t>ACMB-39-R02-BOA</t>
  </si>
  <si>
    <t>ACMB-39-RR02-BOA</t>
  </si>
  <si>
    <t>ACMB-39-R02-BOB</t>
  </si>
  <si>
    <t>ACMB-39-RR02-BOB</t>
  </si>
  <si>
    <t>ACMB-39-V04-MS</t>
  </si>
  <si>
    <t>ACMB-39-V05-MS</t>
  </si>
  <si>
    <t>ACMB-39-V04-MSA</t>
  </si>
  <si>
    <t>ACMB-39-V05-MSA</t>
  </si>
  <si>
    <t>ACMB-39-V04-MSB</t>
  </si>
  <si>
    <t>ACMB-39-V05-MSB</t>
  </si>
  <si>
    <t>ACMB-39-R03-BO</t>
  </si>
  <si>
    <t>ACMB-39-RR03-BO</t>
  </si>
  <si>
    <t>ACMB-39-R03-BOA</t>
  </si>
  <si>
    <t>ACMB-39-RR03-BOA</t>
  </si>
  <si>
    <t>ACMB-39-R03-BOB</t>
  </si>
  <si>
    <t>ACMB-39-RR03-BOB</t>
  </si>
  <si>
    <t>ACMB-39-V06-MS</t>
  </si>
  <si>
    <t>ACMB-39-V07-MS</t>
  </si>
  <si>
    <t>ACMB-39-V06-MSA</t>
  </si>
  <si>
    <t>ACMB-39-V07-MSA</t>
  </si>
  <si>
    <t>ACMB-39-V06-MSB</t>
  </si>
  <si>
    <t>ACMB-39-V07-MSB</t>
  </si>
  <si>
    <t>ACMB-39-R04-BO</t>
  </si>
  <si>
    <t>ACMB-39-RR04-BO</t>
  </si>
  <si>
    <t>ACMB-39-R04-BOA</t>
  </si>
  <si>
    <t>ACMB-39-RR04-BOA</t>
  </si>
  <si>
    <t>ACMB-39-R04-BOB</t>
  </si>
  <si>
    <t>ACMB-39-RR04-BOB</t>
  </si>
  <si>
    <t>ACMB-39-V08-MS</t>
  </si>
  <si>
    <t>ACMB-39-V09-MS</t>
  </si>
  <si>
    <t>ACMB-39-V08-MSA</t>
  </si>
  <si>
    <t>ACMB-39-V09-MSA</t>
  </si>
  <si>
    <t>ACMB-39-V08-MSB</t>
  </si>
  <si>
    <t>ACMB-39-V09-MSB</t>
  </si>
  <si>
    <t>ACMB-39-R05-BO</t>
  </si>
  <si>
    <t>ACMB-39-RR05-BO</t>
  </si>
  <si>
    <t>ACMB-39-R05-BOA</t>
  </si>
  <si>
    <t>ACMB-39-RR05-BOA</t>
  </si>
  <si>
    <t>ACMB-39-R05-BOB</t>
  </si>
  <si>
    <t>ACMB-39-RR05-BOB</t>
  </si>
  <si>
    <t>ACMB-39-V10-MS</t>
  </si>
  <si>
    <t>ACMB-39-V11-MS</t>
  </si>
  <si>
    <t>ACMB-39-V10-MSA</t>
  </si>
  <si>
    <t>ACMB-39-V11-MSA</t>
  </si>
  <si>
    <t>ACMB-39-V10-MSB</t>
  </si>
  <si>
    <t>ACMB-39-V11-MSB</t>
  </si>
  <si>
    <t>ACMB-39-R06-BO</t>
  </si>
  <si>
    <t>ACMB-39-RR06-BO</t>
  </si>
  <si>
    <t>ACMB-39-R06-BOA</t>
  </si>
  <si>
    <t>ACMB-39-RR06-BOA</t>
  </si>
  <si>
    <t>ACMB-39-R06-BOB</t>
  </si>
  <si>
    <t>ACMB-39-RR06-BOB</t>
  </si>
  <si>
    <t>ACMB-39-V12-MS</t>
  </si>
  <si>
    <t>ACMB-39-V13-MS</t>
  </si>
  <si>
    <t>ACMB-39-V12-MSA</t>
  </si>
  <si>
    <t>ACMB-39-V13-MSA</t>
  </si>
  <si>
    <t>ACMB-39-V12-MSB</t>
  </si>
  <si>
    <t>ACMB-39-V13-MSB</t>
  </si>
  <si>
    <t>ACMB-39-R07-BO</t>
  </si>
  <si>
    <t>ACMB-39-RR07-BO</t>
  </si>
  <si>
    <t>ACMB-39-R07-BOA</t>
  </si>
  <si>
    <t>ACMB-39-RR07-BOA</t>
  </si>
  <si>
    <t>ACMB-39-R07-BOB</t>
  </si>
  <si>
    <t>ACMB-39-RR07-BOB</t>
  </si>
  <si>
    <t>ACMB-39-V14-MS</t>
  </si>
  <si>
    <t>ACMB-39-V15-MS</t>
  </si>
  <si>
    <t>ACMB-39-V14-MSA</t>
  </si>
  <si>
    <t>ACMB-39-V15-MSA</t>
  </si>
  <si>
    <t>ACMB-39-V14-MSB</t>
  </si>
  <si>
    <t>ACMB-39-V15-MSB</t>
  </si>
  <si>
    <t>ACMB-40-R01-BO</t>
  </si>
  <si>
    <t>ACMB-40-RR01-BO</t>
  </si>
  <si>
    <t>ACMB-40-R01-BOA</t>
  </si>
  <si>
    <t>ACMB-40-RR01-BOA</t>
  </si>
  <si>
    <t>ACMB-40-R01-BOB</t>
  </si>
  <si>
    <t>ACMB-40-RR01-BOB</t>
  </si>
  <si>
    <t>ACMB-40-V02-MS</t>
  </si>
  <si>
    <t>ACMB-40-V03-MS</t>
  </si>
  <si>
    <t>ACMB-40-V02-MSA</t>
  </si>
  <si>
    <t>ACMB-40-V03-MSA</t>
  </si>
  <si>
    <t>ACMB-40-V02-MSB</t>
  </si>
  <si>
    <t>ACMB-40-V03-MSB</t>
  </si>
  <si>
    <t>ACMB-40-R02-BO</t>
  </si>
  <si>
    <t>ACMB-40-RR02-BO</t>
  </si>
  <si>
    <t>ACMB-40-R02-BOA</t>
  </si>
  <si>
    <t>ACMB-40-RR02-BOA</t>
  </si>
  <si>
    <t>ACMB-40-R02-BOB</t>
  </si>
  <si>
    <t>ACMB-40-RR02-BOB</t>
  </si>
  <si>
    <t>ACMB-40-V04-MS</t>
  </si>
  <si>
    <t>ACMB-40-V05-MS</t>
  </si>
  <si>
    <t>ACMB-40-V04-MSA</t>
  </si>
  <si>
    <t>ACMB-40-V05-MSA</t>
  </si>
  <si>
    <t>ACMB-40-V04-MSB</t>
  </si>
  <si>
    <t>ACMB-40-V05-MSB</t>
  </si>
  <si>
    <t>ACMB-40-R03-BO</t>
  </si>
  <si>
    <t>ACMB-40-RR03-BO</t>
  </si>
  <si>
    <t>ACMB-40-R03-BOA</t>
  </si>
  <si>
    <t>ACMB-40-RR03-BOA</t>
  </si>
  <si>
    <t>ACMB-40-R03-BOB</t>
  </si>
  <si>
    <t>ACMB-40-RR03-BOB</t>
  </si>
  <si>
    <t>ACMB-40-V06-MS</t>
  </si>
  <si>
    <t>ACMB-40-V07-MS</t>
  </si>
  <si>
    <t>ACMB-40-V06-MSA</t>
  </si>
  <si>
    <t>ACMB-40-V07-MSA</t>
  </si>
  <si>
    <t>ACMB-40-V06-MSB</t>
  </si>
  <si>
    <t>ACMB-40-V07-MSB</t>
  </si>
  <si>
    <t>ACMB-40-R04-BO</t>
  </si>
  <si>
    <t>ACMB-40-RR04-BO</t>
  </si>
  <si>
    <t>ACMB-40-R04-BOA</t>
  </si>
  <si>
    <t>ACMB-40-RR04-BOA</t>
  </si>
  <si>
    <t>ACMB-40-R04-BOB</t>
  </si>
  <si>
    <t>ACMB-40-RR04-BOB</t>
  </si>
  <si>
    <t>ACMB-40-V08-MS</t>
  </si>
  <si>
    <t>ACMB-40-V09-MS</t>
  </si>
  <si>
    <t>ACMB-40-V08-MSA</t>
  </si>
  <si>
    <t>ACMB-40-V09-MSA</t>
  </si>
  <si>
    <t>ACMB-40-V08-MSB</t>
  </si>
  <si>
    <t>ACMB-40-V09-MSB</t>
  </si>
  <si>
    <t>ACMB-40-R05-BO</t>
  </si>
  <si>
    <t>ACMB-40-RR05-BO</t>
  </si>
  <si>
    <t>ACMB-40-R05-BOA</t>
  </si>
  <si>
    <t>ACMB-40-RR05-BOA</t>
  </si>
  <si>
    <t>ACMB-40-R05-BOB</t>
  </si>
  <si>
    <t>ACMB-40-RR05-BOB</t>
  </si>
  <si>
    <t>ACMB-40-V10-MS</t>
  </si>
  <si>
    <t>ACMB-40-V11-MS</t>
  </si>
  <si>
    <t>ACMB-40-V10-MSA</t>
  </si>
  <si>
    <t>ACMB-40-V11-MSA</t>
  </si>
  <si>
    <t>ACMB-40-V10-MSB</t>
  </si>
  <si>
    <t>ACMB-40-V11-MSB</t>
  </si>
  <si>
    <t>ACMB-40-R06-BO</t>
  </si>
  <si>
    <t>ACMB-40-RR06-BO</t>
  </si>
  <si>
    <t>ACMB-40-R06-BOA</t>
  </si>
  <si>
    <t>ACMB-40-RR06-BOA</t>
  </si>
  <si>
    <t>ACMB-40-R06-BOB</t>
  </si>
  <si>
    <t>ACMB-40-RR06-BOB</t>
  </si>
  <si>
    <t>ACMB-40-V12-MS</t>
  </si>
  <si>
    <t>ACMB-40-V13-MS</t>
  </si>
  <si>
    <t>ACMB-40-V12-MSA</t>
  </si>
  <si>
    <t>ACMB-40-V13-MSA</t>
  </si>
  <si>
    <t>ACMB-40-V12-MSB</t>
  </si>
  <si>
    <t>ACMB-40-V13-MSB</t>
  </si>
  <si>
    <t>ACMB-40-R07-BO</t>
  </si>
  <si>
    <t>ACMB-40-RR07-BO</t>
  </si>
  <si>
    <t>ACMB-40-R07-BOA</t>
  </si>
  <si>
    <t>ACMB-40-RR07-BOA</t>
  </si>
  <si>
    <t>ACMB-40-R07-BOB</t>
  </si>
  <si>
    <t>ACMB-40-RR07-BOB</t>
  </si>
  <si>
    <t>ACMB-40-V14-MS</t>
  </si>
  <si>
    <t>ACMB-40-V15-MS</t>
  </si>
  <si>
    <t>ACMB-40-V14-MSA</t>
  </si>
  <si>
    <t>ACMB-40-V15-MSA</t>
  </si>
  <si>
    <t>ACMB-40-V14-MSB</t>
  </si>
  <si>
    <t>ACMB-40-V15-MSB</t>
  </si>
  <si>
    <t>ACMB-41-R01-BO</t>
  </si>
  <si>
    <t>ACMB-41-RR01-BO</t>
  </si>
  <si>
    <t>ACMB-41-R01-BOA</t>
  </si>
  <si>
    <t>ACMB-41-RR01-BOA</t>
  </si>
  <si>
    <t>ACMB-41-R01-BOB</t>
  </si>
  <si>
    <t>ACMB-41-RR01-BOB</t>
  </si>
  <si>
    <t>ACMB-41-V02-MS</t>
  </si>
  <si>
    <t>ACMB-41-V03-MS</t>
  </si>
  <si>
    <t>ACMB-41-V02-MSA</t>
  </si>
  <si>
    <t>ACMB-41-V03-MSA</t>
  </si>
  <si>
    <t>ACMB-41-V02-MSB</t>
  </si>
  <si>
    <t>ACMB-41-V03-MSB</t>
  </si>
  <si>
    <t>ACMB-41-R02-BO</t>
  </si>
  <si>
    <t>ACMB-41-RR02-BO</t>
  </si>
  <si>
    <t>ACMB-41-R02-BOA</t>
  </si>
  <si>
    <t>ACMB-41-RR02-BOA</t>
  </si>
  <si>
    <t>ACMB-41-R02-BOB</t>
  </si>
  <si>
    <t>ACMB-41-RR02-BOB</t>
  </si>
  <si>
    <t>ACMB-41-V04-MS</t>
  </si>
  <si>
    <t>ACMB-41-V05-MS</t>
  </si>
  <si>
    <t>ACMB-41-V04-MSA</t>
  </si>
  <si>
    <t>ACMB-41-V05-MSA</t>
  </si>
  <si>
    <t>ACMB-41-V04-MSB</t>
  </si>
  <si>
    <t>ACMB-41-V05-MSB</t>
  </si>
  <si>
    <t>ACMB-41-R03-BO</t>
  </si>
  <si>
    <t>ACMB-41-RR03-BO</t>
  </si>
  <si>
    <t>ACMB-41-R03-BOA</t>
  </si>
  <si>
    <t>ACMB-41-RR03-BOA</t>
  </si>
  <si>
    <t>ACMB-41-R03-BOB</t>
  </si>
  <si>
    <t>ACMB-41-RR03-BOB</t>
  </si>
  <si>
    <t>ACMB-41-V06-MS</t>
  </si>
  <si>
    <t>ACMB-41-V07-MS</t>
  </si>
  <si>
    <t>ACMB-41-V06-MSA</t>
  </si>
  <si>
    <t>ACMB-41-V07-MSA</t>
  </si>
  <si>
    <t>ACMB-41-V06-MSB</t>
  </si>
  <si>
    <t>ACMB-41-V07-MSB</t>
  </si>
  <si>
    <t>ACMB-41-R04-BO</t>
  </si>
  <si>
    <t>ACMB-41-RR04-BO</t>
  </si>
  <si>
    <t>ACMB-41-R04-BOA</t>
  </si>
  <si>
    <t>ACMB-41-RR04-BOA</t>
  </si>
  <si>
    <t>ACMB-41-R04-BOB</t>
  </si>
  <si>
    <t>ACMB-41-RR04-BOB</t>
  </si>
  <si>
    <t>ACMB-41-V08-MS</t>
  </si>
  <si>
    <t>ACMB-41-V09-MS</t>
  </si>
  <si>
    <t>ACMB-41-V08-MSA</t>
  </si>
  <si>
    <t>ACMB-41-V09-MSA</t>
  </si>
  <si>
    <t>ACMB-41-V08-MSB</t>
  </si>
  <si>
    <t>ACMB-41-V09-MSB</t>
  </si>
  <si>
    <t>ACMB-41-R05-BO</t>
  </si>
  <si>
    <t>ACMB-41-RR05-BO</t>
  </si>
  <si>
    <t>ACMB-41-R05-BOA</t>
  </si>
  <si>
    <t>ACMB-41-RR05-BOA</t>
  </si>
  <si>
    <t>ACMB-41-R05-BOB</t>
  </si>
  <si>
    <t>ACMB-41-RR05-BOB</t>
  </si>
  <si>
    <t>ACMB-41-V10-MS</t>
  </si>
  <si>
    <t>ACMB-41-V11-MS</t>
  </si>
  <si>
    <t>ACMB-41-V10-MSA</t>
  </si>
  <si>
    <t>ACMB-41-V11-MSA</t>
  </si>
  <si>
    <t>ACMB-41-V10-MSB</t>
  </si>
  <si>
    <t>ACMB-41-V11-MSB</t>
  </si>
  <si>
    <t>ACMB-41-R06-BO</t>
  </si>
  <si>
    <t>ACMB-41-RR06-BO</t>
  </si>
  <si>
    <t>ACMB-41-R06-BOA</t>
  </si>
  <si>
    <t>ACMB-41-RR06-BOA</t>
  </si>
  <si>
    <t>ACMB-41-R06-BOB</t>
  </si>
  <si>
    <t>ACMB-41-RR06-BOB</t>
  </si>
  <si>
    <t>ACMB-41-V12-MS</t>
  </si>
  <si>
    <t>ACMB-41-V13-MS</t>
  </si>
  <si>
    <t>ACMB-41-V12-MSA</t>
  </si>
  <si>
    <t>ACMB-41-V13-MSA</t>
  </si>
  <si>
    <t>ACMB-41-V12-MSB</t>
  </si>
  <si>
    <t>ACMB-41-V13-MSB</t>
  </si>
  <si>
    <t>ACMB-41-R07-BO</t>
  </si>
  <si>
    <t>ACMB-41-RR07-BO</t>
  </si>
  <si>
    <t>ACMB-41-R07-BOA</t>
  </si>
  <si>
    <t>ACMB-41-RR07-BOA</t>
  </si>
  <si>
    <t>ACMB-41-R07-BOB</t>
  </si>
  <si>
    <t>ACMB-41-RR07-BOB</t>
  </si>
  <si>
    <t>ACMB-41-V14-MS</t>
  </si>
  <si>
    <t>ACMB-41-V15-MS</t>
  </si>
  <si>
    <t>ACMB-41-V14-MSA</t>
  </si>
  <si>
    <t>ACMB-41-V15-MSA</t>
  </si>
  <si>
    <t>ACMB-41-V14-MSB</t>
  </si>
  <si>
    <t>ACMB-41-V15-MSB</t>
  </si>
  <si>
    <t>ACMB-42-R01-BO</t>
  </si>
  <si>
    <t>ACMB-42-RR01-BO</t>
  </si>
  <si>
    <t>ACMB-42-R01-BOA</t>
  </si>
  <si>
    <t>ACMB-42-RR01-BOA</t>
  </si>
  <si>
    <t>ACMB-42-R01-BOB</t>
  </si>
  <si>
    <t>ACMB-42-RR01-BOB</t>
  </si>
  <si>
    <t>ACMB-42-V02-MS</t>
  </si>
  <si>
    <t>ACMB-42-V03-MS</t>
  </si>
  <si>
    <t>ACMB-42-V02-MSA</t>
  </si>
  <si>
    <t>ACMB-42-V03-MSA</t>
  </si>
  <si>
    <t>ACMB-42-V02-MSB</t>
  </si>
  <si>
    <t>ACMB-42-V03-MSB</t>
  </si>
  <si>
    <t>ACMB-42-R02-BO</t>
  </si>
  <si>
    <t>ACMB-42-RR02-BO</t>
  </si>
  <si>
    <t>ACMB-42-R02-BOA</t>
  </si>
  <si>
    <t>ACMB-42-RR02-BOA</t>
  </si>
  <si>
    <t>ACMB-42-R02-BOB</t>
  </si>
  <si>
    <t>ACMB-42-RR02-BOB</t>
  </si>
  <si>
    <t>ACMB-42-V04-MS</t>
  </si>
  <si>
    <t>ACMB-42-V05-MS</t>
  </si>
  <si>
    <t>ACMB-42-V04-MSA</t>
  </si>
  <si>
    <t>ACMB-42-V05-MSA</t>
  </si>
  <si>
    <t>ACMB-42-V04-MSB</t>
  </si>
  <si>
    <t>ACMB-42-V05-MSB</t>
  </si>
  <si>
    <t>ACMB-42-R03-BO</t>
  </si>
  <si>
    <t>ACMB-42-RR03-BO</t>
  </si>
  <si>
    <t>ACMB-42-R03-BOA</t>
  </si>
  <si>
    <t>ACMB-42-RR03-BOA</t>
  </si>
  <si>
    <t>ACMB-42-R03-BOB</t>
  </si>
  <si>
    <t>ACMB-42-RR03-BOB</t>
  </si>
  <si>
    <t>ACMB-42-V06-MS</t>
  </si>
  <si>
    <t>ACMB-42-V07-MS</t>
  </si>
  <si>
    <t>ACMB-42-V06-MSA</t>
  </si>
  <si>
    <t>ACMB-42-V07-MSA</t>
  </si>
  <si>
    <t>ACMB-42-V06-MSB</t>
  </si>
  <si>
    <t>ACMB-42-V07-MSB</t>
  </si>
  <si>
    <t>ACMB-42-R04-BO</t>
  </si>
  <si>
    <t>ACMB-42-RR04-BO</t>
  </si>
  <si>
    <t>ACMB-42-R04-BOA</t>
  </si>
  <si>
    <t>ACMB-42-RR04-BOA</t>
  </si>
  <si>
    <t>ACMB-42-R04-BOB</t>
  </si>
  <si>
    <t>ACMB-42-RR04-BOB</t>
  </si>
  <si>
    <t>ACMB-42-V08-MS</t>
  </si>
  <si>
    <t>ACMB-42-V09-MS</t>
  </si>
  <si>
    <t>ACMB-42-V08-MSA</t>
  </si>
  <si>
    <t>ACMB-42-V09-MSA</t>
  </si>
  <si>
    <t>ACMB-42-V08-MSB</t>
  </si>
  <si>
    <t>ACMB-42-V09-MSB</t>
  </si>
  <si>
    <t>ACMB-42-R05-BO</t>
  </si>
  <si>
    <t>ACMB-42-RR05-BO</t>
  </si>
  <si>
    <t>ACMB-42-R05-BOA</t>
  </si>
  <si>
    <t>ACMB-42-RR05-BOA</t>
  </si>
  <si>
    <t>ACMB-42-R05-BOB</t>
  </si>
  <si>
    <t>ACMB-42-RR05-BOB</t>
  </si>
  <si>
    <t>ACMB-42-V10-MS</t>
  </si>
  <si>
    <t>ACMB-42-V11-MS</t>
  </si>
  <si>
    <t>ACMB-42-V10-MSA</t>
  </si>
  <si>
    <t>ACMB-42-V11-MSA</t>
  </si>
  <si>
    <t>ACMB-42-V10-MSB</t>
  </si>
  <si>
    <t>ACMB-42-V11-MSB</t>
  </si>
  <si>
    <t>ACMB-42-R06-BO</t>
  </si>
  <si>
    <t>ACMB-42-RR06-BO</t>
  </si>
  <si>
    <t>ACMB-42-R06-BOA</t>
  </si>
  <si>
    <t>ACMB-42-RR06-BOA</t>
  </si>
  <si>
    <t>ACMB-42-R06-BOB</t>
  </si>
  <si>
    <t>ACMB-42-RR06-BOB</t>
  </si>
  <si>
    <t>ACMB-42-V12-MS</t>
  </si>
  <si>
    <t>ACMB-42-V13-MS</t>
  </si>
  <si>
    <t>ACMB-42-V12-MSA</t>
  </si>
  <si>
    <t>ACMB-42-V13-MSA</t>
  </si>
  <si>
    <t>ACMB-42-V12-MSB</t>
  </si>
  <si>
    <t>ACMB-42-V13-MSB</t>
  </si>
  <si>
    <t>ACMB-42-R07-BO</t>
  </si>
  <si>
    <t>ACMB-42-RR07-BO</t>
  </si>
  <si>
    <t>ACMB-42-R07-BOA</t>
  </si>
  <si>
    <t>ACMB-42-RR07-BOA</t>
  </si>
  <si>
    <t>ACMB-42-R07-BOB</t>
  </si>
  <si>
    <t>ACMB-42-RR07-BOB</t>
  </si>
  <si>
    <t>ACMB-42-V14-MS</t>
  </si>
  <si>
    <t>ACMB-42-V15-MS</t>
  </si>
  <si>
    <t>ACMB-42-V14-MSA</t>
  </si>
  <si>
    <t>ACMB-42-V15-MSA</t>
  </si>
  <si>
    <t>ACMB-42-V14-MSB</t>
  </si>
  <si>
    <t>ACMB-42-V15-MSB</t>
  </si>
  <si>
    <t>ACMB-43-R01-BO</t>
  </si>
  <si>
    <t>ACMB-43-RR01-BO</t>
  </si>
  <si>
    <t>ACMB-43-R01-BOA</t>
  </si>
  <si>
    <t>ACMB-43-RR01-BOA</t>
  </si>
  <si>
    <t>ACMB-43-R01-BOB</t>
  </si>
  <si>
    <t>ACMB-43-RR01-BOB</t>
  </si>
  <si>
    <t>ACMB-43-V02-MS</t>
  </si>
  <si>
    <t>ACMB-43-V03-MS</t>
  </si>
  <si>
    <t>ACMB-43-V02-MSA</t>
  </si>
  <si>
    <t>ACMB-43-V03-MSA</t>
  </si>
  <si>
    <t>ACMB-43-V02-MSB</t>
  </si>
  <si>
    <t>ACMB-43-V03-MSB</t>
  </si>
  <si>
    <t>ACMB-43-R02-BO</t>
  </si>
  <si>
    <t>ACMB-43-RR02-BO</t>
  </si>
  <si>
    <t>ACMB-43-R02-BOA</t>
  </si>
  <si>
    <t>ACMB-43-RR02-BOA</t>
  </si>
  <si>
    <t>ACMB-43-R02-BOB</t>
  </si>
  <si>
    <t>ACMB-43-RR02-BOB</t>
  </si>
  <si>
    <t>ACMB-43-V04-MS</t>
  </si>
  <si>
    <t>ACMB-43-V05-MS</t>
  </si>
  <si>
    <t>ACMB-43-V04-MSA</t>
  </si>
  <si>
    <t>ACMB-43-V05-MSA</t>
  </si>
  <si>
    <t>ACMB-43-V04-MSB</t>
  </si>
  <si>
    <t>ACMB-43-V05-MSB</t>
  </si>
  <si>
    <t>ACMB-43-R03-BO</t>
  </si>
  <si>
    <t>ACMB-43-RR03-BO</t>
  </si>
  <si>
    <t>ACMB-43-R03-BOA</t>
  </si>
  <si>
    <t>ACMB-43-RR03-BOA</t>
  </si>
  <si>
    <t>ACMB-43-R03-BOB</t>
  </si>
  <si>
    <t>ACMB-43-RR03-BOB</t>
  </si>
  <si>
    <t>ACMB-43-V06-MS</t>
  </si>
  <si>
    <t>ACMB-43-V07-MS</t>
  </si>
  <si>
    <t>ACMB-43-V06-MSA</t>
  </si>
  <si>
    <t>ACMB-43-V07-MSA</t>
  </si>
  <si>
    <t>ACMB-43-V06-MSB</t>
  </si>
  <si>
    <t>ACMB-43-V07-MSB</t>
  </si>
  <si>
    <t>ACMB-43-R04-BO</t>
  </si>
  <si>
    <t>ACMB-43-RR04-BO</t>
  </si>
  <si>
    <t>ACMB-43-R04-BOA</t>
  </si>
  <si>
    <t>ACMB-43-RR04-BOA</t>
  </si>
  <si>
    <t>ACMB-43-R04-BOB</t>
  </si>
  <si>
    <t>ACMB-43-RR04-BOB</t>
  </si>
  <si>
    <t>ACMB-43-V08-MS</t>
  </si>
  <si>
    <t>ACMB-43-V09-MS</t>
  </si>
  <si>
    <t>ACMB-43-V08-MSA</t>
  </si>
  <si>
    <t>ACMB-43-V09-MSA</t>
  </si>
  <si>
    <t>ACMB-43-V08-MSB</t>
  </si>
  <si>
    <t>ACMB-43-V09-MSB</t>
  </si>
  <si>
    <t>ACMB-43-R05-BO</t>
  </si>
  <si>
    <t>ACMB-43-RR05-BO</t>
  </si>
  <si>
    <t>ACMB-43-R05-BOA</t>
  </si>
  <si>
    <t>ACMB-43-RR05-BOA</t>
  </si>
  <si>
    <t>ACMB-43-R05-BOB</t>
  </si>
  <si>
    <t>ACMB-43-RR05-BOB</t>
  </si>
  <si>
    <t>ACMB-43-V10-MS</t>
  </si>
  <si>
    <t>ACMB-43-V11-MS</t>
  </si>
  <si>
    <t>ACMB-43-V10-MSA</t>
  </si>
  <si>
    <t>ACMB-43-V11-MSA</t>
  </si>
  <si>
    <t>ACMB-43-V10-MSB</t>
  </si>
  <si>
    <t>ACMB-43-V11-MSB</t>
  </si>
  <si>
    <t>ACMB-43-R06-BO</t>
  </si>
  <si>
    <t>ACMB-43-RR06-BO</t>
  </si>
  <si>
    <t>ACMB-43-R06-BOA</t>
  </si>
  <si>
    <t>ACMB-43-RR06-BOA</t>
  </si>
  <si>
    <t>ACMB-43-R06-BOB</t>
  </si>
  <si>
    <t>ACMB-43-RR06-BOB</t>
  </si>
  <si>
    <t>ACMB-43-V12-MS</t>
  </si>
  <si>
    <t>ACMB-43-V13-MS</t>
  </si>
  <si>
    <t>ACMB-43-V12-MSA</t>
  </si>
  <si>
    <t>ACMB-43-V13-MSA</t>
  </si>
  <si>
    <t>ACMB-43-V12-MSB</t>
  </si>
  <si>
    <t>ACMB-43-V13-MSB</t>
  </si>
  <si>
    <t>ACMB-43-R07-BO</t>
  </si>
  <si>
    <t>ACMB-43-RR07-BO</t>
  </si>
  <si>
    <t>ACMB-43-R07-BOA</t>
  </si>
  <si>
    <t>ACMB-43-RR07-BOA</t>
  </si>
  <si>
    <t>ACMB-43-R07-BOB</t>
  </si>
  <si>
    <t>ACMB-43-RR07-BOB</t>
  </si>
  <si>
    <t>ACMB-43-V14-MS</t>
  </si>
  <si>
    <t>ACMB-43-V15-MS</t>
  </si>
  <si>
    <t>ACMB-43-V14-MSA</t>
  </si>
  <si>
    <t>ACMB-43-V15-MSA</t>
  </si>
  <si>
    <t>ACMB-43-V14-MSB</t>
  </si>
  <si>
    <t>ACMB-43-V15-MSB</t>
  </si>
  <si>
    <t>ACMB-44-R01-BO</t>
  </si>
  <si>
    <t>ACMB-44-RR01-BO</t>
  </si>
  <si>
    <t>ACMB-44-R01-BOA</t>
  </si>
  <si>
    <t>ACMB-44-RR01-BOA</t>
  </si>
  <si>
    <t>ACMB-44-R01-BOB</t>
  </si>
  <si>
    <t>ACMB-44-RR01-BOB</t>
  </si>
  <si>
    <t>ACMB-44-V02-MS</t>
  </si>
  <si>
    <t>ACMB-44-V03-MS</t>
  </si>
  <si>
    <t>ACMB-44-V02-MSA</t>
  </si>
  <si>
    <t>ACMB-44-V03-MSA</t>
  </si>
  <si>
    <t>ACMB-44-V02-MSB</t>
  </si>
  <si>
    <t>ACMB-44-V03-MSB</t>
  </si>
  <si>
    <t>ACMB-44-R02-BO</t>
  </si>
  <si>
    <t>ACMB-44-RR02-BO</t>
  </si>
  <si>
    <t>ACMB-44-R02-BOA</t>
  </si>
  <si>
    <t>ACMB-44-RR02-BOA</t>
  </si>
  <si>
    <t>ACMB-44-R02-BOB</t>
  </si>
  <si>
    <t>ACMB-44-RR02-BOB</t>
  </si>
  <si>
    <t>ACMB-44-V04-MS</t>
  </si>
  <si>
    <t>ACMB-44-V05-MS</t>
  </si>
  <si>
    <t>ACMB-44-V04-MSA</t>
  </si>
  <si>
    <t>ACMB-44-V05-MSA</t>
  </si>
  <si>
    <t>ACMB-44-V04-MSB</t>
  </si>
  <si>
    <t>ACMB-44-V05-MSB</t>
  </si>
  <si>
    <t>ACMB-44-R03-BO</t>
  </si>
  <si>
    <t>ACMB-44-RR03-BO</t>
  </si>
  <si>
    <t>ACMB-44-R03-BOA</t>
  </si>
  <si>
    <t>ACMB-44-RR03-BOA</t>
  </si>
  <si>
    <t>ACMB-44-R03-BOB</t>
  </si>
  <si>
    <t>ACMB-44-RR03-BOB</t>
  </si>
  <si>
    <t>ACMB-44-V06-MS</t>
  </si>
  <si>
    <t>ACMB-44-V07-MS</t>
  </si>
  <si>
    <t>ACMB-44-V06-MSA</t>
  </si>
  <si>
    <t>ACMB-44-V07-MSA</t>
  </si>
  <si>
    <t>ACMB-44-V06-MSB</t>
  </si>
  <si>
    <t>ACMB-44-V07-MSB</t>
  </si>
  <si>
    <t>ACMB-44-R04-BO</t>
  </si>
  <si>
    <t>ACMB-44-RR04-BO</t>
  </si>
  <si>
    <t>ACMB-44-R04-BOA</t>
  </si>
  <si>
    <t>ACMB-44-RR04-BOA</t>
  </si>
  <si>
    <t>ACMB-44-R04-BOB</t>
  </si>
  <si>
    <t>ACMB-44-RR04-BOB</t>
  </si>
  <si>
    <t>ACMB-44-V08-MS</t>
  </si>
  <si>
    <t>ACMB-44-V09-MS</t>
  </si>
  <si>
    <t>ACMB-44-V08-MSA</t>
  </si>
  <si>
    <t>ACMB-44-V09-MSA</t>
  </si>
  <si>
    <t>ACMB-44-V08-MSB</t>
  </si>
  <si>
    <t>ACMB-44-V09-MSB</t>
  </si>
  <si>
    <t>ACMB-44-R05-BO</t>
  </si>
  <si>
    <t>ACMB-44-RR05-BO</t>
  </si>
  <si>
    <t>ACMB-44-R05-BOA</t>
  </si>
  <si>
    <t>ACMB-44-RR05-BOA</t>
  </si>
  <si>
    <t>ACMB-44-R05-BOB</t>
  </si>
  <si>
    <t>ACMB-44-RR05-BOB</t>
  </si>
  <si>
    <t>ACMB-44-V10-MS</t>
  </si>
  <si>
    <t>ACMB-44-V11-MS</t>
  </si>
  <si>
    <t>ACMB-44-V10-MSA</t>
  </si>
  <si>
    <t>ACMB-44-V11-MSA</t>
  </si>
  <si>
    <t>ACMB-44-V10-MSB</t>
  </si>
  <si>
    <t>ACMB-44-V11-MSB</t>
  </si>
  <si>
    <t>ACMB-44-R06-BO</t>
  </si>
  <si>
    <t>ACMB-44-RR06-BO</t>
  </si>
  <si>
    <t>ACMB-44-R06-BOA</t>
  </si>
  <si>
    <t>ACMB-44-RR06-BOA</t>
  </si>
  <si>
    <t>ACMB-44-R06-BOB</t>
  </si>
  <si>
    <t>ACMB-44-RR06-BOB</t>
  </si>
  <si>
    <t>ACMB-44-V12-MS</t>
  </si>
  <si>
    <t>ACMB-44-V13-MS</t>
  </si>
  <si>
    <t>ACMB-44-V12-MSA</t>
  </si>
  <si>
    <t>ACMB-44-V13-MSA</t>
  </si>
  <si>
    <t>ACMB-44-V12-MSB</t>
  </si>
  <si>
    <t>ACMB-44-V13-MSB</t>
  </si>
  <si>
    <t>ACMB-44-R07-BO</t>
  </si>
  <si>
    <t>ACMB-44-RR07-BO</t>
  </si>
  <si>
    <t>ACMB-44-R07-BOA</t>
  </si>
  <si>
    <t>ACMB-44-RR07-BOA</t>
  </si>
  <si>
    <t>ACMB-44-R07-BOB</t>
  </si>
  <si>
    <t>ACMB-44-RR07-BOB</t>
  </si>
  <si>
    <t>ACMB-44-V14-MS</t>
  </si>
  <si>
    <t>ACMB-44-V15-MS</t>
  </si>
  <si>
    <t>ACMB-44-V14-MSA</t>
  </si>
  <si>
    <t>ACMB-44-V15-MSA</t>
  </si>
  <si>
    <t>ACMB-44-V14-MSB</t>
  </si>
  <si>
    <t>ACMB-44-V15-MSB</t>
  </si>
  <si>
    <t>ACMB-45-R01-BO</t>
  </si>
  <si>
    <t>ACMB-45-RR01-BO</t>
  </si>
  <si>
    <t>ACMB-45-R01-BOA</t>
  </si>
  <si>
    <t>ACMB-45-RR01-BOA</t>
  </si>
  <si>
    <t>ACMB-45-R01-BOB</t>
  </si>
  <si>
    <t>ACMB-45-RR01-BOB</t>
  </si>
  <si>
    <t>ACMB-45-V02-MS</t>
  </si>
  <si>
    <t>ACMB-45-V03-MS</t>
  </si>
  <si>
    <t>ACMB-45-V02-MSA</t>
  </si>
  <si>
    <t>ACMB-45-V03-MSA</t>
  </si>
  <si>
    <t>ACMB-45-V02-MSB</t>
  </si>
  <si>
    <t>ACMB-45-V03-MSB</t>
  </si>
  <si>
    <t>ACMB-45-R02-BO</t>
  </si>
  <si>
    <t>ACMB-45-RR02-BO</t>
  </si>
  <si>
    <t>ACMB-45-R02-BOA</t>
  </si>
  <si>
    <t>ACMB-45-RR02-BOA</t>
  </si>
  <si>
    <t>ACMB-45-R02-BOB</t>
  </si>
  <si>
    <t>ACMB-45-RR02-BOB</t>
  </si>
  <si>
    <t>ACMB-45-V04-MS</t>
  </si>
  <si>
    <t>ACMB-45-V05-MS</t>
  </si>
  <si>
    <t>ACMB-45-V04-MSA</t>
  </si>
  <si>
    <t>ACMB-45-V05-MSA</t>
  </si>
  <si>
    <t>ACMB-45-V04-MSB</t>
  </si>
  <si>
    <t>ACMB-45-V05-MSB</t>
  </si>
  <si>
    <t>ACMB-45-R03-BO</t>
  </si>
  <si>
    <t>ACMB-45-RR03-BO</t>
  </si>
  <si>
    <t>ACMB-45-R03-BOA</t>
  </si>
  <si>
    <t>ACMB-45-RR03-BOA</t>
  </si>
  <si>
    <t>ACMB-45-R03-BOB</t>
  </si>
  <si>
    <t>ACMB-45-RR03-BOB</t>
  </si>
  <si>
    <t>ACMB-45-V06-MS</t>
  </si>
  <si>
    <t>ACMB-45-V07-MS</t>
  </si>
  <si>
    <t>ACMB-45-V06-MSA</t>
  </si>
  <si>
    <t>ACMB-45-V07-MSA</t>
  </si>
  <si>
    <t>ACMB-45-V06-MSB</t>
  </si>
  <si>
    <t>ACMB-45-V07-MSB</t>
  </si>
  <si>
    <t>ACMB-45-R04-BO</t>
  </si>
  <si>
    <t>ACMB-45-RR04-BO</t>
  </si>
  <si>
    <t>ACMB-45-R04-BOA</t>
  </si>
  <si>
    <t>ACMB-45-RR04-BOA</t>
  </si>
  <si>
    <t>ACMB-45-R04-BOB</t>
  </si>
  <si>
    <t>ACMB-45-RR04-BOB</t>
  </si>
  <si>
    <t>ACMB-45-V08-MS</t>
  </si>
  <si>
    <t>ACMB-45-V09-MS</t>
  </si>
  <si>
    <t>ACMB-45-V08-MSA</t>
  </si>
  <si>
    <t>ACMB-45-V09-MSA</t>
  </si>
  <si>
    <t>ACMB-45-V08-MSB</t>
  </si>
  <si>
    <t>ACMB-45-V09-MSB</t>
  </si>
  <si>
    <t>ACMB-45-R05-BO</t>
  </si>
  <si>
    <t>ACMB-45-RR05-BO</t>
  </si>
  <si>
    <t>ACMB-45-R05-BOA</t>
  </si>
  <si>
    <t>ACMB-45-RR05-BOA</t>
  </si>
  <si>
    <t>ACMB-45-R05-BOB</t>
  </si>
  <si>
    <t>ACMB-45-RR05-BOB</t>
  </si>
  <si>
    <t>ACMB-45-V10-MS</t>
  </si>
  <si>
    <t>ACMB-45-V11-MS</t>
  </si>
  <si>
    <t>ACMB-45-V10-MSA</t>
  </si>
  <si>
    <t>ACMB-45-V11-MSA</t>
  </si>
  <si>
    <t>ACMB-45-V10-MSB</t>
  </si>
  <si>
    <t>ACMB-45-V11-MSB</t>
  </si>
  <si>
    <t>ACMB-45-R06-BO</t>
  </si>
  <si>
    <t>ACMB-45-RR06-BO</t>
  </si>
  <si>
    <t>ACMB-45-R06-BOA</t>
  </si>
  <si>
    <t>ACMB-45-RR06-BOA</t>
  </si>
  <si>
    <t>ACMB-45-R06-BOB</t>
  </si>
  <si>
    <t>ACMB-45-RR06-BOB</t>
  </si>
  <si>
    <t>ACMB-45-V12-MS</t>
  </si>
  <si>
    <t>ACMB-45-V13-MS</t>
  </si>
  <si>
    <t>ACMB-45-V12-MSA</t>
  </si>
  <si>
    <t>ACMB-45-V13-MSA</t>
  </si>
  <si>
    <t>ACMB-45-V12-MSB</t>
  </si>
  <si>
    <t>ACMB-45-V13-MSB</t>
  </si>
  <si>
    <t>ACMB-45-R07-BO</t>
  </si>
  <si>
    <t>ACMB-45-RR07-BO</t>
  </si>
  <si>
    <t>ACMB-45-R07-BOA</t>
  </si>
  <si>
    <t>ACMB-45-RR07-BOA</t>
  </si>
  <si>
    <t>ACMB-45-R07-BOB</t>
  </si>
  <si>
    <t>ACMB-45-RR07-BOB</t>
  </si>
  <si>
    <t>ACMB-45-V14-MS</t>
  </si>
  <si>
    <t>ACMB-45-V15-MS</t>
  </si>
  <si>
    <t>ACMB-45-V14-MSA</t>
  </si>
  <si>
    <t>ACMB-45-V15-MSA</t>
  </si>
  <si>
    <t>ACMB-45-V14-MSB</t>
  </si>
  <si>
    <t>ACMB-45-V15-MSB</t>
  </si>
  <si>
    <t>ACMB-46-R01-BO</t>
  </si>
  <si>
    <t>ACMB-46-RR01-BO</t>
  </si>
  <si>
    <t>ACMB-46-R01-BOA</t>
  </si>
  <si>
    <t>ACMB-46-RR01-BOA</t>
  </si>
  <si>
    <t>ACMB-46-R01-BOB</t>
  </si>
  <si>
    <t>ACMB-46-RR01-BOB</t>
  </si>
  <si>
    <t>ACMB-46-V02-MS</t>
  </si>
  <si>
    <t>ACMB-46-V03-MS</t>
  </si>
  <si>
    <t>ACMB-46-V02-MSA</t>
  </si>
  <si>
    <t>ACMB-46-V03-MSA</t>
  </si>
  <si>
    <t>ACMB-46-V02-MSB</t>
  </si>
  <si>
    <t>ACMB-46-V03-MSB</t>
  </si>
  <si>
    <t>ACMB-46-R02-BO</t>
  </si>
  <si>
    <t>ACMB-46-RR02-BO</t>
  </si>
  <si>
    <t>ACMB-46-R02-BOA</t>
  </si>
  <si>
    <t>ACMB-46-RR02-BOA</t>
  </si>
  <si>
    <t>ACMB-46-R02-BOB</t>
  </si>
  <si>
    <t>ACMB-46-RR02-BOB</t>
  </si>
  <si>
    <t>ACMB-46-V04-MS</t>
  </si>
  <si>
    <t>ACMB-46-V05-MS</t>
  </si>
  <si>
    <t>ACMB-46-V04-MSA</t>
  </si>
  <si>
    <t>ACMB-46-V05-MSA</t>
  </si>
  <si>
    <t>ACMB-46-V04-MSB</t>
  </si>
  <si>
    <t>ACMB-46-V05-MSB</t>
  </si>
  <si>
    <t>ACMB-46-R03-BO</t>
  </si>
  <si>
    <t>ACMB-46-RR03-BO</t>
  </si>
  <si>
    <t>ACMB-46-R03-BOA</t>
  </si>
  <si>
    <t>ACMB-46-RR03-BOA</t>
  </si>
  <si>
    <t>ACMB-46-R03-BOB</t>
  </si>
  <si>
    <t>ACMB-46-RR03-BOB</t>
  </si>
  <si>
    <t>ACMB-46-V06-MS</t>
  </si>
  <si>
    <t>ACMB-46-V07-MS</t>
  </si>
  <si>
    <t>ACMB-46-V06-MSA</t>
  </si>
  <si>
    <t>ACMB-46-V07-MSA</t>
  </si>
  <si>
    <t>ACMB-46-V06-MSB</t>
  </si>
  <si>
    <t>ACMB-46-V07-MSB</t>
  </si>
  <si>
    <t>ACMB-46-R04-BO</t>
  </si>
  <si>
    <t>ACMB-46-RR04-BO</t>
  </si>
  <si>
    <t>ACMB-46-R04-BOA</t>
  </si>
  <si>
    <t>ACMB-46-RR04-BOA</t>
  </si>
  <si>
    <t>ACMB-46-R04-BOB</t>
  </si>
  <si>
    <t>ACMB-46-RR04-BOB</t>
  </si>
  <si>
    <t>ACMB-46-V08-MS</t>
  </si>
  <si>
    <t>ACMB-46-V09-MS</t>
  </si>
  <si>
    <t>ACMB-46-V08-MSA</t>
  </si>
  <si>
    <t>ACMB-46-V09-MSA</t>
  </si>
  <si>
    <t>ACMB-46-V08-MSB</t>
  </si>
  <si>
    <t>ACMB-46-V09-MSB</t>
  </si>
  <si>
    <t>ACMB-46-R05-BO</t>
  </si>
  <si>
    <t>ACMB-46-RR05-BO</t>
  </si>
  <si>
    <t>ACMB-46-R05-BOA</t>
  </si>
  <si>
    <t>ACMB-46-RR05-BOA</t>
  </si>
  <si>
    <t>ACMB-46-R05-BOB</t>
  </si>
  <si>
    <t>ACMB-46-RR05-BOB</t>
  </si>
  <si>
    <t>ACMB-46-V10-MS</t>
  </si>
  <si>
    <t>ACMB-46-V11-MS</t>
  </si>
  <si>
    <t>ACMB-46-V10-MSA</t>
  </si>
  <si>
    <t>ACMB-46-V11-MSA</t>
  </si>
  <si>
    <t>ACMB-46-V10-MSB</t>
  </si>
  <si>
    <t>ACMB-46-V11-MSB</t>
  </si>
  <si>
    <t>ACMB-46-R06-BO</t>
  </si>
  <si>
    <t>ACMB-46-RR06-BO</t>
  </si>
  <si>
    <t>ACMB-46-R06-BOA</t>
  </si>
  <si>
    <t>ACMB-46-RR06-BOA</t>
  </si>
  <si>
    <t>ACMB-46-R06-BOB</t>
  </si>
  <si>
    <t>ACMB-46-RR06-BOB</t>
  </si>
  <si>
    <t>ACMB-46-V12-MS</t>
  </si>
  <si>
    <t>ACMB-46-V13-MS</t>
  </si>
  <si>
    <t>ACMB-46-V12-MSA</t>
  </si>
  <si>
    <t>ACMB-46-V13-MSA</t>
  </si>
  <si>
    <t>ACMB-46-V12-MSB</t>
  </si>
  <si>
    <t>ACMB-46-V13-MSB</t>
  </si>
  <si>
    <t>ACMB-46-R07-BO</t>
  </si>
  <si>
    <t>ACMB-46-RR07-BO</t>
  </si>
  <si>
    <t>ACMB-46-R07-BOA</t>
  </si>
  <si>
    <t>ACMB-46-RR07-BOA</t>
  </si>
  <si>
    <t>ACMB-46-R07-BOB</t>
  </si>
  <si>
    <t>ACMB-46-RR07-BOB</t>
  </si>
  <si>
    <t>ACMB-46-V14-MS</t>
  </si>
  <si>
    <t>ACMB-46-V15-MS</t>
  </si>
  <si>
    <t>ACMB-46-V14-MSA</t>
  </si>
  <si>
    <t>ACMB-46-V15-MSA</t>
  </si>
  <si>
    <t>ACMB-46-V14-MSB</t>
  </si>
  <si>
    <t>ACMB-46-V15-MSB</t>
  </si>
  <si>
    <t>ACMB-47-R01-BO</t>
  </si>
  <si>
    <t>ACMB-47-RR01-BO</t>
  </si>
  <si>
    <t>ACMB-47-R01-BOA</t>
  </si>
  <si>
    <t>ACMB-47-RR01-BOA</t>
  </si>
  <si>
    <t>ACMB-47-R01-BOB</t>
  </si>
  <si>
    <t>ACMB-47-RR01-BOB</t>
  </si>
  <si>
    <t>ACMB-47-V02-MS</t>
  </si>
  <si>
    <t>ACMB-47-V03-MS</t>
  </si>
  <si>
    <t>ACMB-47-V02-MSA</t>
  </si>
  <si>
    <t>ACMB-47-V03-MSA</t>
  </si>
  <si>
    <t>ACMB-47-V02-MSB</t>
  </si>
  <si>
    <t>ACMB-47-V03-MSB</t>
  </si>
  <si>
    <t>ACMB-47-R02-BO</t>
  </si>
  <si>
    <t>ACMB-47-RR02-BO</t>
  </si>
  <si>
    <t>ACMB-47-R02-BOA</t>
  </si>
  <si>
    <t>ACMB-47-RR02-BOA</t>
  </si>
  <si>
    <t>ACMB-47-R02-BOB</t>
  </si>
  <si>
    <t>ACMB-47-RR02-BOB</t>
  </si>
  <si>
    <t>ACMB-47-V04-MS</t>
  </si>
  <si>
    <t>ACMB-47-V05-MS</t>
  </si>
  <si>
    <t>ACMB-47-V04-MSA</t>
  </si>
  <si>
    <t>ACMB-47-V05-MSA</t>
  </si>
  <si>
    <t>ACMB-47-V04-MSB</t>
  </si>
  <si>
    <t>ACMB-47-V05-MSB</t>
  </si>
  <si>
    <t>ACMB-47-R03-BO</t>
  </si>
  <si>
    <t>ACMB-47-RR03-BO</t>
  </si>
  <si>
    <t>ACMB-47-R03-BOA</t>
  </si>
  <si>
    <t>ACMB-47-RR03-BOA</t>
  </si>
  <si>
    <t>ACMB-47-R03-BOB</t>
  </si>
  <si>
    <t>ACMB-47-RR03-BOB</t>
  </si>
  <si>
    <t>ACMB-47-V06-MS</t>
  </si>
  <si>
    <t>ACMB-47-V07-MS</t>
  </si>
  <si>
    <t>ACMB-47-V06-MSA</t>
  </si>
  <si>
    <t>ACMB-47-V07-MSA</t>
  </si>
  <si>
    <t>ACMB-47-V06-MSB</t>
  </si>
  <si>
    <t>ACMB-47-V07-MSB</t>
  </si>
  <si>
    <t>ACMB-47-R04-BO</t>
  </si>
  <si>
    <t>ACMB-47-RR04-BO</t>
  </si>
  <si>
    <t>ACMB-47-R04-BOA</t>
  </si>
  <si>
    <t>ACMB-47-RR04-BOA</t>
  </si>
  <si>
    <t>ACMB-47-R04-BOB</t>
  </si>
  <si>
    <t>ACMB-47-RR04-BOB</t>
  </si>
  <si>
    <t>ACMB-47-V08-MS</t>
  </si>
  <si>
    <t>ACMB-47-V09-MS</t>
  </si>
  <si>
    <t>ACMB-47-V08-MSA</t>
  </si>
  <si>
    <t>ACMB-47-V09-MSA</t>
  </si>
  <si>
    <t>ACMB-47-V08-MSB</t>
  </si>
  <si>
    <t>ACMB-47-V09-MSB</t>
  </si>
  <si>
    <t>ACMB-47-R05-BO</t>
  </si>
  <si>
    <t>ACMB-47-RR05-BO</t>
  </si>
  <si>
    <t>ACMB-47-R05-BOA</t>
  </si>
  <si>
    <t>ACMB-47-RR05-BOA</t>
  </si>
  <si>
    <t>ACMB-47-R05-BOB</t>
  </si>
  <si>
    <t>ACMB-47-RR05-BOB</t>
  </si>
  <si>
    <t>ACMB-47-V10-MS</t>
  </si>
  <si>
    <t>ACMB-47-V11-MS</t>
  </si>
  <si>
    <t>ACMB-47-V10-MSA</t>
  </si>
  <si>
    <t>ACMB-47-V11-MSA</t>
  </si>
  <si>
    <t>ACMB-47-V10-MSB</t>
  </si>
  <si>
    <t>ACMB-47-V11-MSB</t>
  </si>
  <si>
    <t>ACMB-47-R06-BO</t>
  </si>
  <si>
    <t>ACMB-47-RR06-BO</t>
  </si>
  <si>
    <t>ACMB-47-R06-BOA</t>
  </si>
  <si>
    <t>ACMB-47-RR06-BOA</t>
  </si>
  <si>
    <t>ACMB-47-R06-BOB</t>
  </si>
  <si>
    <t>ACMB-47-RR06-BOB</t>
  </si>
  <si>
    <t>ACMB-47-V12-MS</t>
  </si>
  <si>
    <t>ACMB-47-V13-MS</t>
  </si>
  <si>
    <t>ACMB-47-V12-MSA</t>
  </si>
  <si>
    <t>ACMB-47-V13-MSA</t>
  </si>
  <si>
    <t>ACMB-47-V12-MSB</t>
  </si>
  <si>
    <t>ACMB-47-V13-MSB</t>
  </si>
  <si>
    <t>ACMB-47-R07-BO</t>
  </si>
  <si>
    <t>ACMB-47-RR07-BO</t>
  </si>
  <si>
    <t>ACMB-47-R07-BOA</t>
  </si>
  <si>
    <t>ACMB-47-RR07-BOA</t>
  </si>
  <si>
    <t>ACMB-47-R07-BOB</t>
  </si>
  <si>
    <t>ACMB-47-RR07-BOB</t>
  </si>
  <si>
    <t>ACMB-47-V14-MS</t>
  </si>
  <si>
    <t>ACMB-47-V15-MS</t>
  </si>
  <si>
    <t>ACMB-47-V14-MSA</t>
  </si>
  <si>
    <t>ACMB-47-V15-MSA</t>
  </si>
  <si>
    <t>ACMB-47-V14-MSB</t>
  </si>
  <si>
    <t>ACMB-47-V15-MSB</t>
  </si>
  <si>
    <t>ACMB-48-R01-BO</t>
  </si>
  <si>
    <t>ACMB-48-RR01-BO</t>
  </si>
  <si>
    <t>ACMB-48-R01-BOA</t>
  </si>
  <si>
    <t>ACMB-48-RR01-BOA</t>
  </si>
  <si>
    <t>ACMB-48-R01-BOB</t>
  </si>
  <si>
    <t>ACMB-48-RR01-BOB</t>
  </si>
  <si>
    <t>ACMB-48-V02-MS</t>
  </si>
  <si>
    <t>ACMB-48-V03-MS</t>
  </si>
  <si>
    <t>ACMB-48-V02-MSA</t>
  </si>
  <si>
    <t>ACMB-48-V03-MSA</t>
  </si>
  <si>
    <t>ACMB-48-V02-MSB</t>
  </si>
  <si>
    <t>ACMB-48-V03-MSB</t>
  </si>
  <si>
    <t>ACMB-48-R02-BO</t>
  </si>
  <si>
    <t>ACMB-48-RR02-BO</t>
  </si>
  <si>
    <t>ACMB-48-R02-BOA</t>
  </si>
  <si>
    <t>ACMB-48-RR02-BOA</t>
  </si>
  <si>
    <t>ACMB-48-R02-BOB</t>
  </si>
  <si>
    <t>ACMB-48-RR02-BOB</t>
  </si>
  <si>
    <t>ACMB-48-V04-MS</t>
  </si>
  <si>
    <t>ACMB-48-V05-MS</t>
  </si>
  <si>
    <t>ACMB-48-V04-MSA</t>
  </si>
  <si>
    <t>ACMB-48-V05-MSA</t>
  </si>
  <si>
    <t>ACMB-48-V04-MSB</t>
  </si>
  <si>
    <t>ACMB-48-V05-MSB</t>
  </si>
  <si>
    <t>ACMB-48-R03-BO</t>
  </si>
  <si>
    <t>ACMB-48-RR03-BO</t>
  </si>
  <si>
    <t>ACMB-48-R03-BOA</t>
  </si>
  <si>
    <t>ACMB-48-RR03-BOA</t>
  </si>
  <si>
    <t>ACMB-48-R03-BOB</t>
  </si>
  <si>
    <t>ACMB-48-RR03-BOB</t>
  </si>
  <si>
    <t>ACMB-48-V06-MS</t>
  </si>
  <si>
    <t>ACMB-48-V07-MS</t>
  </si>
  <si>
    <t>ACMB-48-V06-MSA</t>
  </si>
  <si>
    <t>ACMB-48-V07-MSA</t>
  </si>
  <si>
    <t>ACMB-48-V06-MSB</t>
  </si>
  <si>
    <t>ACMB-48-V07-MSB</t>
  </si>
  <si>
    <t>ACMB-48-R04-BO</t>
  </si>
  <si>
    <t>ACMB-48-RR04-BO</t>
  </si>
  <si>
    <t>ACMB-48-R04-BOA</t>
  </si>
  <si>
    <t>ACMB-48-RR04-BOA</t>
  </si>
  <si>
    <t>ACMB-48-R04-BOB</t>
  </si>
  <si>
    <t>ACMB-48-RR04-BOB</t>
  </si>
  <si>
    <t>ACMB-48-V08-MS</t>
  </si>
  <si>
    <t>ACMB-48-V09-MS</t>
  </si>
  <si>
    <t>ACMB-48-V08-MSA</t>
  </si>
  <si>
    <t>ACMB-48-V09-MSA</t>
  </si>
  <si>
    <t>ACMB-48-V08-MSB</t>
  </si>
  <si>
    <t>ACMB-48-V09-MSB</t>
  </si>
  <si>
    <t>ACMB-48-R05-BO</t>
  </si>
  <si>
    <t>ACMB-48-RR05-BO</t>
  </si>
  <si>
    <t>ACMB-48-R05-BOA</t>
  </si>
  <si>
    <t>ACMB-48-RR05-BOA</t>
  </si>
  <si>
    <t>ACMB-48-R05-BOB</t>
  </si>
  <si>
    <t>ACMB-48-RR05-BOB</t>
  </si>
  <si>
    <t>ACMB-48-V10-MS</t>
  </si>
  <si>
    <t>ACMB-48-V11-MS</t>
  </si>
  <si>
    <t>ACMB-48-V10-MSA</t>
  </si>
  <si>
    <t>ACMB-48-V11-MSA</t>
  </si>
  <si>
    <t>ACMB-48-V10-MSB</t>
  </si>
  <si>
    <t>ACMB-48-V11-MSB</t>
  </si>
  <si>
    <t>ACMB-48-R06-BO</t>
  </si>
  <si>
    <t>ACMB-48-RR06-BO</t>
  </si>
  <si>
    <t>ACMB-48-R06-BOA</t>
  </si>
  <si>
    <t>ACMB-48-RR06-BOA</t>
  </si>
  <si>
    <t>ACMB-48-R06-BOB</t>
  </si>
  <si>
    <t>ACMB-48-RR06-BOB</t>
  </si>
  <si>
    <t>ACMB-48-V12-MS</t>
  </si>
  <si>
    <t>ACMB-48-V13-MS</t>
  </si>
  <si>
    <t>ACMB-48-V12-MSA</t>
  </si>
  <si>
    <t>ACMB-48-V13-MSA</t>
  </si>
  <si>
    <t>ACMB-48-V12-MSB</t>
  </si>
  <si>
    <t>ACMB-48-V13-MSB</t>
  </si>
  <si>
    <t>ACMB-48-R07-BO</t>
  </si>
  <si>
    <t>ACMB-48-RR07-BO</t>
  </si>
  <si>
    <t>ACMB-48-R07-BOA</t>
  </si>
  <si>
    <t>ACMB-48-RR07-BOA</t>
  </si>
  <si>
    <t>ACMB-48-R07-BOB</t>
  </si>
  <si>
    <t>ACMB-48-RR07-BOB</t>
  </si>
  <si>
    <t>ACMB-48-V14-MS</t>
  </si>
  <si>
    <t>ACMB-48-V15-MS</t>
  </si>
  <si>
    <t>ACMB-48-V14-MSA</t>
  </si>
  <si>
    <t>ACMB-48-V15-MSA</t>
  </si>
  <si>
    <t>ACMB-48-V14-MSB</t>
  </si>
  <si>
    <t>ACMB-48-V15-MSB</t>
  </si>
  <si>
    <t>ACMB-49-R01-BO</t>
  </si>
  <si>
    <t>ACMB-49-RR01-BO</t>
  </si>
  <si>
    <t>ACMB-49-R01-BOA</t>
  </si>
  <si>
    <t>ACMB-49-RR01-BOA</t>
  </si>
  <si>
    <t>ACMB-49-R01-BOB</t>
  </si>
  <si>
    <t>ACMB-49-RR01-BOB</t>
  </si>
  <si>
    <t>ACMB-49-V02-MS</t>
  </si>
  <si>
    <t>ACMB-49-V03-MS</t>
  </si>
  <si>
    <t>ACMB-49-V02-MSA</t>
  </si>
  <si>
    <t>ACMB-49-V03-MSA</t>
  </si>
  <si>
    <t>ACMB-49-V02-MSB</t>
  </si>
  <si>
    <t>ACMB-49-V03-MSB</t>
  </si>
  <si>
    <t>ACMB-49-R02-BO</t>
  </si>
  <si>
    <t>ACMB-49-RR02-BO</t>
  </si>
  <si>
    <t>ACMB-49-R02-BOA</t>
  </si>
  <si>
    <t>ACMB-49-RR02-BOA</t>
  </si>
  <si>
    <t>ACMB-49-R02-BOB</t>
  </si>
  <si>
    <t>ACMB-49-RR02-BOB</t>
  </si>
  <si>
    <t>ACMB-49-V04-MS</t>
  </si>
  <si>
    <t>ACMB-49-V05-MS</t>
  </si>
  <si>
    <t>ACMB-49-V04-MSA</t>
  </si>
  <si>
    <t>ACMB-49-V05-MSA</t>
  </si>
  <si>
    <t>ACMB-49-V04-MSB</t>
  </si>
  <si>
    <t>ACMB-49-V05-MSB</t>
  </si>
  <si>
    <t>ACMB-49-R03-BO</t>
  </si>
  <si>
    <t>ACMB-49-RR03-BO</t>
  </si>
  <si>
    <t>ACMB-49-R03-BOA</t>
  </si>
  <si>
    <t>ACMB-49-RR03-BOA</t>
  </si>
  <si>
    <t>ACMB-49-R03-BOB</t>
  </si>
  <si>
    <t>ACMB-49-RR03-BOB</t>
  </si>
  <si>
    <t>ACMB-49-V06-MS</t>
  </si>
  <si>
    <t>ACMB-49-V07-MS</t>
  </si>
  <si>
    <t>ACMB-49-V06-MSA</t>
  </si>
  <si>
    <t>ACMB-49-V07-MSA</t>
  </si>
  <si>
    <t>ACMB-49-V06-MSB</t>
  </si>
  <si>
    <t>ACMB-49-V07-MSB</t>
  </si>
  <si>
    <t>ACMB-49-R04-BO</t>
  </si>
  <si>
    <t>ACMB-49-RR04-BO</t>
  </si>
  <si>
    <t>ACMB-49-R04-BOA</t>
  </si>
  <si>
    <t>ACMB-49-RR04-BOA</t>
  </si>
  <si>
    <t>ACMB-49-R04-BOB</t>
  </si>
  <si>
    <t>ACMB-49-RR04-BOB</t>
  </si>
  <si>
    <t>ACMB-49-V08-MS</t>
  </si>
  <si>
    <t>ACMB-49-V09-MS</t>
  </si>
  <si>
    <t>ACMB-49-V08-MSA</t>
  </si>
  <si>
    <t>ACMB-49-V09-MSA</t>
  </si>
  <si>
    <t>ACMB-49-V08-MSB</t>
  </si>
  <si>
    <t>ACMB-49-V09-MSB</t>
  </si>
  <si>
    <t>ACMB-49-R05-BO</t>
  </si>
  <si>
    <t>ACMB-49-RR05-BO</t>
  </si>
  <si>
    <t>ACMB-49-R05-BOA</t>
  </si>
  <si>
    <t>ACMB-49-RR05-BOA</t>
  </si>
  <si>
    <t>ACMB-49-R05-BOB</t>
  </si>
  <si>
    <t>ACMB-49-RR05-BOB</t>
  </si>
  <si>
    <t>ACMB-49-V10-MS</t>
  </si>
  <si>
    <t>ACMB-49-V11-MS</t>
  </si>
  <si>
    <t>ACMB-49-V10-MSA</t>
  </si>
  <si>
    <t>ACMB-49-V11-MSA</t>
  </si>
  <si>
    <t>ACMB-49-V10-MSB</t>
  </si>
  <si>
    <t>ACMB-49-V11-MSB</t>
  </si>
  <si>
    <t>ACMB-49-R06-BO</t>
  </si>
  <si>
    <t>ACMB-49-RR06-BO</t>
  </si>
  <si>
    <t>ACMB-49-R06-BOA</t>
  </si>
  <si>
    <t>ACMB-49-RR06-BOA</t>
  </si>
  <si>
    <t>ACMB-49-R06-BOB</t>
  </si>
  <si>
    <t>ACMB-49-RR06-BOB</t>
  </si>
  <si>
    <t>ACMB-49-V12-MS</t>
  </si>
  <si>
    <t>ACMB-49-V13-MS</t>
  </si>
  <si>
    <t>ACMB-49-V12-MSA</t>
  </si>
  <si>
    <t>ACMB-49-V13-MSA</t>
  </si>
  <si>
    <t>ACMB-49-V12-MSB</t>
  </si>
  <si>
    <t>ACMB-49-V13-MSB</t>
  </si>
  <si>
    <t>ACMB-49-R07-BO</t>
  </si>
  <si>
    <t>ACMB-49-RR07-BO</t>
  </si>
  <si>
    <t>ACMB-49-R07-BOA</t>
  </si>
  <si>
    <t>ACMB-49-RR07-BOA</t>
  </si>
  <si>
    <t>ACMB-49-R07-BOB</t>
  </si>
  <si>
    <t>ACMB-49-RR07-BOB</t>
  </si>
  <si>
    <t>ACMB-49-V14-MS</t>
  </si>
  <si>
    <t>ACMB-49-V15-MS</t>
  </si>
  <si>
    <t>ACMB-49-V14-MSA</t>
  </si>
  <si>
    <t>ACMB-49-V15-MSA</t>
  </si>
  <si>
    <t>ACMB-49-V14-MSB</t>
  </si>
  <si>
    <t>ACMB-49-V15-MSB</t>
  </si>
  <si>
    <t>ACMB-50-R01-BO</t>
  </si>
  <si>
    <t>ACMB-50-RR01-BO</t>
  </si>
  <si>
    <t>ACMB-50-R01-BOA</t>
  </si>
  <si>
    <t>ACMB-50-RR01-BOA</t>
  </si>
  <si>
    <t>ACMB-50-R01-BOB</t>
  </si>
  <si>
    <t>ACMB-50-RR01-BOB</t>
  </si>
  <si>
    <t>ACMB-50-V02-MS</t>
  </si>
  <si>
    <t>ACMB-50-V03-MS</t>
  </si>
  <si>
    <t>ACMB-50-V02-MSA</t>
  </si>
  <si>
    <t>ACMB-50-V03-MSA</t>
  </si>
  <si>
    <t>ACMB-50-V02-MSB</t>
  </si>
  <si>
    <t>ACMB-50-V03-MSB</t>
  </si>
  <si>
    <t>ACMB-50-R02-BO</t>
  </si>
  <si>
    <t>ACMB-50-RR02-BO</t>
  </si>
  <si>
    <t>ACMB-50-R02-BOA</t>
  </si>
  <si>
    <t>ACMB-50-RR02-BOA</t>
  </si>
  <si>
    <t>ACMB-50-R02-BOB</t>
  </si>
  <si>
    <t>ACMB-50-RR02-BOB</t>
  </si>
  <si>
    <t>ACMB-50-V04-MS</t>
  </si>
  <si>
    <t>ACMB-50-V05-MS</t>
  </si>
  <si>
    <t>ACMB-50-V04-MSA</t>
  </si>
  <si>
    <t>ACMB-50-V05-MSA</t>
  </si>
  <si>
    <t>ACMB-50-V04-MSB</t>
  </si>
  <si>
    <t>ACMB-50-V05-MSB</t>
  </si>
  <si>
    <t>ACMB-50-R03-BO</t>
  </si>
  <si>
    <t>ACMB-50-RR03-BO</t>
  </si>
  <si>
    <t>ACMB-50-R03-BOA</t>
  </si>
  <si>
    <t>ACMB-50-RR03-BOA</t>
  </si>
  <si>
    <t>ACMB-50-R03-BOB</t>
  </si>
  <si>
    <t>ACMB-50-RR03-BOB</t>
  </si>
  <si>
    <t>ACMB-50-V06-MS</t>
  </si>
  <si>
    <t>ACMB-50-V07-MS</t>
  </si>
  <si>
    <t>ACMB-50-V06-MSA</t>
  </si>
  <si>
    <t>ACMB-50-V07-MSA</t>
  </si>
  <si>
    <t>ACMB-50-V06-MSB</t>
  </si>
  <si>
    <t>ACMB-50-V07-MSB</t>
  </si>
  <si>
    <t>ACMB-50-R04-BO</t>
  </si>
  <si>
    <t>ACMB-50-RR04-BO</t>
  </si>
  <si>
    <t>ACMB-50-R04-BOA</t>
  </si>
  <si>
    <t>ACMB-50-RR04-BOA</t>
  </si>
  <si>
    <t>ACMB-50-R04-BOB</t>
  </si>
  <si>
    <t>ACMB-50-RR04-BOB</t>
  </si>
  <si>
    <t>ACMB-50-V08-MS</t>
  </si>
  <si>
    <t>ACMB-50-V09-MS</t>
  </si>
  <si>
    <t>ACMB-50-V08-MSA</t>
  </si>
  <si>
    <t>ACMB-50-V09-MSA</t>
  </si>
  <si>
    <t>ACMB-50-V08-MSB</t>
  </si>
  <si>
    <t>ACMB-50-V09-MSB</t>
  </si>
  <si>
    <t>ACMB-50-R05-BO</t>
  </si>
  <si>
    <t>ACMB-50-RR05-BO</t>
  </si>
  <si>
    <t>ACMB-50-R05-BOA</t>
  </si>
  <si>
    <t>ACMB-50-RR05-BOA</t>
  </si>
  <si>
    <t>ACMB-50-R05-BOB</t>
  </si>
  <si>
    <t>ACMB-50-RR05-BOB</t>
  </si>
  <si>
    <t>ACMB-50-V10-MS</t>
  </si>
  <si>
    <t>ACMB-50-V11-MS</t>
  </si>
  <si>
    <t>ACMB-50-V10-MSA</t>
  </si>
  <si>
    <t>ACMB-50-V11-MSA</t>
  </si>
  <si>
    <t>ACMB-50-V10-MSB</t>
  </si>
  <si>
    <t>ACMB-50-V11-MSB</t>
  </si>
  <si>
    <t>ACMB-50-R06-BO</t>
  </si>
  <si>
    <t>ACMB-50-RR06-BO</t>
  </si>
  <si>
    <t>ACMB-50-R06-BOA</t>
  </si>
  <si>
    <t>ACMB-50-RR06-BOA</t>
  </si>
  <si>
    <t>ACMB-50-R06-BOB</t>
  </si>
  <si>
    <t>ACMB-50-RR06-BOB</t>
  </si>
  <si>
    <t>ACMB-50-V12-MS</t>
  </si>
  <si>
    <t>ACMB-50-V13-MS</t>
  </si>
  <si>
    <t>ACMB-50-V12-MSA</t>
  </si>
  <si>
    <t>ACMB-50-V13-MSA</t>
  </si>
  <si>
    <t>ACMB-50-V12-MSB</t>
  </si>
  <si>
    <t>ACMB-50-V13-MSB</t>
  </si>
  <si>
    <t>ACMB-50-R07-BO</t>
  </si>
  <si>
    <t>ACMB-50-RR07-BO</t>
  </si>
  <si>
    <t>ACMB-50-R07-BOA</t>
  </si>
  <si>
    <t>ACMB-50-RR07-BOA</t>
  </si>
  <si>
    <t>ACMB-50-R07-BOB</t>
  </si>
  <si>
    <t>ACMB-50-RR07-BOB</t>
  </si>
  <si>
    <t>ACMB-50-V14-MS</t>
  </si>
  <si>
    <t>ACMB-50-V15-MS</t>
  </si>
  <si>
    <t>ACMB-50-V14-MSA</t>
  </si>
  <si>
    <t>ACMB-50-V15-MSA</t>
  </si>
  <si>
    <t>ACMB-50-V14-MSB</t>
  </si>
  <si>
    <t>ACMB-50-V15-MSB</t>
  </si>
  <si>
    <t>ACMB-51-R01-BO</t>
  </si>
  <si>
    <t>ACMB-51-RR01-BO</t>
  </si>
  <si>
    <t>ACMB-51-R01-BOA</t>
  </si>
  <si>
    <t>ACMB-51-RR01-BOA</t>
  </si>
  <si>
    <t>ACMB-51-R01-BOB</t>
  </si>
  <si>
    <t>ACMB-51-RR01-BOB</t>
  </si>
  <si>
    <t>ACMB-51-V02-MS</t>
  </si>
  <si>
    <t>ACMB-51-V03-MS</t>
  </si>
  <si>
    <t>ACMB-51-V02-MSA</t>
  </si>
  <si>
    <t>ACMB-51-V03-MSA</t>
  </si>
  <si>
    <t>ACMB-51-V02-MSB</t>
  </si>
  <si>
    <t>ACMB-51-V03-MSB</t>
  </si>
  <si>
    <t>ACMB-51-R02-BO</t>
  </si>
  <si>
    <t>ACMB-51-RR02-BO</t>
  </si>
  <si>
    <t>ACMB-51-R02-BOA</t>
  </si>
  <si>
    <t>ACMB-51-RR02-BOA</t>
  </si>
  <si>
    <t>ACMB-51-R02-BOB</t>
  </si>
  <si>
    <t>ACMB-51-RR02-BOB</t>
  </si>
  <si>
    <t>ACMB-51-V04-MS</t>
  </si>
  <si>
    <t>ACMB-51-V05-MS</t>
  </si>
  <si>
    <t>ACMB-51-V04-MSA</t>
  </si>
  <si>
    <t>ACMB-51-V05-MSA</t>
  </si>
  <si>
    <t>ACMB-51-V04-MSB</t>
  </si>
  <si>
    <t>ACMB-51-V05-MSB</t>
  </si>
  <si>
    <t>ACMB-51-R03-BO</t>
  </si>
  <si>
    <t>ACMB-51-RR03-BO</t>
  </si>
  <si>
    <t>ACMB-51-R03-BOA</t>
  </si>
  <si>
    <t>ACMB-51-RR03-BOA</t>
  </si>
  <si>
    <t>ACMB-51-R03-BOB</t>
  </si>
  <si>
    <t>ACMB-51-RR03-BOB</t>
  </si>
  <si>
    <t>ACMB-51-V06-MS</t>
  </si>
  <si>
    <t>ACMB-51-V07-MS</t>
  </si>
  <si>
    <t>ACMB-51-V06-MSA</t>
  </si>
  <si>
    <t>ACMB-51-V07-MSA</t>
  </si>
  <si>
    <t>ACMB-51-V06-MSB</t>
  </si>
  <si>
    <t>ACMB-51-V07-MSB</t>
  </si>
  <si>
    <t>ACMB-51-R04-BO</t>
  </si>
  <si>
    <t>ACMB-51-RR04-BO</t>
  </si>
  <si>
    <t>ACMB-51-R04-BOA</t>
  </si>
  <si>
    <t>ACMB-51-RR04-BOA</t>
  </si>
  <si>
    <t>ACMB-51-R04-BOB</t>
  </si>
  <si>
    <t>ACMB-51-RR04-BOB</t>
  </si>
  <si>
    <t>ACMB-51-V08-MS</t>
  </si>
  <si>
    <t>ACMB-51-V09-MS</t>
  </si>
  <si>
    <t>ACMB-51-V08-MSA</t>
  </si>
  <si>
    <t>ACMB-51-V09-MSA</t>
  </si>
  <si>
    <t>ACMB-51-V08-MSB</t>
  </si>
  <si>
    <t>ACMB-51-V09-MSB</t>
  </si>
  <si>
    <t>ACMB-51-R05-BO</t>
  </si>
  <si>
    <t>ACMB-51-RR05-BO</t>
  </si>
  <si>
    <t>ACMB-51-R05-BOA</t>
  </si>
  <si>
    <t>ACMB-51-RR05-BOA</t>
  </si>
  <si>
    <t>ACMB-51-R05-BOB</t>
  </si>
  <si>
    <t>ACMB-51-RR05-BOB</t>
  </si>
  <si>
    <t>ACMB-51-V10-MS</t>
  </si>
  <si>
    <t>ACMB-51-V11-MS</t>
  </si>
  <si>
    <t>ACMB-51-V10-MSA</t>
  </si>
  <si>
    <t>ACMB-51-V11-MSA</t>
  </si>
  <si>
    <t>ACMB-51-V10-MSB</t>
  </si>
  <si>
    <t>ACMB-51-V11-MSB</t>
  </si>
  <si>
    <t>ACMB-51-R06-BO</t>
  </si>
  <si>
    <t>ACMB-51-RR06-BO</t>
  </si>
  <si>
    <t>ACMB-51-R06-BOA</t>
  </si>
  <si>
    <t>ACMB-51-RR06-BOA</t>
  </si>
  <si>
    <t>ACMB-51-R06-BOB</t>
  </si>
  <si>
    <t>ACMB-51-RR06-BOB</t>
  </si>
  <si>
    <t>ACMB-51-V12-MS</t>
  </si>
  <si>
    <t>ACMB-51-V13-MS</t>
  </si>
  <si>
    <t>ACMB-51-V12-MSA</t>
  </si>
  <si>
    <t>ACMB-51-V13-MSA</t>
  </si>
  <si>
    <t>ACMB-51-V12-MSB</t>
  </si>
  <si>
    <t>ACMB-51-V13-MSB</t>
  </si>
  <si>
    <t>ACMB-51-R07-BO</t>
  </si>
  <si>
    <t>ACMB-51-RR07-BO</t>
  </si>
  <si>
    <t>ACMB-51-R07-BOA</t>
  </si>
  <si>
    <t>ACMB-51-RR07-BOA</t>
  </si>
  <si>
    <t>ACMB-51-R07-BOB</t>
  </si>
  <si>
    <t>ACMB-51-RR07-BOB</t>
  </si>
  <si>
    <t>ACMB-51-V14-MS</t>
  </si>
  <si>
    <t>ACMB-51-V15-MS</t>
  </si>
  <si>
    <t>ACMB-51-V14-MSA</t>
  </si>
  <si>
    <t>ACMB-51-V15-MSA</t>
  </si>
  <si>
    <t>ACMB-51-V14-MSB</t>
  </si>
  <si>
    <t>ACMB-51-V15-MSB</t>
  </si>
  <si>
    <t>ACMB-52-R01-BO</t>
  </si>
  <si>
    <t>ACMB-52-RR01-BO</t>
  </si>
  <si>
    <t>ACMB-52-R01-BOA</t>
  </si>
  <si>
    <t>ACMB-52-RR01-BOA</t>
  </si>
  <si>
    <t>ACMB-52-R01-BOB</t>
  </si>
  <si>
    <t>ACMB-52-RR01-BOB</t>
  </si>
  <si>
    <t>ACMB-52-V02-MS</t>
  </si>
  <si>
    <t>ACMB-52-V03-MS</t>
  </si>
  <si>
    <t>ACMB-52-V02-MSA</t>
  </si>
  <si>
    <t>ACMB-52-V03-MSA</t>
  </si>
  <si>
    <t>ACMB-52-V02-MSB</t>
  </si>
  <si>
    <t>ACMB-52-V03-MSB</t>
  </si>
  <si>
    <t>ACMB-52-R02-BO</t>
  </si>
  <si>
    <t>ACMB-52-RR02-BO</t>
  </si>
  <si>
    <t>ACMB-52-R02-BOA</t>
  </si>
  <si>
    <t>ACMB-52-RR02-BOA</t>
  </si>
  <si>
    <t>ACMB-52-R02-BOB</t>
  </si>
  <si>
    <t>ACMB-52-RR02-BOB</t>
  </si>
  <si>
    <t>ACMB-52-V04-MS</t>
  </si>
  <si>
    <t>ACMB-52-V05-MS</t>
  </si>
  <si>
    <t>ACMB-52-V04-MSA</t>
  </si>
  <si>
    <t>ACMB-52-V05-MSA</t>
  </si>
  <si>
    <t>ACMB-52-V04-MSB</t>
  </si>
  <si>
    <t>ACMB-52-V05-MSB</t>
  </si>
  <si>
    <t>ACMB-52-R03-BO</t>
  </si>
  <si>
    <t>ACMB-52-RR03-BO</t>
  </si>
  <si>
    <t>ACMB-52-R03-BOA</t>
  </si>
  <si>
    <t>ACMB-52-RR03-BOA</t>
  </si>
  <si>
    <t>ACMB-52-R03-BOB</t>
  </si>
  <si>
    <t>ACMB-52-RR03-BOB</t>
  </si>
  <si>
    <t>ACMB-52-V06-MS</t>
  </si>
  <si>
    <t>ACMB-52-V07-MS</t>
  </si>
  <si>
    <t>ACMB-52-V06-MSA</t>
  </si>
  <si>
    <t>ACMB-52-V07-MSA</t>
  </si>
  <si>
    <t>ACMB-52-V06-MSB</t>
  </si>
  <si>
    <t>ACMB-52-V07-MSB</t>
  </si>
  <si>
    <t>ACMB-52-R04-BO</t>
  </si>
  <si>
    <t>ACMB-52-RR04-BO</t>
  </si>
  <si>
    <t>ACMB-52-R04-BOA</t>
  </si>
  <si>
    <t>ACMB-52-RR04-BOA</t>
  </si>
  <si>
    <t>ACMB-52-R04-BOB</t>
  </si>
  <si>
    <t>ACMB-52-RR04-BOB</t>
  </si>
  <si>
    <t>ACMB-52-V08-MS</t>
  </si>
  <si>
    <t>ACMB-52-V09-MS</t>
  </si>
  <si>
    <t>ACMB-52-V08-MSA</t>
  </si>
  <si>
    <t>ACMB-52-V09-MSA</t>
  </si>
  <si>
    <t>ACMB-52-V08-MSB</t>
  </si>
  <si>
    <t>ACMB-52-V09-MSB</t>
  </si>
  <si>
    <t>ACMB-52-R05-BO</t>
  </si>
  <si>
    <t>ACMB-52-RR05-BO</t>
  </si>
  <si>
    <t>ACMB-52-R05-BOA</t>
  </si>
  <si>
    <t>ACMB-52-RR05-BOA</t>
  </si>
  <si>
    <t>ACMB-52-R05-BOB</t>
  </si>
  <si>
    <t>ACMB-52-RR05-BOB</t>
  </si>
  <si>
    <t>ACMB-52-V10-MS</t>
  </si>
  <si>
    <t>ACMB-52-V11-MS</t>
  </si>
  <si>
    <t>ACMB-52-V10-MSA</t>
  </si>
  <si>
    <t>ACMB-52-V11-MSA</t>
  </si>
  <si>
    <t>ACMB-52-V10-MSB</t>
  </si>
  <si>
    <t>ACMB-52-V11-MSB</t>
  </si>
  <si>
    <t>ACMB-52-R06-BO</t>
  </si>
  <si>
    <t>ACMB-52-RR06-BO</t>
  </si>
  <si>
    <t>ACMB-52-R06-BOA</t>
  </si>
  <si>
    <t>ACMB-52-RR06-BOA</t>
  </si>
  <si>
    <t>ACMB-52-R06-BOB</t>
  </si>
  <si>
    <t>ACMB-52-RR06-BOB</t>
  </si>
  <si>
    <t>ACMB-52-V12-MS</t>
  </si>
  <si>
    <t>ACMB-52-V13-MS</t>
  </si>
  <si>
    <t>ACMB-52-V12-MSA</t>
  </si>
  <si>
    <t>ACMB-52-V13-MSA</t>
  </si>
  <si>
    <t>ACMB-52-V12-MSB</t>
  </si>
  <si>
    <t>ACMB-52-V13-MSB</t>
  </si>
  <si>
    <t>ACMB-52-R07-BO</t>
  </si>
  <si>
    <t>ACMB-52-RR07-BO</t>
  </si>
  <si>
    <t>ACMB-52-R07-BOA</t>
  </si>
  <si>
    <t>ACMB-52-RR07-BOA</t>
  </si>
  <si>
    <t>ACMB-52-R07-BOB</t>
  </si>
  <si>
    <t>ACMB-52-RR07-BOB</t>
  </si>
  <si>
    <t>ACMB-52-V14-MS</t>
  </si>
  <si>
    <t>ACMB-52-V15-MS</t>
  </si>
  <si>
    <t>ACMB-52-V14-MSA</t>
  </si>
  <si>
    <t>ACMB-52-V15-MSA</t>
  </si>
  <si>
    <t>ACMB-52-V14-MSB</t>
  </si>
  <si>
    <t>ACMB-52-V15-MSB</t>
  </si>
  <si>
    <t>ACMB-53-R01-BO</t>
  </si>
  <si>
    <t>ACMB-53-RR01-BO</t>
  </si>
  <si>
    <t>ACMB-53-R01-BOA</t>
  </si>
  <si>
    <t>ACMB-53-RR01-BOA</t>
  </si>
  <si>
    <t>ACMB-53-R01-BOB</t>
  </si>
  <si>
    <t>ACMB-53-RR01-BOB</t>
  </si>
  <si>
    <t>ACMB-53-V02-MS</t>
  </si>
  <si>
    <t>ACMB-53-V03-MS</t>
  </si>
  <si>
    <t>ACMB-53-V02-MSA</t>
  </si>
  <si>
    <t>ACMB-53-V03-MSA</t>
  </si>
  <si>
    <t>ACMB-53-V02-MSB</t>
  </si>
  <si>
    <t>ACMB-53-V03-MSB</t>
  </si>
  <si>
    <t>ACMB-53-R02-BO</t>
  </si>
  <si>
    <t>ACMB-53-RR02-BO</t>
  </si>
  <si>
    <t>ACMB-53-R02-BOA</t>
  </si>
  <si>
    <t>ACMB-53-RR02-BOA</t>
  </si>
  <si>
    <t>ACMB-53-R02-BOB</t>
  </si>
  <si>
    <t>ACMB-53-RR02-BOB</t>
  </si>
  <si>
    <t>ACMB-53-V04-MS</t>
  </si>
  <si>
    <t>ACMB-53-V05-MS</t>
  </si>
  <si>
    <t>ACMB-53-V04-MSA</t>
  </si>
  <si>
    <t>ACMB-53-V05-MSA</t>
  </si>
  <si>
    <t>ACMB-53-V04-MSB</t>
  </si>
  <si>
    <t>ACMB-53-V05-MSB</t>
  </si>
  <si>
    <t>ACMB-53-R03-BO</t>
  </si>
  <si>
    <t>ACMB-53-RR03-BO</t>
  </si>
  <si>
    <t>ACMB-53-R03-BOA</t>
  </si>
  <si>
    <t>ACMB-53-RR03-BOA</t>
  </si>
  <si>
    <t>ACMB-53-R03-BOB</t>
  </si>
  <si>
    <t>ACMB-53-RR03-BOB</t>
  </si>
  <si>
    <t>ACMB-53-V06-MS</t>
  </si>
  <si>
    <t>ACMB-53-V07-MS</t>
  </si>
  <si>
    <t>ACMB-53-V06-MSA</t>
  </si>
  <si>
    <t>ACMB-53-V07-MSA</t>
  </si>
  <si>
    <t>ACMB-53-V06-MSB</t>
  </si>
  <si>
    <t>ACMB-53-V07-MSB</t>
  </si>
  <si>
    <t>ACMB-53-R04-BO</t>
  </si>
  <si>
    <t>ACMB-53-RR04-BO</t>
  </si>
  <si>
    <t>ACMB-53-R04-BOA</t>
  </si>
  <si>
    <t>ACMB-53-RR04-BOA</t>
  </si>
  <si>
    <t>ACMB-53-R04-BOB</t>
  </si>
  <si>
    <t>ACMB-53-RR04-BOB</t>
  </si>
  <si>
    <t>ACMB-53-V08-MS</t>
  </si>
  <si>
    <t>ACMB-53-V09-MS</t>
  </si>
  <si>
    <t>ACMB-53-V08-MSA</t>
  </si>
  <si>
    <t>ACMB-53-V09-MSA</t>
  </si>
  <si>
    <t>ACMB-53-V08-MSB</t>
  </si>
  <si>
    <t>ACMB-53-V09-MSB</t>
  </si>
  <si>
    <t>ACMB-53-R05-BO</t>
  </si>
  <si>
    <t>ACMB-53-RR05-BO</t>
  </si>
  <si>
    <t>ACMB-53-R05-BOA</t>
  </si>
  <si>
    <t>ACMB-53-RR05-BOA</t>
  </si>
  <si>
    <t>ACMB-53-R05-BOB</t>
  </si>
  <si>
    <t>ACMB-53-RR05-BOB</t>
  </si>
  <si>
    <t>ACMB-53-V10-MS</t>
  </si>
  <si>
    <t>ACMB-53-V11-MS</t>
  </si>
  <si>
    <t>ACMB-53-V10-MSA</t>
  </si>
  <si>
    <t>ACMB-53-V11-MSA</t>
  </si>
  <si>
    <t>ACMB-53-V10-MSB</t>
  </si>
  <si>
    <t>ACMB-53-V11-MSB</t>
  </si>
  <si>
    <t>ACMB-53-R06-BO</t>
  </si>
  <si>
    <t>ACMB-53-RR06-BO</t>
  </si>
  <si>
    <t>ACMB-53-R06-BOA</t>
  </si>
  <si>
    <t>ACMB-53-RR06-BOA</t>
  </si>
  <si>
    <t>ACMB-53-R06-BOB</t>
  </si>
  <si>
    <t>ACMB-53-RR06-BOB</t>
  </si>
  <si>
    <t>ACMB-53-V12-MS</t>
  </si>
  <si>
    <t>ACMB-53-V13-MS</t>
  </si>
  <si>
    <t>ACMB-53-V12-MSA</t>
  </si>
  <si>
    <t>ACMB-53-V13-MSA</t>
  </si>
  <si>
    <t>ACMB-53-V12-MSB</t>
  </si>
  <si>
    <t>ACMB-53-V13-MSB</t>
  </si>
  <si>
    <t>ACMB-53-R07-BO</t>
  </si>
  <si>
    <t>ACMB-53-RR07-BO</t>
  </si>
  <si>
    <t>ACMB-53-R07-BOA</t>
  </si>
  <si>
    <t>ACMB-53-RR07-BOA</t>
  </si>
  <si>
    <t>ACMB-53-R07-BOB</t>
  </si>
  <si>
    <t>ACMB-53-RR07-BOB</t>
  </si>
  <si>
    <t>ACMB-53-V14-MS</t>
  </si>
  <si>
    <t>ACMB-53-V15-MS</t>
  </si>
  <si>
    <t>ACMB-53-V14-MSA</t>
  </si>
  <si>
    <t>ACMB-53-V15-MSA</t>
  </si>
  <si>
    <t>ACMB-53-V14-MSB</t>
  </si>
  <si>
    <t>ACMB-53-V15-MSB</t>
  </si>
  <si>
    <t>ACMB-54-R01-BO</t>
  </si>
  <si>
    <t>ACMB-54-RR01-BO</t>
  </si>
  <si>
    <t>ACMB-54-R01-BOA</t>
  </si>
  <si>
    <t>ACMB-54-RR01-BOA</t>
  </si>
  <si>
    <t>ACMB-54-R01-BOB</t>
  </si>
  <si>
    <t>ACMB-54-RR01-BOB</t>
  </si>
  <si>
    <t>ACMB-54-V02-MS</t>
  </si>
  <si>
    <t>ACMB-54-V03-MS</t>
  </si>
  <si>
    <t>ACMB-54-V02-MSA</t>
  </si>
  <si>
    <t>ACMB-54-V03-MSA</t>
  </si>
  <si>
    <t>ACMB-54-V02-MSB</t>
  </si>
  <si>
    <t>ACMB-54-V03-MSB</t>
  </si>
  <si>
    <t>ACMB-54-R02-BO</t>
  </si>
  <si>
    <t>ACMB-54-RR02-BO</t>
  </si>
  <si>
    <t>ACMB-54-R02-BOA</t>
  </si>
  <si>
    <t>ACMB-54-RR02-BOA</t>
  </si>
  <si>
    <t>ACMB-54-R02-BOB</t>
  </si>
  <si>
    <t>ACMB-54-RR02-BOB</t>
  </si>
  <si>
    <t>ACMB-54-V04-MS</t>
  </si>
  <si>
    <t>ACMB-54-V05-MS</t>
  </si>
  <si>
    <t>ACMB-54-V04-MSA</t>
  </si>
  <si>
    <t>ACMB-54-V05-MSA</t>
  </si>
  <si>
    <t>ACMB-54-V04-MSB</t>
  </si>
  <si>
    <t>ACMB-54-V05-MSB</t>
  </si>
  <si>
    <t>ACMB-54-R03-BO</t>
  </si>
  <si>
    <t>ACMB-54-RR03-BO</t>
  </si>
  <si>
    <t>ACMB-54-R03-BOA</t>
  </si>
  <si>
    <t>ACMB-54-RR03-BOA</t>
  </si>
  <si>
    <t>ACMB-54-R03-BOB</t>
  </si>
  <si>
    <t>ACMB-54-RR03-BOB</t>
  </si>
  <si>
    <t>ACMB-54-V06-MS</t>
  </si>
  <si>
    <t>ACMB-54-V07-MS</t>
  </si>
  <si>
    <t>ACMB-54-V06-MSA</t>
  </si>
  <si>
    <t>ACMB-54-V07-MSA</t>
  </si>
  <si>
    <t>ACMB-54-V06-MSB</t>
  </si>
  <si>
    <t>ACMB-54-V07-MSB</t>
  </si>
  <si>
    <t>ACMB-54-R04-BO</t>
  </si>
  <si>
    <t>ACMB-54-RR04-BO</t>
  </si>
  <si>
    <t>ACMB-54-R04-BOA</t>
  </si>
  <si>
    <t>ACMB-54-RR04-BOA</t>
  </si>
  <si>
    <t>ACMB-54-R04-BOB</t>
  </si>
  <si>
    <t>ACMB-54-RR04-BOB</t>
  </si>
  <si>
    <t>ACMB-54-V08-MS</t>
  </si>
  <si>
    <t>ACMB-54-V09-MS</t>
  </si>
  <si>
    <t>ACMB-54-V08-MSA</t>
  </si>
  <si>
    <t>ACMB-54-V09-MSA</t>
  </si>
  <si>
    <t>ACMB-54-V08-MSB</t>
  </si>
  <si>
    <t>ACMB-54-V09-MSB</t>
  </si>
  <si>
    <t>ACMB-54-R05-BO</t>
  </si>
  <si>
    <t>ACMB-54-RR05-BO</t>
  </si>
  <si>
    <t>ACMB-54-R05-BOA</t>
  </si>
  <si>
    <t>ACMB-54-RR05-BOA</t>
  </si>
  <si>
    <t>ACMB-54-R05-BOB</t>
  </si>
  <si>
    <t>ACMB-54-RR05-BOB</t>
  </si>
  <si>
    <t>ACMB-54-V10-MS</t>
  </si>
  <si>
    <t>ACMB-54-V11-MS</t>
  </si>
  <si>
    <t>ACMB-54-V10-MSA</t>
  </si>
  <si>
    <t>ACMB-54-V11-MSA</t>
  </si>
  <si>
    <t>ACMB-54-V10-MSB</t>
  </si>
  <si>
    <t>ACMB-54-V11-MSB</t>
  </si>
  <si>
    <t>ACMB-54-R06-BO</t>
  </si>
  <si>
    <t>ACMB-54-RR06-BO</t>
  </si>
  <si>
    <t>ACMB-54-R06-BOA</t>
  </si>
  <si>
    <t>ACMB-54-RR06-BOA</t>
  </si>
  <si>
    <t>ACMB-54-R06-BOB</t>
  </si>
  <si>
    <t>ACMB-54-RR06-BOB</t>
  </si>
  <si>
    <t>ACMB-54-V12-MS</t>
  </si>
  <si>
    <t>ACMB-54-V13-MS</t>
  </si>
  <si>
    <t>ACMB-54-V12-MSA</t>
  </si>
  <si>
    <t>ACMB-54-V13-MSA</t>
  </si>
  <si>
    <t>ACMB-54-V12-MSB</t>
  </si>
  <si>
    <t>ACMB-54-V13-MSB</t>
  </si>
  <si>
    <t>ACMB-54-R07-BO</t>
  </si>
  <si>
    <t>ACMB-54-RR07-BO</t>
  </si>
  <si>
    <t>ACMB-54-R07-BOA</t>
  </si>
  <si>
    <t>ACMB-54-RR07-BOA</t>
  </si>
  <si>
    <t>ACMB-54-R07-BOB</t>
  </si>
  <si>
    <t>ACMB-54-RR07-BOB</t>
  </si>
  <si>
    <t>ACMB-54-V14-MS</t>
  </si>
  <si>
    <t>ACMB-54-V15-MS</t>
  </si>
  <si>
    <t>ACMB-54-V14-MSA</t>
  </si>
  <si>
    <t>ACMB-54-V15-MSA</t>
  </si>
  <si>
    <t>ACMB-54-V14-MSB</t>
  </si>
  <si>
    <t>ACMB-54-V15-MSB</t>
  </si>
  <si>
    <t>ACMB-55-R01-BO</t>
  </si>
  <si>
    <t>ACMB-55-RR01-BO</t>
  </si>
  <si>
    <t>ACMB-55-R01-BOA</t>
  </si>
  <si>
    <t>ACMB-55-RR01-BOA</t>
  </si>
  <si>
    <t>ACMB-55-R01-BOB</t>
  </si>
  <si>
    <t>ACMB-55-RR01-BOB</t>
  </si>
  <si>
    <t>ACMB-55-V02-MS</t>
  </si>
  <si>
    <t>ACMB-55-V03-MS</t>
  </si>
  <si>
    <t>ACMB-55-V02-MSA</t>
  </si>
  <si>
    <t>ACMB-55-V03-MSA</t>
  </si>
  <si>
    <t>ACMB-55-V02-MSB</t>
  </si>
  <si>
    <t>ACMB-55-V03-MSB</t>
  </si>
  <si>
    <t>ACMB-55-R02-BO</t>
  </si>
  <si>
    <t>ACMB-55-RR02-BO</t>
  </si>
  <si>
    <t>ACMB-55-R02-BOA</t>
  </si>
  <si>
    <t>ACMB-55-RR02-BOA</t>
  </si>
  <si>
    <t>ACMB-55-R02-BOB</t>
  </si>
  <si>
    <t>ACMB-55-RR02-BOB</t>
  </si>
  <si>
    <t>ACMB-55-V04-MS</t>
  </si>
  <si>
    <t>ACMB-55-V05-MS</t>
  </si>
  <si>
    <t>ACMB-55-V04-MSA</t>
  </si>
  <si>
    <t>ACMB-55-V05-MSA</t>
  </si>
  <si>
    <t>ACMB-55-V04-MSB</t>
  </si>
  <si>
    <t>ACMB-55-V05-MSB</t>
  </si>
  <si>
    <t>ACMB-55-R03-BO</t>
  </si>
  <si>
    <t>ACMB-55-RR03-BO</t>
  </si>
  <si>
    <t>ACMB-55-R03-BOA</t>
  </si>
  <si>
    <t>ACMB-55-RR03-BOA</t>
  </si>
  <si>
    <t>ACMB-55-R03-BOB</t>
  </si>
  <si>
    <t>ACMB-55-RR03-BOB</t>
  </si>
  <si>
    <t>ACMB-55-V06-MS</t>
  </si>
  <si>
    <t>ACMB-55-V07-MS</t>
  </si>
  <si>
    <t>ACMB-55-V06-MSA</t>
  </si>
  <si>
    <t>ACMB-55-V07-MSA</t>
  </si>
  <si>
    <t>ACMB-55-V06-MSB</t>
  </si>
  <si>
    <t>ACMB-55-V07-MSB</t>
  </si>
  <si>
    <t>ACMB-55-R04-BO</t>
  </si>
  <si>
    <t>ACMB-55-RR04-BO</t>
  </si>
  <si>
    <t>ACMB-55-R04-BOA</t>
  </si>
  <si>
    <t>ACMB-55-RR04-BOA</t>
  </si>
  <si>
    <t>ACMB-55-R04-BOB</t>
  </si>
  <si>
    <t>ACMB-55-RR04-BOB</t>
  </si>
  <si>
    <t>ACMB-55-V08-MS</t>
  </si>
  <si>
    <t>ACMB-55-V09-MS</t>
  </si>
  <si>
    <t>ACMB-55-V08-MSA</t>
  </si>
  <si>
    <t>ACMB-55-V09-MSA</t>
  </si>
  <si>
    <t>ACMB-55-V08-MSB</t>
  </si>
  <si>
    <t>ACMB-55-V09-MSB</t>
  </si>
  <si>
    <t>ACMB-55-R05-BO</t>
  </si>
  <si>
    <t>ACMB-55-RR05-BO</t>
  </si>
  <si>
    <t>ACMB-55-R05-BOA</t>
  </si>
  <si>
    <t>ACMB-55-RR05-BOA</t>
  </si>
  <si>
    <t>ACMB-55-R05-BOB</t>
  </si>
  <si>
    <t>ACMB-55-RR05-BOB</t>
  </si>
  <si>
    <t>ACMB-55-V10-MS</t>
  </si>
  <si>
    <t>ACMB-55-V11-MS</t>
  </si>
  <si>
    <t>ACMB-55-V10-MSA</t>
  </si>
  <si>
    <t>ACMB-55-V11-MSA</t>
  </si>
  <si>
    <t>ACMB-55-V10-MSB</t>
  </si>
  <si>
    <t>ACMB-55-V11-MSB</t>
  </si>
  <si>
    <t>ACMB-55-R06-BO</t>
  </si>
  <si>
    <t>ACMB-55-RR06-BO</t>
  </si>
  <si>
    <t>ACMB-55-R06-BOA</t>
  </si>
  <si>
    <t>ACMB-55-RR06-BOA</t>
  </si>
  <si>
    <t>ACMB-55-R06-BOB</t>
  </si>
  <si>
    <t>ACMB-55-RR06-BOB</t>
  </si>
  <si>
    <t>ACMB-55-V12-MS</t>
  </si>
  <si>
    <t>ACMB-55-V13-MS</t>
  </si>
  <si>
    <t>ACMB-55-V12-MSA</t>
  </si>
  <si>
    <t>ACMB-55-V13-MSA</t>
  </si>
  <si>
    <t>ACMB-55-V12-MSB</t>
  </si>
  <si>
    <t>ACMB-55-V13-MSB</t>
  </si>
  <si>
    <t>ACMB-55-R07-BO</t>
  </si>
  <si>
    <t>ACMB-55-RR07-BO</t>
  </si>
  <si>
    <t>ACMB-55-R07-BOA</t>
  </si>
  <si>
    <t>ACMB-55-RR07-BOA</t>
  </si>
  <si>
    <t>ACMB-55-R07-BOB</t>
  </si>
  <si>
    <t>ACMB-55-RR07-BOB</t>
  </si>
  <si>
    <t>ACMB-55-V14-MS</t>
  </si>
  <si>
    <t>ACMB-55-V15-MS</t>
  </si>
  <si>
    <t>ACMB-55-V14-MSA</t>
  </si>
  <si>
    <t>ACMB-55-V15-MSA</t>
  </si>
  <si>
    <t>ACMB-55-V14-MSB</t>
  </si>
  <si>
    <t>ACMB-55-V15-MSB</t>
  </si>
  <si>
    <t>ACMB-56-R01-BO</t>
  </si>
  <si>
    <t>ACMB-56-RR01-BO</t>
  </si>
  <si>
    <t>ACMB-56-R01-BOA</t>
  </si>
  <si>
    <t>ACMB-56-RR01-BOA</t>
  </si>
  <si>
    <t>ACMB-56-R01-BOB</t>
  </si>
  <si>
    <t>ACMB-56-RR01-BOB</t>
  </si>
  <si>
    <t>ACMB-56-V02-MS</t>
  </si>
  <si>
    <t>ACMB-56-V03-MS</t>
  </si>
  <si>
    <t>ACMB-56-V02-MSA</t>
  </si>
  <si>
    <t>ACMB-56-V03-MSA</t>
  </si>
  <si>
    <t>ACMB-56-V02-MSB</t>
  </si>
  <si>
    <t>ACMB-56-V03-MSB</t>
  </si>
  <si>
    <t>ACMB-56-R02-BO</t>
  </si>
  <si>
    <t>ACMB-56-RR02-BO</t>
  </si>
  <si>
    <t>ACMB-56-R02-BOA</t>
  </si>
  <si>
    <t>ACMB-56-RR02-BOA</t>
  </si>
  <si>
    <t>ACMB-56-R02-BOB</t>
  </si>
  <si>
    <t>ACMB-56-RR02-BOB</t>
  </si>
  <si>
    <t>ACMB-56-V04-MS</t>
  </si>
  <si>
    <t>ACMB-56-V05-MS</t>
  </si>
  <si>
    <t>ACMB-56-V04-MSA</t>
  </si>
  <si>
    <t>ACMB-56-V05-MSA</t>
  </si>
  <si>
    <t>ACMB-56-V04-MSB</t>
  </si>
  <si>
    <t>ACMB-56-V05-MSB</t>
  </si>
  <si>
    <t>ACMB-56-R03-BO</t>
  </si>
  <si>
    <t>ACMB-56-RR03-BO</t>
  </si>
  <si>
    <t>ACMB-56-R03-BOA</t>
  </si>
  <si>
    <t>ACMB-56-RR03-BOA</t>
  </si>
  <si>
    <t>ACMB-56-R03-BOB</t>
  </si>
  <si>
    <t>ACMB-56-RR03-BOB</t>
  </si>
  <si>
    <t>ACMB-56-V06-MS</t>
  </si>
  <si>
    <t>ACMB-56-V07-MS</t>
  </si>
  <si>
    <t>ACMB-56-V06-MSA</t>
  </si>
  <si>
    <t>ACMB-56-V07-MSA</t>
  </si>
  <si>
    <t>ACMB-56-V06-MSB</t>
  </si>
  <si>
    <t>ACMB-56-V07-MSB</t>
  </si>
  <si>
    <t>ACMB-56-R04-BO</t>
  </si>
  <si>
    <t>ACMB-56-RR04-BO</t>
  </si>
  <si>
    <t>ACMB-56-R04-BOA</t>
  </si>
  <si>
    <t>ACMB-56-RR04-BOA</t>
  </si>
  <si>
    <t>ACMB-56-R04-BOB</t>
  </si>
  <si>
    <t>ACMB-56-RR04-BOB</t>
  </si>
  <si>
    <t>ACMB-56-V08-MS</t>
  </si>
  <si>
    <t>ACMB-56-V09-MS</t>
  </si>
  <si>
    <t>ACMB-56-V08-MSA</t>
  </si>
  <si>
    <t>ACMB-56-V09-MSA</t>
  </si>
  <si>
    <t>ACMB-56-V08-MSB</t>
  </si>
  <si>
    <t>ACMB-56-V09-MSB</t>
  </si>
  <si>
    <t>ACMB-56-R05-BO</t>
  </si>
  <si>
    <t>ACMB-56-RR05-BO</t>
  </si>
  <si>
    <t>ACMB-56-R05-BOA</t>
  </si>
  <si>
    <t>ACMB-56-RR05-BOA</t>
  </si>
  <si>
    <t>ACMB-56-R05-BOB</t>
  </si>
  <si>
    <t>ACMB-56-RR05-BOB</t>
  </si>
  <si>
    <t>ACMB-56-V10-MS</t>
  </si>
  <si>
    <t>ACMB-56-V11-MS</t>
  </si>
  <si>
    <t>ACMB-56-V10-MSA</t>
  </si>
  <si>
    <t>ACMB-56-V11-MSA</t>
  </si>
  <si>
    <t>ACMB-56-V10-MSB</t>
  </si>
  <si>
    <t>ACMB-56-V11-MSB</t>
  </si>
  <si>
    <t>ACMB-56-R06-BO</t>
  </si>
  <si>
    <t>ACMB-56-RR06-BO</t>
  </si>
  <si>
    <t>ACMB-56-R06-BOA</t>
  </si>
  <si>
    <t>ACMB-56-RR06-BOA</t>
  </si>
  <si>
    <t>ACMB-56-R06-BOB</t>
  </si>
  <si>
    <t>ACMB-56-RR06-BOB</t>
  </si>
  <si>
    <t>ACMB-56-V12-MS</t>
  </si>
  <si>
    <t>ACMB-56-V13-MS</t>
  </si>
  <si>
    <t>ACMB-56-V12-MSA</t>
  </si>
  <si>
    <t>ACMB-56-V13-MSA</t>
  </si>
  <si>
    <t>ACMB-56-V12-MSB</t>
  </si>
  <si>
    <t>ACMB-56-V13-MSB</t>
  </si>
  <si>
    <t>ACMB-56-R07-BO</t>
  </si>
  <si>
    <t>ACMB-56-RR07-BO</t>
  </si>
  <si>
    <t>ACMB-56-R07-BOA</t>
  </si>
  <si>
    <t>ACMB-56-RR07-BOA</t>
  </si>
  <si>
    <t>ACMB-56-R07-BOB</t>
  </si>
  <si>
    <t>ACMB-56-RR07-BOB</t>
  </si>
  <si>
    <t>ACMB-56-V14-MS</t>
  </si>
  <si>
    <t>ACMB-56-V15-MS</t>
  </si>
  <si>
    <t>ACMB-56-V14-MSA</t>
  </si>
  <si>
    <t>ACMB-56-V15-MSA</t>
  </si>
  <si>
    <t>ACMB-56-V14-MSB</t>
  </si>
  <si>
    <t>ACMB-56-V15-MSB</t>
  </si>
  <si>
    <t>ACMB-57-R01-BO</t>
  </si>
  <si>
    <t>ACMB-57-RR01-BO</t>
  </si>
  <si>
    <t>ACMB-57-R01-BOA</t>
  </si>
  <si>
    <t>ACMB-57-RR01-BOA</t>
  </si>
  <si>
    <t>ACMB-57-R01-BOB</t>
  </si>
  <si>
    <t>ACMB-57-RR01-BOB</t>
  </si>
  <si>
    <t>ACMB-57-V02-MS</t>
  </si>
  <si>
    <t>ACMB-57-V03-MS</t>
  </si>
  <si>
    <t>ACMB-57-V02-MSA</t>
  </si>
  <si>
    <t>ACMB-57-V03-MSA</t>
  </si>
  <si>
    <t>ACMB-57-V02-MSB</t>
  </si>
  <si>
    <t>ACMB-57-V03-MSB</t>
  </si>
  <si>
    <t>ACMB-57-R02-BO</t>
  </si>
  <si>
    <t>ACMB-57-RR02-BO</t>
  </si>
  <si>
    <t>ACMB-57-R02-BOA</t>
  </si>
  <si>
    <t>ACMB-57-RR02-BOA</t>
  </si>
  <si>
    <t>ACMB-57-R02-BOB</t>
  </si>
  <si>
    <t>ACMB-57-RR02-BOB</t>
  </si>
  <si>
    <t>ACMB-57-V04-MS</t>
  </si>
  <si>
    <t>ACMB-57-V05-MS</t>
  </si>
  <si>
    <t>ACMB-57-V04-MSA</t>
  </si>
  <si>
    <t>ACMB-57-V05-MSA</t>
  </si>
  <si>
    <t>ACMB-57-V04-MSB</t>
  </si>
  <si>
    <t>ACMB-57-V05-MSB</t>
  </si>
  <si>
    <t>ACMB-57-R03-BO</t>
  </si>
  <si>
    <t>ACMB-57-RR03-BO</t>
  </si>
  <si>
    <t>ACMB-57-R03-BOA</t>
  </si>
  <si>
    <t>ACMB-57-RR03-BOA</t>
  </si>
  <si>
    <t>ACMB-57-R03-BOB</t>
  </si>
  <si>
    <t>ACMB-57-RR03-BOB</t>
  </si>
  <si>
    <t>ACMB-57-V06-MS</t>
  </si>
  <si>
    <t>ACMB-57-V07-MS</t>
  </si>
  <si>
    <t>ACMB-57-V06-MSA</t>
  </si>
  <si>
    <t>ACMB-57-V07-MSA</t>
  </si>
  <si>
    <t>ACMB-57-V06-MSB</t>
  </si>
  <si>
    <t>ACMB-57-V07-MSB</t>
  </si>
  <si>
    <t>ACMB-57-R04-BO</t>
  </si>
  <si>
    <t>ACMB-57-RR04-BO</t>
  </si>
  <si>
    <t>ACMB-57-R04-BOA</t>
  </si>
  <si>
    <t>ACMB-57-RR04-BOA</t>
  </si>
  <si>
    <t>ACMB-57-R04-BOB</t>
  </si>
  <si>
    <t>ACMB-57-RR04-BOB</t>
  </si>
  <si>
    <t>ACMB-57-V08-MS</t>
  </si>
  <si>
    <t>ACMB-57-V09-MS</t>
  </si>
  <si>
    <t>ACMB-57-V08-MSA</t>
  </si>
  <si>
    <t>ACMB-57-V09-MSA</t>
  </si>
  <si>
    <t>ACMB-57-V08-MSB</t>
  </si>
  <si>
    <t>ACMB-57-V09-MSB</t>
  </si>
  <si>
    <t>ACMB-57-R05-BO</t>
  </si>
  <si>
    <t>ACMB-57-RR05-BO</t>
  </si>
  <si>
    <t>ACMB-57-R05-BOA</t>
  </si>
  <si>
    <t>ACMB-57-RR05-BOA</t>
  </si>
  <si>
    <t>ACMB-57-R05-BOB</t>
  </si>
  <si>
    <t>ACMB-57-RR05-BOB</t>
  </si>
  <si>
    <t>ACMB-57-V10-MS</t>
  </si>
  <si>
    <t>ACMB-57-V11-MS</t>
  </si>
  <si>
    <t>ACMB-57-V10-MSA</t>
  </si>
  <si>
    <t>ACMB-57-V11-MSA</t>
  </si>
  <si>
    <t>ACMB-57-V10-MSB</t>
  </si>
  <si>
    <t>ACMB-57-V11-MSB</t>
  </si>
  <si>
    <t>ACMB-57-R06-BO</t>
  </si>
  <si>
    <t>ACMB-57-RR06-BO</t>
  </si>
  <si>
    <t>ACMB-57-R06-BOA</t>
  </si>
  <si>
    <t>ACMB-57-RR06-BOA</t>
  </si>
  <si>
    <t>ACMB-57-R06-BOB</t>
  </si>
  <si>
    <t>ACMB-57-RR06-BOB</t>
  </si>
  <si>
    <t>ACMB-57-V12-MS</t>
  </si>
  <si>
    <t>ACMB-57-V13-MS</t>
  </si>
  <si>
    <t>ACMB-57-V12-MSA</t>
  </si>
  <si>
    <t>ACMB-57-V13-MSA</t>
  </si>
  <si>
    <t>ACMB-57-V12-MSB</t>
  </si>
  <si>
    <t>ACMB-57-V13-MSB</t>
  </si>
  <si>
    <t>ACMB-57-R07-BO</t>
  </si>
  <si>
    <t>ACMB-57-RR07-BO</t>
  </si>
  <si>
    <t>ACMB-57-R07-BOA</t>
  </si>
  <si>
    <t>ACMB-57-RR07-BOA</t>
  </si>
  <si>
    <t>ACMB-57-R07-BOB</t>
  </si>
  <si>
    <t>ACMB-57-RR07-BOB</t>
  </si>
  <si>
    <t>ACMB-57-V14-MS</t>
  </si>
  <si>
    <t>ACMB-57-V15-MS</t>
  </si>
  <si>
    <t>ACMB-57-V14-MSA</t>
  </si>
  <si>
    <t>ACMB-57-V15-MSA</t>
  </si>
  <si>
    <t>ACMB-57-V14-MSB</t>
  </si>
  <si>
    <t>ACMB-57-V15-MSB</t>
  </si>
  <si>
    <t>ACMB-58-R01-BO</t>
  </si>
  <si>
    <t>ACMB-58-RR01-BO</t>
  </si>
  <si>
    <t>ACMB-58-R01-BOA</t>
  </si>
  <si>
    <t>ACMB-58-RR01-BOA</t>
  </si>
  <si>
    <t>ACMB-58-R01-BOB</t>
  </si>
  <si>
    <t>ACMB-58-RR01-BOB</t>
  </si>
  <si>
    <t>ACMB-58-V02-MS</t>
  </si>
  <si>
    <t>ACMB-58-V03-MS</t>
  </si>
  <si>
    <t>ACMB-58-V02-MSA</t>
  </si>
  <si>
    <t>ACMB-58-V03-MSA</t>
  </si>
  <si>
    <t>ACMB-58-V02-MSB</t>
  </si>
  <si>
    <t>ACMB-58-V03-MSB</t>
  </si>
  <si>
    <t>ACMB-58-R02-BO</t>
  </si>
  <si>
    <t>ACMB-58-RR02-BO</t>
  </si>
  <si>
    <t>ACMB-58-R02-BOA</t>
  </si>
  <si>
    <t>ACMB-58-RR02-BOA</t>
  </si>
  <si>
    <t>ACMB-58-R02-BOB</t>
  </si>
  <si>
    <t>ACMB-58-RR02-BOB</t>
  </si>
  <si>
    <t>ACMB-58-V04-MS</t>
  </si>
  <si>
    <t>ACMB-58-V05-MS</t>
  </si>
  <si>
    <t>ACMB-58-V04-MSA</t>
  </si>
  <si>
    <t>ACMB-58-V05-MSA</t>
  </si>
  <si>
    <t>ACMB-58-V04-MSB</t>
  </si>
  <si>
    <t>ACMB-58-V05-MSB</t>
  </si>
  <si>
    <t>ACMB-58-R03-BO</t>
  </si>
  <si>
    <t>ACMB-58-RR03-BO</t>
  </si>
  <si>
    <t>ACMB-58-R03-BOA</t>
  </si>
  <si>
    <t>ACMB-58-RR03-BOA</t>
  </si>
  <si>
    <t>ACMB-58-R03-BOB</t>
  </si>
  <si>
    <t>ACMB-58-RR03-BOB</t>
  </si>
  <si>
    <t>ACMB-58-V06-MS</t>
  </si>
  <si>
    <t>ACMB-58-V07-MS</t>
  </si>
  <si>
    <t>ACMB-58-V06-MSA</t>
  </si>
  <si>
    <t>ACMB-58-V07-MSA</t>
  </si>
  <si>
    <t>ACMB-58-V06-MSB</t>
  </si>
  <si>
    <t>ACMB-58-V07-MSB</t>
  </si>
  <si>
    <t>ACMB-58-R04-BO</t>
  </si>
  <si>
    <t>ACMB-58-RR04-BO</t>
  </si>
  <si>
    <t>ACMB-58-R04-BOA</t>
  </si>
  <si>
    <t>ACMB-58-RR04-BOA</t>
  </si>
  <si>
    <t>ACMB-58-R04-BOB</t>
  </si>
  <si>
    <t>ACMB-58-RR04-BOB</t>
  </si>
  <si>
    <t>ACMB-58-V08-MS</t>
  </si>
  <si>
    <t>ACMB-58-V09-MS</t>
  </si>
  <si>
    <t>ACMB-58-V08-MSA</t>
  </si>
  <si>
    <t>ACMB-58-V09-MSA</t>
  </si>
  <si>
    <t>ACMB-58-V08-MSB</t>
  </si>
  <si>
    <t>ACMB-58-V09-MSB</t>
  </si>
  <si>
    <t>ACMB-58-R05-BO</t>
  </si>
  <si>
    <t>ACMB-58-RR05-BO</t>
  </si>
  <si>
    <t>ACMB-58-R05-BOA</t>
  </si>
  <si>
    <t>ACMB-58-RR05-BOA</t>
  </si>
  <si>
    <t>ACMB-58-R05-BOB</t>
  </si>
  <si>
    <t>ACMB-58-RR05-BOB</t>
  </si>
  <si>
    <t>ACMB-58-V10-MS</t>
  </si>
  <si>
    <t>ACMB-58-V11-MS</t>
  </si>
  <si>
    <t>ACMB-58-V10-MSA</t>
  </si>
  <si>
    <t>ACMB-58-V11-MSA</t>
  </si>
  <si>
    <t>ACMB-58-V10-MSB</t>
  </si>
  <si>
    <t>ACMB-58-V11-MSB</t>
  </si>
  <si>
    <t>ACMB-58-R06-BO</t>
  </si>
  <si>
    <t>ACMB-58-RR06-BO</t>
  </si>
  <si>
    <t>ACMB-58-R06-BOA</t>
  </si>
  <si>
    <t>ACMB-58-RR06-BOA</t>
  </si>
  <si>
    <t>ACMB-58-R06-BOB</t>
  </si>
  <si>
    <t>ACMB-58-RR06-BOB</t>
  </si>
  <si>
    <t>ACMB-58-V12-MS</t>
  </si>
  <si>
    <t>ACMB-58-V13-MS</t>
  </si>
  <si>
    <t>ACMB-58-V12-MSA</t>
  </si>
  <si>
    <t>ACMB-58-V13-MSA</t>
  </si>
  <si>
    <t>ACMB-58-V12-MSB</t>
  </si>
  <si>
    <t>ACMB-58-V13-MSB</t>
  </si>
  <si>
    <t>ACMB-58-R07-BO</t>
  </si>
  <si>
    <t>ACMB-58-RR07-BO</t>
  </si>
  <si>
    <t>ACMB-58-R07-BOA</t>
  </si>
  <si>
    <t>ACMB-58-RR07-BOA</t>
  </si>
  <si>
    <t>ACMB-58-R07-BOB</t>
  </si>
  <si>
    <t>ACMB-58-RR07-BOB</t>
  </si>
  <si>
    <t>ACMB-58-V14-MS</t>
  </si>
  <si>
    <t>ACMB-58-V15-MS</t>
  </si>
  <si>
    <t>ACMB-58-V14-MSA</t>
  </si>
  <si>
    <t>ACMB-58-V15-MSA</t>
  </si>
  <si>
    <t>ACMB-58-V14-MSB</t>
  </si>
  <si>
    <t>ACMB-58-V15-MSB</t>
  </si>
  <si>
    <t>ACMB-59-R01-BO</t>
  </si>
  <si>
    <t>ACMB-59-RR01-BO</t>
  </si>
  <si>
    <t>ACMB-59-R01-BOA</t>
  </si>
  <si>
    <t>ACMB-59-RR01-BOA</t>
  </si>
  <si>
    <t>ACMB-59-R01-BOB</t>
  </si>
  <si>
    <t>ACMB-59-RR01-BOB</t>
  </si>
  <si>
    <t>ACMB-59-V02-MS</t>
  </si>
  <si>
    <t>ACMB-59-V03-MS</t>
  </si>
  <si>
    <t>ACMB-59-V02-MSA</t>
  </si>
  <si>
    <t>ACMB-59-V03-MSA</t>
  </si>
  <si>
    <t>ACMB-59-V02-MSB</t>
  </si>
  <si>
    <t>ACMB-59-V03-MSB</t>
  </si>
  <si>
    <t>ACMB-59-R02-BO</t>
  </si>
  <si>
    <t>ACMB-59-RR02-BO</t>
  </si>
  <si>
    <t>ACMB-59-R02-BOA</t>
  </si>
  <si>
    <t>ACMB-59-RR02-BOA</t>
  </si>
  <si>
    <t>ACMB-59-R02-BOB</t>
  </si>
  <si>
    <t>ACMB-59-RR02-BOB</t>
  </si>
  <si>
    <t>ACMB-59-V04-MS</t>
  </si>
  <si>
    <t>ACMB-59-V05-MS</t>
  </si>
  <si>
    <t>ACMB-59-V04-MSA</t>
  </si>
  <si>
    <t>ACMB-59-V05-MSA</t>
  </si>
  <si>
    <t>ACMB-59-V04-MSB</t>
  </si>
  <si>
    <t>ACMB-59-V05-MSB</t>
  </si>
  <si>
    <t>ACMB-59-R03-BO</t>
  </si>
  <si>
    <t>ACMB-59-RR03-BO</t>
  </si>
  <si>
    <t>ACMB-59-R03-BOA</t>
  </si>
  <si>
    <t>ACMB-59-RR03-BOA</t>
  </si>
  <si>
    <t>ACMB-59-R03-BOB</t>
  </si>
  <si>
    <t>ACMB-59-RR03-BOB</t>
  </si>
  <si>
    <t>ACMB-59-V06-MS</t>
  </si>
  <si>
    <t>ACMB-59-V07-MS</t>
  </si>
  <si>
    <t>ACMB-59-V06-MSA</t>
  </si>
  <si>
    <t>ACMB-59-V07-MSA</t>
  </si>
  <si>
    <t>ACMB-59-V06-MSB</t>
  </si>
  <si>
    <t>ACMB-59-V07-MSB</t>
  </si>
  <si>
    <t>ACMB-59-R04-BO</t>
  </si>
  <si>
    <t>ACMB-59-RR04-BO</t>
  </si>
  <si>
    <t>ACMB-59-R04-BOA</t>
  </si>
  <si>
    <t>ACMB-59-RR04-BOA</t>
  </si>
  <si>
    <t>ACMB-59-R04-BOB</t>
  </si>
  <si>
    <t>ACMB-59-RR04-BOB</t>
  </si>
  <si>
    <t>ACMB-59-V08-MS</t>
  </si>
  <si>
    <t>ACMB-59-V09-MS</t>
  </si>
  <si>
    <t>ACMB-59-V08-MSA</t>
  </si>
  <si>
    <t>ACMB-59-V09-MSA</t>
  </si>
  <si>
    <t>ACMB-59-V08-MSB</t>
  </si>
  <si>
    <t>ACMB-59-V09-MSB</t>
  </si>
  <si>
    <t>ACMB-59-R05-BO</t>
  </si>
  <si>
    <t>ACMB-59-RR05-BO</t>
  </si>
  <si>
    <t>ACMB-59-R05-BOA</t>
  </si>
  <si>
    <t>ACMB-59-RR05-BOA</t>
  </si>
  <si>
    <t>ACMB-59-R05-BOB</t>
  </si>
  <si>
    <t>ACMB-59-RR05-BOB</t>
  </si>
  <si>
    <t>ACMB-59-V10-MS</t>
  </si>
  <si>
    <t>ACMB-59-V11-MS</t>
  </si>
  <si>
    <t>ACMB-59-V10-MSA</t>
  </si>
  <si>
    <t>ACMB-59-V11-MSA</t>
  </si>
  <si>
    <t>ACMB-59-V10-MSB</t>
  </si>
  <si>
    <t>ACMB-59-V11-MSB</t>
  </si>
  <si>
    <t>ACMB-59-R06-BO</t>
  </si>
  <si>
    <t>ACMB-59-RR06-BO</t>
  </si>
  <si>
    <t>ACMB-59-R06-BOA</t>
  </si>
  <si>
    <t>ACMB-59-RR06-BOA</t>
  </si>
  <si>
    <t>ACMB-59-R06-BOB</t>
  </si>
  <si>
    <t>ACMB-59-RR06-BOB</t>
  </si>
  <si>
    <t>ACMB-59-V12-MS</t>
  </si>
  <si>
    <t>ACMB-59-V13-MS</t>
  </si>
  <si>
    <t>ACMB-59-V12-MSA</t>
  </si>
  <si>
    <t>ACMB-59-V13-MSA</t>
  </si>
  <si>
    <t>ACMB-59-V12-MSB</t>
  </si>
  <si>
    <t>ACMB-59-V13-MSB</t>
  </si>
  <si>
    <t>ACMB-59-R07-BO</t>
  </si>
  <si>
    <t>ACMB-59-RR07-BO</t>
  </si>
  <si>
    <t>ACMB-59-R07-BOA</t>
  </si>
  <si>
    <t>ACMB-59-RR07-BOA</t>
  </si>
  <si>
    <t>ACMB-59-R07-BOB</t>
  </si>
  <si>
    <t>ACMB-59-RR07-BOB</t>
  </si>
  <si>
    <t>ACMB-59-V14-MS</t>
  </si>
  <si>
    <t>ACMB-59-V15-MS</t>
  </si>
  <si>
    <t>ACMB-59-V14-MSA</t>
  </si>
  <si>
    <t>ACMB-59-V15-MSA</t>
  </si>
  <si>
    <t>ACMB-59-V14-MSB</t>
  </si>
  <si>
    <t>ACMB-59-V15-MSB</t>
  </si>
  <si>
    <t>ACMB-60-R01-BO</t>
  </si>
  <si>
    <t>ACMB-60-RR01-BO</t>
  </si>
  <si>
    <t>ACMB-60-R01-BOA</t>
  </si>
  <si>
    <t>ACMB-60-RR01-BOA</t>
  </si>
  <si>
    <t>ACMB-60-R01-BOB</t>
  </si>
  <si>
    <t>ACMB-60-RR01-BOB</t>
  </si>
  <si>
    <t>ACMB-60-V02-MS</t>
  </si>
  <si>
    <t>ACMB-60-V03-MS</t>
  </si>
  <si>
    <t>ACMB-60-V02-MSA</t>
  </si>
  <si>
    <t>ACMB-60-V03-MSA</t>
  </si>
  <si>
    <t>ACMB-60-V02-MSB</t>
  </si>
  <si>
    <t>ACMB-60-V03-MSB</t>
  </si>
  <si>
    <t>ACMB-60-R02-BO</t>
  </si>
  <si>
    <t>ACMB-60-RR02-BO</t>
  </si>
  <si>
    <t>ACMB-60-R02-BOA</t>
  </si>
  <si>
    <t>ACMB-60-RR02-BOA</t>
  </si>
  <si>
    <t>ACMB-60-R02-BOB</t>
  </si>
  <si>
    <t>ACMB-60-RR02-BOB</t>
  </si>
  <si>
    <t>ACMB-60-V04-MS</t>
  </si>
  <si>
    <t>ACMB-60-V05-MS</t>
  </si>
  <si>
    <t>ACMB-60-V04-MSA</t>
  </si>
  <si>
    <t>ACMB-60-V05-MSA</t>
  </si>
  <si>
    <t>ACMB-60-V04-MSB</t>
  </si>
  <si>
    <t>ACMB-60-V05-MSB</t>
  </si>
  <si>
    <t>ACMB-60-R03-BO</t>
  </si>
  <si>
    <t>ACMB-60-RR03-BO</t>
  </si>
  <si>
    <t>ACMB-60-R03-BOA</t>
  </si>
  <si>
    <t>ACMB-60-RR03-BOA</t>
  </si>
  <si>
    <t>ACMB-60-R03-BOB</t>
  </si>
  <si>
    <t>ACMB-60-RR03-BOB</t>
  </si>
  <si>
    <t>ACMB-60-V06-MS</t>
  </si>
  <si>
    <t>ACMB-60-V07-MS</t>
  </si>
  <si>
    <t>ACMB-60-V06-MSA</t>
  </si>
  <si>
    <t>ACMB-60-V07-MSA</t>
  </si>
  <si>
    <t>ACMB-60-V06-MSB</t>
  </si>
  <si>
    <t>ACMB-60-V07-MSB</t>
  </si>
  <si>
    <t>ACMB-60-R04-BO</t>
  </si>
  <si>
    <t>ACMB-60-RR04-BO</t>
  </si>
  <si>
    <t>ACMB-60-R04-BOA</t>
  </si>
  <si>
    <t>ACMB-60-RR04-BOA</t>
  </si>
  <si>
    <t>ACMB-60-R04-BOB</t>
  </si>
  <si>
    <t>ACMB-60-RR04-BOB</t>
  </si>
  <si>
    <t>ACMB-60-V08-MS</t>
  </si>
  <si>
    <t>ACMB-60-V09-MS</t>
  </si>
  <si>
    <t>ACMB-60-V08-MSA</t>
  </si>
  <si>
    <t>ACMB-60-V09-MSA</t>
  </si>
  <si>
    <t>ACMB-60-V08-MSB</t>
  </si>
  <si>
    <t>ACMB-60-V09-MSB</t>
  </si>
  <si>
    <t>ACMB-60-R05-BO</t>
  </si>
  <si>
    <t>ACMB-60-RR05-BO</t>
  </si>
  <si>
    <t>ACMB-60-R05-BOA</t>
  </si>
  <si>
    <t>ACMB-60-RR05-BOA</t>
  </si>
  <si>
    <t>ACMB-60-R05-BOB</t>
  </si>
  <si>
    <t>ACMB-60-RR05-BOB</t>
  </si>
  <si>
    <t>ACMB-60-V10-MS</t>
  </si>
  <si>
    <t>ACMB-60-V11-MS</t>
  </si>
  <si>
    <t>ACMB-60-V10-MSA</t>
  </si>
  <si>
    <t>ACMB-60-V11-MSA</t>
  </si>
  <si>
    <t>ACMB-60-V10-MSB</t>
  </si>
  <si>
    <t>ACMB-60-V11-MSB</t>
  </si>
  <si>
    <t>ACMB-60-R06-BO</t>
  </si>
  <si>
    <t>ACMB-60-RR06-BO</t>
  </si>
  <si>
    <t>ACMB-60-R06-BOA</t>
  </si>
  <si>
    <t>ACMB-60-RR06-BOA</t>
  </si>
  <si>
    <t>ACMB-60-R06-BOB</t>
  </si>
  <si>
    <t>ACMB-60-RR06-BOB</t>
  </si>
  <si>
    <t>ACMB-60-V12-MS</t>
  </si>
  <si>
    <t>ACMB-60-V13-MS</t>
  </si>
  <si>
    <t>ACMB-60-V12-MSA</t>
  </si>
  <si>
    <t>ACMB-60-V13-MSA</t>
  </si>
  <si>
    <t>ACMB-60-V12-MSB</t>
  </si>
  <si>
    <t>ACMB-60-V13-MSB</t>
  </si>
  <si>
    <t>ACMB-60-R07-BO</t>
  </si>
  <si>
    <t>ACMB-60-RR07-BO</t>
  </si>
  <si>
    <t>ACMB-60-R07-BOA</t>
  </si>
  <si>
    <t>ACMB-60-RR07-BOA</t>
  </si>
  <si>
    <t>ACMB-60-R07-BOB</t>
  </si>
  <si>
    <t>ACMB-60-RR07-BOB</t>
  </si>
  <si>
    <t>ACMB-60-V14-MS</t>
  </si>
  <si>
    <t>ACMB-60-V15-MS</t>
  </si>
  <si>
    <t>ACMB-60-V14-MSA</t>
  </si>
  <si>
    <t>ACMB-60-V15-MSA</t>
  </si>
  <si>
    <t>ACMB-60-V14-MSB</t>
  </si>
  <si>
    <t>ACMB-60-V15-MSB</t>
  </si>
  <si>
    <t>ACMB-61-R01-BO</t>
  </si>
  <si>
    <t>ACMB-61-RR01-BO</t>
  </si>
  <si>
    <t>ACMB-61-R01-BOA</t>
  </si>
  <si>
    <t>ACMB-61-RR01-BOA</t>
  </si>
  <si>
    <t>ACMB-61-R01-BOB</t>
  </si>
  <si>
    <t>ACMB-61-RR01-BOB</t>
  </si>
  <si>
    <t>ACMB-61-V02-MS</t>
  </si>
  <si>
    <t>ACMB-61-V03-MS</t>
  </si>
  <si>
    <t>ACMB-61-V02-MSA</t>
  </si>
  <si>
    <t>ACMB-61-V03-MSA</t>
  </si>
  <si>
    <t>ACMB-61-V02-MSB</t>
  </si>
  <si>
    <t>ACMB-61-V03-MSB</t>
  </si>
  <si>
    <t>ACMB-61-R02-BO</t>
  </si>
  <si>
    <t>ACMB-61-RR02-BO</t>
  </si>
  <si>
    <t>ACMB-61-R02-BOA</t>
  </si>
  <si>
    <t>ACMB-61-RR02-BOA</t>
  </si>
  <si>
    <t>ACMB-61-R02-BOB</t>
  </si>
  <si>
    <t>ACMB-61-RR02-BOB</t>
  </si>
  <si>
    <t>ACMB-61-V04-MS</t>
  </si>
  <si>
    <t>ACMB-61-V05-MS</t>
  </si>
  <si>
    <t>ACMB-61-V04-MSA</t>
  </si>
  <si>
    <t>ACMB-61-V05-MSA</t>
  </si>
  <si>
    <t>ACMB-61-V04-MSB</t>
  </si>
  <si>
    <t>ACMB-61-V05-MSB</t>
  </si>
  <si>
    <t>ACMB-61-R03-BO</t>
  </si>
  <si>
    <t>ACMB-61-RR03-BO</t>
  </si>
  <si>
    <t>ACMB-61-R03-BOA</t>
  </si>
  <si>
    <t>ACMB-61-RR03-BOA</t>
  </si>
  <si>
    <t>ACMB-61-R03-BOB</t>
  </si>
  <si>
    <t>ACMB-61-RR03-BOB</t>
  </si>
  <si>
    <t>ACMB-61-V06-MS</t>
  </si>
  <si>
    <t>ACMB-61-V07-MS</t>
  </si>
  <si>
    <t>ACMB-61-V06-MSA</t>
  </si>
  <si>
    <t>ACMB-61-V07-MSA</t>
  </si>
  <si>
    <t>ACMB-61-V06-MSB</t>
  </si>
  <si>
    <t>ACMB-61-V07-MSB</t>
  </si>
  <si>
    <t>ACMB-61-R04-BO</t>
  </si>
  <si>
    <t>ACMB-61-RR04-BO</t>
  </si>
  <si>
    <t>ACMB-61-R04-BOA</t>
  </si>
  <si>
    <t>ACMB-61-RR04-BOA</t>
  </si>
  <si>
    <t>ACMB-61-R04-BOB</t>
  </si>
  <si>
    <t>ACMB-61-RR04-BOB</t>
  </si>
  <si>
    <t>ACMB-61-V08-MS</t>
  </si>
  <si>
    <t>ACMB-61-V09-MS</t>
  </si>
  <si>
    <t>ACMB-61-V08-MSA</t>
  </si>
  <si>
    <t>ACMB-61-V09-MSA</t>
  </si>
  <si>
    <t>ACMB-61-V08-MSB</t>
  </si>
  <si>
    <t>ACMB-61-V09-MSB</t>
  </si>
  <si>
    <t>ACMB-61-R05-BO</t>
  </si>
  <si>
    <t>ACMB-61-RR05-BO</t>
  </si>
  <si>
    <t>ACMB-61-R05-BOA</t>
  </si>
  <si>
    <t>ACMB-61-RR05-BOA</t>
  </si>
  <si>
    <t>ACMB-61-R05-BOB</t>
  </si>
  <si>
    <t>ACMB-61-RR05-BOB</t>
  </si>
  <si>
    <t>ACMB-61-V10-MS</t>
  </si>
  <si>
    <t>ACMB-61-V11-MS</t>
  </si>
  <si>
    <t>ACMB-61-V10-MSA</t>
  </si>
  <si>
    <t>ACMB-61-V11-MSA</t>
  </si>
  <si>
    <t>ACMB-61-V10-MSB</t>
  </si>
  <si>
    <t>ACMB-61-V11-MSB</t>
  </si>
  <si>
    <t>ACMB-61-R06-BO</t>
  </si>
  <si>
    <t>ACMB-61-RR06-BO</t>
  </si>
  <si>
    <t>ACMB-61-R06-BOA</t>
  </si>
  <si>
    <t>ACMB-61-RR06-BOA</t>
  </si>
  <si>
    <t>ACMB-61-R06-BOB</t>
  </si>
  <si>
    <t>ACMB-61-RR06-BOB</t>
  </si>
  <si>
    <t>ACMB-61-V12-MS</t>
  </si>
  <si>
    <t>ACMB-61-V13-MS</t>
  </si>
  <si>
    <t>ACMB-61-V12-MSA</t>
  </si>
  <si>
    <t>ACMB-61-V13-MSA</t>
  </si>
  <si>
    <t>ACMB-61-V12-MSB</t>
  </si>
  <si>
    <t>ACMB-61-V13-MSB</t>
  </si>
  <si>
    <t>ACMB-61-R07-BO</t>
  </si>
  <si>
    <t>ACMB-61-RR07-BO</t>
  </si>
  <si>
    <t>ACMB-61-R07-BOA</t>
  </si>
  <si>
    <t>ACMB-61-RR07-BOA</t>
  </si>
  <si>
    <t>ACMB-61-R07-BOB</t>
  </si>
  <si>
    <t>ACMB-61-RR07-BOB</t>
  </si>
  <si>
    <t>ACMB-61-V14-MS</t>
  </si>
  <si>
    <t>ACMB-61-V15-MS</t>
  </si>
  <si>
    <t>ACMB-61-V14-MSA</t>
  </si>
  <si>
    <t>ACMB-61-V15-MSA</t>
  </si>
  <si>
    <t>ACMB-61-V14-MSB</t>
  </si>
  <si>
    <t>ACMB-61-V15-MSB</t>
  </si>
  <si>
    <t>ACMB-62-R01-BO</t>
  </si>
  <si>
    <t>ACMB-62-RR01-BO</t>
  </si>
  <si>
    <t>ACMB-62-R01-BOA</t>
  </si>
  <si>
    <t>ACMB-62-RR01-BOA</t>
  </si>
  <si>
    <t>ACMB-62-R01-BOB</t>
  </si>
  <si>
    <t>ACMB-62-RR01-BOB</t>
  </si>
  <si>
    <t>ACMB-62-V02-MS</t>
  </si>
  <si>
    <t>ACMB-62-V03-MS</t>
  </si>
  <si>
    <t>ACMB-62-V02-MSA</t>
  </si>
  <si>
    <t>ACMB-62-V03-MSA</t>
  </si>
  <si>
    <t>ACMB-62-V02-MSB</t>
  </si>
  <si>
    <t>ACMB-62-V03-MSB</t>
  </si>
  <si>
    <t>ACMB-62-R02-BO</t>
  </si>
  <si>
    <t>ACMB-62-RR02-BO</t>
  </si>
  <si>
    <t>ACMB-62-R02-BOA</t>
  </si>
  <si>
    <t>ACMB-62-RR02-BOA</t>
  </si>
  <si>
    <t>ACMB-62-R02-BOB</t>
  </si>
  <si>
    <t>ACMB-62-RR02-BOB</t>
  </si>
  <si>
    <t>ACMB-62-V04-MS</t>
  </si>
  <si>
    <t>ACMB-62-V05-MS</t>
  </si>
  <si>
    <t>ACMB-62-V04-MSA</t>
  </si>
  <si>
    <t>ACMB-62-V05-MSA</t>
  </si>
  <si>
    <t>ACMB-62-V04-MSB</t>
  </si>
  <si>
    <t>ACMB-62-V05-MSB</t>
  </si>
  <si>
    <t>ACMB-62-R03-BO</t>
  </si>
  <si>
    <t>ACMB-62-RR03-BO</t>
  </si>
  <si>
    <t>ACMB-62-R03-BOA</t>
  </si>
  <si>
    <t>ACMB-62-RR03-BOA</t>
  </si>
  <si>
    <t>ACMB-62-R03-BOB</t>
  </si>
  <si>
    <t>ACMB-62-RR03-BOB</t>
  </si>
  <si>
    <t>ACMB-62-V06-MS</t>
  </si>
  <si>
    <t>ACMB-62-V07-MS</t>
  </si>
  <si>
    <t>ACMB-62-V06-MSA</t>
  </si>
  <si>
    <t>ACMB-62-V07-MSA</t>
  </si>
  <si>
    <t>ACMB-62-V06-MSB</t>
  </si>
  <si>
    <t>ACMB-62-V07-MSB</t>
  </si>
  <si>
    <t>ACMB-62-R04-BO</t>
  </si>
  <si>
    <t>ACMB-62-RR04-BO</t>
  </si>
  <si>
    <t>ACMB-62-R04-BOA</t>
  </si>
  <si>
    <t>ACMB-62-RR04-BOA</t>
  </si>
  <si>
    <t>ACMB-62-R04-BOB</t>
  </si>
  <si>
    <t>ACMB-62-RR04-BOB</t>
  </si>
  <si>
    <t>ACMB-62-V08-MS</t>
  </si>
  <si>
    <t>ACMB-62-V09-MS</t>
  </si>
  <si>
    <t>ACMB-62-V08-MSA</t>
  </si>
  <si>
    <t>ACMB-62-V09-MSA</t>
  </si>
  <si>
    <t>ACMB-62-V08-MSB</t>
  </si>
  <si>
    <t>ACMB-62-V09-MSB</t>
  </si>
  <si>
    <t>ACMB-62-R05-BO</t>
  </si>
  <si>
    <t>ACMB-62-RR05-BO</t>
  </si>
  <si>
    <t>ACMB-62-R05-BOA</t>
  </si>
  <si>
    <t>ACMB-62-RR05-BOA</t>
  </si>
  <si>
    <t>ACMB-62-R05-BOB</t>
  </si>
  <si>
    <t>ACMB-62-RR05-BOB</t>
  </si>
  <si>
    <t>ACMB-62-V10-MS</t>
  </si>
  <si>
    <t>ACMB-62-V11-MS</t>
  </si>
  <si>
    <t>ACMB-62-V10-MSA</t>
  </si>
  <si>
    <t>ACMB-62-V11-MSA</t>
  </si>
  <si>
    <t>ACMB-62-V10-MSB</t>
  </si>
  <si>
    <t>ACMB-62-V11-MSB</t>
  </si>
  <si>
    <t>ACMB-62-R06-BO</t>
  </si>
  <si>
    <t>ACMB-62-RR06-BO</t>
  </si>
  <si>
    <t>ACMB-62-R06-BOA</t>
  </si>
  <si>
    <t>ACMB-62-RR06-BOA</t>
  </si>
  <si>
    <t>ACMB-62-R06-BOB</t>
  </si>
  <si>
    <t>ACMB-62-RR06-BOB</t>
  </si>
  <si>
    <t>ACMB-62-V12-MS</t>
  </si>
  <si>
    <t>ACMB-62-V13-MS</t>
  </si>
  <si>
    <t>ACMB-62-V12-MSA</t>
  </si>
  <si>
    <t>ACMB-62-V13-MSA</t>
  </si>
  <si>
    <t>ACMB-62-V12-MSB</t>
  </si>
  <si>
    <t>ACMB-62-V13-MSB</t>
  </si>
  <si>
    <t>ACMB-62-R07-BO</t>
  </si>
  <si>
    <t>ACMB-62-RR07-BO</t>
  </si>
  <si>
    <t>ACMB-62-R07-BOA</t>
  </si>
  <si>
    <t>ACMB-62-RR07-BOA</t>
  </si>
  <si>
    <t>ACMB-62-R07-BOB</t>
  </si>
  <si>
    <t>ACMB-62-RR07-BOB</t>
  </si>
  <si>
    <t>ACMB-62-V14-MS</t>
  </si>
  <si>
    <t>ACMB-62-V15-MS</t>
  </si>
  <si>
    <t>ACMB-62-V14-MSA</t>
  </si>
  <si>
    <t>ACMB-62-V15-MSA</t>
  </si>
  <si>
    <t>ACMB-62-V14-MSB</t>
  </si>
  <si>
    <t>ACMB-62-V15-MSB</t>
  </si>
  <si>
    <t>ACMB-63-R01-BO</t>
  </si>
  <si>
    <t>ACMB-63-RR01-BO</t>
  </si>
  <si>
    <t>ACMB-63-R01-BOA</t>
  </si>
  <si>
    <t>ACMB-63-RR01-BOA</t>
  </si>
  <si>
    <t>ACMB-63-R01-BOB</t>
  </si>
  <si>
    <t>ACMB-63-RR01-BOB</t>
  </si>
  <si>
    <t>ACMB-63-V02-MS</t>
  </si>
  <si>
    <t>ACMB-63-V03-MS</t>
  </si>
  <si>
    <t>ACMB-63-V02-MSA</t>
  </si>
  <si>
    <t>ACMB-63-V03-MSA</t>
  </si>
  <si>
    <t>ACMB-63-V02-MSB</t>
  </si>
  <si>
    <t>ACMB-63-V03-MSB</t>
  </si>
  <si>
    <t>ACMB-63-R02-BO</t>
  </si>
  <si>
    <t>ACMB-63-RR02-BO</t>
  </si>
  <si>
    <t>ACMB-63-R02-BOA</t>
  </si>
  <si>
    <t>ACMB-63-RR02-BOA</t>
  </si>
  <si>
    <t>ACMB-63-R02-BOB</t>
  </si>
  <si>
    <t>ACMB-63-RR02-BOB</t>
  </si>
  <si>
    <t>ACMB-63-V04-MS</t>
  </si>
  <si>
    <t>ACMB-63-V05-MS</t>
  </si>
  <si>
    <t>ACMB-63-V04-MSA</t>
  </si>
  <si>
    <t>ACMB-63-V05-MSA</t>
  </si>
  <si>
    <t>ACMB-63-V04-MSB</t>
  </si>
  <si>
    <t>ACMB-63-V05-MSB</t>
  </si>
  <si>
    <t>ACMB-63-R03-BO</t>
  </si>
  <si>
    <t>ACMB-63-RR03-BO</t>
  </si>
  <si>
    <t>ACMB-63-R03-BOA</t>
  </si>
  <si>
    <t>ACMB-63-RR03-BOA</t>
  </si>
  <si>
    <t>ACMB-63-R03-BOB</t>
  </si>
  <si>
    <t>ACMB-63-RR03-BOB</t>
  </si>
  <si>
    <t>ACMB-63-V06-MS</t>
  </si>
  <si>
    <t>ACMB-63-V07-MS</t>
  </si>
  <si>
    <t>ACMB-63-V06-MSA</t>
  </si>
  <si>
    <t>ACMB-63-V07-MSA</t>
  </si>
  <si>
    <t>ACMB-63-V06-MSB</t>
  </si>
  <si>
    <t>ACMB-63-V07-MSB</t>
  </si>
  <si>
    <t>ACMB-63-R04-BO</t>
  </si>
  <si>
    <t>ACMB-63-RR04-BO</t>
  </si>
  <si>
    <t>ACMB-63-R04-BOA</t>
  </si>
  <si>
    <t>ACMB-63-RR04-BOA</t>
  </si>
  <si>
    <t>ACMB-63-R04-BOB</t>
  </si>
  <si>
    <t>ACMB-63-RR04-BOB</t>
  </si>
  <si>
    <t>ACMB-63-V08-MS</t>
  </si>
  <si>
    <t>ACMB-63-V09-MS</t>
  </si>
  <si>
    <t>ACMB-63-V08-MSA</t>
  </si>
  <si>
    <t>ACMB-63-V09-MSA</t>
  </si>
  <si>
    <t>ACMB-63-V08-MSB</t>
  </si>
  <si>
    <t>ACMB-63-V09-MSB</t>
  </si>
  <si>
    <t>ACMB-63-R05-BO</t>
  </si>
  <si>
    <t>ACMB-63-RR05-BO</t>
  </si>
  <si>
    <t>ACMB-63-R05-BOA</t>
  </si>
  <si>
    <t>ACMB-63-RR05-BOA</t>
  </si>
  <si>
    <t>ACMB-63-R05-BOB</t>
  </si>
  <si>
    <t>ACMB-63-RR05-BOB</t>
  </si>
  <si>
    <t>ACMB-63-V10-MS</t>
  </si>
  <si>
    <t>ACMB-63-V11-MS</t>
  </si>
  <si>
    <t>ACMB-63-V10-MSA</t>
  </si>
  <si>
    <t>ACMB-63-V11-MSA</t>
  </si>
  <si>
    <t>ACMB-63-V10-MSB</t>
  </si>
  <si>
    <t>ACMB-63-V11-MSB</t>
  </si>
  <si>
    <t>ACMB-63-R06-BO</t>
  </si>
  <si>
    <t>ACMB-63-RR06-BO</t>
  </si>
  <si>
    <t>ACMB-63-R06-BOA</t>
  </si>
  <si>
    <t>ACMB-63-RR06-BOA</t>
  </si>
  <si>
    <t>ACMB-63-R06-BOB</t>
  </si>
  <si>
    <t>ACMB-63-RR06-BOB</t>
  </si>
  <si>
    <t>ACMB-63-V12-MS</t>
  </si>
  <si>
    <t>ACMB-63-V13-MS</t>
  </si>
  <si>
    <t>ACMB-63-V12-MSA</t>
  </si>
  <si>
    <t>ACMB-63-V13-MSA</t>
  </si>
  <si>
    <t>ACMB-63-V12-MSB</t>
  </si>
  <si>
    <t>ACMB-63-V13-MSB</t>
  </si>
  <si>
    <t>ACMB-63-R07-BO</t>
  </si>
  <si>
    <t>ACMB-63-RR07-BO</t>
  </si>
  <si>
    <t>ACMB-63-R07-BOA</t>
  </si>
  <si>
    <t>ACMB-63-RR07-BOA</t>
  </si>
  <si>
    <t>ACMB-63-R07-BOB</t>
  </si>
  <si>
    <t>ACMB-63-RR07-BOB</t>
  </si>
  <si>
    <t>ACMB-63-V14-MS</t>
  </si>
  <si>
    <t>ACMB-63-V15-MS</t>
  </si>
  <si>
    <t>ACMB-63-V14-MSA</t>
  </si>
  <si>
    <t>ACMB-63-V15-MSA</t>
  </si>
  <si>
    <t>ACMB-63-V14-MSB</t>
  </si>
  <si>
    <t>ACMB-63-V15-MSB</t>
  </si>
  <si>
    <t>ACMB-64-R01-BO</t>
  </si>
  <si>
    <t>ACMB-64-RR01-BO</t>
  </si>
  <si>
    <t>ACMB-64-R01-BOA</t>
  </si>
  <si>
    <t>ACMB-64-RR01-BOA</t>
  </si>
  <si>
    <t>ACMB-64-R01-BOB</t>
  </si>
  <si>
    <t>ACMB-64-RR01-BOB</t>
  </si>
  <si>
    <t>ACMB-64-V02-MS</t>
  </si>
  <si>
    <t>ACMB-64-V03-MS</t>
  </si>
  <si>
    <t>ACMB-64-V02-MSA</t>
  </si>
  <si>
    <t>ACMB-64-V03-MSA</t>
  </si>
  <si>
    <t>ACMB-64-V02-MSB</t>
  </si>
  <si>
    <t>ACMB-64-V03-MSB</t>
  </si>
  <si>
    <t>ACMB-64-R02-BO</t>
  </si>
  <si>
    <t>ACMB-64-RR02-BO</t>
  </si>
  <si>
    <t>ACMB-64-R02-BOA</t>
  </si>
  <si>
    <t>ACMB-64-RR02-BOA</t>
  </si>
  <si>
    <t>ACMB-64-R02-BOB</t>
  </si>
  <si>
    <t>ACMB-64-RR02-BOB</t>
  </si>
  <si>
    <t>ACMB-64-V04-MS</t>
  </si>
  <si>
    <t>ACMB-64-V05-MS</t>
  </si>
  <si>
    <t>ACMB-64-V04-MSA</t>
  </si>
  <si>
    <t>ACMB-64-V05-MSA</t>
  </si>
  <si>
    <t>ACMB-64-V04-MSB</t>
  </si>
  <si>
    <t>ACMB-64-V05-MSB</t>
  </si>
  <si>
    <t>ACMB-64-R03-BO</t>
  </si>
  <si>
    <t>ACMB-64-RR03-BO</t>
  </si>
  <si>
    <t>ACMB-64-R03-BOA</t>
  </si>
  <si>
    <t>ACMB-64-RR03-BOA</t>
  </si>
  <si>
    <t>ACMB-64-R03-BOB</t>
  </si>
  <si>
    <t>ACMB-64-RR03-BOB</t>
  </si>
  <si>
    <t>ACMB-64-V06-MS</t>
  </si>
  <si>
    <t>ACMB-64-V07-MS</t>
  </si>
  <si>
    <t>ACMB-64-V06-MSA</t>
  </si>
  <si>
    <t>ACMB-64-V07-MSA</t>
  </si>
  <si>
    <t>ACMB-64-V06-MSB</t>
  </si>
  <si>
    <t>ACMB-64-V07-MSB</t>
  </si>
  <si>
    <t>ACMB-64-R04-BO</t>
  </si>
  <si>
    <t>ACMB-64-RR04-BO</t>
  </si>
  <si>
    <t>ACMB-64-R04-BOA</t>
  </si>
  <si>
    <t>ACMB-64-RR04-BOA</t>
  </si>
  <si>
    <t>ACMB-64-R04-BOB</t>
  </si>
  <si>
    <t>ACMB-64-RR04-BOB</t>
  </si>
  <si>
    <t>ACMB-64-V08-MS</t>
  </si>
  <si>
    <t>ACMB-64-V09-MS</t>
  </si>
  <si>
    <t>ACMB-64-V08-MSA</t>
  </si>
  <si>
    <t>ACMB-64-V09-MSA</t>
  </si>
  <si>
    <t>ACMB-64-V08-MSB</t>
  </si>
  <si>
    <t>ACMB-64-V09-MSB</t>
  </si>
  <si>
    <t>ACMB-64-R05-BO</t>
  </si>
  <si>
    <t>ACMB-64-RR05-BO</t>
  </si>
  <si>
    <t>ACMB-64-R05-BOA</t>
  </si>
  <si>
    <t>ACMB-64-RR05-BOA</t>
  </si>
  <si>
    <t>ACMB-64-R05-BOB</t>
  </si>
  <si>
    <t>ACMB-64-RR05-BOB</t>
  </si>
  <si>
    <t>ACMB-64-V10-MS</t>
  </si>
  <si>
    <t>ACMB-64-V11-MS</t>
  </si>
  <si>
    <t>ACMB-64-V10-MSA</t>
  </si>
  <si>
    <t>ACMB-64-V11-MSA</t>
  </si>
  <si>
    <t>ACMB-64-V10-MSB</t>
  </si>
  <si>
    <t>ACMB-64-V11-MSB</t>
  </si>
  <si>
    <t>ACMB-64-R06-BO</t>
  </si>
  <si>
    <t>ACMB-64-RR06-BO</t>
  </si>
  <si>
    <t>ACMB-64-R06-BOA</t>
  </si>
  <si>
    <t>ACMB-64-RR06-BOA</t>
  </si>
  <si>
    <t>ACMB-64-R06-BOB</t>
  </si>
  <si>
    <t>ACMB-64-RR06-BOB</t>
  </si>
  <si>
    <t>ACMB-64-V12-MS</t>
  </si>
  <si>
    <t>ACMB-64-V13-MS</t>
  </si>
  <si>
    <t>ACMB-64-V12-MSA</t>
  </si>
  <si>
    <t>ACMB-64-V13-MSA</t>
  </si>
  <si>
    <t>ACMB-64-V12-MSB</t>
  </si>
  <si>
    <t>ACMB-64-V13-MSB</t>
  </si>
  <si>
    <t>ACMB-64-R07-BO</t>
  </si>
  <si>
    <t>ACMB-64-RR07-BO</t>
  </si>
  <si>
    <t>ACMB-64-R07-BOA</t>
  </si>
  <si>
    <t>ACMB-64-RR07-BOA</t>
  </si>
  <si>
    <t>ACMB-64-R07-BOB</t>
  </si>
  <si>
    <t>ACMB-64-RR07-BOB</t>
  </si>
  <si>
    <t>ACMB-64-V14-MS</t>
  </si>
  <si>
    <t>ACMB-64-V15-MS</t>
  </si>
  <si>
    <t>ACMB-64-V14-MSA</t>
  </si>
  <si>
    <t>ACMB-64-V15-MSA</t>
  </si>
  <si>
    <t>ACMB-64-V14-MSB</t>
  </si>
  <si>
    <t>ACMB-64-V15-MSB</t>
  </si>
  <si>
    <t>ACMB-65-R01-BO</t>
  </si>
  <si>
    <t>ACMB-65-RR01-BO</t>
  </si>
  <si>
    <t>ACMB-65-R01-BOA</t>
  </si>
  <si>
    <t>ACMB-65-RR01-BOA</t>
  </si>
  <si>
    <t>ACMB-65-R01-BOB</t>
  </si>
  <si>
    <t>ACMB-65-RR01-BOB</t>
  </si>
  <si>
    <t>ACMB-65-V02-MS</t>
  </si>
  <si>
    <t>ACMB-65-V03-MS</t>
  </si>
  <si>
    <t>ACMB-65-V02-MSA</t>
  </si>
  <si>
    <t>ACMB-65-V03-MSA</t>
  </si>
  <si>
    <t>ACMB-65-V02-MSB</t>
  </si>
  <si>
    <t>ACMB-65-V03-MSB</t>
  </si>
  <si>
    <t>ACMB-65-R02-BO</t>
  </si>
  <si>
    <t>ACMB-65-RR02-BO</t>
  </si>
  <si>
    <t>ACMB-65-R02-BOA</t>
  </si>
  <si>
    <t>ACMB-65-RR02-BOA</t>
  </si>
  <si>
    <t>ACMB-65-R02-BOB</t>
  </si>
  <si>
    <t>ACMB-65-RR02-BOB</t>
  </si>
  <si>
    <t>ACMB-65-V04-MS</t>
  </si>
  <si>
    <t>ACMB-65-V05-MS</t>
  </si>
  <si>
    <t>ACMB-65-V04-MSA</t>
  </si>
  <si>
    <t>ACMB-65-V05-MSA</t>
  </si>
  <si>
    <t>ACMB-65-V04-MSB</t>
  </si>
  <si>
    <t>ACMB-65-V05-MSB</t>
  </si>
  <si>
    <t>ACMB-65-R03-BO</t>
  </si>
  <si>
    <t>ACMB-65-RR03-BO</t>
  </si>
  <si>
    <t>ACMB-65-R03-BOA</t>
  </si>
  <si>
    <t>ACMB-65-RR03-BOA</t>
  </si>
  <si>
    <t>ACMB-65-R03-BOB</t>
  </si>
  <si>
    <t>ACMB-65-RR03-BOB</t>
  </si>
  <si>
    <t>ACMB-65-V06-MS</t>
  </si>
  <si>
    <t>ACMB-65-V07-MS</t>
  </si>
  <si>
    <t>ACMB-65-V06-MSA</t>
  </si>
  <si>
    <t>ACMB-65-V07-MSA</t>
  </si>
  <si>
    <t>ACMB-65-V06-MSB</t>
  </si>
  <si>
    <t>ACMB-65-V07-MSB</t>
  </si>
  <si>
    <t>ACMB-65-R04-BO</t>
  </si>
  <si>
    <t>ACMB-65-RR04-BO</t>
  </si>
  <si>
    <t>ACMB-65-R04-BOA</t>
  </si>
  <si>
    <t>ACMB-65-RR04-BOA</t>
  </si>
  <si>
    <t>ACMB-65-R04-BOB</t>
  </si>
  <si>
    <t>ACMB-65-RR04-BOB</t>
  </si>
  <si>
    <t>ACMB-65-V08-MS</t>
  </si>
  <si>
    <t>ACMB-65-V09-MS</t>
  </si>
  <si>
    <t>ACMB-65-V08-MSA</t>
  </si>
  <si>
    <t>ACMB-65-V09-MSA</t>
  </si>
  <si>
    <t>ACMB-65-V08-MSB</t>
  </si>
  <si>
    <t>ACMB-65-V09-MSB</t>
  </si>
  <si>
    <t>ACMB-65-R05-BO</t>
  </si>
  <si>
    <t>ACMB-65-RR05-BO</t>
  </si>
  <si>
    <t>ACMB-65-R05-BOA</t>
  </si>
  <si>
    <t>ACMB-65-RR05-BOA</t>
  </si>
  <si>
    <t>ACMB-65-R05-BOB</t>
  </si>
  <si>
    <t>ACMB-65-RR05-BOB</t>
  </si>
  <si>
    <t>ACMB-65-V10-MS</t>
  </si>
  <si>
    <t>ACMB-65-V11-MS</t>
  </si>
  <si>
    <t>ACMB-65-V10-MSA</t>
  </si>
  <si>
    <t>ACMB-65-V11-MSA</t>
  </si>
  <si>
    <t>ACMB-65-V10-MSB</t>
  </si>
  <si>
    <t>ACMB-65-V11-MSB</t>
  </si>
  <si>
    <t>ACMB-65-R06-BO</t>
  </si>
  <si>
    <t>ACMB-65-RR06-BO</t>
  </si>
  <si>
    <t>ACMB-65-R06-BOA</t>
  </si>
  <si>
    <t>ACMB-65-RR06-BOA</t>
  </si>
  <si>
    <t>ACMB-65-R06-BOB</t>
  </si>
  <si>
    <t>ACMB-65-RR06-BOB</t>
  </si>
  <si>
    <t>ACMB-65-V12-MS</t>
  </si>
  <si>
    <t>ACMB-65-V13-MS</t>
  </si>
  <si>
    <t>ACMB-65-V12-MSA</t>
  </si>
  <si>
    <t>ACMB-65-V13-MSA</t>
  </si>
  <si>
    <t>ACMB-65-V12-MSB</t>
  </si>
  <si>
    <t>ACMB-65-V13-MSB</t>
  </si>
  <si>
    <t>ACMB-65-R07-BO</t>
  </si>
  <si>
    <t>ACMB-65-RR07-BO</t>
  </si>
  <si>
    <t>ACMB-65-R07-BOA</t>
  </si>
  <si>
    <t>ACMB-65-RR07-BOA</t>
  </si>
  <si>
    <t>ACMB-65-R07-BOB</t>
  </si>
  <si>
    <t>ACMB-65-RR07-BOB</t>
  </si>
  <si>
    <t>ACMB-65-V14-MS</t>
  </si>
  <si>
    <t>ACMB-65-V15-MS</t>
  </si>
  <si>
    <t>ACMB-65-V14-MSA</t>
  </si>
  <si>
    <t>ACMB-65-V15-MSA</t>
  </si>
  <si>
    <t>ACMB-65-V14-MSB</t>
  </si>
  <si>
    <t>ACMB-65-V15-MSB</t>
  </si>
  <si>
    <t>ACMB-66-R01-BO</t>
  </si>
  <si>
    <t>ACMB-66-RR01-BO</t>
  </si>
  <si>
    <t>ACMB-66-R01-BOA</t>
  </si>
  <si>
    <t>ACMB-66-RR01-BOA</t>
  </si>
  <si>
    <t>ACMB-66-R01-BOB</t>
  </si>
  <si>
    <t>ACMB-66-RR01-BOB</t>
  </si>
  <si>
    <t>ACMB-66-V02-MS</t>
  </si>
  <si>
    <t>ACMB-66-V03-MS</t>
  </si>
  <si>
    <t>ACMB-66-V02-MSA</t>
  </si>
  <si>
    <t>ACMB-66-V03-MSA</t>
  </si>
  <si>
    <t>ACMB-66-V02-MSB</t>
  </si>
  <si>
    <t>ACMB-66-V03-MSB</t>
  </si>
  <si>
    <t>ACMB-66-R02-BO</t>
  </si>
  <si>
    <t>ACMB-66-RR02-BO</t>
  </si>
  <si>
    <t>ACMB-66-R02-BOA</t>
  </si>
  <si>
    <t>ACMB-66-RR02-BOA</t>
  </si>
  <si>
    <t>ACMB-66-R02-BOB</t>
  </si>
  <si>
    <t>ACMB-66-RR02-BOB</t>
  </si>
  <si>
    <t>ACMB-66-V04-MS</t>
  </si>
  <si>
    <t>ACMB-66-V05-MS</t>
  </si>
  <si>
    <t>ACMB-66-V04-MSA</t>
  </si>
  <si>
    <t>ACMB-66-V05-MSA</t>
  </si>
  <si>
    <t>ACMB-66-V04-MSB</t>
  </si>
  <si>
    <t>ACMB-66-V05-MSB</t>
  </si>
  <si>
    <t>ACMB-66-R03-BO</t>
  </si>
  <si>
    <t>ACMB-66-RR03-BO</t>
  </si>
  <si>
    <t>ACMB-66-R03-BOA</t>
  </si>
  <si>
    <t>ACMB-66-RR03-BOA</t>
  </si>
  <si>
    <t>ACMB-66-R03-BOB</t>
  </si>
  <si>
    <t>ACMB-66-RR03-BOB</t>
  </si>
  <si>
    <t>ACMB-66-V06-MS</t>
  </si>
  <si>
    <t>ACMB-66-V07-MS</t>
  </si>
  <si>
    <t>ACMB-66-V06-MSA</t>
  </si>
  <si>
    <t>ACMB-66-V07-MSA</t>
  </si>
  <si>
    <t>ACMB-66-V06-MSB</t>
  </si>
  <si>
    <t>ACMB-66-V07-MSB</t>
  </si>
  <si>
    <t>ACMB-66-R04-BO</t>
  </si>
  <si>
    <t>ACMB-66-RR04-BO</t>
  </si>
  <si>
    <t>ACMB-66-R04-BOA</t>
  </si>
  <si>
    <t>ACMB-66-RR04-BOA</t>
  </si>
  <si>
    <t>ACMB-66-R04-BOB</t>
  </si>
  <si>
    <t>ACMB-66-RR04-BOB</t>
  </si>
  <si>
    <t>ACMB-66-V08-MS</t>
  </si>
  <si>
    <t>ACMB-66-V09-MS</t>
  </si>
  <si>
    <t>ACMB-66-V08-MSA</t>
  </si>
  <si>
    <t>ACMB-66-V09-MSA</t>
  </si>
  <si>
    <t>ACMB-66-V08-MSB</t>
  </si>
  <si>
    <t>ACMB-66-V09-MSB</t>
  </si>
  <si>
    <t>ACMB-66-R05-BO</t>
  </si>
  <si>
    <t>ACMB-66-RR05-BO</t>
  </si>
  <si>
    <t>ACMB-66-R05-BOA</t>
  </si>
  <si>
    <t>ACMB-66-RR05-BOA</t>
  </si>
  <si>
    <t>ACMB-66-R05-BOB</t>
  </si>
  <si>
    <t>ACMB-66-RR05-BOB</t>
  </si>
  <si>
    <t>ACMB-66-V10-MS</t>
  </si>
  <si>
    <t>ACMB-66-V11-MS</t>
  </si>
  <si>
    <t>ACMB-66-V10-MSA</t>
  </si>
  <si>
    <t>ACMB-66-V11-MSA</t>
  </si>
  <si>
    <t>ACMB-66-V10-MSB</t>
  </si>
  <si>
    <t>ACMB-66-V11-MSB</t>
  </si>
  <si>
    <t>ACMB-66-R06-BO</t>
  </si>
  <si>
    <t>ACMB-66-RR06-BO</t>
  </si>
  <si>
    <t>ACMB-66-R06-BOA</t>
  </si>
  <si>
    <t>ACMB-66-RR06-BOA</t>
  </si>
  <si>
    <t>ACMB-66-R06-BOB</t>
  </si>
  <si>
    <t>ACMB-66-RR06-BOB</t>
  </si>
  <si>
    <t>ACMB-66-V12-MS</t>
  </si>
  <si>
    <t>ACMB-66-V13-MS</t>
  </si>
  <si>
    <t>ACMB-66-V12-MSA</t>
  </si>
  <si>
    <t>ACMB-66-V13-MSA</t>
  </si>
  <si>
    <t>ACMB-66-V12-MSB</t>
  </si>
  <si>
    <t>ACMB-66-V13-MSB</t>
  </si>
  <si>
    <t>ACMB-66-R07-BO</t>
  </si>
  <si>
    <t>ACMB-66-RR07-BO</t>
  </si>
  <si>
    <t>ACMB-66-R07-BOA</t>
  </si>
  <si>
    <t>ACMB-66-RR07-BOA</t>
  </si>
  <si>
    <t>ACMB-66-R07-BOB</t>
  </si>
  <si>
    <t>ACMB-66-RR07-BOB</t>
  </si>
  <si>
    <t>ACMB-66-V14-MS</t>
  </si>
  <si>
    <t>ACMB-66-V15-MS</t>
  </si>
  <si>
    <t>ACMB-66-V14-MSA</t>
  </si>
  <si>
    <t>ACMB-66-V15-MSA</t>
  </si>
  <si>
    <t>ACMB-66-V14-MSB</t>
  </si>
  <si>
    <t>ACMB-66-V15-MSB</t>
  </si>
  <si>
    <t>ACMB-67-R01-BO</t>
  </si>
  <si>
    <t>ACMB-67-RR01-BO</t>
  </si>
  <si>
    <t>ACMB-67-R01-BOA</t>
  </si>
  <si>
    <t>ACMB-67-RR01-BOA</t>
  </si>
  <si>
    <t>ACMB-67-R01-BOB</t>
  </si>
  <si>
    <t>ACMB-67-RR01-BOB</t>
  </si>
  <si>
    <t>ACMB-67-V02-MS</t>
  </si>
  <si>
    <t>ACMB-67-V03-MS</t>
  </si>
  <si>
    <t>ACMB-67-V02-MSA</t>
  </si>
  <si>
    <t>ACMB-67-V03-MSA</t>
  </si>
  <si>
    <t>ACMB-67-V02-MSB</t>
  </si>
  <si>
    <t>ACMB-67-V03-MSB</t>
  </si>
  <si>
    <t>ACMB-67-R02-BO</t>
  </si>
  <si>
    <t>ACMB-67-RR02-BO</t>
  </si>
  <si>
    <t>ACMB-67-R02-BOA</t>
  </si>
  <si>
    <t>ACMB-67-RR02-BOA</t>
  </si>
  <si>
    <t>ACMB-67-R02-BOB</t>
  </si>
  <si>
    <t>ACMB-67-RR02-BOB</t>
  </si>
  <si>
    <t>ACMB-67-V04-MS</t>
  </si>
  <si>
    <t>ACMB-67-V05-MS</t>
  </si>
  <si>
    <t>ACMB-67-V04-MSA</t>
  </si>
  <si>
    <t>ACMB-67-V05-MSA</t>
  </si>
  <si>
    <t>ACMB-67-V04-MSB</t>
  </si>
  <si>
    <t>ACMB-67-V05-MSB</t>
  </si>
  <si>
    <t>ACMB-67-R03-BO</t>
  </si>
  <si>
    <t>ACMB-67-RR03-BO</t>
  </si>
  <si>
    <t>ACMB-67-R03-BOA</t>
  </si>
  <si>
    <t>ACMB-67-RR03-BOA</t>
  </si>
  <si>
    <t>ACMB-67-R03-BOB</t>
  </si>
  <si>
    <t>ACMB-67-RR03-BOB</t>
  </si>
  <si>
    <t>ACMB-67-V06-MS</t>
  </si>
  <si>
    <t>ACMB-67-V07-MS</t>
  </si>
  <si>
    <t>ACMB-67-V06-MSA</t>
  </si>
  <si>
    <t>ACMB-67-V07-MSA</t>
  </si>
  <si>
    <t>ACMB-67-V06-MSB</t>
  </si>
  <si>
    <t>ACMB-67-V07-MSB</t>
  </si>
  <si>
    <t>ACMB-67-R04-BO</t>
  </si>
  <si>
    <t>ACMB-67-RR04-BO</t>
  </si>
  <si>
    <t>ACMB-67-R04-BOA</t>
  </si>
  <si>
    <t>ACMB-67-RR04-BOA</t>
  </si>
  <si>
    <t>ACMB-67-R04-BOB</t>
  </si>
  <si>
    <t>ACMB-67-RR04-BOB</t>
  </si>
  <si>
    <t>ACMB-67-V08-MS</t>
  </si>
  <si>
    <t>ACMB-67-V09-MS</t>
  </si>
  <si>
    <t>ACMB-67-V08-MSA</t>
  </si>
  <si>
    <t>ACMB-67-V09-MSA</t>
  </si>
  <si>
    <t>ACMB-67-V08-MSB</t>
  </si>
  <si>
    <t>ACMB-67-V09-MSB</t>
  </si>
  <si>
    <t>ACMB-67-R05-BO</t>
  </si>
  <si>
    <t>ACMB-67-RR05-BO</t>
  </si>
  <si>
    <t>ACMB-67-R05-BOA</t>
  </si>
  <si>
    <t>ACMB-67-RR05-BOA</t>
  </si>
  <si>
    <t>ACMB-67-R05-BOB</t>
  </si>
  <si>
    <t>ACMB-67-RR05-BOB</t>
  </si>
  <si>
    <t>ACMB-67-V10-MS</t>
  </si>
  <si>
    <t>ACMB-67-V11-MS</t>
  </si>
  <si>
    <t>ACMB-67-V10-MSA</t>
  </si>
  <si>
    <t>ACMB-67-V11-MSA</t>
  </si>
  <si>
    <t>ACMB-67-V10-MSB</t>
  </si>
  <si>
    <t>ACMB-67-V11-MSB</t>
  </si>
  <si>
    <t>ACMB-67-R06-BO</t>
  </si>
  <si>
    <t>ACMB-67-RR06-BO</t>
  </si>
  <si>
    <t>ACMB-67-R06-BOA</t>
  </si>
  <si>
    <t>ACMB-67-RR06-BOA</t>
  </si>
  <si>
    <t>ACMB-67-R06-BOB</t>
  </si>
  <si>
    <t>ACMB-67-RR06-BOB</t>
  </si>
  <si>
    <t>ACMB-67-V12-MS</t>
  </si>
  <si>
    <t>ACMB-67-V13-MS</t>
  </si>
  <si>
    <t>ACMB-67-V12-MSA</t>
  </si>
  <si>
    <t>ACMB-67-V13-MSA</t>
  </si>
  <si>
    <t>ACMB-67-V12-MSB</t>
  </si>
  <si>
    <t>ACMB-67-V13-MSB</t>
  </si>
  <si>
    <t>ACMB-67-R07-BO</t>
  </si>
  <si>
    <t>ACMB-67-RR07-BO</t>
  </si>
  <si>
    <t>ACMB-67-R07-BOA</t>
  </si>
  <si>
    <t>ACMB-67-RR07-BOA</t>
  </si>
  <si>
    <t>ACMB-67-R07-BOB</t>
  </si>
  <si>
    <t>ACMB-67-RR07-BOB</t>
  </si>
  <si>
    <t>ACMB-67-V14-MS</t>
  </si>
  <si>
    <t>ACMB-67-V15-MS</t>
  </si>
  <si>
    <t>ACMB-67-V14-MSA</t>
  </si>
  <si>
    <t>ACMB-67-V15-MSA</t>
  </si>
  <si>
    <t>ACMB-67-V14-MSB</t>
  </si>
  <si>
    <t>ACMB-67-V15-MSB</t>
  </si>
  <si>
    <t>ACMB-68-R01-BO</t>
  </si>
  <si>
    <t>ACMB-68-RR01-BO</t>
  </si>
  <si>
    <t>ACMB-68-R01-BOA</t>
  </si>
  <si>
    <t>ACMB-68-RR01-BOA</t>
  </si>
  <si>
    <t>ACMB-68-R01-BOB</t>
  </si>
  <si>
    <t>ACMB-68-RR01-BOB</t>
  </si>
  <si>
    <t>ACMB-68-V02-MS</t>
  </si>
  <si>
    <t>ACMB-68-V03-MS</t>
  </si>
  <si>
    <t>ACMB-68-V02-MSA</t>
  </si>
  <si>
    <t>ACMB-68-V03-MSA</t>
  </si>
  <si>
    <t>ACMB-68-V02-MSB</t>
  </si>
  <si>
    <t>ACMB-68-V03-MSB</t>
  </si>
  <si>
    <t>ACMB-68-R02-BO</t>
  </si>
  <si>
    <t>ACMB-68-RR02-BO</t>
  </si>
  <si>
    <t>ACMB-68-R02-BOA</t>
  </si>
  <si>
    <t>ACMB-68-RR02-BOA</t>
  </si>
  <si>
    <t>ACMB-68-R02-BOB</t>
  </si>
  <si>
    <t>ACMB-68-RR02-BOB</t>
  </si>
  <si>
    <t>ACMB-68-V04-MS</t>
  </si>
  <si>
    <t>ACMB-68-V05-MS</t>
  </si>
  <si>
    <t>ACMB-68-V04-MSA</t>
  </si>
  <si>
    <t>ACMB-68-V05-MSA</t>
  </si>
  <si>
    <t>ACMB-68-V04-MSB</t>
  </si>
  <si>
    <t>ACMB-68-V05-MSB</t>
  </si>
  <si>
    <t>ACMB-68-R03-BO</t>
  </si>
  <si>
    <t>ACMB-68-RR03-BO</t>
  </si>
  <si>
    <t>ACMB-68-R03-BOA</t>
  </si>
  <si>
    <t>ACMB-68-RR03-BOA</t>
  </si>
  <si>
    <t>ACMB-68-R03-BOB</t>
  </si>
  <si>
    <t>ACMB-68-RR03-BOB</t>
  </si>
  <si>
    <t>ACMB-68-V06-MS</t>
  </si>
  <si>
    <t>ACMB-68-V07-MS</t>
  </si>
  <si>
    <t>ACMB-68-V06-MSA</t>
  </si>
  <si>
    <t>ACMB-68-V07-MSA</t>
  </si>
  <si>
    <t>ACMB-68-V06-MSB</t>
  </si>
  <si>
    <t>ACMB-68-V07-MSB</t>
  </si>
  <si>
    <t>ACMB-68-R04-BO</t>
  </si>
  <si>
    <t>ACMB-68-RR04-BO</t>
  </si>
  <si>
    <t>ACMB-68-R04-BOA</t>
  </si>
  <si>
    <t>ACMB-68-RR04-BOA</t>
  </si>
  <si>
    <t>ACMB-68-R04-BOB</t>
  </si>
  <si>
    <t>ACMB-68-RR04-BOB</t>
  </si>
  <si>
    <t>ACMB-68-V08-MS</t>
  </si>
  <si>
    <t>ACMB-68-V09-MS</t>
  </si>
  <si>
    <t>ACMB-68-V08-MSA</t>
  </si>
  <si>
    <t>ACMB-68-V09-MSA</t>
  </si>
  <si>
    <t>ACMB-68-V08-MSB</t>
  </si>
  <si>
    <t>ACMB-68-V09-MSB</t>
  </si>
  <si>
    <t>ACMB-68-R05-BO</t>
  </si>
  <si>
    <t>ACMB-68-RR05-BO</t>
  </si>
  <si>
    <t>ACMB-68-R05-BOA</t>
  </si>
  <si>
    <t>ACMB-68-RR05-BOA</t>
  </si>
  <si>
    <t>ACMB-68-R05-BOB</t>
  </si>
  <si>
    <t>ACMB-68-RR05-BOB</t>
  </si>
  <si>
    <t>ACMB-68-V10-MS</t>
  </si>
  <si>
    <t>ACMB-68-V11-MS</t>
  </si>
  <si>
    <t>ACMB-68-V10-MSA</t>
  </si>
  <si>
    <t>ACMB-68-V11-MSA</t>
  </si>
  <si>
    <t>ACMB-68-V10-MSB</t>
  </si>
  <si>
    <t>ACMB-68-V11-MSB</t>
  </si>
  <si>
    <t>ACMB-68-R06-BO</t>
  </si>
  <si>
    <t>ACMB-68-RR06-BO</t>
  </si>
  <si>
    <t>ACMB-68-R06-BOA</t>
  </si>
  <si>
    <t>ACMB-68-RR06-BOA</t>
  </si>
  <si>
    <t>ACMB-68-R06-BOB</t>
  </si>
  <si>
    <t>ACMB-68-RR06-BOB</t>
  </si>
  <si>
    <t>ACMB-68-V12-MS</t>
  </si>
  <si>
    <t>ACMB-68-V13-MS</t>
  </si>
  <si>
    <t>ACMB-68-V12-MSA</t>
  </si>
  <si>
    <t>ACMB-68-V13-MSA</t>
  </si>
  <si>
    <t>ACMB-68-V12-MSB</t>
  </si>
  <si>
    <t>ACMB-68-V13-MSB</t>
  </si>
  <si>
    <t>ACMB-68-R07-BO</t>
  </si>
  <si>
    <t>ACMB-68-RR07-BO</t>
  </si>
  <si>
    <t>ACMB-68-R07-BOA</t>
  </si>
  <si>
    <t>ACMB-68-RR07-BOA</t>
  </si>
  <si>
    <t>ACMB-68-R07-BOB</t>
  </si>
  <si>
    <t>ACMB-68-RR07-BOB</t>
  </si>
  <si>
    <t>ACMB-68-V14-MS</t>
  </si>
  <si>
    <t>ACMB-68-V15-MS</t>
  </si>
  <si>
    <t>ACMB-68-V14-MSA</t>
  </si>
  <si>
    <t>ACMB-68-V15-MSA</t>
  </si>
  <si>
    <t>ACMB-68-V14-MSB</t>
  </si>
  <si>
    <t>ACMB-68-V15-MSB</t>
  </si>
  <si>
    <t>ACMB-69-R01-BO</t>
  </si>
  <si>
    <t>ACMB-69-RR01-BO</t>
  </si>
  <si>
    <t>ACMB-69-R01-BOA</t>
  </si>
  <si>
    <t>ACMB-69-RR01-BOA</t>
  </si>
  <si>
    <t>ACMB-69-R01-BOB</t>
  </si>
  <si>
    <t>ACMB-69-RR01-BOB</t>
  </si>
  <si>
    <t>ACMB-69-V02-MS</t>
  </si>
  <si>
    <t>ACMB-69-V03-MS</t>
  </si>
  <si>
    <t>ACMB-69-V02-MSA</t>
  </si>
  <si>
    <t>ACMB-69-V03-MSA</t>
  </si>
  <si>
    <t>ACMB-69-V02-MSB</t>
  </si>
  <si>
    <t>ACMB-69-V03-MSB</t>
  </si>
  <si>
    <t>ACMB-69-R02-BO</t>
  </si>
  <si>
    <t>ACMB-69-RR02-BO</t>
  </si>
  <si>
    <t>ACMB-69-R02-BOA</t>
  </si>
  <si>
    <t>ACMB-69-RR02-BOA</t>
  </si>
  <si>
    <t>ACMB-69-R02-BOB</t>
  </si>
  <si>
    <t>ACMB-69-RR02-BOB</t>
  </si>
  <si>
    <t>ACMB-69-V04-MS</t>
  </si>
  <si>
    <t>ACMB-69-V05-MS</t>
  </si>
  <si>
    <t>ACMB-69-V04-MSA</t>
  </si>
  <si>
    <t>ACMB-69-V05-MSA</t>
  </si>
  <si>
    <t>ACMB-69-V04-MSB</t>
  </si>
  <si>
    <t>ACMB-69-V05-MSB</t>
  </si>
  <si>
    <t>ACMB-69-R03-BO</t>
  </si>
  <si>
    <t>ACMB-69-RR03-BO</t>
  </si>
  <si>
    <t>ACMB-69-R03-BOA</t>
  </si>
  <si>
    <t>ACMB-69-RR03-BOA</t>
  </si>
  <si>
    <t>ACMB-69-R03-BOB</t>
  </si>
  <si>
    <t>ACMB-69-RR03-BOB</t>
  </si>
  <si>
    <t>ACMB-69-V06-MS</t>
  </si>
  <si>
    <t>ACMB-69-V07-MS</t>
  </si>
  <si>
    <t>ACMB-69-V06-MSA</t>
  </si>
  <si>
    <t>ACMB-69-V07-MSA</t>
  </si>
  <si>
    <t>ACMB-69-V06-MSB</t>
  </si>
  <si>
    <t>ACMB-69-V07-MSB</t>
  </si>
  <si>
    <t>ACMB-69-R04-BO</t>
  </si>
  <si>
    <t>ACMB-69-RR04-BO</t>
  </si>
  <si>
    <t>ACMB-69-R04-BOA</t>
  </si>
  <si>
    <t>ACMB-69-RR04-BOA</t>
  </si>
  <si>
    <t>ACMB-69-R04-BOB</t>
  </si>
  <si>
    <t>ACMB-69-RR04-BOB</t>
  </si>
  <si>
    <t>ACMB-69-V08-MS</t>
  </si>
  <si>
    <t>ACMB-69-V09-MS</t>
  </si>
  <si>
    <t>ACMB-69-V08-MSA</t>
  </si>
  <si>
    <t>ACMB-69-V09-MSA</t>
  </si>
  <si>
    <t>ACMB-69-V08-MSB</t>
  </si>
  <si>
    <t>ACMB-69-V09-MSB</t>
  </si>
  <si>
    <t>ACMB-69-R05-BO</t>
  </si>
  <si>
    <t>ACMB-69-RR05-BO</t>
  </si>
  <si>
    <t>ACMB-69-R05-BOA</t>
  </si>
  <si>
    <t>ACMB-69-RR05-BOA</t>
  </si>
  <si>
    <t>ACMB-69-R05-BOB</t>
  </si>
  <si>
    <t>ACMB-69-RR05-BOB</t>
  </si>
  <si>
    <t>ACMB-69-V10-MS</t>
  </si>
  <si>
    <t>ACMB-69-V11-MS</t>
  </si>
  <si>
    <t>ACMB-69-V10-MSA</t>
  </si>
  <si>
    <t>ACMB-69-V11-MSA</t>
  </si>
  <si>
    <t>ACMB-69-V10-MSB</t>
  </si>
  <si>
    <t>ACMB-69-V11-MSB</t>
  </si>
  <si>
    <t>ACMB-69-R06-BO</t>
  </si>
  <si>
    <t>ACMB-69-RR06-BO</t>
  </si>
  <si>
    <t>ACMB-69-R06-BOA</t>
  </si>
  <si>
    <t>ACMB-69-RR06-BOA</t>
  </si>
  <si>
    <t>ACMB-69-R06-BOB</t>
  </si>
  <si>
    <t>ACMB-69-RR06-BOB</t>
  </si>
  <si>
    <t>ACMB-69-V12-MS</t>
  </si>
  <si>
    <t>ACMB-69-V13-MS</t>
  </si>
  <si>
    <t>ACMB-69-V12-MSA</t>
  </si>
  <si>
    <t>ACMB-69-V13-MSA</t>
  </si>
  <si>
    <t>ACMB-69-V12-MSB</t>
  </si>
  <si>
    <t>ACMB-69-V13-MSB</t>
  </si>
  <si>
    <t>ACMB-69-R07-BO</t>
  </si>
  <si>
    <t>ACMB-69-RR07-BO</t>
  </si>
  <si>
    <t>ACMB-69-R07-BOA</t>
  </si>
  <si>
    <t>ACMB-69-RR07-BOA</t>
  </si>
  <si>
    <t>ACMB-69-R07-BOB</t>
  </si>
  <si>
    <t>ACMB-69-RR07-BOB</t>
  </si>
  <si>
    <t>ACMB-69-V14-MS</t>
  </si>
  <si>
    <t>ACMB-69-V15-MS</t>
  </si>
  <si>
    <t>ACMB-69-V14-MSA</t>
  </si>
  <si>
    <t>ACMB-69-V15-MSA</t>
  </si>
  <si>
    <t>ACMB-69-V14-MSB</t>
  </si>
  <si>
    <t>ACMB-69-V15-MSB</t>
  </si>
  <si>
    <t>ACMB-70-R01-BO</t>
  </si>
  <si>
    <t>ACMB-70-RR01-BO</t>
  </si>
  <si>
    <t>ACMB-70-R01-BOA</t>
  </si>
  <si>
    <t>ACMB-70-RR01-BOA</t>
  </si>
  <si>
    <t>ACMB-70-R01-BOB</t>
  </si>
  <si>
    <t>ACMB-70-RR01-BOB</t>
  </si>
  <si>
    <t>ACMB-70-V02-MS</t>
  </si>
  <si>
    <t>ACMB-70-V03-MS</t>
  </si>
  <si>
    <t>ACMB-70-V02-MSA</t>
  </si>
  <si>
    <t>ACMB-70-V03-MSA</t>
  </si>
  <si>
    <t>ACMB-70-V02-MSB</t>
  </si>
  <si>
    <t>ACMB-70-V03-MSB</t>
  </si>
  <si>
    <t>ACMB-70-R02-BO</t>
  </si>
  <si>
    <t>ACMB-70-RR02-BO</t>
  </si>
  <si>
    <t>ACMB-70-R02-BOA</t>
  </si>
  <si>
    <t>ACMB-70-RR02-BOA</t>
  </si>
  <si>
    <t>ACMB-70-R02-BOB</t>
  </si>
  <si>
    <t>ACMB-70-RR02-BOB</t>
  </si>
  <si>
    <t>ACMB-70-V04-MS</t>
  </si>
  <si>
    <t>ACMB-70-V05-MS</t>
  </si>
  <si>
    <t>ACMB-70-V04-MSA</t>
  </si>
  <si>
    <t>ACMB-70-V05-MSA</t>
  </si>
  <si>
    <t>ACMB-70-V04-MSB</t>
  </si>
  <si>
    <t>ACMB-70-V05-MSB</t>
  </si>
  <si>
    <t>ACMB-70-R03-BO</t>
  </si>
  <si>
    <t>ACMB-70-RR03-BO</t>
  </si>
  <si>
    <t>ACMB-70-R03-BOA</t>
  </si>
  <si>
    <t>ACMB-70-RR03-BOA</t>
  </si>
  <si>
    <t>ACMB-70-R03-BOB</t>
  </si>
  <si>
    <t>ACMB-70-RR03-BOB</t>
  </si>
  <si>
    <t>ACMB-70-V06-MS</t>
  </si>
  <si>
    <t>ACMB-70-V07-MS</t>
  </si>
  <si>
    <t>ACMB-70-V06-MSA</t>
  </si>
  <si>
    <t>ACMB-70-V07-MSA</t>
  </si>
  <si>
    <t>ACMB-70-V06-MSB</t>
  </si>
  <si>
    <t>ACMB-70-V07-MSB</t>
  </si>
  <si>
    <t>ACMB-70-R04-BO</t>
  </si>
  <si>
    <t>ACMB-70-RR04-BO</t>
  </si>
  <si>
    <t>ACMB-70-R04-BOA</t>
  </si>
  <si>
    <t>ACMB-70-RR04-BOA</t>
  </si>
  <si>
    <t>ACMB-70-R04-BOB</t>
  </si>
  <si>
    <t>ACMB-70-RR04-BOB</t>
  </si>
  <si>
    <t>ACMB-70-V08-MS</t>
  </si>
  <si>
    <t>ACMB-70-V09-MS</t>
  </si>
  <si>
    <t>ACMB-70-V08-MSA</t>
  </si>
  <si>
    <t>ACMB-70-V09-MSA</t>
  </si>
  <si>
    <t>ACMB-70-V08-MSB</t>
  </si>
  <si>
    <t>ACMB-70-V09-MSB</t>
  </si>
  <si>
    <t>ACMB-70-R05-BO</t>
  </si>
  <si>
    <t>ACMB-70-RR05-BO</t>
  </si>
  <si>
    <t>ACMB-70-R05-BOA</t>
  </si>
  <si>
    <t>ACMB-70-RR05-BOA</t>
  </si>
  <si>
    <t>ACMB-70-R05-BOB</t>
  </si>
  <si>
    <t>ACMB-70-RR05-BOB</t>
  </si>
  <si>
    <t>ACMB-70-V10-MS</t>
  </si>
  <si>
    <t>ACMB-70-V11-MS</t>
  </si>
  <si>
    <t>ACMB-70-V10-MSA</t>
  </si>
  <si>
    <t>ACMB-70-V11-MSA</t>
  </si>
  <si>
    <t>ACMB-70-V10-MSB</t>
  </si>
  <si>
    <t>ACMB-70-V11-MSB</t>
  </si>
  <si>
    <t>ACMB-70-R06-BO</t>
  </si>
  <si>
    <t>ACMB-70-RR06-BO</t>
  </si>
  <si>
    <t>ACMB-70-R06-BOA</t>
  </si>
  <si>
    <t>ACMB-70-RR06-BOA</t>
  </si>
  <si>
    <t>ACMB-70-R06-BOB</t>
  </si>
  <si>
    <t>ACMB-70-RR06-BOB</t>
  </si>
  <si>
    <t>ACMB-70-V12-MS</t>
  </si>
  <si>
    <t>ACMB-70-V13-MS</t>
  </si>
  <si>
    <t>ACMB-70-V12-MSA</t>
  </si>
  <si>
    <t>ACMB-70-V13-MSA</t>
  </si>
  <si>
    <t>ACMB-70-V12-MSB</t>
  </si>
  <si>
    <t>ACMB-70-V13-MSB</t>
  </si>
  <si>
    <t>ACMB-70-R07-BO</t>
  </si>
  <si>
    <t>ACMB-70-RR07-BO</t>
  </si>
  <si>
    <t>ACMB-70-R07-BOA</t>
  </si>
  <si>
    <t>ACMB-70-RR07-BOA</t>
  </si>
  <si>
    <t>ACMB-70-R07-BOB</t>
  </si>
  <si>
    <t>ACMB-70-RR07-BOB</t>
  </si>
  <si>
    <t>ACMB-70-V14-MS</t>
  </si>
  <si>
    <t>ACMB-70-V15-MS</t>
  </si>
  <si>
    <t>ACMB-70-V14-MSA</t>
  </si>
  <si>
    <t>ACMB-70-V15-MSA</t>
  </si>
  <si>
    <t>ACMB-70-V14-MSB</t>
  </si>
  <si>
    <t>ACMB-70-V15-MSB</t>
  </si>
  <si>
    <t>ACMB-71-R01-BO</t>
  </si>
  <si>
    <t>ACMB-71-RR01-BO</t>
  </si>
  <si>
    <t>ACMB-71-R01-BOA</t>
  </si>
  <si>
    <t>ACMB-71-RR01-BOA</t>
  </si>
  <si>
    <t>ACMB-71-R01-BOB</t>
  </si>
  <si>
    <t>ACMB-71-RR01-BOB</t>
  </si>
  <si>
    <t>ACMB-71-V02-MS</t>
  </si>
  <si>
    <t>ACMB-71-V03-MS</t>
  </si>
  <si>
    <t>ACMB-71-V02-MSA</t>
  </si>
  <si>
    <t>ACMB-71-V03-MSA</t>
  </si>
  <si>
    <t>ACMB-71-V02-MSB</t>
  </si>
  <si>
    <t>ACMB-71-V03-MSB</t>
  </si>
  <si>
    <t>ACMB-71-R02-BO</t>
  </si>
  <si>
    <t>ACMB-71-RR02-BO</t>
  </si>
  <si>
    <t>ACMB-71-R02-BOA</t>
  </si>
  <si>
    <t>ACMB-71-RR02-BOA</t>
  </si>
  <si>
    <t>ACMB-71-R02-BOB</t>
  </si>
  <si>
    <t>ACMB-71-RR02-BOB</t>
  </si>
  <si>
    <t>ACMB-71-V04-MS</t>
  </si>
  <si>
    <t>ACMB-71-V05-MS</t>
  </si>
  <si>
    <t>ACMB-71-V04-MSA</t>
  </si>
  <si>
    <t>ACMB-71-V05-MSA</t>
  </si>
  <si>
    <t>ACMB-71-V04-MSB</t>
  </si>
  <si>
    <t>ACMB-71-V05-MSB</t>
  </si>
  <si>
    <t>ACMB-71-R03-BO</t>
  </si>
  <si>
    <t>ACMB-71-RR03-BO</t>
  </si>
  <si>
    <t>ACMB-71-R03-BOA</t>
  </si>
  <si>
    <t>ACMB-71-RR03-BOA</t>
  </si>
  <si>
    <t>ACMB-71-R03-BOB</t>
  </si>
  <si>
    <t>ACMB-71-RR03-BOB</t>
  </si>
  <si>
    <t>ACMB-71-V06-MS</t>
  </si>
  <si>
    <t>ACMB-71-V07-MS</t>
  </si>
  <si>
    <t>ACMB-71-V06-MSA</t>
  </si>
  <si>
    <t>ACMB-71-V07-MSA</t>
  </si>
  <si>
    <t>ACMB-71-V06-MSB</t>
  </si>
  <si>
    <t>ACMB-71-V07-MSB</t>
  </si>
  <si>
    <t>ACMB-71-R04-BO</t>
  </si>
  <si>
    <t>ACMB-71-RR04-BO</t>
  </si>
  <si>
    <t>ACMB-71-R04-BOA</t>
  </si>
  <si>
    <t>ACMB-71-RR04-BOA</t>
  </si>
  <si>
    <t>ACMB-71-R04-BOB</t>
  </si>
  <si>
    <t>ACMB-71-RR04-BOB</t>
  </si>
  <si>
    <t>ACMB-71-V08-MS</t>
  </si>
  <si>
    <t>ACMB-71-V09-MS</t>
  </si>
  <si>
    <t>ACMB-71-V08-MSA</t>
  </si>
  <si>
    <t>ACMB-71-V09-MSA</t>
  </si>
  <si>
    <t>ACMB-71-V08-MSB</t>
  </si>
  <si>
    <t>ACMB-71-V09-MSB</t>
  </si>
  <si>
    <t>ACMB-71-R05-BO</t>
  </si>
  <si>
    <t>ACMB-71-RR05-BO</t>
  </si>
  <si>
    <t>ACMB-71-R05-BOA</t>
  </si>
  <si>
    <t>ACMB-71-RR05-BOA</t>
  </si>
  <si>
    <t>ACMB-71-R05-BOB</t>
  </si>
  <si>
    <t>ACMB-71-RR05-BOB</t>
  </si>
  <si>
    <t>ACMB-71-V10-MS</t>
  </si>
  <si>
    <t>ACMB-71-V11-MS</t>
  </si>
  <si>
    <t>ACMB-71-V10-MSA</t>
  </si>
  <si>
    <t>ACMB-71-V11-MSA</t>
  </si>
  <si>
    <t>ACMB-71-V10-MSB</t>
  </si>
  <si>
    <t>ACMB-71-V11-MSB</t>
  </si>
  <si>
    <t>ACMB-71-R06-BO</t>
  </si>
  <si>
    <t>ACMB-71-RR06-BO</t>
  </si>
  <si>
    <t>ACMB-71-R06-BOA</t>
  </si>
  <si>
    <t>ACMB-71-RR06-BOA</t>
  </si>
  <si>
    <t>ACMB-71-R06-BOB</t>
  </si>
  <si>
    <t>ACMB-71-RR06-BOB</t>
  </si>
  <si>
    <t>ACMB-71-V12-MS</t>
  </si>
  <si>
    <t>ACMB-71-V13-MS</t>
  </si>
  <si>
    <t>ACMB-71-V12-MSA</t>
  </si>
  <si>
    <t>ACMB-71-V13-MSA</t>
  </si>
  <si>
    <t>ACMB-71-V12-MSB</t>
  </si>
  <si>
    <t>ACMB-71-V13-MSB</t>
  </si>
  <si>
    <t>ACMB-71-R07-BO</t>
  </si>
  <si>
    <t>ACMB-71-RR07-BO</t>
  </si>
  <si>
    <t>ACMB-71-R07-BOA</t>
  </si>
  <si>
    <t>ACMB-71-RR07-BOA</t>
  </si>
  <si>
    <t>ACMB-71-R07-BOB</t>
  </si>
  <si>
    <t>ACMB-71-RR07-BOB</t>
  </si>
  <si>
    <t>ACMB-71-V14-MS</t>
  </si>
  <si>
    <t>ACMB-71-V15-MS</t>
  </si>
  <si>
    <t>ACMB-71-V14-MSA</t>
  </si>
  <si>
    <t>ACMB-71-V15-MSA</t>
  </si>
  <si>
    <t>ACMB-71-V14-MSB</t>
  </si>
  <si>
    <t>ACMB-71-V15-MSB</t>
  </si>
  <si>
    <t>ACMB-72-R01-BO</t>
  </si>
  <si>
    <t>ACMB-72-RR01-BO</t>
  </si>
  <si>
    <t>ACMB-72-R01-BOA</t>
  </si>
  <si>
    <t>ACMB-72-RR01-BOA</t>
  </si>
  <si>
    <t>ACMB-72-R01-BOB</t>
  </si>
  <si>
    <t>ACMB-72-RR01-BOB</t>
  </si>
  <si>
    <t>ACMB-72-V02-MS</t>
  </si>
  <si>
    <t>ACMB-72-V03-MS</t>
  </si>
  <si>
    <t>ACMB-72-V02-MSA</t>
  </si>
  <si>
    <t>ACMB-72-V03-MSA</t>
  </si>
  <si>
    <t>ACMB-72-V02-MSB</t>
  </si>
  <si>
    <t>ACMB-72-V03-MSB</t>
  </si>
  <si>
    <t>ACMB-72-R02-BO</t>
  </si>
  <si>
    <t>ACMB-72-RR02-BO</t>
  </si>
  <si>
    <t>ACMB-72-R02-BOA</t>
  </si>
  <si>
    <t>ACMB-72-RR02-BOA</t>
  </si>
  <si>
    <t>ACMB-72-R02-BOB</t>
  </si>
  <si>
    <t>ACMB-72-RR02-BOB</t>
  </si>
  <si>
    <t>ACMB-72-V04-MS</t>
  </si>
  <si>
    <t>ACMB-72-V05-MS</t>
  </si>
  <si>
    <t>ACMB-72-V04-MSA</t>
  </si>
  <si>
    <t>ACMB-72-V05-MSA</t>
  </si>
  <si>
    <t>ACMB-72-V04-MSB</t>
  </si>
  <si>
    <t>ACMB-72-V05-MSB</t>
  </si>
  <si>
    <t>ACMB-72-R03-BO</t>
  </si>
  <si>
    <t>ACMB-72-RR03-BO</t>
  </si>
  <si>
    <t>ACMB-72-R03-BOA</t>
  </si>
  <si>
    <t>ACMB-72-RR03-BOA</t>
  </si>
  <si>
    <t>ACMB-72-R03-BOB</t>
  </si>
  <si>
    <t>ACMB-72-RR03-BOB</t>
  </si>
  <si>
    <t>ACMB-72-V06-MS</t>
  </si>
  <si>
    <t>ACMB-72-V07-MS</t>
  </si>
  <si>
    <t>ACMB-72-V06-MSA</t>
  </si>
  <si>
    <t>ACMB-72-V07-MSA</t>
  </si>
  <si>
    <t>ACMB-72-V06-MSB</t>
  </si>
  <si>
    <t>ACMB-72-V07-MSB</t>
  </si>
  <si>
    <t>ACMB-72-R04-BO</t>
  </si>
  <si>
    <t>ACMB-72-RR04-BO</t>
  </si>
  <si>
    <t>ACMB-72-R04-BOA</t>
  </si>
  <si>
    <t>ACMB-72-RR04-BOA</t>
  </si>
  <si>
    <t>ACMB-72-R04-BOB</t>
  </si>
  <si>
    <t>ACMB-72-RR04-BOB</t>
  </si>
  <si>
    <t>ACMB-72-V08-MS</t>
  </si>
  <si>
    <t>ACMB-72-V09-MS</t>
  </si>
  <si>
    <t>ACMB-72-V08-MSA</t>
  </si>
  <si>
    <t>ACMB-72-V09-MSA</t>
  </si>
  <si>
    <t>ACMB-72-V08-MSB</t>
  </si>
  <si>
    <t>ACMB-72-V09-MSB</t>
  </si>
  <si>
    <t>ACMB-72-R05-BO</t>
  </si>
  <si>
    <t>ACMB-72-RR05-BO</t>
  </si>
  <si>
    <t>ACMB-72-R05-BOA</t>
  </si>
  <si>
    <t>ACMB-72-RR05-BOA</t>
  </si>
  <si>
    <t>ACMB-72-R05-BOB</t>
  </si>
  <si>
    <t>ACMB-72-RR05-BOB</t>
  </si>
  <si>
    <t>ACMB-72-V10-MS</t>
  </si>
  <si>
    <t>ACMB-72-V11-MS</t>
  </si>
  <si>
    <t>ACMB-72-V10-MSA</t>
  </si>
  <si>
    <t>ACMB-72-V11-MSA</t>
  </si>
  <si>
    <t>ACMB-72-V10-MSB</t>
  </si>
  <si>
    <t>ACMB-72-V11-MSB</t>
  </si>
  <si>
    <t>ACMB-72-R06-BO</t>
  </si>
  <si>
    <t>ACMB-72-RR06-BO</t>
  </si>
  <si>
    <t>ACMB-72-R06-BOA</t>
  </si>
  <si>
    <t>ACMB-72-RR06-BOA</t>
  </si>
  <si>
    <t>ACMB-72-R06-BOB</t>
  </si>
  <si>
    <t>ACMB-72-RR06-BOB</t>
  </si>
  <si>
    <t>ACMB-72-V12-MS</t>
  </si>
  <si>
    <t>ACMB-72-V13-MS</t>
  </si>
  <si>
    <t>ACMB-72-V12-MSA</t>
  </si>
  <si>
    <t>ACMB-72-V13-MSA</t>
  </si>
  <si>
    <t>ACMB-72-V12-MSB</t>
  </si>
  <si>
    <t>ACMB-72-V13-MSB</t>
  </si>
  <si>
    <t>ACMB-72-R07-BO</t>
  </si>
  <si>
    <t>ACMB-72-RR07-BO</t>
  </si>
  <si>
    <t>ACMB-72-R07-BOA</t>
  </si>
  <si>
    <t>ACMB-72-RR07-BOA</t>
  </si>
  <si>
    <t>ACMB-72-R07-BOB</t>
  </si>
  <si>
    <t>ACMB-72-RR07-BOB</t>
  </si>
  <si>
    <t>ACMB-72-V14-MS</t>
  </si>
  <si>
    <t>ACMB-72-V15-MS</t>
  </si>
  <si>
    <t>ACMB-72-V14-MSA</t>
  </si>
  <si>
    <t>ACMB-72-V15-MSA</t>
  </si>
  <si>
    <t>ACMB-72-V14-MSB</t>
  </si>
  <si>
    <t>ACMB-72-V15-MSB</t>
  </si>
  <si>
    <t>ACMB-73-R01-BO</t>
  </si>
  <si>
    <t>ACMB-73-RR01-BO</t>
  </si>
  <si>
    <t>ACMB-73-R01-BOA</t>
  </si>
  <si>
    <t>ACMB-73-RR01-BOA</t>
  </si>
  <si>
    <t>ACMB-73-R01-BOB</t>
  </si>
  <si>
    <t>ACMB-73-RR01-BOB</t>
  </si>
  <si>
    <t>ACMB-73-V02-MS</t>
  </si>
  <si>
    <t>ACMB-73-V03-MS</t>
  </si>
  <si>
    <t>ACMB-73-V02-MSA</t>
  </si>
  <si>
    <t>ACMB-73-V03-MSA</t>
  </si>
  <si>
    <t>ACMB-73-V02-MSB</t>
  </si>
  <si>
    <t>ACMB-73-V03-MSB</t>
  </si>
  <si>
    <t>ACMB-73-R02-BO</t>
  </si>
  <si>
    <t>ACMB-73-RR02-BO</t>
  </si>
  <si>
    <t>ACMB-73-R02-BOA</t>
  </si>
  <si>
    <t>ACMB-73-RR02-BOA</t>
  </si>
  <si>
    <t>ACMB-73-R02-BOB</t>
  </si>
  <si>
    <t>ACMB-73-RR02-BOB</t>
  </si>
  <si>
    <t>ACMB-73-V04-MS</t>
  </si>
  <si>
    <t>ACMB-73-V05-MS</t>
  </si>
  <si>
    <t>ACMB-73-V04-MSA</t>
  </si>
  <si>
    <t>ACMB-73-V05-MSA</t>
  </si>
  <si>
    <t>ACMB-73-V04-MSB</t>
  </si>
  <si>
    <t>ACMB-73-V05-MSB</t>
  </si>
  <si>
    <t>ACMB-73-R03-BO</t>
  </si>
  <si>
    <t>ACMB-73-RR03-BO</t>
  </si>
  <si>
    <t>ACMB-73-R03-BOA</t>
  </si>
  <si>
    <t>ACMB-73-RR03-BOA</t>
  </si>
  <si>
    <t>ACMB-73-R03-BOB</t>
  </si>
  <si>
    <t>ACMB-73-RR03-BOB</t>
  </si>
  <si>
    <t>ACMB-73-V06-MS</t>
  </si>
  <si>
    <t>ACMB-73-V07-MS</t>
  </si>
  <si>
    <t>ACMB-73-V06-MSA</t>
  </si>
  <si>
    <t>ACMB-73-V07-MSA</t>
  </si>
  <si>
    <t>ACMB-73-V06-MSB</t>
  </si>
  <si>
    <t>ACMB-73-V07-MSB</t>
  </si>
  <si>
    <t>ACMB-73-R04-BO</t>
  </si>
  <si>
    <t>ACMB-73-RR04-BO</t>
  </si>
  <si>
    <t>ACMB-73-R04-BOA</t>
  </si>
  <si>
    <t>ACMB-73-RR04-BOA</t>
  </si>
  <si>
    <t>ACMB-73-R04-BOB</t>
  </si>
  <si>
    <t>ACMB-73-RR04-BOB</t>
  </si>
  <si>
    <t>ACMB-73-V08-MS</t>
  </si>
  <si>
    <t>ACMB-73-V09-MS</t>
  </si>
  <si>
    <t>ACMB-73-V08-MSA</t>
  </si>
  <si>
    <t>ACMB-73-V09-MSA</t>
  </si>
  <si>
    <t>ACMB-73-V08-MSB</t>
  </si>
  <si>
    <t>ACMB-73-V09-MSB</t>
  </si>
  <si>
    <t>ACMB-73-R05-BO</t>
  </si>
  <si>
    <t>ACMB-73-RR05-BO</t>
  </si>
  <si>
    <t>ACMB-73-R05-BOA</t>
  </si>
  <si>
    <t>ACMB-73-RR05-BOA</t>
  </si>
  <si>
    <t>ACMB-73-R05-BOB</t>
  </si>
  <si>
    <t>ACMB-73-RR05-BOB</t>
  </si>
  <si>
    <t>ACMB-73-V10-MS</t>
  </si>
  <si>
    <t>ACMB-73-V11-MS</t>
  </si>
  <si>
    <t>ACMB-73-V10-MSA</t>
  </si>
  <si>
    <t>ACMB-73-V11-MSA</t>
  </si>
  <si>
    <t>ACMB-73-V10-MSB</t>
  </si>
  <si>
    <t>ACMB-73-V11-MSB</t>
  </si>
  <si>
    <t>ACMB-73-R06-BO</t>
  </si>
  <si>
    <t>ACMB-73-RR06-BO</t>
  </si>
  <si>
    <t>ACMB-73-R06-BOA</t>
  </si>
  <si>
    <t>ACMB-73-RR06-BOA</t>
  </si>
  <si>
    <t>ACMB-73-R06-BOB</t>
  </si>
  <si>
    <t>ACMB-73-RR06-BOB</t>
  </si>
  <si>
    <t>ACMB-73-V12-MS</t>
  </si>
  <si>
    <t>ACMB-73-V13-MS</t>
  </si>
  <si>
    <t>ACMB-73-V12-MSA</t>
  </si>
  <si>
    <t>ACMB-73-V13-MSA</t>
  </si>
  <si>
    <t>ACMB-73-V12-MSB</t>
  </si>
  <si>
    <t>ACMB-73-V13-MSB</t>
  </si>
  <si>
    <t>ACMB-73-R07-BO</t>
  </si>
  <si>
    <t>ACMB-73-RR07-BO</t>
  </si>
  <si>
    <t>ACMB-73-R07-BOA</t>
  </si>
  <si>
    <t>ACMB-73-RR07-BOA</t>
  </si>
  <si>
    <t>ACMB-73-R07-BOB</t>
  </si>
  <si>
    <t>ACMB-73-RR07-BOB</t>
  </si>
  <si>
    <t>ACMB-73-V14-MS</t>
  </si>
  <si>
    <t>ACMB-73-V15-MS</t>
  </si>
  <si>
    <t>ACMB-73-V14-MSA</t>
  </si>
  <si>
    <t>ACMB-73-V15-MSA</t>
  </si>
  <si>
    <t>ACMB-73-V14-MSB</t>
  </si>
  <si>
    <t>ACMB-73-V15-MSB</t>
  </si>
  <si>
    <t>ACMB-74-R01-BO</t>
  </si>
  <si>
    <t>ACMB-74-RR01-BO</t>
  </si>
  <si>
    <t>ACMB-74-R01-BOA</t>
  </si>
  <si>
    <t>ACMB-74-RR01-BOA</t>
  </si>
  <si>
    <t>ACMB-74-R01-BOB</t>
  </si>
  <si>
    <t>ACMB-74-RR01-BOB</t>
  </si>
  <si>
    <t>ACMB-74-V02-MS</t>
  </si>
  <si>
    <t>ACMB-74-V03-MS</t>
  </si>
  <si>
    <t>ACMB-74-V02-MSA</t>
  </si>
  <si>
    <t>ACMB-74-V03-MSA</t>
  </si>
  <si>
    <t>ACMB-74-V02-MSB</t>
  </si>
  <si>
    <t>ACMB-74-V03-MSB</t>
  </si>
  <si>
    <t>ACMB-74-R02-BO</t>
  </si>
  <si>
    <t>ACMB-74-RR02-BO</t>
  </si>
  <si>
    <t>ACMB-74-R02-BOA</t>
  </si>
  <si>
    <t>ACMB-74-RR02-BOA</t>
  </si>
  <si>
    <t>ACMB-74-R02-BOB</t>
  </si>
  <si>
    <t>ACMB-74-RR02-BOB</t>
  </si>
  <si>
    <t>ACMB-74-V04-MS</t>
  </si>
  <si>
    <t>ACMB-74-V05-MS</t>
  </si>
  <si>
    <t>ACMB-74-V04-MSA</t>
  </si>
  <si>
    <t>ACMB-74-V05-MSA</t>
  </si>
  <si>
    <t>ACMB-74-V04-MSB</t>
  </si>
  <si>
    <t>ACMB-74-V05-MSB</t>
  </si>
  <si>
    <t>ACMB-74-R03-BO</t>
  </si>
  <si>
    <t>ACMB-74-RR03-BO</t>
  </si>
  <si>
    <t>ACMB-74-R03-BOA</t>
  </si>
  <si>
    <t>ACMB-74-RR03-BOA</t>
  </si>
  <si>
    <t>ACMB-74-R03-BOB</t>
  </si>
  <si>
    <t>ACMB-74-RR03-BOB</t>
  </si>
  <si>
    <t>ACMB-74-V06-MS</t>
  </si>
  <si>
    <t>ACMB-74-V07-MS</t>
  </si>
  <si>
    <t>ACMB-74-V06-MSA</t>
  </si>
  <si>
    <t>ACMB-74-V07-MSA</t>
  </si>
  <si>
    <t>ACMB-74-V06-MSB</t>
  </si>
  <si>
    <t>ACMB-74-V07-MSB</t>
  </si>
  <si>
    <t>ACMB-74-R04-BO</t>
  </si>
  <si>
    <t>ACMB-74-RR04-BO</t>
  </si>
  <si>
    <t>ACMB-74-R04-BOA</t>
  </si>
  <si>
    <t>ACMB-74-RR04-BOA</t>
  </si>
  <si>
    <t>ACMB-74-R04-BOB</t>
  </si>
  <si>
    <t>ACMB-74-RR04-BOB</t>
  </si>
  <si>
    <t>ACMB-74-V08-MS</t>
  </si>
  <si>
    <t>ACMB-74-V09-MS</t>
  </si>
  <si>
    <t>ACMB-74-V08-MSA</t>
  </si>
  <si>
    <t>ACMB-74-V09-MSA</t>
  </si>
  <si>
    <t>ACMB-74-V08-MSB</t>
  </si>
  <si>
    <t>ACMB-74-V09-MSB</t>
  </si>
  <si>
    <t>ACMB-74-R05-BO</t>
  </si>
  <si>
    <t>ACMB-74-RR05-BO</t>
  </si>
  <si>
    <t>ACMB-74-R05-BOA</t>
  </si>
  <si>
    <t>ACMB-74-RR05-BOA</t>
  </si>
  <si>
    <t>ACMB-74-R05-BOB</t>
  </si>
  <si>
    <t>ACMB-74-RR05-BOB</t>
  </si>
  <si>
    <t>ACMB-74-V10-MS</t>
  </si>
  <si>
    <t>ACMB-74-V11-MS</t>
  </si>
  <si>
    <t>ACMB-74-V10-MSA</t>
  </si>
  <si>
    <t>ACMB-74-V11-MSA</t>
  </si>
  <si>
    <t>ACMB-74-V10-MSB</t>
  </si>
  <si>
    <t>ACMB-74-V11-MSB</t>
  </si>
  <si>
    <t>ACMB-74-R06-BO</t>
  </si>
  <si>
    <t>ACMB-74-RR06-BO</t>
  </si>
  <si>
    <t>ACMB-74-R06-BOA</t>
  </si>
  <si>
    <t>ACMB-74-RR06-BOA</t>
  </si>
  <si>
    <t>ACMB-74-R06-BOB</t>
  </si>
  <si>
    <t>ACMB-74-RR06-BOB</t>
  </si>
  <si>
    <t>ACMB-74-V12-MS</t>
  </si>
  <si>
    <t>ACMB-74-V13-MS</t>
  </si>
  <si>
    <t>ACMB-74-V12-MSA</t>
  </si>
  <si>
    <t>ACMB-74-V13-MSA</t>
  </si>
  <si>
    <t>ACMB-74-V12-MSB</t>
  </si>
  <si>
    <t>ACMB-74-V13-MSB</t>
  </si>
  <si>
    <t>ACMB-74-R07-BO</t>
  </si>
  <si>
    <t>ACMB-74-RR07-BO</t>
  </si>
  <si>
    <t>ACMB-74-R07-BOA</t>
  </si>
  <si>
    <t>ACMB-74-RR07-BOA</t>
  </si>
  <si>
    <t>ACMB-74-R07-BOB</t>
  </si>
  <si>
    <t>ACMB-74-RR07-BOB</t>
  </si>
  <si>
    <t>ACMB-74-V14-MS</t>
  </si>
  <si>
    <t>ACMB-74-V15-MS</t>
  </si>
  <si>
    <t>ACMB-74-V14-MSA</t>
  </si>
  <si>
    <t>ACMB-74-V15-MSA</t>
  </si>
  <si>
    <t>ACMB-74-V14-MSB</t>
  </si>
  <si>
    <t>ACMB-74-V15-MSB</t>
  </si>
  <si>
    <t>ACMB-75-R01-BO</t>
  </si>
  <si>
    <t>ACMB-75-RR01-BO</t>
  </si>
  <si>
    <t>ACMB-75-R01-BOA</t>
  </si>
  <si>
    <t>ACMB-75-RR01-BOA</t>
  </si>
  <si>
    <t>ACMB-75-R01-BOB</t>
  </si>
  <si>
    <t>ACMB-75-RR01-BOB</t>
  </si>
  <si>
    <t>ACMB-75-V02-MS</t>
  </si>
  <si>
    <t>ACMB-75-V03-MS</t>
  </si>
  <si>
    <t>ACMB-75-V02-MSA</t>
  </si>
  <si>
    <t>ACMB-75-V03-MSA</t>
  </si>
  <si>
    <t>ACMB-75-V02-MSB</t>
  </si>
  <si>
    <t>ACMB-75-V03-MSB</t>
  </si>
  <si>
    <t>ACMB-75-R02-BO</t>
  </si>
  <si>
    <t>ACMB-75-RR02-BO</t>
  </si>
  <si>
    <t>ACMB-75-R02-BOA</t>
  </si>
  <si>
    <t>ACMB-75-RR02-BOA</t>
  </si>
  <si>
    <t>ACMB-75-R02-BOB</t>
  </si>
  <si>
    <t>ACMB-75-RR02-BOB</t>
  </si>
  <si>
    <t>ACMB-75-V04-MS</t>
  </si>
  <si>
    <t>ACMB-75-V05-MS</t>
  </si>
  <si>
    <t>ACMB-75-V04-MSA</t>
  </si>
  <si>
    <t>ACMB-75-V05-MSA</t>
  </si>
  <si>
    <t>ACMB-75-V04-MSB</t>
  </si>
  <si>
    <t>ACMB-75-V05-MSB</t>
  </si>
  <si>
    <t>ACMB-75-R03-BO</t>
  </si>
  <si>
    <t>ACMB-75-RR03-BO</t>
  </si>
  <si>
    <t>ACMB-75-R03-BOA</t>
  </si>
  <si>
    <t>ACMB-75-RR03-BOA</t>
  </si>
  <si>
    <t>ACMB-75-R03-BOB</t>
  </si>
  <si>
    <t>ACMB-75-RR03-BOB</t>
  </si>
  <si>
    <t>ACMB-75-V06-MS</t>
  </si>
  <si>
    <t>ACMB-75-V07-MS</t>
  </si>
  <si>
    <t>ACMB-75-V06-MSA</t>
  </si>
  <si>
    <t>ACMB-75-V07-MSA</t>
  </si>
  <si>
    <t>ACMB-75-V06-MSB</t>
  </si>
  <si>
    <t>ACMB-75-V07-MSB</t>
  </si>
  <si>
    <t>ACMB-75-R04-BO</t>
  </si>
  <si>
    <t>ACMB-75-RR04-BO</t>
  </si>
  <si>
    <t>ACMB-75-R04-BOA</t>
  </si>
  <si>
    <t>ACMB-75-RR04-BOA</t>
  </si>
  <si>
    <t>ACMB-75-R04-BOB</t>
  </si>
  <si>
    <t>ACMB-75-RR04-BOB</t>
  </si>
  <si>
    <t>ACMB-75-V08-MS</t>
  </si>
  <si>
    <t>ACMB-75-V09-MS</t>
  </si>
  <si>
    <t>ACMB-75-V08-MSA</t>
  </si>
  <si>
    <t>ACMB-75-V09-MSA</t>
  </si>
  <si>
    <t>ACMB-75-V08-MSB</t>
  </si>
  <si>
    <t>ACMB-75-V09-MSB</t>
  </si>
  <si>
    <t>ACMB-75-R05-BO</t>
  </si>
  <si>
    <t>ACMB-75-RR05-BO</t>
  </si>
  <si>
    <t>ACMB-75-R05-BOA</t>
  </si>
  <si>
    <t>ACMB-75-RR05-BOA</t>
  </si>
  <si>
    <t>ACMB-75-R05-BOB</t>
  </si>
  <si>
    <t>ACMB-75-RR05-BOB</t>
  </si>
  <si>
    <t>ACMB-75-V10-MS</t>
  </si>
  <si>
    <t>ACMB-75-V11-MS</t>
  </si>
  <si>
    <t>ACMB-75-V10-MSA</t>
  </si>
  <si>
    <t>ACMB-75-V11-MSA</t>
  </si>
  <si>
    <t>ACMB-75-V10-MSB</t>
  </si>
  <si>
    <t>ACMB-75-V11-MSB</t>
  </si>
  <si>
    <t>ACMB-75-R06-BO</t>
  </si>
  <si>
    <t>ACMB-75-RR06-BO</t>
  </si>
  <si>
    <t>ACMB-75-R06-BOA</t>
  </si>
  <si>
    <t>ACMB-75-RR06-BOA</t>
  </si>
  <si>
    <t>ACMB-75-R06-BOB</t>
  </si>
  <si>
    <t>ACMB-75-RR06-BOB</t>
  </si>
  <si>
    <t>ACMB-75-V12-MS</t>
  </si>
  <si>
    <t>ACMB-75-V13-MS</t>
  </si>
  <si>
    <t>ACMB-75-V12-MSA</t>
  </si>
  <si>
    <t>ACMB-75-V13-MSA</t>
  </si>
  <si>
    <t>ACMB-75-V12-MSB</t>
  </si>
  <si>
    <t>ACMB-75-V13-MSB</t>
  </si>
  <si>
    <t>ACMB-75-R07-BO</t>
  </si>
  <si>
    <t>ACMB-75-RR07-BO</t>
  </si>
  <si>
    <t>ACMB-75-R07-BOA</t>
  </si>
  <si>
    <t>ACMB-75-RR07-BOA</t>
  </si>
  <si>
    <t>ACMB-75-R07-BOB</t>
  </si>
  <si>
    <t>ACMB-75-RR07-BOB</t>
  </si>
  <si>
    <t>ACMB-75-V14-MS</t>
  </si>
  <si>
    <t>ACMB-75-V15-MS</t>
  </si>
  <si>
    <t>ACMB-75-V14-MSA</t>
  </si>
  <si>
    <t>ACMB-75-V15-MSA</t>
  </si>
  <si>
    <t>ACMB-75-V14-MSB</t>
  </si>
  <si>
    <t>ACMB-75-V15-MSB</t>
  </si>
  <si>
    <t>ACMB-76-R01-BO</t>
  </si>
  <si>
    <t>ACMB-76-RR01-BO</t>
  </si>
  <si>
    <t>ACMB-76-R01-BOA</t>
  </si>
  <si>
    <t>ACMB-76-RR01-BOA</t>
  </si>
  <si>
    <t>ACMB-76-R01-BOB</t>
  </si>
  <si>
    <t>ACMB-76-RR01-BOB</t>
  </si>
  <si>
    <t>ACMB-76-V02-MS</t>
  </si>
  <si>
    <t>ACMB-76-V03-MS</t>
  </si>
  <si>
    <t>ACMB-76-V02-MSA</t>
  </si>
  <si>
    <t>ACMB-76-V03-MSA</t>
  </si>
  <si>
    <t>ACMB-76-V02-MSB</t>
  </si>
  <si>
    <t>ACMB-76-V03-MSB</t>
  </si>
  <si>
    <t>ACMB-76-R02-BO</t>
  </si>
  <si>
    <t>ACMB-76-RR02-BO</t>
  </si>
  <si>
    <t>ACMB-76-R02-BOA</t>
  </si>
  <si>
    <t>ACMB-76-RR02-BOA</t>
  </si>
  <si>
    <t>ACMB-76-R02-BOB</t>
  </si>
  <si>
    <t>ACMB-76-RR02-BOB</t>
  </si>
  <si>
    <t>ACMB-76-V04-MS</t>
  </si>
  <si>
    <t>ACMB-76-V05-MS</t>
  </si>
  <si>
    <t>ACMB-76-V04-MSA</t>
  </si>
  <si>
    <t>ACMB-76-V05-MSA</t>
  </si>
  <si>
    <t>ACMB-76-V04-MSB</t>
  </si>
  <si>
    <t>ACMB-76-V05-MSB</t>
  </si>
  <si>
    <t>ACMB-76-R03-BO</t>
  </si>
  <si>
    <t>ACMB-76-RR03-BO</t>
  </si>
  <si>
    <t>ACMB-76-R03-BOA</t>
  </si>
  <si>
    <t>ACMB-76-RR03-BOA</t>
  </si>
  <si>
    <t>ACMB-76-R03-BOB</t>
  </si>
  <si>
    <t>ACMB-76-RR03-BOB</t>
  </si>
  <si>
    <t>ACMB-76-V06-MS</t>
  </si>
  <si>
    <t>ACMB-76-V07-MS</t>
  </si>
  <si>
    <t>ACMB-76-V06-MSA</t>
  </si>
  <si>
    <t>ACMB-76-V07-MSA</t>
  </si>
  <si>
    <t>ACMB-76-V06-MSB</t>
  </si>
  <si>
    <t>ACMB-76-V07-MSB</t>
  </si>
  <si>
    <t>ACMB-76-R04-BO</t>
  </si>
  <si>
    <t>ACMB-76-RR04-BO</t>
  </si>
  <si>
    <t>ACMB-76-R04-BOA</t>
  </si>
  <si>
    <t>ACMB-76-RR04-BOA</t>
  </si>
  <si>
    <t>ACMB-76-R04-BOB</t>
  </si>
  <si>
    <t>ACMB-76-RR04-BOB</t>
  </si>
  <si>
    <t>ACMB-76-V08-MS</t>
  </si>
  <si>
    <t>ACMB-76-V09-MS</t>
  </si>
  <si>
    <t>ACMB-76-V08-MSA</t>
  </si>
  <si>
    <t>ACMB-76-V09-MSA</t>
  </si>
  <si>
    <t>ACMB-76-V08-MSB</t>
  </si>
  <si>
    <t>ACMB-76-V09-MSB</t>
  </si>
  <si>
    <t>ACMB-76-R05-BO</t>
  </si>
  <si>
    <t>ACMB-76-RR05-BO</t>
  </si>
  <si>
    <t>ACMB-76-R05-BOA</t>
  </si>
  <si>
    <t>ACMB-76-RR05-BOA</t>
  </si>
  <si>
    <t>ACMB-76-R05-BOB</t>
  </si>
  <si>
    <t>ACMB-76-RR05-BOB</t>
  </si>
  <si>
    <t>ACMB-76-V10-MS</t>
  </si>
  <si>
    <t>ACMB-76-V11-MS</t>
  </si>
  <si>
    <t>ACMB-76-V10-MSA</t>
  </si>
  <si>
    <t>ACMB-76-V11-MSA</t>
  </si>
  <si>
    <t>ACMB-76-V10-MSB</t>
  </si>
  <si>
    <t>ACMB-76-V11-MSB</t>
  </si>
  <si>
    <t>ACMB-76-R06-BO</t>
  </si>
  <si>
    <t>ACMB-76-RR06-BO</t>
  </si>
  <si>
    <t>ACMB-76-R06-BOA</t>
  </si>
  <si>
    <t>ACMB-76-RR06-BOA</t>
  </si>
  <si>
    <t>ACMB-76-R06-BOB</t>
  </si>
  <si>
    <t>ACMB-76-RR06-BOB</t>
  </si>
  <si>
    <t>ACMB-76-V12-MS</t>
  </si>
  <si>
    <t>ACMB-76-V13-MS</t>
  </si>
  <si>
    <t>ACMB-76-V12-MSA</t>
  </si>
  <si>
    <t>ACMB-76-V13-MSA</t>
  </si>
  <si>
    <t>ACMB-76-V12-MSB</t>
  </si>
  <si>
    <t>ACMB-76-V13-MSB</t>
  </si>
  <si>
    <t>ACMB-76-R07-BO</t>
  </si>
  <si>
    <t>ACMB-76-RR07-BO</t>
  </si>
  <si>
    <t>ACMB-76-R07-BOA</t>
  </si>
  <si>
    <t>ACMB-76-RR07-BOA</t>
  </si>
  <si>
    <t>ACMB-76-R07-BOB</t>
  </si>
  <si>
    <t>ACMB-76-RR07-BOB</t>
  </si>
  <si>
    <t>ACMB-76-V14-MS</t>
  </si>
  <si>
    <t>ACMB-76-V15-MS</t>
  </si>
  <si>
    <t>ACMB-76-V14-MSA</t>
  </si>
  <si>
    <t>ACMB-76-V15-MSA</t>
  </si>
  <si>
    <t>ACMB-76-V14-MSB</t>
  </si>
  <si>
    <t>ACMB-76-V15-MSB</t>
  </si>
  <si>
    <t>ACMB-77-R01-BO</t>
  </si>
  <si>
    <t>ACMB-77-RR01-BO</t>
  </si>
  <si>
    <t>ACMB-77-R01-BOA</t>
  </si>
  <si>
    <t>ACMB-77-RR01-BOA</t>
  </si>
  <si>
    <t>ACMB-77-R01-BOB</t>
  </si>
  <si>
    <t>ACMB-77-RR01-BOB</t>
  </si>
  <si>
    <t>ACMB-77-V02-MS</t>
  </si>
  <si>
    <t>ACMB-77-V03-MS</t>
  </si>
  <si>
    <t>ACMB-77-V02-MSA</t>
  </si>
  <si>
    <t>ACMB-77-V03-MSA</t>
  </si>
  <si>
    <t>ACMB-77-V02-MSB</t>
  </si>
  <si>
    <t>ACMB-77-V03-MSB</t>
  </si>
  <si>
    <t>ACMB-77-R02-BO</t>
  </si>
  <si>
    <t>ACMB-77-RR02-BO</t>
  </si>
  <si>
    <t>ACMB-77-R02-BOA</t>
  </si>
  <si>
    <t>ACMB-77-RR02-BOA</t>
  </si>
  <si>
    <t>ACMB-77-R02-BOB</t>
  </si>
  <si>
    <t>ACMB-77-RR02-BOB</t>
  </si>
  <si>
    <t>ACMB-77-V04-MS</t>
  </si>
  <si>
    <t>ACMB-77-V05-MS</t>
  </si>
  <si>
    <t>ACMB-77-V04-MSA</t>
  </si>
  <si>
    <t>ACMB-77-V05-MSA</t>
  </si>
  <si>
    <t>ACMB-77-V04-MSB</t>
  </si>
  <si>
    <t>ACMB-77-V05-MSB</t>
  </si>
  <si>
    <t>ACMB-77-R03-BO</t>
  </si>
  <si>
    <t>ACMB-77-RR03-BO</t>
  </si>
  <si>
    <t>ACMB-77-R03-BOA</t>
  </si>
  <si>
    <t>ACMB-77-RR03-BOA</t>
  </si>
  <si>
    <t>ACMB-77-R03-BOB</t>
  </si>
  <si>
    <t>ACMB-77-RR03-BOB</t>
  </si>
  <si>
    <t>ACMB-77-V06-MS</t>
  </si>
  <si>
    <t>ACMB-77-V07-MS</t>
  </si>
  <si>
    <t>ACMB-77-V06-MSA</t>
  </si>
  <si>
    <t>ACMB-77-V07-MSA</t>
  </si>
  <si>
    <t>ACMB-77-V06-MSB</t>
  </si>
  <si>
    <t>ACMB-77-V07-MSB</t>
  </si>
  <si>
    <t>ACMB-77-R04-BO</t>
  </si>
  <si>
    <t>ACMB-77-RR04-BO</t>
  </si>
  <si>
    <t>ACMB-77-R04-BOA</t>
  </si>
  <si>
    <t>ACMB-77-RR04-BOA</t>
  </si>
  <si>
    <t>ACMB-77-R04-BOB</t>
  </si>
  <si>
    <t>ACMB-77-RR04-BOB</t>
  </si>
  <si>
    <t>ACMB-77-V08-MS</t>
  </si>
  <si>
    <t>ACMB-77-V09-MS</t>
  </si>
  <si>
    <t>ACMB-77-V08-MSA</t>
  </si>
  <si>
    <t>ACMB-77-V09-MSA</t>
  </si>
  <si>
    <t>ACMB-77-V08-MSB</t>
  </si>
  <si>
    <t>ACMB-77-V09-MSB</t>
  </si>
  <si>
    <t>ACMB-77-R05-BO</t>
  </si>
  <si>
    <t>ACMB-77-RR05-BO</t>
  </si>
  <si>
    <t>ACMB-77-R05-BOA</t>
  </si>
  <si>
    <t>ACMB-77-RR05-BOA</t>
  </si>
  <si>
    <t>ACMB-77-R05-BOB</t>
  </si>
  <si>
    <t>ACMB-77-RR05-BOB</t>
  </si>
  <si>
    <t>ACMB-77-V10-MS</t>
  </si>
  <si>
    <t>ACMB-77-V11-MS</t>
  </si>
  <si>
    <t>ACMB-77-V10-MSA</t>
  </si>
  <si>
    <t>ACMB-77-V11-MSA</t>
  </si>
  <si>
    <t>ACMB-77-V10-MSB</t>
  </si>
  <si>
    <t>ACMB-77-V11-MSB</t>
  </si>
  <si>
    <t>ACMB-77-R06-BO</t>
  </si>
  <si>
    <t>ACMB-77-RR06-BO</t>
  </si>
  <si>
    <t>ACMB-77-R06-BOA</t>
  </si>
  <si>
    <t>ACMB-77-RR06-BOA</t>
  </si>
  <si>
    <t>ACMB-77-R06-BOB</t>
  </si>
  <si>
    <t>ACMB-77-RR06-BOB</t>
  </si>
  <si>
    <t>ACMB-77-V12-MS</t>
  </si>
  <si>
    <t>ACMB-77-V13-MS</t>
  </si>
  <si>
    <t>ACMB-77-V12-MSA</t>
  </si>
  <si>
    <t>ACMB-77-V13-MSA</t>
  </si>
  <si>
    <t>ACMB-77-V12-MSB</t>
  </si>
  <si>
    <t>ACMB-77-V13-MSB</t>
  </si>
  <si>
    <t>ACMB-77-R07-BO</t>
  </si>
  <si>
    <t>ACMB-77-RR07-BO</t>
  </si>
  <si>
    <t>ACMB-77-R07-BOA</t>
  </si>
  <si>
    <t>ACMB-77-RR07-BOA</t>
  </si>
  <si>
    <t>ACMB-77-R07-BOB</t>
  </si>
  <si>
    <t>ACMB-77-RR07-BOB</t>
  </si>
  <si>
    <t>ACMB-77-V14-MS</t>
  </si>
  <si>
    <t>ACMB-77-V15-MS</t>
  </si>
  <si>
    <t>ACMB-77-V14-MSA</t>
  </si>
  <si>
    <t>ACMB-77-V15-MSA</t>
  </si>
  <si>
    <t>ACMB-77-V14-MSB</t>
  </si>
  <si>
    <t>ACMB-77-V15-MSB</t>
  </si>
  <si>
    <t>ACMB-78-R01-BO</t>
  </si>
  <si>
    <t>ACMB-78-RR01-BO</t>
  </si>
  <si>
    <t>ACMB-78-R01-BOA</t>
  </si>
  <si>
    <t>ACMB-78-RR01-BOA</t>
  </si>
  <si>
    <t>ACMB-78-R01-BOB</t>
  </si>
  <si>
    <t>ACMB-78-RR01-BOB</t>
  </si>
  <si>
    <t>ACMB-78-V02-MS</t>
  </si>
  <si>
    <t>ACMB-78-V03-MS</t>
  </si>
  <si>
    <t>ACMB-78-V02-MSA</t>
  </si>
  <si>
    <t>ACMB-78-V03-MSA</t>
  </si>
  <si>
    <t>ACMB-78-V02-MSB</t>
  </si>
  <si>
    <t>ACMB-78-V03-MSB</t>
  </si>
  <si>
    <t>ACMB-78-R02-BO</t>
  </si>
  <si>
    <t>ACMB-78-RR02-BO</t>
  </si>
  <si>
    <t>ACMB-78-R02-BOA</t>
  </si>
  <si>
    <t>ACMB-78-RR02-BOA</t>
  </si>
  <si>
    <t>ACMB-78-R02-BOB</t>
  </si>
  <si>
    <t>ACMB-78-RR02-BOB</t>
  </si>
  <si>
    <t>ACMB-78-V04-MS</t>
  </si>
  <si>
    <t>ACMB-78-V05-MS</t>
  </si>
  <si>
    <t>ACMB-78-V04-MSA</t>
  </si>
  <si>
    <t>ACMB-78-V05-MSA</t>
  </si>
  <si>
    <t>ACMB-78-V04-MSB</t>
  </si>
  <si>
    <t>ACMB-78-V05-MSB</t>
  </si>
  <si>
    <t>ACMB-78-R03-BO</t>
  </si>
  <si>
    <t>ACMB-78-RR03-BO</t>
  </si>
  <si>
    <t>ACMB-78-R03-BOA</t>
  </si>
  <si>
    <t>ACMB-78-RR03-BOA</t>
  </si>
  <si>
    <t>ACMB-78-R03-BOB</t>
  </si>
  <si>
    <t>ACMB-78-RR03-BOB</t>
  </si>
  <si>
    <t>ACMB-78-V06-MS</t>
  </si>
  <si>
    <t>ACMB-78-V07-MS</t>
  </si>
  <si>
    <t>ACMB-78-V06-MSA</t>
  </si>
  <si>
    <t>ACMB-78-V07-MSA</t>
  </si>
  <si>
    <t>ACMB-78-V06-MSB</t>
  </si>
  <si>
    <t>ACMB-78-V07-MSB</t>
  </si>
  <si>
    <t>ACMB-78-R04-BO</t>
  </si>
  <si>
    <t>ACMB-78-RR04-BO</t>
  </si>
  <si>
    <t>ACMB-78-R04-BOA</t>
  </si>
  <si>
    <t>ACMB-78-RR04-BOA</t>
  </si>
  <si>
    <t>ACMB-78-R04-BOB</t>
  </si>
  <si>
    <t>ACMB-78-RR04-BOB</t>
  </si>
  <si>
    <t>ACMB-78-V08-MS</t>
  </si>
  <si>
    <t>ACMB-78-V09-MS</t>
  </si>
  <si>
    <t>ACMB-78-V08-MSA</t>
  </si>
  <si>
    <t>ACMB-78-V09-MSA</t>
  </si>
  <si>
    <t>ACMB-78-V08-MSB</t>
  </si>
  <si>
    <t>ACMB-78-V09-MSB</t>
  </si>
  <si>
    <t>ACMB-78-R05-BO</t>
  </si>
  <si>
    <t>ACMB-78-RR05-BO</t>
  </si>
  <si>
    <t>ACMB-78-R05-BOA</t>
  </si>
  <si>
    <t>ACMB-78-RR05-BOA</t>
  </si>
  <si>
    <t>ACMB-78-R05-BOB</t>
  </si>
  <si>
    <t>ACMB-78-RR05-BOB</t>
  </si>
  <si>
    <t>ACMB-78-V10-MS</t>
  </si>
  <si>
    <t>ACMB-78-V11-MS</t>
  </si>
  <si>
    <t>ACMB-78-V10-MSA</t>
  </si>
  <si>
    <t>ACMB-78-V11-MSA</t>
  </si>
  <si>
    <t>ACMB-78-V10-MSB</t>
  </si>
  <si>
    <t>ACMB-78-V11-MSB</t>
  </si>
  <si>
    <t>ACMB-78-R06-BO</t>
  </si>
  <si>
    <t>ACMB-78-RR06-BO</t>
  </si>
  <si>
    <t>ACMB-78-R06-BOA</t>
  </si>
  <si>
    <t>ACMB-78-RR06-BOA</t>
  </si>
  <si>
    <t>ACMB-78-R06-BOB</t>
  </si>
  <si>
    <t>ACMB-78-RR06-BOB</t>
  </si>
  <si>
    <t>ACMB-78-V12-MS</t>
  </si>
  <si>
    <t>ACMB-78-V13-MS</t>
  </si>
  <si>
    <t>ACMB-78-V12-MSA</t>
  </si>
  <si>
    <t>ACMB-78-V13-MSA</t>
  </si>
  <si>
    <t>ACMB-78-V12-MSB</t>
  </si>
  <si>
    <t>ACMB-78-V13-MSB</t>
  </si>
  <si>
    <t>ACMB-78-R07-BO</t>
  </si>
  <si>
    <t>ACMB-78-RR07-BO</t>
  </si>
  <si>
    <t>ACMB-78-R07-BOA</t>
  </si>
  <si>
    <t>ACMB-78-RR07-BOA</t>
  </si>
  <si>
    <t>ACMB-78-R07-BOB</t>
  </si>
  <si>
    <t>ACMB-78-RR07-BOB</t>
  </si>
  <si>
    <t>ACMB-78-V14-MS</t>
  </si>
  <si>
    <t>ACMB-78-V15-MS</t>
  </si>
  <si>
    <t>ACMB-78-V14-MSA</t>
  </si>
  <si>
    <t>ACMB-78-V15-MSA</t>
  </si>
  <si>
    <t>ACMB-78-V14-MSB</t>
  </si>
  <si>
    <t>ACMB-78-V15-MSB</t>
  </si>
  <si>
    <t>ACMB-79-R01-BO</t>
  </si>
  <si>
    <t>ACMB-79-RR01-BO</t>
  </si>
  <si>
    <t>ACMB-79-R01-BOA</t>
  </si>
  <si>
    <t>ACMB-79-RR01-BOA</t>
  </si>
  <si>
    <t>ACMB-79-R01-BOB</t>
  </si>
  <si>
    <t>ACMB-79-RR01-BOB</t>
  </si>
  <si>
    <t>ACMB-79-V02-MS</t>
  </si>
  <si>
    <t>ACMB-79-V03-MS</t>
  </si>
  <si>
    <t>ACMB-79-V02-MSA</t>
  </si>
  <si>
    <t>ACMB-79-V03-MSA</t>
  </si>
  <si>
    <t>ACMB-79-V02-MSB</t>
  </si>
  <si>
    <t>ACMB-79-V03-MSB</t>
  </si>
  <si>
    <t>ACMB-79-R02-BO</t>
  </si>
  <si>
    <t>ACMB-79-RR02-BO</t>
  </si>
  <si>
    <t>ACMB-79-R02-BOA</t>
  </si>
  <si>
    <t>ACMB-79-RR02-BOA</t>
  </si>
  <si>
    <t>ACMB-79-R02-BOB</t>
  </si>
  <si>
    <t>ACMB-79-RR02-BOB</t>
  </si>
  <si>
    <t>ACMB-79-V04-MS</t>
  </si>
  <si>
    <t>ACMB-79-V05-MS</t>
  </si>
  <si>
    <t>ACMB-79-V04-MSA</t>
  </si>
  <si>
    <t>ACMB-79-V05-MSA</t>
  </si>
  <si>
    <t>ACMB-79-V04-MSB</t>
  </si>
  <si>
    <t>ACMB-79-V05-MSB</t>
  </si>
  <si>
    <t>ACMB-79-R03-BO</t>
  </si>
  <si>
    <t>ACMB-79-RR03-BO</t>
  </si>
  <si>
    <t>ACMB-79-R03-BOA</t>
  </si>
  <si>
    <t>ACMB-79-RR03-BOA</t>
  </si>
  <si>
    <t>ACMB-79-R03-BOB</t>
  </si>
  <si>
    <t>ACMB-79-RR03-BOB</t>
  </si>
  <si>
    <t>ACMB-79-V06-MS</t>
  </si>
  <si>
    <t>ACMB-79-V07-MS</t>
  </si>
  <si>
    <t>ACMB-79-V06-MSA</t>
  </si>
  <si>
    <t>ACMB-79-V07-MSA</t>
  </si>
  <si>
    <t>ACMB-79-V06-MSB</t>
  </si>
  <si>
    <t>ACMB-79-V07-MSB</t>
  </si>
  <si>
    <t>ACMB-79-R04-BO</t>
  </si>
  <si>
    <t>ACMB-79-RR04-BO</t>
  </si>
  <si>
    <t>ACMB-79-R04-BOA</t>
  </si>
  <si>
    <t>ACMB-79-RR04-BOA</t>
  </si>
  <si>
    <t>ACMB-79-R04-BOB</t>
  </si>
  <si>
    <t>ACMB-79-RR04-BOB</t>
  </si>
  <si>
    <t>ACMB-79-V08-MS</t>
  </si>
  <si>
    <t>ACMB-79-V09-MS</t>
  </si>
  <si>
    <t>ACMB-79-V08-MSA</t>
  </si>
  <si>
    <t>ACMB-79-V09-MSA</t>
  </si>
  <si>
    <t>ACMB-79-V08-MSB</t>
  </si>
  <si>
    <t>ACMB-79-V09-MSB</t>
  </si>
  <si>
    <t>ACMB-79-R05-BO</t>
  </si>
  <si>
    <t>ACMB-79-RR05-BO</t>
  </si>
  <si>
    <t>ACMB-79-R05-BOA</t>
  </si>
  <si>
    <t>ACMB-79-RR05-BOA</t>
  </si>
  <si>
    <t>ACMB-79-R05-BOB</t>
  </si>
  <si>
    <t>ACMB-79-RR05-BOB</t>
  </si>
  <si>
    <t>ACMB-79-V10-MS</t>
  </si>
  <si>
    <t>ACMB-79-V11-MS</t>
  </si>
  <si>
    <t>ACMB-79-V10-MSA</t>
  </si>
  <si>
    <t>ACMB-79-V11-MSA</t>
  </si>
  <si>
    <t>ACMB-79-V10-MSB</t>
  </si>
  <si>
    <t>ACMB-79-V11-MSB</t>
  </si>
  <si>
    <t>ACMB-79-R06-BO</t>
  </si>
  <si>
    <t>ACMB-79-RR06-BO</t>
  </si>
  <si>
    <t>ACMB-79-R06-BOA</t>
  </si>
  <si>
    <t>ACMB-79-RR06-BOA</t>
  </si>
  <si>
    <t>ACMB-79-R06-BOB</t>
  </si>
  <si>
    <t>ACMB-79-RR06-BOB</t>
  </si>
  <si>
    <t>ACMB-79-V12-MS</t>
  </si>
  <si>
    <t>ACMB-79-V13-MS</t>
  </si>
  <si>
    <t>ACMB-79-V12-MSA</t>
  </si>
  <si>
    <t>ACMB-79-V13-MSA</t>
  </si>
  <si>
    <t>ACMB-79-V12-MSB</t>
  </si>
  <si>
    <t>ACMB-79-V13-MSB</t>
  </si>
  <si>
    <t>ACMB-79-R07-BO</t>
  </si>
  <si>
    <t>ACMB-79-RR07-BO</t>
  </si>
  <si>
    <t>ACMB-79-R07-BOA</t>
  </si>
  <si>
    <t>ACMB-79-RR07-BOA</t>
  </si>
  <si>
    <t>ACMB-79-R07-BOB</t>
  </si>
  <si>
    <t>ACMB-79-RR07-BOB</t>
  </si>
  <si>
    <t>ACMB-79-V14-MS</t>
  </si>
  <si>
    <t>ACMB-79-V15-MS</t>
  </si>
  <si>
    <t>ACMB-79-V14-MSA</t>
  </si>
  <si>
    <t>ACMB-79-V15-MSA</t>
  </si>
  <si>
    <t>ACMB-79-V14-MSB</t>
  </si>
  <si>
    <t>ACMB-79-V15-MSB</t>
  </si>
  <si>
    <t>ACMB-80-R01-BO</t>
  </si>
  <si>
    <t>ACMB-80-RR01-BO</t>
  </si>
  <si>
    <t>ACMB-80-R01-BOA</t>
  </si>
  <si>
    <t>ACMB-80-RR01-BOA</t>
  </si>
  <si>
    <t>ACMB-80-R01-BOB</t>
  </si>
  <si>
    <t>ACMB-80-RR01-BOB</t>
  </si>
  <si>
    <t>ACMB-80-V02-MS</t>
  </si>
  <si>
    <t>ACMB-80-V03-MS</t>
  </si>
  <si>
    <t>ACMB-80-V02-MSA</t>
  </si>
  <si>
    <t>ACMB-80-V03-MSA</t>
  </si>
  <si>
    <t>ACMB-80-V02-MSB</t>
  </si>
  <si>
    <t>ACMB-80-V03-MSB</t>
  </si>
  <si>
    <t>ACMB-80-R02-BO</t>
  </si>
  <si>
    <t>ACMB-80-RR02-BO</t>
  </si>
  <si>
    <t>ACMB-80-R02-BOA</t>
  </si>
  <si>
    <t>ACMB-80-RR02-BOA</t>
  </si>
  <si>
    <t>ACMB-80-R02-BOB</t>
  </si>
  <si>
    <t>ACMB-80-RR02-BOB</t>
  </si>
  <si>
    <t>ACMB-80-V04-MS</t>
  </si>
  <si>
    <t>ACMB-80-V05-MS</t>
  </si>
  <si>
    <t>ACMB-80-V04-MSA</t>
  </si>
  <si>
    <t>ACMB-80-V05-MSA</t>
  </si>
  <si>
    <t>ACMB-80-V04-MSB</t>
  </si>
  <si>
    <t>ACMB-80-V05-MSB</t>
  </si>
  <si>
    <t>ACMB-80-R03-BO</t>
  </si>
  <si>
    <t>ACMB-80-RR03-BO</t>
  </si>
  <si>
    <t>ACMB-80-R03-BOA</t>
  </si>
  <si>
    <t>ACMB-80-RR03-BOA</t>
  </si>
  <si>
    <t>ACMB-80-R03-BOB</t>
  </si>
  <si>
    <t>ACMB-80-RR03-BOB</t>
  </si>
  <si>
    <t>ACMB-80-V06-MS</t>
  </si>
  <si>
    <t>ACMB-80-V07-MS</t>
  </si>
  <si>
    <t>ACMB-80-V06-MSA</t>
  </si>
  <si>
    <t>ACMB-80-V07-MSA</t>
  </si>
  <si>
    <t>ACMB-80-V06-MSB</t>
  </si>
  <si>
    <t>ACMB-80-V07-MSB</t>
  </si>
  <si>
    <t>ACMB-80-R04-BO</t>
  </si>
  <si>
    <t>ACMB-80-RR04-BO</t>
  </si>
  <si>
    <t>ACMB-80-R04-BOA</t>
  </si>
  <si>
    <t>ACMB-80-RR04-BOA</t>
  </si>
  <si>
    <t>ACMB-80-R04-BOB</t>
  </si>
  <si>
    <t>ACMB-80-RR04-BOB</t>
  </si>
  <si>
    <t>ACMB-80-V08-MS</t>
  </si>
  <si>
    <t>ACMB-80-V09-MS</t>
  </si>
  <si>
    <t>ACMB-80-V08-MSA</t>
  </si>
  <si>
    <t>ACMB-80-V09-MSA</t>
  </si>
  <si>
    <t>ACMB-80-V08-MSB</t>
  </si>
  <si>
    <t>ACMB-80-V09-MSB</t>
  </si>
  <si>
    <t>ACMB-80-R05-BO</t>
  </si>
  <si>
    <t>ACMB-80-RR05-BO</t>
  </si>
  <si>
    <t>ACMB-80-R05-BOA</t>
  </si>
  <si>
    <t>ACMB-80-RR05-BOA</t>
  </si>
  <si>
    <t>ACMB-80-R05-BOB</t>
  </si>
  <si>
    <t>ACMB-80-RR05-BOB</t>
  </si>
  <si>
    <t>ACMB-80-V10-MS</t>
  </si>
  <si>
    <t>ACMB-80-V11-MS</t>
  </si>
  <si>
    <t>ACMB-80-V10-MSA</t>
  </si>
  <si>
    <t>ACMB-80-V11-MSA</t>
  </si>
  <si>
    <t>ACMB-80-V10-MSB</t>
  </si>
  <si>
    <t>ACMB-80-V11-MSB</t>
  </si>
  <si>
    <t>ACMB-80-R06-BO</t>
  </si>
  <si>
    <t>ACMB-80-RR06-BO</t>
  </si>
  <si>
    <t>ACMB-80-R06-BOA</t>
  </si>
  <si>
    <t>ACMB-80-RR06-BOA</t>
  </si>
  <si>
    <t>ACMB-80-R06-BOB</t>
  </si>
  <si>
    <t>ACMB-80-RR06-BOB</t>
  </si>
  <si>
    <t>ACMB-80-V12-MS</t>
  </si>
  <si>
    <t>ACMB-80-V13-MS</t>
  </si>
  <si>
    <t>ACMB-80-V12-MSA</t>
  </si>
  <si>
    <t>ACMB-80-V13-MSA</t>
  </si>
  <si>
    <t>ACMB-80-V12-MSB</t>
  </si>
  <si>
    <t>ACMB-80-V13-MSB</t>
  </si>
  <si>
    <t>ACMB-80-R07-BO</t>
  </si>
  <si>
    <t>ACMB-80-RR07-BO</t>
  </si>
  <si>
    <t>ACMB-80-R07-BOA</t>
  </si>
  <si>
    <t>ACMB-80-RR07-BOA</t>
  </si>
  <si>
    <t>ACMB-80-R07-BOB</t>
  </si>
  <si>
    <t>ACMB-80-RR07-BOB</t>
  </si>
  <si>
    <t>ACMB-80-V14-MS</t>
  </si>
  <si>
    <t>ACMB-80-V15-MS</t>
  </si>
  <si>
    <t>ACMB-80-V14-MSA</t>
  </si>
  <si>
    <t>ACMB-80-V15-MSA</t>
  </si>
  <si>
    <t>ACMB-80-V14-MSB</t>
  </si>
  <si>
    <t>ACMB-80-V15-MSB</t>
  </si>
  <si>
    <t>ACMB-81-R01-BO</t>
  </si>
  <si>
    <t>ACMB-81-RR01-BO</t>
  </si>
  <si>
    <t>ACMB-81-R01-BOA</t>
  </si>
  <si>
    <t>ACMB-81-RR01-BOA</t>
  </si>
  <si>
    <t>ACMB-81-R01-BOB</t>
  </si>
  <si>
    <t>ACMB-81-RR01-BOB</t>
  </si>
  <si>
    <t>ACMB-81-V02-MS</t>
  </si>
  <si>
    <t>ACMB-81-V03-MS</t>
  </si>
  <si>
    <t>ACMB-81-V02-MSA</t>
  </si>
  <si>
    <t>ACMB-81-V03-MSA</t>
  </si>
  <si>
    <t>ACMB-81-V02-MSB</t>
  </si>
  <si>
    <t>ACMB-81-V03-MSB</t>
  </si>
  <si>
    <t>ACMB-81-R02-BO</t>
  </si>
  <si>
    <t>ACMB-81-RR02-BO</t>
  </si>
  <si>
    <t>ACMB-81-R02-BOA</t>
  </si>
  <si>
    <t>ACMB-81-RR02-BOA</t>
  </si>
  <si>
    <t>ACMB-81-R02-BOB</t>
  </si>
  <si>
    <t>ACMB-81-RR02-BOB</t>
  </si>
  <si>
    <t>ACMB-81-V04-MS</t>
  </si>
  <si>
    <t>ACMB-81-V05-MS</t>
  </si>
  <si>
    <t>ACMB-81-V04-MSA</t>
  </si>
  <si>
    <t>ACMB-81-V05-MSA</t>
  </si>
  <si>
    <t>ACMB-81-V04-MSB</t>
  </si>
  <si>
    <t>ACMB-81-V05-MSB</t>
  </si>
  <si>
    <t>ACMB-81-R03-BO</t>
  </si>
  <si>
    <t>ACMB-81-RR03-BO</t>
  </si>
  <si>
    <t>ACMB-81-R03-BOA</t>
  </si>
  <si>
    <t>ACMB-81-RR03-BOA</t>
  </si>
  <si>
    <t>ACMB-81-R03-BOB</t>
  </si>
  <si>
    <t>ACMB-81-RR03-BOB</t>
  </si>
  <si>
    <t>ACMB-81-V06-MS</t>
  </si>
  <si>
    <t>ACMB-81-V07-MS</t>
  </si>
  <si>
    <t>ACMB-81-V06-MSA</t>
  </si>
  <si>
    <t>ACMB-81-V07-MSA</t>
  </si>
  <si>
    <t>ACMB-81-V06-MSB</t>
  </si>
  <si>
    <t>ACMB-81-V07-MSB</t>
  </si>
  <si>
    <t>ACMB-81-R04-BO</t>
  </si>
  <si>
    <t>ACMB-81-RR04-BO</t>
  </si>
  <si>
    <t>ACMB-81-R04-BOA</t>
  </si>
  <si>
    <t>ACMB-81-RR04-BOA</t>
  </si>
  <si>
    <t>ACMB-81-R04-BOB</t>
  </si>
  <si>
    <t>ACMB-81-RR04-BOB</t>
  </si>
  <si>
    <t>ACMB-81-V08-MS</t>
  </si>
  <si>
    <t>ACMB-81-V09-MS</t>
  </si>
  <si>
    <t>ACMB-81-V08-MSA</t>
  </si>
  <si>
    <t>ACMB-81-V09-MSA</t>
  </si>
  <si>
    <t>ACMB-81-V08-MSB</t>
  </si>
  <si>
    <t>ACMB-81-V09-MSB</t>
  </si>
  <si>
    <t>ACMB-81-R05-BO</t>
  </si>
  <si>
    <t>ACMB-81-RR05-BO</t>
  </si>
  <si>
    <t>ACMB-81-R05-BOA</t>
  </si>
  <si>
    <t>ACMB-81-RR05-BOA</t>
  </si>
  <si>
    <t>ACMB-81-R05-BOB</t>
  </si>
  <si>
    <t>ACMB-81-RR05-BOB</t>
  </si>
  <si>
    <t>ACMB-81-V10-MS</t>
  </si>
  <si>
    <t>ACMB-81-V11-MS</t>
  </si>
  <si>
    <t>ACMB-81-V10-MSA</t>
  </si>
  <si>
    <t>ACMB-81-V11-MSA</t>
  </si>
  <si>
    <t>ACMB-81-V10-MSB</t>
  </si>
  <si>
    <t>ACMB-81-V11-MSB</t>
  </si>
  <si>
    <t>ACMB-81-R06-BO</t>
  </si>
  <si>
    <t>ACMB-81-RR06-BO</t>
  </si>
  <si>
    <t>ACMB-81-R06-BOA</t>
  </si>
  <si>
    <t>ACMB-81-RR06-BOA</t>
  </si>
  <si>
    <t>ACMB-81-R06-BOB</t>
  </si>
  <si>
    <t>ACMB-81-RR06-BOB</t>
  </si>
  <si>
    <t>ACMB-81-V12-MS</t>
  </si>
  <si>
    <t>ACMB-81-V13-MS</t>
  </si>
  <si>
    <t>ACMB-81-V12-MSA</t>
  </si>
  <si>
    <t>ACMB-81-V13-MSA</t>
  </si>
  <si>
    <t>ACMB-81-V12-MSB</t>
  </si>
  <si>
    <t>ACMB-81-V13-MSB</t>
  </si>
  <si>
    <t>ACMB-81-R07-BO</t>
  </si>
  <si>
    <t>ACMB-81-RR07-BO</t>
  </si>
  <si>
    <t>ACMB-81-R07-BOA</t>
  </si>
  <si>
    <t>ACMB-81-RR07-BOA</t>
  </si>
  <si>
    <t>ACMB-81-R07-BOB</t>
  </si>
  <si>
    <t>ACMB-81-RR07-BOB</t>
  </si>
  <si>
    <t>ACMB-81-V14-MS</t>
  </si>
  <si>
    <t>ACMB-81-V15-MS</t>
  </si>
  <si>
    <t>ACMB-81-V14-MSA</t>
  </si>
  <si>
    <t>ACMB-81-V15-MSA</t>
  </si>
  <si>
    <t>ACMB-81-V14-MSB</t>
  </si>
  <si>
    <t>ACMB-81-V15-MSB</t>
  </si>
  <si>
    <t>ACMB-82-R01-BO</t>
  </si>
  <si>
    <t>ACMB-82-RR01-BO</t>
  </si>
  <si>
    <t>ACMB-82-R01-BOA</t>
  </si>
  <si>
    <t>ACMB-82-RR01-BOA</t>
  </si>
  <si>
    <t>ACMB-82-R01-BOB</t>
  </si>
  <si>
    <t>ACMB-82-RR01-BOB</t>
  </si>
  <si>
    <t>ACMB-82-V02-MS</t>
  </si>
  <si>
    <t>ACMB-82-V03-MS</t>
  </si>
  <si>
    <t>ACMB-82-V02-MSA</t>
  </si>
  <si>
    <t>ACMB-82-V03-MSA</t>
  </si>
  <si>
    <t>ACMB-82-V02-MSB</t>
  </si>
  <si>
    <t>ACMB-82-V03-MSB</t>
  </si>
  <si>
    <t>ACMB-82-R02-BO</t>
  </si>
  <si>
    <t>ACMB-82-RR02-BO</t>
  </si>
  <si>
    <t>ACMB-82-R02-BOA</t>
  </si>
  <si>
    <t>ACMB-82-RR02-BOA</t>
  </si>
  <si>
    <t>ACMB-82-R02-BOB</t>
  </si>
  <si>
    <t>ACMB-82-RR02-BOB</t>
  </si>
  <si>
    <t>ACMB-82-V04-MS</t>
  </si>
  <si>
    <t>ACMB-82-V05-MS</t>
  </si>
  <si>
    <t>ACMB-82-V04-MSA</t>
  </si>
  <si>
    <t>ACMB-82-V05-MSA</t>
  </si>
  <si>
    <t>ACMB-82-V04-MSB</t>
  </si>
  <si>
    <t>ACMB-82-V05-MSB</t>
  </si>
  <si>
    <t>ACMB-82-R03-BO</t>
  </si>
  <si>
    <t>ACMB-82-RR03-BO</t>
  </si>
  <si>
    <t>ACMB-82-R03-BOA</t>
  </si>
  <si>
    <t>ACMB-82-RR03-BOA</t>
  </si>
  <si>
    <t>ACMB-82-R03-BOB</t>
  </si>
  <si>
    <t>ACMB-82-RR03-BOB</t>
  </si>
  <si>
    <t>ACMB-82-V06-MS</t>
  </si>
  <si>
    <t>ACMB-82-V07-MS</t>
  </si>
  <si>
    <t>ACMB-82-V06-MSA</t>
  </si>
  <si>
    <t>ACMB-82-V07-MSA</t>
  </si>
  <si>
    <t>ACMB-82-V06-MSB</t>
  </si>
  <si>
    <t>ACMB-82-V07-MSB</t>
  </si>
  <si>
    <t>ACMB-82-R04-BO</t>
  </si>
  <si>
    <t>ACMB-82-RR04-BO</t>
  </si>
  <si>
    <t>ACMB-82-R04-BOA</t>
  </si>
  <si>
    <t>ACMB-82-RR04-BOA</t>
  </si>
  <si>
    <t>ACMB-82-R04-BOB</t>
  </si>
  <si>
    <t>ACMB-82-RR04-BOB</t>
  </si>
  <si>
    <t>ACMB-82-V08-MS</t>
  </si>
  <si>
    <t>ACMB-82-V09-MS</t>
  </si>
  <si>
    <t>ACMB-82-V08-MSA</t>
  </si>
  <si>
    <t>ACMB-82-V09-MSA</t>
  </si>
  <si>
    <t>ACMB-82-V08-MSB</t>
  </si>
  <si>
    <t>ACMB-82-V09-MSB</t>
  </si>
  <si>
    <t>ACMB-82-R05-BO</t>
  </si>
  <si>
    <t>ACMB-82-RR05-BO</t>
  </si>
  <si>
    <t>ACMB-82-R05-BOA</t>
  </si>
  <si>
    <t>ACMB-82-RR05-BOA</t>
  </si>
  <si>
    <t>ACMB-82-R05-BOB</t>
  </si>
  <si>
    <t>ACMB-82-RR05-BOB</t>
  </si>
  <si>
    <t>ACMB-82-V10-MS</t>
  </si>
  <si>
    <t>ACMB-82-V11-MS</t>
  </si>
  <si>
    <t>ACMB-82-V10-MSA</t>
  </si>
  <si>
    <t>ACMB-82-V11-MSA</t>
  </si>
  <si>
    <t>ACMB-82-V10-MSB</t>
  </si>
  <si>
    <t>ACMB-82-V11-MSB</t>
  </si>
  <si>
    <t>ACMB-82-R06-BO</t>
  </si>
  <si>
    <t>ACMB-82-RR06-BO</t>
  </si>
  <si>
    <t>ACMB-82-R06-BOA</t>
  </si>
  <si>
    <t>ACMB-82-RR06-BOA</t>
  </si>
  <si>
    <t>ACMB-82-R06-BOB</t>
  </si>
  <si>
    <t>ACMB-82-RR06-BOB</t>
  </si>
  <si>
    <t>ACMB-82-V12-MS</t>
  </si>
  <si>
    <t>ACMB-82-V13-MS</t>
  </si>
  <si>
    <t>ACMB-82-V12-MSA</t>
  </si>
  <si>
    <t>ACMB-82-V13-MSA</t>
  </si>
  <si>
    <t>ACMB-82-V12-MSB</t>
  </si>
  <si>
    <t>ACMB-82-V13-MSB</t>
  </si>
  <si>
    <t>ACMB-82-R07-BO</t>
  </si>
  <si>
    <t>ACMB-82-RR07-BO</t>
  </si>
  <si>
    <t>ACMB-82-R07-BOA</t>
  </si>
  <si>
    <t>ACMB-82-RR07-BOA</t>
  </si>
  <si>
    <t>ACMB-82-R07-BOB</t>
  </si>
  <si>
    <t>ACMB-82-RR07-BOB</t>
  </si>
  <si>
    <t>ACMB-82-V14-MS</t>
  </si>
  <si>
    <t>ACMB-82-V15-MS</t>
  </si>
  <si>
    <t>ACMB-82-V14-MSA</t>
  </si>
  <si>
    <t>ACMB-82-V15-MSA</t>
  </si>
  <si>
    <t>ACMB-82-V14-MSB</t>
  </si>
  <si>
    <t>ACMB-82-V15-MSB</t>
  </si>
  <si>
    <t>ACMB-83-R01-BO</t>
  </si>
  <si>
    <t>ACMB-83-RR01-BO</t>
  </si>
  <si>
    <t>ACMB-83-R01-BOA</t>
  </si>
  <si>
    <t>ACMB-83-RR01-BOA</t>
  </si>
  <si>
    <t>ACMB-83-R01-BOB</t>
  </si>
  <si>
    <t>ACMB-83-RR01-BOB</t>
  </si>
  <si>
    <t>ACMB-83-V02-MS</t>
  </si>
  <si>
    <t>ACMB-83-V03-MS</t>
  </si>
  <si>
    <t>ACMB-83-V02-MSA</t>
  </si>
  <si>
    <t>ACMB-83-V03-MSA</t>
  </si>
  <si>
    <t>ACMB-83-V02-MSB</t>
  </si>
  <si>
    <t>ACMB-83-V03-MSB</t>
  </si>
  <si>
    <t>ACMB-83-R02-BO</t>
  </si>
  <si>
    <t>ACMB-83-RR02-BO</t>
  </si>
  <si>
    <t>ACMB-83-R02-BOA</t>
  </si>
  <si>
    <t>ACMB-83-RR02-BOA</t>
  </si>
  <si>
    <t>ACMB-83-R02-BOB</t>
  </si>
  <si>
    <t>ACMB-83-RR02-BOB</t>
  </si>
  <si>
    <t>ACMB-83-V04-MS</t>
  </si>
  <si>
    <t>ACMB-83-V05-MS</t>
  </si>
  <si>
    <t>ACMB-83-V04-MSA</t>
  </si>
  <si>
    <t>ACMB-83-V05-MSA</t>
  </si>
  <si>
    <t>ACMB-83-V04-MSB</t>
  </si>
  <si>
    <t>ACMB-83-V05-MSB</t>
  </si>
  <si>
    <t>ACMB-83-R03-BO</t>
  </si>
  <si>
    <t>ACMB-83-RR03-BO</t>
  </si>
  <si>
    <t>ACMB-83-R03-BOA</t>
  </si>
  <si>
    <t>ACMB-83-RR03-BOA</t>
  </si>
  <si>
    <t>ACMB-83-R03-BOB</t>
  </si>
  <si>
    <t>ACMB-83-RR03-BOB</t>
  </si>
  <si>
    <t>ACMB-83-V06-MS</t>
  </si>
  <si>
    <t>ACMB-83-V07-MS</t>
  </si>
  <si>
    <t>ACMB-83-V06-MSA</t>
  </si>
  <si>
    <t>ACMB-83-V07-MSA</t>
  </si>
  <si>
    <t>ACMB-83-V06-MSB</t>
  </si>
  <si>
    <t>ACMB-83-V07-MSB</t>
  </si>
  <si>
    <t>ACMB-83-R04-BO</t>
  </si>
  <si>
    <t>ACMB-83-RR04-BO</t>
  </si>
  <si>
    <t>ACMB-83-R04-BOA</t>
  </si>
  <si>
    <t>ACMB-83-RR04-BOA</t>
  </si>
  <si>
    <t>ACMB-83-R04-BOB</t>
  </si>
  <si>
    <t>ACMB-83-RR04-BOB</t>
  </si>
  <si>
    <t>ACMB-83-V08-MS</t>
  </si>
  <si>
    <t>ACMB-83-V09-MS</t>
  </si>
  <si>
    <t>ACMB-83-V08-MSA</t>
  </si>
  <si>
    <t>ACMB-83-V09-MSA</t>
  </si>
  <si>
    <t>ACMB-83-V08-MSB</t>
  </si>
  <si>
    <t>ACMB-83-V09-MSB</t>
  </si>
  <si>
    <t>ACMB-83-R05-BO</t>
  </si>
  <si>
    <t>ACMB-83-RR05-BO</t>
  </si>
  <si>
    <t>ACMB-83-R05-BOA</t>
  </si>
  <si>
    <t>ACMB-83-RR05-BOA</t>
  </si>
  <si>
    <t>ACMB-83-R05-BOB</t>
  </si>
  <si>
    <t>ACMB-83-RR05-BOB</t>
  </si>
  <si>
    <t>ACMB-83-V10-MS</t>
  </si>
  <si>
    <t>ACMB-83-V11-MS</t>
  </si>
  <si>
    <t>ACMB-83-V10-MSA</t>
  </si>
  <si>
    <t>ACMB-83-V11-MSA</t>
  </si>
  <si>
    <t>ACMB-83-V10-MSB</t>
  </si>
  <si>
    <t>ACMB-83-V11-MSB</t>
  </si>
  <si>
    <t>ACMB-83-R06-BO</t>
  </si>
  <si>
    <t>ACMB-83-RR06-BO</t>
  </si>
  <si>
    <t>ACMB-83-R06-BOA</t>
  </si>
  <si>
    <t>ACMB-83-RR06-BOA</t>
  </si>
  <si>
    <t>ACMB-83-R06-BOB</t>
  </si>
  <si>
    <t>ACMB-83-RR06-BOB</t>
  </si>
  <si>
    <t>ACMB-83-V12-MS</t>
  </si>
  <si>
    <t>ACMB-83-V13-MS</t>
  </si>
  <si>
    <t>ACMB-83-V12-MSA</t>
  </si>
  <si>
    <t>ACMB-83-V13-MSA</t>
  </si>
  <si>
    <t>ACMB-83-V12-MSB</t>
  </si>
  <si>
    <t>ACMB-83-V13-MSB</t>
  </si>
  <si>
    <t>ACMB-83-R07-BO</t>
  </si>
  <si>
    <t>ACMB-83-RR07-BO</t>
  </si>
  <si>
    <t>ACMB-83-R07-BOA</t>
  </si>
  <si>
    <t>ACMB-83-RR07-BOA</t>
  </si>
  <si>
    <t>ACMB-83-R07-BOB</t>
  </si>
  <si>
    <t>ACMB-83-RR07-BOB</t>
  </si>
  <si>
    <t>ACMB-83-V14-MS</t>
  </si>
  <si>
    <t>ACMB-83-V15-MS</t>
  </si>
  <si>
    <t>ACMB-83-V14-MSA</t>
  </si>
  <si>
    <t>ACMB-83-V15-MSA</t>
  </si>
  <si>
    <t>ACMB-83-V14-MSB</t>
  </si>
  <si>
    <t>ACMB-83-V15-MSB</t>
  </si>
  <si>
    <t>ACMB-84-R01-BO</t>
  </si>
  <si>
    <t>ACMB-84-RR01-BO</t>
  </si>
  <si>
    <t>ACMB-84-R01-BOA</t>
  </si>
  <si>
    <t>ACMB-84-RR01-BOA</t>
  </si>
  <si>
    <t>ACMB-84-R01-BOB</t>
  </si>
  <si>
    <t>ACMB-84-RR01-BOB</t>
  </si>
  <si>
    <t>ACMB-84-V02-MS</t>
  </si>
  <si>
    <t>ACMB-84-V03-MS</t>
  </si>
  <si>
    <t>ACMB-84-V02-MSA</t>
  </si>
  <si>
    <t>ACMB-84-V03-MSA</t>
  </si>
  <si>
    <t>ACMB-84-V02-MSB</t>
  </si>
  <si>
    <t>ACMB-84-V03-MSB</t>
  </si>
  <si>
    <t>ACMB-84-R02-BO</t>
  </si>
  <si>
    <t>ACMB-84-RR02-BO</t>
  </si>
  <si>
    <t>ACMB-84-R02-BOA</t>
  </si>
  <si>
    <t>ACMB-84-RR02-BOA</t>
  </si>
  <si>
    <t>ACMB-84-R02-BOB</t>
  </si>
  <si>
    <t>ACMB-84-RR02-BOB</t>
  </si>
  <si>
    <t>ACMB-84-V04-MS</t>
  </si>
  <si>
    <t>ACMB-84-V05-MS</t>
  </si>
  <si>
    <t>ACMB-84-V04-MSA</t>
  </si>
  <si>
    <t>ACMB-84-V05-MSA</t>
  </si>
  <si>
    <t>ACMB-84-V04-MSB</t>
  </si>
  <si>
    <t>ACMB-84-V05-MSB</t>
  </si>
  <si>
    <t>ACMB-84-R03-BO</t>
  </si>
  <si>
    <t>ACMB-84-RR03-BO</t>
  </si>
  <si>
    <t>ACMB-84-R03-BOA</t>
  </si>
  <si>
    <t>ACMB-84-RR03-BOA</t>
  </si>
  <si>
    <t>ACMB-84-R03-BOB</t>
  </si>
  <si>
    <t>ACMB-84-RR03-BOB</t>
  </si>
  <si>
    <t>ACMB-84-V06-MS</t>
  </si>
  <si>
    <t>ACMB-84-V07-MS</t>
  </si>
  <si>
    <t>ACMB-84-V06-MSA</t>
  </si>
  <si>
    <t>ACMB-84-V07-MSA</t>
  </si>
  <si>
    <t>ACMB-84-V06-MSB</t>
  </si>
  <si>
    <t>ACMB-84-V07-MSB</t>
  </si>
  <si>
    <t>ACMB-84-R04-BO</t>
  </si>
  <si>
    <t>ACMB-84-RR04-BO</t>
  </si>
  <si>
    <t>ACMB-84-R04-BOA</t>
  </si>
  <si>
    <t>ACMB-84-RR04-BOA</t>
  </si>
  <si>
    <t>ACMB-84-R04-BOB</t>
  </si>
  <si>
    <t>ACMB-84-RR04-BOB</t>
  </si>
  <si>
    <t>ACMB-84-V08-MS</t>
  </si>
  <si>
    <t>ACMB-84-V09-MS</t>
  </si>
  <si>
    <t>ACMB-84-V08-MSA</t>
  </si>
  <si>
    <t>ACMB-84-V09-MSA</t>
  </si>
  <si>
    <t>ACMB-84-V08-MSB</t>
  </si>
  <si>
    <t>ACMB-84-V09-MSB</t>
  </si>
  <si>
    <t>ACMB-84-R05-BO</t>
  </si>
  <si>
    <t>ACMB-84-RR05-BO</t>
  </si>
  <si>
    <t>ACMB-84-R05-BOA</t>
  </si>
  <si>
    <t>ACMB-84-RR05-BOA</t>
  </si>
  <si>
    <t>ACMB-84-R05-BOB</t>
  </si>
  <si>
    <t>ACMB-84-RR05-BOB</t>
  </si>
  <si>
    <t>ACMB-84-V10-MS</t>
  </si>
  <si>
    <t>ACMB-84-V11-MS</t>
  </si>
  <si>
    <t>ACMB-84-V10-MSA</t>
  </si>
  <si>
    <t>ACMB-84-V11-MSA</t>
  </si>
  <si>
    <t>ACMB-84-V10-MSB</t>
  </si>
  <si>
    <t>ACMB-84-V11-MSB</t>
  </si>
  <si>
    <t>ACMB-84-R06-BO</t>
  </si>
  <si>
    <t>ACMB-84-RR06-BO</t>
  </si>
  <si>
    <t>ACMB-84-R06-BOA</t>
  </si>
  <si>
    <t>ACMB-84-RR06-BOA</t>
  </si>
  <si>
    <t>ACMB-84-R06-BOB</t>
  </si>
  <si>
    <t>ACMB-84-RR06-BOB</t>
  </si>
  <si>
    <t>ACMB-84-V12-MS</t>
  </si>
  <si>
    <t>ACMB-84-V13-MS</t>
  </si>
  <si>
    <t>ACMB-84-V12-MSA</t>
  </si>
  <si>
    <t>ACMB-84-V13-MSA</t>
  </si>
  <si>
    <t>ACMB-84-V12-MSB</t>
  </si>
  <si>
    <t>ACMB-84-V13-MSB</t>
  </si>
  <si>
    <t>ACMB-84-R07-BO</t>
  </si>
  <si>
    <t>ACMB-84-RR07-BO</t>
  </si>
  <si>
    <t>ACMB-84-R07-BOA</t>
  </si>
  <si>
    <t>ACMB-84-RR07-BOA</t>
  </si>
  <si>
    <t>ACMB-84-R07-BOB</t>
  </si>
  <si>
    <t>ACMB-84-RR07-BOB</t>
  </si>
  <si>
    <t>ACMB-84-V14-MS</t>
  </si>
  <si>
    <t>ACMB-84-V15-MS</t>
  </si>
  <si>
    <t>ACMB-84-V14-MSA</t>
  </si>
  <si>
    <t>ACMB-84-V15-MSA</t>
  </si>
  <si>
    <t>ACMB-84-V14-MSB</t>
  </si>
  <si>
    <t>ACMB-84-V15-MSB</t>
  </si>
  <si>
    <t>ACMB-85-R01-BO</t>
  </si>
  <si>
    <t>ACMB-85-RR01-BO</t>
  </si>
  <si>
    <t>ACMB-85-R01-BOA</t>
  </si>
  <si>
    <t>ACMB-85-RR01-BOA</t>
  </si>
  <si>
    <t>ACMB-85-R01-BOB</t>
  </si>
  <si>
    <t>ACMB-85-RR01-BOB</t>
  </si>
  <si>
    <t>ACMB-85-V02-MS</t>
  </si>
  <si>
    <t>ACMB-85-V03-MS</t>
  </si>
  <si>
    <t>ACMB-85-V02-MSA</t>
  </si>
  <si>
    <t>ACMB-85-V03-MSA</t>
  </si>
  <si>
    <t>ACMB-85-V02-MSB</t>
  </si>
  <si>
    <t>ACMB-85-V03-MSB</t>
  </si>
  <si>
    <t>ACMB-85-R02-BO</t>
  </si>
  <si>
    <t>ACMB-85-RR02-BO</t>
  </si>
  <si>
    <t>ACMB-85-R02-BOA</t>
  </si>
  <si>
    <t>ACMB-85-RR02-BOA</t>
  </si>
  <si>
    <t>ACMB-85-R02-BOB</t>
  </si>
  <si>
    <t>ACMB-85-RR02-BOB</t>
  </si>
  <si>
    <t>ACMB-85-V04-MS</t>
  </si>
  <si>
    <t>ACMB-85-V05-MS</t>
  </si>
  <si>
    <t>ACMB-85-V04-MSA</t>
  </si>
  <si>
    <t>ACMB-85-V05-MSA</t>
  </si>
  <si>
    <t>ACMB-85-V04-MSB</t>
  </si>
  <si>
    <t>ACMB-85-V05-MSB</t>
  </si>
  <si>
    <t>ACMB-85-R03-BO</t>
  </si>
  <si>
    <t>ACMB-85-RR03-BO</t>
  </si>
  <si>
    <t>ACMB-85-R03-BOA</t>
  </si>
  <si>
    <t>ACMB-85-RR03-BOA</t>
  </si>
  <si>
    <t>ACMB-85-R03-BOB</t>
  </si>
  <si>
    <t>ACMB-85-RR03-BOB</t>
  </si>
  <si>
    <t>ACMB-85-V06-MS</t>
  </si>
  <si>
    <t>ACMB-85-V07-MS</t>
  </si>
  <si>
    <t>ACMB-85-V06-MSA</t>
  </si>
  <si>
    <t>ACMB-85-V07-MSA</t>
  </si>
  <si>
    <t>ACMB-85-V06-MSB</t>
  </si>
  <si>
    <t>ACMB-85-V07-MSB</t>
  </si>
  <si>
    <t>ACMB-85-R04-BO</t>
  </si>
  <si>
    <t>ACMB-85-RR04-BO</t>
  </si>
  <si>
    <t>ACMB-85-R04-BOA</t>
  </si>
  <si>
    <t>ACMB-85-RR04-BOA</t>
  </si>
  <si>
    <t>ACMB-85-R04-BOB</t>
  </si>
  <si>
    <t>ACMB-85-RR04-BOB</t>
  </si>
  <si>
    <t>ACMB-85-V08-MS</t>
  </si>
  <si>
    <t>ACMB-85-V09-MS</t>
  </si>
  <si>
    <t>ACMB-85-V08-MSA</t>
  </si>
  <si>
    <t>ACMB-85-V09-MSA</t>
  </si>
  <si>
    <t>ACMB-85-V08-MSB</t>
  </si>
  <si>
    <t>ACMB-85-V09-MSB</t>
  </si>
  <si>
    <t>ACMB-85-R05-BO</t>
  </si>
  <si>
    <t>ACMB-85-RR05-BO</t>
  </si>
  <si>
    <t>ACMB-85-R05-BOA</t>
  </si>
  <si>
    <t>ACMB-85-RR05-BOA</t>
  </si>
  <si>
    <t>ACMB-85-R05-BOB</t>
  </si>
  <si>
    <t>ACMB-85-RR05-BOB</t>
  </si>
  <si>
    <t>ACMB-85-V10-MS</t>
  </si>
  <si>
    <t>ACMB-85-V11-MS</t>
  </si>
  <si>
    <t>ACMB-85-V10-MSA</t>
  </si>
  <si>
    <t>ACMB-85-V11-MSA</t>
  </si>
  <si>
    <t>ACMB-85-V10-MSB</t>
  </si>
  <si>
    <t>ACMB-85-V11-MSB</t>
  </si>
  <si>
    <t>ACMB-85-R06-BO</t>
  </si>
  <si>
    <t>ACMB-85-RR06-BO</t>
  </si>
  <si>
    <t>ACMB-85-R06-BOA</t>
  </si>
  <si>
    <t>ACMB-85-RR06-BOA</t>
  </si>
  <si>
    <t>ACMB-85-R06-BOB</t>
  </si>
  <si>
    <t>ACMB-85-RR06-BOB</t>
  </si>
  <si>
    <t>ACMB-85-V12-MS</t>
  </si>
  <si>
    <t>ACMB-85-V13-MS</t>
  </si>
  <si>
    <t>ACMB-85-V12-MSA</t>
  </si>
  <si>
    <t>ACMB-85-V13-MSA</t>
  </si>
  <si>
    <t>ACMB-85-V12-MSB</t>
  </si>
  <si>
    <t>ACMB-85-V13-MSB</t>
  </si>
  <si>
    <t>ACMB-85-R07-BO</t>
  </si>
  <si>
    <t>ACMB-85-RR07-BO</t>
  </si>
  <si>
    <t>ACMB-85-R07-BOA</t>
  </si>
  <si>
    <t>ACMB-85-RR07-BOA</t>
  </si>
  <si>
    <t>ACMB-85-R07-BOB</t>
  </si>
  <si>
    <t>ACMB-85-RR07-BOB</t>
  </si>
  <si>
    <t>ACMB-85-V14-MS</t>
  </si>
  <si>
    <t>ACMB-85-V15-MS</t>
  </si>
  <si>
    <t>ACMB-85-V14-MSA</t>
  </si>
  <si>
    <t>ACMB-85-V15-MSA</t>
  </si>
  <si>
    <t>ACMB-85-V14-MSB</t>
  </si>
  <si>
    <t>ACMB-85-V15-MSB</t>
  </si>
  <si>
    <t>ACMB-86-R01-BO</t>
  </si>
  <si>
    <t>ACMB-86-RR01-BO</t>
  </si>
  <si>
    <t>ACMB-86-R01-BOA</t>
  </si>
  <si>
    <t>ACMB-86-RR01-BOA</t>
  </si>
  <si>
    <t>ACMB-86-R01-BOB</t>
  </si>
  <si>
    <t>ACMB-86-RR01-BOB</t>
  </si>
  <si>
    <t>ACMB-86-V02-MS</t>
  </si>
  <si>
    <t>ACMB-86-V03-MS</t>
  </si>
  <si>
    <t>ACMB-86-V02-MSA</t>
  </si>
  <si>
    <t>ACMB-86-V03-MSA</t>
  </si>
  <si>
    <t>ACMB-86-V02-MSB</t>
  </si>
  <si>
    <t>ACMB-86-V03-MSB</t>
  </si>
  <si>
    <t>ACMB-86-R02-BO</t>
  </si>
  <si>
    <t>ACMB-86-RR02-BO</t>
  </si>
  <si>
    <t>ACMB-86-R02-BOA</t>
  </si>
  <si>
    <t>ACMB-86-RR02-BOA</t>
  </si>
  <si>
    <t>ACMB-86-R02-BOB</t>
  </si>
  <si>
    <t>ACMB-86-RR02-BOB</t>
  </si>
  <si>
    <t>ACMB-86-V04-MS</t>
  </si>
  <si>
    <t>ACMB-86-V05-MS</t>
  </si>
  <si>
    <t>ACMB-86-V04-MSA</t>
  </si>
  <si>
    <t>ACMB-86-V05-MSA</t>
  </si>
  <si>
    <t>ACMB-86-V04-MSB</t>
  </si>
  <si>
    <t>ACMB-86-V05-MSB</t>
  </si>
  <si>
    <t>ACMB-86-R03-BO</t>
  </si>
  <si>
    <t>ACMB-86-RR03-BO</t>
  </si>
  <si>
    <t>ACMB-86-R03-BOA</t>
  </si>
  <si>
    <t>ACMB-86-RR03-BOA</t>
  </si>
  <si>
    <t>ACMB-86-R03-BOB</t>
  </si>
  <si>
    <t>ACMB-86-RR03-BOB</t>
  </si>
  <si>
    <t>ACMB-86-V06-MS</t>
  </si>
  <si>
    <t>ACMB-86-V07-MS</t>
  </si>
  <si>
    <t>ACMB-86-V06-MSA</t>
  </si>
  <si>
    <t>ACMB-86-V07-MSA</t>
  </si>
  <si>
    <t>ACMB-86-V06-MSB</t>
  </si>
  <si>
    <t>ACMB-86-V07-MSB</t>
  </si>
  <si>
    <t>ACMB-86-R04-BO</t>
  </si>
  <si>
    <t>ACMB-86-RR04-BO</t>
  </si>
  <si>
    <t>ACMB-86-R04-BOA</t>
  </si>
  <si>
    <t>ACMB-86-RR04-BOA</t>
  </si>
  <si>
    <t>ACMB-86-R04-BOB</t>
  </si>
  <si>
    <t>ACMB-86-RR04-BOB</t>
  </si>
  <si>
    <t>ACMB-86-V08-MS</t>
  </si>
  <si>
    <t>ACMB-86-V09-MS</t>
  </si>
  <si>
    <t>ACMB-86-V08-MSA</t>
  </si>
  <si>
    <t>ACMB-86-V09-MSA</t>
  </si>
  <si>
    <t>ACMB-86-V08-MSB</t>
  </si>
  <si>
    <t>ACMB-86-V09-MSB</t>
  </si>
  <si>
    <t>ACMB-86-R05-BO</t>
  </si>
  <si>
    <t>ACMB-86-RR05-BO</t>
  </si>
  <si>
    <t>ACMB-86-R05-BOA</t>
  </si>
  <si>
    <t>ACMB-86-RR05-BOA</t>
  </si>
  <si>
    <t>ACMB-86-R05-BOB</t>
  </si>
  <si>
    <t>ACMB-86-RR05-BOB</t>
  </si>
  <si>
    <t>ACMB-86-V10-MS</t>
  </si>
  <si>
    <t>ACMB-86-V11-MS</t>
  </si>
  <si>
    <t>ACMB-86-V10-MSA</t>
  </si>
  <si>
    <t>ACMB-86-V11-MSA</t>
  </si>
  <si>
    <t>ACMB-86-V10-MSB</t>
  </si>
  <si>
    <t>ACMB-86-V11-MSB</t>
  </si>
  <si>
    <t>ACMB-86-R06-BO</t>
  </si>
  <si>
    <t>ACMB-86-RR06-BO</t>
  </si>
  <si>
    <t>ACMB-86-R06-BOA</t>
  </si>
  <si>
    <t>ACMB-86-RR06-BOA</t>
  </si>
  <si>
    <t>ACMB-86-R06-BOB</t>
  </si>
  <si>
    <t>ACMB-86-RR06-BOB</t>
  </si>
  <si>
    <t>ACMB-86-V12-MS</t>
  </si>
  <si>
    <t>ACMB-86-V13-MS</t>
  </si>
  <si>
    <t>ACMB-86-V12-MSA</t>
  </si>
  <si>
    <t>ACMB-86-V13-MSA</t>
  </si>
  <si>
    <t>ACMB-86-V12-MSB</t>
  </si>
  <si>
    <t>ACMB-86-V13-MSB</t>
  </si>
  <si>
    <t>ACMB-86-R07-BO</t>
  </si>
  <si>
    <t>ACMB-86-RR07-BO</t>
  </si>
  <si>
    <t>ACMB-86-R07-BOA</t>
  </si>
  <si>
    <t>ACMB-86-RR07-BOA</t>
  </si>
  <si>
    <t>ACMB-86-R07-BOB</t>
  </si>
  <si>
    <t>ACMB-86-RR07-BOB</t>
  </si>
  <si>
    <t>ACMB-86-V14-MS</t>
  </si>
  <si>
    <t>ACMB-86-V15-MS</t>
  </si>
  <si>
    <t>ACMB-86-V14-MSA</t>
  </si>
  <si>
    <t>ACMB-86-V15-MSA</t>
  </si>
  <si>
    <t>ACMB-86-V14-MSB</t>
  </si>
  <si>
    <t>ACMB-86-V15-MSB</t>
  </si>
  <si>
    <t>ACMB-87-R01-BO</t>
  </si>
  <si>
    <t>ACMB-87-RR01-BO</t>
  </si>
  <si>
    <t>ACMB-87-R01-BOA</t>
  </si>
  <si>
    <t>ACMB-87-RR01-BOA</t>
  </si>
  <si>
    <t>ACMB-87-R01-BOB</t>
  </si>
  <si>
    <t>ACMB-87-RR01-BOB</t>
  </si>
  <si>
    <t>ACMB-87-V02-MS</t>
  </si>
  <si>
    <t>ACMB-87-V03-MS</t>
  </si>
  <si>
    <t>ACMB-87-V02-MSA</t>
  </si>
  <si>
    <t>ACMB-87-V03-MSA</t>
  </si>
  <si>
    <t>ACMB-87-V02-MSB</t>
  </si>
  <si>
    <t>ACMB-87-V03-MSB</t>
  </si>
  <si>
    <t>ACMB-87-R02-BO</t>
  </si>
  <si>
    <t>ACMB-87-RR02-BO</t>
  </si>
  <si>
    <t>ACMB-87-R02-BOA</t>
  </si>
  <si>
    <t>ACMB-87-RR02-BOA</t>
  </si>
  <si>
    <t>ACMB-87-R02-BOB</t>
  </si>
  <si>
    <t>ACMB-87-RR02-BOB</t>
  </si>
  <si>
    <t>ACMB-87-V04-MS</t>
  </si>
  <si>
    <t>ACMB-87-V05-MS</t>
  </si>
  <si>
    <t>ACMB-87-V04-MSA</t>
  </si>
  <si>
    <t>ACMB-87-V05-MSA</t>
  </si>
  <si>
    <t>ACMB-87-V04-MSB</t>
  </si>
  <si>
    <t>ACMB-87-V05-MSB</t>
  </si>
  <si>
    <t>ACMB-87-R03-BO</t>
  </si>
  <si>
    <t>ACMB-87-RR03-BO</t>
  </si>
  <si>
    <t>ACMB-87-R03-BOA</t>
  </si>
  <si>
    <t>ACMB-87-RR03-BOA</t>
  </si>
  <si>
    <t>ACMB-87-R03-BOB</t>
  </si>
  <si>
    <t>ACMB-87-RR03-BOB</t>
  </si>
  <si>
    <t>ACMB-87-V06-MS</t>
  </si>
  <si>
    <t>ACMB-87-V07-MS</t>
  </si>
  <si>
    <t>ACMB-87-V06-MSA</t>
  </si>
  <si>
    <t>ACMB-87-V07-MSA</t>
  </si>
  <si>
    <t>ACMB-87-V06-MSB</t>
  </si>
  <si>
    <t>ACMB-87-V07-MSB</t>
  </si>
  <si>
    <t>ACMB-87-R04-BO</t>
  </si>
  <si>
    <t>ACMB-87-RR04-BO</t>
  </si>
  <si>
    <t>ACMB-87-R04-BOA</t>
  </si>
  <si>
    <t>ACMB-87-RR04-BOA</t>
  </si>
  <si>
    <t>ACMB-87-R04-BOB</t>
  </si>
  <si>
    <t>ACMB-87-RR04-BOB</t>
  </si>
  <si>
    <t>ACMB-87-V08-MS</t>
  </si>
  <si>
    <t>ACMB-87-V09-MS</t>
  </si>
  <si>
    <t>ACMB-87-V08-MSA</t>
  </si>
  <si>
    <t>ACMB-87-V09-MSA</t>
  </si>
  <si>
    <t>ACMB-87-V08-MSB</t>
  </si>
  <si>
    <t>ACMB-87-V09-MSB</t>
  </si>
  <si>
    <t>ACMB-87-R05-BO</t>
  </si>
  <si>
    <t>ACMB-87-RR05-BO</t>
  </si>
  <si>
    <t>ACMB-87-R05-BOA</t>
  </si>
  <si>
    <t>ACMB-87-RR05-BOA</t>
  </si>
  <si>
    <t>ACMB-87-R05-BOB</t>
  </si>
  <si>
    <t>ACMB-87-RR05-BOB</t>
  </si>
  <si>
    <t>ACMB-87-V10-MS</t>
  </si>
  <si>
    <t>ACMB-87-V11-MS</t>
  </si>
  <si>
    <t>ACMB-87-V10-MSA</t>
  </si>
  <si>
    <t>ACMB-87-V11-MSA</t>
  </si>
  <si>
    <t>ACMB-87-V10-MSB</t>
  </si>
  <si>
    <t>ACMB-87-V11-MSB</t>
  </si>
  <si>
    <t>ACMB-87-R06-BO</t>
  </si>
  <si>
    <t>ACMB-87-RR06-BO</t>
  </si>
  <si>
    <t>ACMB-87-R06-BOA</t>
  </si>
  <si>
    <t>ACMB-87-RR06-BOA</t>
  </si>
  <si>
    <t>ACMB-87-R06-BOB</t>
  </si>
  <si>
    <t>ACMB-87-RR06-BOB</t>
  </si>
  <si>
    <t>ACMB-87-V12-MS</t>
  </si>
  <si>
    <t>ACMB-87-V13-MS</t>
  </si>
  <si>
    <t>ACMB-87-V12-MSA</t>
  </si>
  <si>
    <t>ACMB-87-V13-MSA</t>
  </si>
  <si>
    <t>ACMB-87-V12-MSB</t>
  </si>
  <si>
    <t>ACMB-87-V13-MSB</t>
  </si>
  <si>
    <t>ACMB-87-R07-BO</t>
  </si>
  <si>
    <t>ACMB-87-RR07-BO</t>
  </si>
  <si>
    <t>ACMB-87-R07-BOA</t>
  </si>
  <si>
    <t>ACMB-87-RR07-BOA</t>
  </si>
  <si>
    <t>ACMB-87-R07-BOB</t>
  </si>
  <si>
    <t>ACMB-87-RR07-BOB</t>
  </si>
  <si>
    <t>ACMB-87-V14-MS</t>
  </si>
  <si>
    <t>ACMB-87-V15-MS</t>
  </si>
  <si>
    <t>ACMB-87-V14-MSA</t>
  </si>
  <si>
    <t>ACMB-87-V15-MSA</t>
  </si>
  <si>
    <t>ACMB-87-V14-MSB</t>
  </si>
  <si>
    <t>ACMB-87-V15-MSB</t>
  </si>
  <si>
    <t>ACMB-88-R01-BO</t>
  </si>
  <si>
    <t>ACMB-88-RR01-BO</t>
  </si>
  <si>
    <t>ACMB-88-R01-BOA</t>
  </si>
  <si>
    <t>ACMB-88-RR01-BOA</t>
  </si>
  <si>
    <t>ACMB-88-R01-BOB</t>
  </si>
  <si>
    <t>ACMB-88-RR01-BOB</t>
  </si>
  <si>
    <t>ACMB-88-V02-MS</t>
  </si>
  <si>
    <t>ACMB-88-V03-MS</t>
  </si>
  <si>
    <t>ACMB-88-V02-MSA</t>
  </si>
  <si>
    <t>ACMB-88-V03-MSA</t>
  </si>
  <si>
    <t>ACMB-88-V02-MSB</t>
  </si>
  <si>
    <t>ACMB-88-V03-MSB</t>
  </si>
  <si>
    <t>ACMB-88-R02-BO</t>
  </si>
  <si>
    <t>ACMB-88-RR02-BO</t>
  </si>
  <si>
    <t>ACMB-88-R02-BOA</t>
  </si>
  <si>
    <t>ACMB-88-RR02-BOA</t>
  </si>
  <si>
    <t>ACMB-88-R02-BOB</t>
  </si>
  <si>
    <t>ACMB-88-RR02-BOB</t>
  </si>
  <si>
    <t>ACMB-88-V04-MS</t>
  </si>
  <si>
    <t>ACMB-88-V05-MS</t>
  </si>
  <si>
    <t>ACMB-88-V04-MSA</t>
  </si>
  <si>
    <t>ACMB-88-V05-MSA</t>
  </si>
  <si>
    <t>ACMB-88-V04-MSB</t>
  </si>
  <si>
    <t>ACMB-88-V05-MSB</t>
  </si>
  <si>
    <t>ACMB-88-R03-BO</t>
  </si>
  <si>
    <t>ACMB-88-RR03-BO</t>
  </si>
  <si>
    <t>ACMB-88-R03-BOA</t>
  </si>
  <si>
    <t>ACMB-88-RR03-BOA</t>
  </si>
  <si>
    <t>ACMB-88-R03-BOB</t>
  </si>
  <si>
    <t>ACMB-88-RR03-BOB</t>
  </si>
  <si>
    <t>ACMB-88-V06-MS</t>
  </si>
  <si>
    <t>ACMB-88-V07-MS</t>
  </si>
  <si>
    <t>ACMB-88-V06-MSA</t>
  </si>
  <si>
    <t>ACMB-88-V07-MSA</t>
  </si>
  <si>
    <t>ACMB-88-V06-MSB</t>
  </si>
  <si>
    <t>ACMB-88-V07-MSB</t>
  </si>
  <si>
    <t>ACMB-88-R04-BO</t>
  </si>
  <si>
    <t>ACMB-88-RR04-BO</t>
  </si>
  <si>
    <t>ACMB-88-R04-BOA</t>
  </si>
  <si>
    <t>ACMB-88-RR04-BOA</t>
  </si>
  <si>
    <t>ACMB-88-R04-BOB</t>
  </si>
  <si>
    <t>ACMB-88-RR04-BOB</t>
  </si>
  <si>
    <t>ACMB-88-V08-MS</t>
  </si>
  <si>
    <t>ACMB-88-V09-MS</t>
  </si>
  <si>
    <t>ACMB-88-V08-MSA</t>
  </si>
  <si>
    <t>ACMB-88-V09-MSA</t>
  </si>
  <si>
    <t>ACMB-88-V08-MSB</t>
  </si>
  <si>
    <t>ACMB-88-V09-MSB</t>
  </si>
  <si>
    <t>ACMB-88-R05-BO</t>
  </si>
  <si>
    <t>ACMB-88-RR05-BO</t>
  </si>
  <si>
    <t>ACMB-88-R05-BOA</t>
  </si>
  <si>
    <t>ACMB-88-RR05-BOA</t>
  </si>
  <si>
    <t>ACMB-88-R05-BOB</t>
  </si>
  <si>
    <t>ACMB-88-RR05-BOB</t>
  </si>
  <si>
    <t>ACMB-88-V10-MS</t>
  </si>
  <si>
    <t>ACMB-88-V11-MS</t>
  </si>
  <si>
    <t>ACMB-88-V10-MSA</t>
  </si>
  <si>
    <t>ACMB-88-V11-MSA</t>
  </si>
  <si>
    <t>ACMB-88-V10-MSB</t>
  </si>
  <si>
    <t>ACMB-88-V11-MSB</t>
  </si>
  <si>
    <t>ACMB-88-R06-BO</t>
  </si>
  <si>
    <t>ACMB-88-RR06-BO</t>
  </si>
  <si>
    <t>ACMB-88-R06-BOA</t>
  </si>
  <si>
    <t>ACMB-88-RR06-BOA</t>
  </si>
  <si>
    <t>ACMB-88-R06-BOB</t>
  </si>
  <si>
    <t>ACMB-88-RR06-BOB</t>
  </si>
  <si>
    <t>ACMB-88-V12-MS</t>
  </si>
  <si>
    <t>ACMB-88-V13-MS</t>
  </si>
  <si>
    <t>ACMB-88-V12-MSA</t>
  </si>
  <si>
    <t>ACMB-88-V13-MSA</t>
  </si>
  <si>
    <t>ACMB-88-V12-MSB</t>
  </si>
  <si>
    <t>ACMB-88-V13-MSB</t>
  </si>
  <si>
    <t>ACMB-88-R07-BO</t>
  </si>
  <si>
    <t>ACMB-88-RR07-BO</t>
  </si>
  <si>
    <t>ACMB-88-R07-BOA</t>
  </si>
  <si>
    <t>ACMB-88-RR07-BOA</t>
  </si>
  <si>
    <t>ACMB-88-R07-BOB</t>
  </si>
  <si>
    <t>ACMB-88-RR07-BOB</t>
  </si>
  <si>
    <t>ACMB-88-V14-MS</t>
  </si>
  <si>
    <t>ACMB-88-V15-MS</t>
  </si>
  <si>
    <t>ACMB-88-V14-MSA</t>
  </si>
  <si>
    <t>ACMB-88-V15-MSA</t>
  </si>
  <si>
    <t>ACMB-88-V14-MSB</t>
  </si>
  <si>
    <t>ACMB-88-V15-MSB</t>
  </si>
  <si>
    <t>ACMB-89-R01-BO</t>
  </si>
  <si>
    <t>ACMB-89-RR01-BO</t>
  </si>
  <si>
    <t>ACMB-89-R01-BOA</t>
  </si>
  <si>
    <t>ACMB-89-RR01-BOA</t>
  </si>
  <si>
    <t>ACMB-89-R01-BOB</t>
  </si>
  <si>
    <t>ACMB-89-RR01-BOB</t>
  </si>
  <si>
    <t>ACMB-89-V02-MS</t>
  </si>
  <si>
    <t>ACMB-89-V03-MS</t>
  </si>
  <si>
    <t>ACMB-89-V02-MSA</t>
  </si>
  <si>
    <t>ACMB-89-V03-MSA</t>
  </si>
  <si>
    <t>ACMB-89-V02-MSB</t>
  </si>
  <si>
    <t>ACMB-89-V03-MSB</t>
  </si>
  <si>
    <t>ACMB-89-R02-BO</t>
  </si>
  <si>
    <t>ACMB-89-RR02-BO</t>
  </si>
  <si>
    <t>ACMB-89-R02-BOA</t>
  </si>
  <si>
    <t>ACMB-89-RR02-BOA</t>
  </si>
  <si>
    <t>ACMB-89-R02-BOB</t>
  </si>
  <si>
    <t>ACMB-89-RR02-BOB</t>
  </si>
  <si>
    <t>ACMB-89-V04-MS</t>
  </si>
  <si>
    <t>ACMB-89-V05-MS</t>
  </si>
  <si>
    <t>ACMB-89-V04-MSA</t>
  </si>
  <si>
    <t>ACMB-89-V05-MSA</t>
  </si>
  <si>
    <t>ACMB-89-V04-MSB</t>
  </si>
  <si>
    <t>ACMB-89-V05-MSB</t>
  </si>
  <si>
    <t>ACMB-89-R03-BO</t>
  </si>
  <si>
    <t>ACMB-89-RR03-BO</t>
  </si>
  <si>
    <t>ACMB-89-R03-BOA</t>
  </si>
  <si>
    <t>ACMB-89-RR03-BOA</t>
  </si>
  <si>
    <t>ACMB-89-R03-BOB</t>
  </si>
  <si>
    <t>ACMB-89-RR03-BOB</t>
  </si>
  <si>
    <t>ACMB-89-V06-MS</t>
  </si>
  <si>
    <t>ACMB-89-V07-MS</t>
  </si>
  <si>
    <t>ACMB-89-V06-MSA</t>
  </si>
  <si>
    <t>ACMB-89-V07-MSA</t>
  </si>
  <si>
    <t>ACMB-89-V06-MSB</t>
  </si>
  <si>
    <t>ACMB-89-V07-MSB</t>
  </si>
  <si>
    <t>ACMB-89-R04-BO</t>
  </si>
  <si>
    <t>ACMB-89-RR04-BO</t>
  </si>
  <si>
    <t>ACMB-89-R04-BOA</t>
  </si>
  <si>
    <t>ACMB-89-RR04-BOA</t>
  </si>
  <si>
    <t>ACMB-89-R04-BOB</t>
  </si>
  <si>
    <t>ACMB-89-RR04-BOB</t>
  </si>
  <si>
    <t>ACMB-89-V08-MS</t>
  </si>
  <si>
    <t>ACMB-89-V09-MS</t>
  </si>
  <si>
    <t>ACMB-89-V08-MSA</t>
  </si>
  <si>
    <t>ACMB-89-V09-MSA</t>
  </si>
  <si>
    <t>ACMB-89-V08-MSB</t>
  </si>
  <si>
    <t>ACMB-89-V09-MSB</t>
  </si>
  <si>
    <t>ACMB-89-R05-BO</t>
  </si>
  <si>
    <t>ACMB-89-RR05-BO</t>
  </si>
  <si>
    <t>ACMB-89-R05-BOA</t>
  </si>
  <si>
    <t>ACMB-89-RR05-BOA</t>
  </si>
  <si>
    <t>ACMB-89-R05-BOB</t>
  </si>
  <si>
    <t>ACMB-89-RR05-BOB</t>
  </si>
  <si>
    <t>ACMB-89-V10-MS</t>
  </si>
  <si>
    <t>ACMB-89-V11-MS</t>
  </si>
  <si>
    <t>ACMB-89-V10-MSA</t>
  </si>
  <si>
    <t>ACMB-89-V11-MSA</t>
  </si>
  <si>
    <t>ACMB-89-V10-MSB</t>
  </si>
  <si>
    <t>ACMB-89-V11-MSB</t>
  </si>
  <si>
    <t>ACMB-89-R06-BO</t>
  </si>
  <si>
    <t>ACMB-89-RR06-BO</t>
  </si>
  <si>
    <t>ACMB-89-R06-BOA</t>
  </si>
  <si>
    <t>ACMB-89-RR06-BOA</t>
  </si>
  <si>
    <t>ACMB-89-R06-BOB</t>
  </si>
  <si>
    <t>ACMB-89-RR06-BOB</t>
  </si>
  <si>
    <t>ACMB-89-V12-MS</t>
  </si>
  <si>
    <t>ACMB-89-V13-MS</t>
  </si>
  <si>
    <t>ACMB-89-V12-MSA</t>
  </si>
  <si>
    <t>ACMB-89-V13-MSA</t>
  </si>
  <si>
    <t>ACMB-89-V12-MSB</t>
  </si>
  <si>
    <t>ACMB-89-V13-MSB</t>
  </si>
  <si>
    <t>ACMB-89-R07-BO</t>
  </si>
  <si>
    <t>ACMB-89-RR07-BO</t>
  </si>
  <si>
    <t>ACMB-89-R07-BOA</t>
  </si>
  <si>
    <t>ACMB-89-RR07-BOA</t>
  </si>
  <si>
    <t>ACMB-89-R07-BOB</t>
  </si>
  <si>
    <t>ACMB-89-RR07-BOB</t>
  </si>
  <si>
    <t>ACMB-89-V14-MS</t>
  </si>
  <si>
    <t>ACMB-89-V15-MS</t>
  </si>
  <si>
    <t>ACMB-89-V14-MSA</t>
  </si>
  <si>
    <t>ACMB-89-V15-MSA</t>
  </si>
  <si>
    <t>ACMB-89-V14-MSB</t>
  </si>
  <si>
    <t>ACMB-89-V15-MSB</t>
  </si>
  <si>
    <t>ACMB-90-R01-BO</t>
  </si>
  <si>
    <t>ACMB-90-RR01-BO</t>
  </si>
  <si>
    <t>ACMB-90-R01-BOA</t>
  </si>
  <si>
    <t>ACMB-90-RR01-BOA</t>
  </si>
  <si>
    <t>ACMB-90-R01-BOB</t>
  </si>
  <si>
    <t>ACMB-90-RR01-BOB</t>
  </si>
  <si>
    <t>ACMB-90-V02-MS</t>
  </si>
  <si>
    <t>ACMB-90-V03-MS</t>
  </si>
  <si>
    <t>ACMB-90-V02-MSA</t>
  </si>
  <si>
    <t>ACMB-90-V03-MSA</t>
  </si>
  <si>
    <t>ACMB-90-V02-MSB</t>
  </si>
  <si>
    <t>ACMB-90-V03-MSB</t>
  </si>
  <si>
    <t>ACMB-90-R02-BO</t>
  </si>
  <si>
    <t>ACMB-90-RR02-BO</t>
  </si>
  <si>
    <t>ACMB-90-R02-BOA</t>
  </si>
  <si>
    <t>ACMB-90-RR02-BOA</t>
  </si>
  <si>
    <t>ACMB-90-R02-BOB</t>
  </si>
  <si>
    <t>ACMB-90-RR02-BOB</t>
  </si>
  <si>
    <t>ACMB-90-V04-MS</t>
  </si>
  <si>
    <t>ACMB-90-V05-MS</t>
  </si>
  <si>
    <t>ACMB-90-V04-MSA</t>
  </si>
  <si>
    <t>ACMB-90-V05-MSA</t>
  </si>
  <si>
    <t>ACMB-90-V04-MSB</t>
  </si>
  <si>
    <t>ACMB-90-V05-MSB</t>
  </si>
  <si>
    <t>ACMB-90-R03-BO</t>
  </si>
  <si>
    <t>ACMB-90-RR03-BO</t>
  </si>
  <si>
    <t>ACMB-90-R03-BOA</t>
  </si>
  <si>
    <t>ACMB-90-RR03-BOA</t>
  </si>
  <si>
    <t>ACMB-90-R03-BOB</t>
  </si>
  <si>
    <t>ACMB-90-RR03-BOB</t>
  </si>
  <si>
    <t>ACMB-90-V06-MS</t>
  </si>
  <si>
    <t>ACMB-90-V07-MS</t>
  </si>
  <si>
    <t>ACMB-90-V06-MSA</t>
  </si>
  <si>
    <t>ACMB-90-V07-MSA</t>
  </si>
  <si>
    <t>ACMB-90-V06-MSB</t>
  </si>
  <si>
    <t>ACMB-90-V07-MSB</t>
  </si>
  <si>
    <t>ACMB-90-R04-BO</t>
  </si>
  <si>
    <t>ACMB-90-RR04-BO</t>
  </si>
  <si>
    <t>ACMB-90-R04-BOA</t>
  </si>
  <si>
    <t>ACMB-90-RR04-BOA</t>
  </si>
  <si>
    <t>ACMB-90-R04-BOB</t>
  </si>
  <si>
    <t>ACMB-90-RR04-BOB</t>
  </si>
  <si>
    <t>ACMB-90-V08-MS</t>
  </si>
  <si>
    <t>ACMB-90-V09-MS</t>
  </si>
  <si>
    <t>ACMB-90-V08-MSA</t>
  </si>
  <si>
    <t>ACMB-90-V09-MSA</t>
  </si>
  <si>
    <t>ACMB-90-V08-MSB</t>
  </si>
  <si>
    <t>ACMB-90-V09-MSB</t>
  </si>
  <si>
    <t>ACMB-90-R05-BO</t>
  </si>
  <si>
    <t>ACMB-90-RR05-BO</t>
  </si>
  <si>
    <t>ACMB-90-R05-BOA</t>
  </si>
  <si>
    <t>ACMB-90-RR05-BOA</t>
  </si>
  <si>
    <t>ACMB-90-R05-BOB</t>
  </si>
  <si>
    <t>ACMB-90-RR05-BOB</t>
  </si>
  <si>
    <t>ACMB-90-V10-MS</t>
  </si>
  <si>
    <t>ACMB-90-V11-MS</t>
  </si>
  <si>
    <t>ACMB-90-V10-MSA</t>
  </si>
  <si>
    <t>ACMB-90-V11-MSA</t>
  </si>
  <si>
    <t>ACMB-90-V10-MSB</t>
  </si>
  <si>
    <t>ACMB-90-V11-MSB</t>
  </si>
  <si>
    <t>ACMB-90-R06-BO</t>
  </si>
  <si>
    <t>ACMB-90-RR06-BO</t>
  </si>
  <si>
    <t>ACMB-90-R06-BOA</t>
  </si>
  <si>
    <t>ACMB-90-RR06-BOA</t>
  </si>
  <si>
    <t>ACMB-90-R06-BOB</t>
  </si>
  <si>
    <t>ACMB-90-RR06-BOB</t>
  </si>
  <si>
    <t>ACMB-90-V12-MS</t>
  </si>
  <si>
    <t>ACMB-90-V13-MS</t>
  </si>
  <si>
    <t>ACMB-90-V12-MSA</t>
  </si>
  <si>
    <t>ACMB-90-V13-MSA</t>
  </si>
  <si>
    <t>ACMB-90-V12-MSB</t>
  </si>
  <si>
    <t>ACMB-90-V13-MSB</t>
  </si>
  <si>
    <t>ACMB-90-R07-BO</t>
  </si>
  <si>
    <t>ACMB-90-RR07-BO</t>
  </si>
  <si>
    <t>ACMB-90-R07-BOA</t>
  </si>
  <si>
    <t>ACMB-90-RR07-BOA</t>
  </si>
  <si>
    <t>ACMB-90-R07-BOB</t>
  </si>
  <si>
    <t>ACMB-90-RR07-BOB</t>
  </si>
  <si>
    <t>ACMB-90-V14-MS</t>
  </si>
  <si>
    <t>ACMB-90-V15-MS</t>
  </si>
  <si>
    <t>ACMB-90-V14-MSA</t>
  </si>
  <si>
    <t>ACMB-90-V15-MSA</t>
  </si>
  <si>
    <t>ACMB-90-V14-MSB</t>
  </si>
  <si>
    <t>ACMB-90-V15-MSB</t>
  </si>
  <si>
    <t>ACMB-91-R01-BO</t>
  </si>
  <si>
    <t>ACMB-91-RR01-BO</t>
  </si>
  <si>
    <t>ACMB-91-R01-BOA</t>
  </si>
  <si>
    <t>ACMB-91-RR01-BOA</t>
  </si>
  <si>
    <t>ACMB-91-R01-BOB</t>
  </si>
  <si>
    <t>ACMB-91-RR01-BOB</t>
  </si>
  <si>
    <t>ACMB-91-V02-MS</t>
  </si>
  <si>
    <t>ACMB-91-V03-MS</t>
  </si>
  <si>
    <t>ACMB-91-V02-MSA</t>
  </si>
  <si>
    <t>ACMB-91-V03-MSA</t>
  </si>
  <si>
    <t>ACMB-91-V02-MSB</t>
  </si>
  <si>
    <t>ACMB-91-V03-MSB</t>
  </si>
  <si>
    <t>ACMB-91-R02-BO</t>
  </si>
  <si>
    <t>ACMB-91-RR02-BO</t>
  </si>
  <si>
    <t>ACMB-91-R02-BOA</t>
  </si>
  <si>
    <t>ACMB-91-RR02-BOA</t>
  </si>
  <si>
    <t>ACMB-91-R02-BOB</t>
  </si>
  <si>
    <t>ACMB-91-RR02-BOB</t>
  </si>
  <si>
    <t>ACMB-91-V04-MS</t>
  </si>
  <si>
    <t>ACMB-91-V05-MS</t>
  </si>
  <si>
    <t>ACMB-91-V04-MSA</t>
  </si>
  <si>
    <t>ACMB-91-V05-MSA</t>
  </si>
  <si>
    <t>ACMB-91-V04-MSB</t>
  </si>
  <si>
    <t>ACMB-91-V05-MSB</t>
  </si>
  <si>
    <t>ACMB-91-R03-BO</t>
  </si>
  <si>
    <t>ACMB-91-RR03-BO</t>
  </si>
  <si>
    <t>ACMB-91-R03-BOA</t>
  </si>
  <si>
    <t>ACMB-91-RR03-BOA</t>
  </si>
  <si>
    <t>ACMB-91-R03-BOB</t>
  </si>
  <si>
    <t>ACMB-91-RR03-BOB</t>
  </si>
  <si>
    <t>ACMB-91-V06-MS</t>
  </si>
  <si>
    <t>ACMB-91-V07-MS</t>
  </si>
  <si>
    <t>ACMB-91-V06-MSA</t>
  </si>
  <si>
    <t>ACMB-91-V07-MSA</t>
  </si>
  <si>
    <t>ACMB-91-V06-MSB</t>
  </si>
  <si>
    <t>ACMB-91-V07-MSB</t>
  </si>
  <si>
    <t>ACMB-91-R04-BO</t>
  </si>
  <si>
    <t>ACMB-91-RR04-BO</t>
  </si>
  <si>
    <t>ACMB-91-R04-BOA</t>
  </si>
  <si>
    <t>ACMB-91-RR04-BOA</t>
  </si>
  <si>
    <t>ACMB-91-R04-BOB</t>
  </si>
  <si>
    <t>ACMB-91-RR04-BOB</t>
  </si>
  <si>
    <t>ACMB-91-V08-MS</t>
  </si>
  <si>
    <t>ACMB-91-V09-MS</t>
  </si>
  <si>
    <t>ACMB-91-V08-MSA</t>
  </si>
  <si>
    <t>ACMB-91-V09-MSA</t>
  </si>
  <si>
    <t>ACMB-91-V08-MSB</t>
  </si>
  <si>
    <t>ACMB-91-V09-MSB</t>
  </si>
  <si>
    <t>ACMB-91-R05-BO</t>
  </si>
  <si>
    <t>ACMB-91-RR05-BO</t>
  </si>
  <si>
    <t>ACMB-91-R05-BOA</t>
  </si>
  <si>
    <t>ACMB-91-RR05-BOA</t>
  </si>
  <si>
    <t>ACMB-91-R05-BOB</t>
  </si>
  <si>
    <t>ACMB-91-RR05-BOB</t>
  </si>
  <si>
    <t>ACMB-91-V10-MS</t>
  </si>
  <si>
    <t>ACMB-91-V11-MS</t>
  </si>
  <si>
    <t>ACMB-91-V10-MSA</t>
  </si>
  <si>
    <t>ACMB-91-V11-MSA</t>
  </si>
  <si>
    <t>ACMB-91-V10-MSB</t>
  </si>
  <si>
    <t>ACMB-91-V11-MSB</t>
  </si>
  <si>
    <t>ACMB-91-R06-BO</t>
  </si>
  <si>
    <t>ACMB-91-RR06-BO</t>
  </si>
  <si>
    <t>ACMB-91-R06-BOA</t>
  </si>
  <si>
    <t>ACMB-91-RR06-BOA</t>
  </si>
  <si>
    <t>ACMB-91-R06-BOB</t>
  </si>
  <si>
    <t>ACMB-91-RR06-BOB</t>
  </si>
  <si>
    <t>ACMB-91-V12-MS</t>
  </si>
  <si>
    <t>ACMB-91-V13-MS</t>
  </si>
  <si>
    <t>ACMB-91-V12-MSA</t>
  </si>
  <si>
    <t>ACMB-91-V13-MSA</t>
  </si>
  <si>
    <t>ACMB-91-V12-MSB</t>
  </si>
  <si>
    <t>ACMB-91-V13-MSB</t>
  </si>
  <si>
    <t>ACMB-91-R07-BO</t>
  </si>
  <si>
    <t>ACMB-91-RR07-BO</t>
  </si>
  <si>
    <t>ACMB-91-R07-BOA</t>
  </si>
  <si>
    <t>ACMB-91-RR07-BOA</t>
  </si>
  <si>
    <t>ACMB-91-R07-BOB</t>
  </si>
  <si>
    <t>ACMB-91-RR07-BOB</t>
  </si>
  <si>
    <t>ACMB-91-V14-MS</t>
  </si>
  <si>
    <t>ACMB-91-V15-MS</t>
  </si>
  <si>
    <t>ACMB-91-V14-MSA</t>
  </si>
  <si>
    <t>ACMB-91-V15-MSA</t>
  </si>
  <si>
    <t>ACMB-91-V14-MSB</t>
  </si>
  <si>
    <t>ACMB-91-V15-MSB</t>
  </si>
  <si>
    <t>ACMB-92-R01-BO</t>
  </si>
  <si>
    <t>ACMB-92-RR01-BO</t>
  </si>
  <si>
    <t>ACMB-92-R01-BOA</t>
  </si>
  <si>
    <t>ACMB-92-RR01-BOA</t>
  </si>
  <si>
    <t>ACMB-92-R01-BOB</t>
  </si>
  <si>
    <t>ACMB-92-RR01-BOB</t>
  </si>
  <si>
    <t>ACMB-92-V02-MS</t>
  </si>
  <si>
    <t>ACMB-92-V03-MS</t>
  </si>
  <si>
    <t>ACMB-92-V02-MSA</t>
  </si>
  <si>
    <t>ACMB-92-V03-MSA</t>
  </si>
  <si>
    <t>ACMB-92-V02-MSB</t>
  </si>
  <si>
    <t>ACMB-92-V03-MSB</t>
  </si>
  <si>
    <t>ACMB-92-R02-BO</t>
  </si>
  <si>
    <t>ACMB-92-RR02-BO</t>
  </si>
  <si>
    <t>ACMB-92-R02-BOA</t>
  </si>
  <si>
    <t>ACMB-92-RR02-BOA</t>
  </si>
  <si>
    <t>ACMB-92-R02-BOB</t>
  </si>
  <si>
    <t>ACMB-92-RR02-BOB</t>
  </si>
  <si>
    <t>ACMB-92-V04-MS</t>
  </si>
  <si>
    <t>ACMB-92-V05-MS</t>
  </si>
  <si>
    <t>ACMB-92-V04-MSA</t>
  </si>
  <si>
    <t>ACMB-92-V05-MSA</t>
  </si>
  <si>
    <t>ACMB-92-V04-MSB</t>
  </si>
  <si>
    <t>ACMB-92-V05-MSB</t>
  </si>
  <si>
    <t>ACMB-92-R03-BO</t>
  </si>
  <si>
    <t>ACMB-92-RR03-BO</t>
  </si>
  <si>
    <t>ACMB-92-R03-BOA</t>
  </si>
  <si>
    <t>ACMB-92-RR03-BOA</t>
  </si>
  <si>
    <t>ACMB-92-R03-BOB</t>
  </si>
  <si>
    <t>ACMB-92-RR03-BOB</t>
  </si>
  <si>
    <t>ACMB-92-V06-MS</t>
  </si>
  <si>
    <t>ACMB-92-V07-MS</t>
  </si>
  <si>
    <t>ACMB-92-V06-MSA</t>
  </si>
  <si>
    <t>ACMB-92-V07-MSA</t>
  </si>
  <si>
    <t>ACMB-92-V06-MSB</t>
  </si>
  <si>
    <t>ACMB-92-V07-MSB</t>
  </si>
  <si>
    <t>ACMB-92-R04-BO</t>
  </si>
  <si>
    <t>ACMB-92-RR04-BO</t>
  </si>
  <si>
    <t>ACMB-92-R04-BOA</t>
  </si>
  <si>
    <t>ACMB-92-RR04-BOA</t>
  </si>
  <si>
    <t>ACMB-92-R04-BOB</t>
  </si>
  <si>
    <t>ACMB-92-RR04-BOB</t>
  </si>
  <si>
    <t>ACMB-92-V08-MS</t>
  </si>
  <si>
    <t>ACMB-92-V09-MS</t>
  </si>
  <si>
    <t>ACMB-92-V08-MSA</t>
  </si>
  <si>
    <t>ACMB-92-V09-MSA</t>
  </si>
  <si>
    <t>ACMB-92-V08-MSB</t>
  </si>
  <si>
    <t>ACMB-92-V09-MSB</t>
  </si>
  <si>
    <t>ACMB-92-R05-BO</t>
  </si>
  <si>
    <t>ACMB-92-RR05-BO</t>
  </si>
  <si>
    <t>ACMB-92-R05-BOA</t>
  </si>
  <si>
    <t>ACMB-92-RR05-BOA</t>
  </si>
  <si>
    <t>ACMB-92-R05-BOB</t>
  </si>
  <si>
    <t>ACMB-92-RR05-BOB</t>
  </si>
  <si>
    <t>ACMB-92-V10-MS</t>
  </si>
  <si>
    <t>ACMB-92-V11-MS</t>
  </si>
  <si>
    <t>ACMB-92-V10-MSA</t>
  </si>
  <si>
    <t>ACMB-92-V11-MSA</t>
  </si>
  <si>
    <t>ACMB-92-V10-MSB</t>
  </si>
  <si>
    <t>ACMB-92-V11-MSB</t>
  </si>
  <si>
    <t>ACMB-92-R06-BO</t>
  </si>
  <si>
    <t>ACMB-92-RR06-BO</t>
  </si>
  <si>
    <t>ACMB-92-R06-BOA</t>
  </si>
  <si>
    <t>ACMB-92-RR06-BOA</t>
  </si>
  <si>
    <t>ACMB-92-R06-BOB</t>
  </si>
  <si>
    <t>ACMB-92-RR06-BOB</t>
  </si>
  <si>
    <t>ACMB-92-V12-MS</t>
  </si>
  <si>
    <t>ACMB-92-V13-MS</t>
  </si>
  <si>
    <t>ACMB-92-V12-MSA</t>
  </si>
  <si>
    <t>ACMB-92-V13-MSA</t>
  </si>
  <si>
    <t>ACMB-92-V12-MSB</t>
  </si>
  <si>
    <t>ACMB-92-V13-MSB</t>
  </si>
  <si>
    <t>ACMB-92-R07-BO</t>
  </si>
  <si>
    <t>ACMB-92-RR07-BO</t>
  </si>
  <si>
    <t>ACMB-92-R07-BOA</t>
  </si>
  <si>
    <t>ACMB-92-RR07-BOA</t>
  </si>
  <si>
    <t>ACMB-92-R07-BOB</t>
  </si>
  <si>
    <t>ACMB-92-RR07-BOB</t>
  </si>
  <si>
    <t>ACMB-92-V14-MS</t>
  </si>
  <si>
    <t>ACMB-92-V15-MS</t>
  </si>
  <si>
    <t>ACMB-92-V14-MSA</t>
  </si>
  <si>
    <t>ACMB-92-V15-MSA</t>
  </si>
  <si>
    <t>ACMB-92-V14-MSB</t>
  </si>
  <si>
    <t>ACMB-92-V15-MSB</t>
  </si>
  <si>
    <t>ACMB-93-R01-BO</t>
  </si>
  <si>
    <t>ACMB-93-RR01-BO</t>
  </si>
  <si>
    <t>ACMB-93-R01-BOA</t>
  </si>
  <si>
    <t>ACMB-93-RR01-BOA</t>
  </si>
  <si>
    <t>ACMB-93-R01-BOB</t>
  </si>
  <si>
    <t>ACMB-93-RR01-BOB</t>
  </si>
  <si>
    <t>ACMB-93-V02-MS</t>
  </si>
  <si>
    <t>ACMB-93-V03-MS</t>
  </si>
  <si>
    <t>ACMB-93-V02-MSA</t>
  </si>
  <si>
    <t>ACMB-93-V03-MSA</t>
  </si>
  <si>
    <t>ACMB-93-V02-MSB</t>
  </si>
  <si>
    <t>ACMB-93-V03-MSB</t>
  </si>
  <si>
    <t>ACMB-93-R02-BO</t>
  </si>
  <si>
    <t>ACMB-93-RR02-BO</t>
  </si>
  <si>
    <t>ACMB-93-R02-BOA</t>
  </si>
  <si>
    <t>ACMB-93-RR02-BOA</t>
  </si>
  <si>
    <t>ACMB-93-R02-BOB</t>
  </si>
  <si>
    <t>ACMB-93-RR02-BOB</t>
  </si>
  <si>
    <t>ACMB-93-V04-MS</t>
  </si>
  <si>
    <t>ACMB-93-V05-MS</t>
  </si>
  <si>
    <t>ACMB-93-V04-MSA</t>
  </si>
  <si>
    <t>ACMB-93-V05-MSA</t>
  </si>
  <si>
    <t>ACMB-93-V04-MSB</t>
  </si>
  <si>
    <t>ACMB-93-V05-MSB</t>
  </si>
  <si>
    <t>ACMB-93-R03-BO</t>
  </si>
  <si>
    <t>ACMB-93-RR03-BO</t>
  </si>
  <si>
    <t>ACMB-93-R03-BOA</t>
  </si>
  <si>
    <t>ACMB-93-RR03-BOA</t>
  </si>
  <si>
    <t>ACMB-93-R03-BOB</t>
  </si>
  <si>
    <t>ACMB-93-RR03-BOB</t>
  </si>
  <si>
    <t>ACMB-93-V06-MS</t>
  </si>
  <si>
    <t>ACMB-93-V07-MS</t>
  </si>
  <si>
    <t>ACMB-93-V06-MSA</t>
  </si>
  <si>
    <t>ACMB-93-V07-MSA</t>
  </si>
  <si>
    <t>ACMB-93-V06-MSB</t>
  </si>
  <si>
    <t>ACMB-93-V07-MSB</t>
  </si>
  <si>
    <t>ACMB-93-R04-BO</t>
  </si>
  <si>
    <t>ACMB-93-RR04-BO</t>
  </si>
  <si>
    <t>ACMB-93-R04-BOA</t>
  </si>
  <si>
    <t>ACMB-93-RR04-BOA</t>
  </si>
  <si>
    <t>ACMB-93-R04-BOB</t>
  </si>
  <si>
    <t>ACMB-93-RR04-BOB</t>
  </si>
  <si>
    <t>ACMB-93-V08-MS</t>
  </si>
  <si>
    <t>ACMB-93-V09-MS</t>
  </si>
  <si>
    <t>ACMB-93-V08-MSA</t>
  </si>
  <si>
    <t>ACMB-93-V09-MSA</t>
  </si>
  <si>
    <t>ACMB-93-V08-MSB</t>
  </si>
  <si>
    <t>ACMB-93-V09-MSB</t>
  </si>
  <si>
    <t>ACMB-93-R05-BO</t>
  </si>
  <si>
    <t>ACMB-93-RR05-BO</t>
  </si>
  <si>
    <t>ACMB-93-R05-BOA</t>
  </si>
  <si>
    <t>ACMB-93-RR05-BOA</t>
  </si>
  <si>
    <t>ACMB-93-R05-BOB</t>
  </si>
  <si>
    <t>ACMB-93-RR05-BOB</t>
  </si>
  <si>
    <t>ACMB-93-V10-MS</t>
  </si>
  <si>
    <t>ACMB-93-V11-MS</t>
  </si>
  <si>
    <t>ACMB-93-V10-MSA</t>
  </si>
  <si>
    <t>ACMB-93-V11-MSA</t>
  </si>
  <si>
    <t>ACMB-93-V10-MSB</t>
  </si>
  <si>
    <t>ACMB-93-V11-MSB</t>
  </si>
  <si>
    <t>ACMB-93-R06-BO</t>
  </si>
  <si>
    <t>ACMB-93-RR06-BO</t>
  </si>
  <si>
    <t>ACMB-93-R06-BOA</t>
  </si>
  <si>
    <t>ACMB-93-RR06-BOA</t>
  </si>
  <si>
    <t>ACMB-93-R06-BOB</t>
  </si>
  <si>
    <t>ACMB-93-RR06-BOB</t>
  </si>
  <si>
    <t>ACMB-93-V12-MS</t>
  </si>
  <si>
    <t>ACMB-93-V13-MS</t>
  </si>
  <si>
    <t>ACMB-93-V12-MSA</t>
  </si>
  <si>
    <t>ACMB-93-V13-MSA</t>
  </si>
  <si>
    <t>ACMB-93-V12-MSB</t>
  </si>
  <si>
    <t>ACMB-93-V13-MSB</t>
  </si>
  <si>
    <t>ACMB-93-R07-BO</t>
  </si>
  <si>
    <t>ACMB-93-RR07-BO</t>
  </si>
  <si>
    <t>ACMB-93-R07-BOA</t>
  </si>
  <si>
    <t>ACMB-93-RR07-BOA</t>
  </si>
  <si>
    <t>ACMB-93-R07-BOB</t>
  </si>
  <si>
    <t>ACMB-93-RR07-BOB</t>
  </si>
  <si>
    <t>ACMB-93-V14-MS</t>
  </si>
  <si>
    <t>ACMB-93-V15-MS</t>
  </si>
  <si>
    <t>ACMB-93-V14-MSA</t>
  </si>
  <si>
    <t>ACMB-93-V15-MSA</t>
  </si>
  <si>
    <t>ACMB-93-V14-MSB</t>
  </si>
  <si>
    <t>ACMB-93-V15-MSB</t>
  </si>
  <si>
    <t>ACMB-94-R01-BO</t>
  </si>
  <si>
    <t>ACMB-94-RR01-BO</t>
  </si>
  <si>
    <t>ACMB-94-R01-BOA</t>
  </si>
  <si>
    <t>ACMB-94-RR01-BOA</t>
  </si>
  <si>
    <t>ACMB-94-R01-BOB</t>
  </si>
  <si>
    <t>ACMB-94-RR01-BOB</t>
  </si>
  <si>
    <t>ACMB-94-V02-MS</t>
  </si>
  <si>
    <t>ACMB-94-V03-MS</t>
  </si>
  <si>
    <t>ACMB-94-V02-MSA</t>
  </si>
  <si>
    <t>ACMB-94-V03-MSA</t>
  </si>
  <si>
    <t>ACMB-94-V02-MSB</t>
  </si>
  <si>
    <t>ACMB-94-V03-MSB</t>
  </si>
  <si>
    <t>ACMB-94-R02-BO</t>
  </si>
  <si>
    <t>ACMB-94-RR02-BO</t>
  </si>
  <si>
    <t>ACMB-94-R02-BOA</t>
  </si>
  <si>
    <t>ACMB-94-RR02-BOA</t>
  </si>
  <si>
    <t>ACMB-94-R02-BOB</t>
  </si>
  <si>
    <t>ACMB-94-RR02-BOB</t>
  </si>
  <si>
    <t>ACMB-94-V04-MS</t>
  </si>
  <si>
    <t>ACMB-94-V05-MS</t>
  </si>
  <si>
    <t>ACMB-94-V04-MSA</t>
  </si>
  <si>
    <t>ACMB-94-V05-MSA</t>
  </si>
  <si>
    <t>ACMB-94-V04-MSB</t>
  </si>
  <si>
    <t>ACMB-94-V05-MSB</t>
  </si>
  <si>
    <t>ACMB-94-R03-BO</t>
  </si>
  <si>
    <t>ACMB-94-RR03-BO</t>
  </si>
  <si>
    <t>ACMB-94-R03-BOA</t>
  </si>
  <si>
    <t>ACMB-94-RR03-BOA</t>
  </si>
  <si>
    <t>ACMB-94-R03-BOB</t>
  </si>
  <si>
    <t>ACMB-94-RR03-BOB</t>
  </si>
  <si>
    <t>ACMB-94-V06-MS</t>
  </si>
  <si>
    <t>ACMB-94-V07-MS</t>
  </si>
  <si>
    <t>ACMB-94-V06-MSA</t>
  </si>
  <si>
    <t>ACMB-94-V07-MSA</t>
  </si>
  <si>
    <t>ACMB-94-V06-MSB</t>
  </si>
  <si>
    <t>ACMB-94-V07-MSB</t>
  </si>
  <si>
    <t>ACMB-94-R04-BO</t>
  </si>
  <si>
    <t>ACMB-94-RR04-BO</t>
  </si>
  <si>
    <t>ACMB-94-R04-BOA</t>
  </si>
  <si>
    <t>ACMB-94-RR04-BOA</t>
  </si>
  <si>
    <t>ACMB-94-R04-BOB</t>
  </si>
  <si>
    <t>ACMB-94-RR04-BOB</t>
  </si>
  <si>
    <t>ACMB-94-V08-MS</t>
  </si>
  <si>
    <t>ACMB-94-V09-MS</t>
  </si>
  <si>
    <t>ACMB-94-V08-MSA</t>
  </si>
  <si>
    <t>ACMB-94-V09-MSA</t>
  </si>
  <si>
    <t>ACMB-94-V08-MSB</t>
  </si>
  <si>
    <t>ACMB-94-V09-MSB</t>
  </si>
  <si>
    <t>ACMB-94-R05-BO</t>
  </si>
  <si>
    <t>ACMB-94-RR05-BO</t>
  </si>
  <si>
    <t>ACMB-94-R05-BOA</t>
  </si>
  <si>
    <t>ACMB-94-RR05-BOA</t>
  </si>
  <si>
    <t>ACMB-94-R05-BOB</t>
  </si>
  <si>
    <t>ACMB-94-RR05-BOB</t>
  </si>
  <si>
    <t>ACMB-94-V10-MS</t>
  </si>
  <si>
    <t>ACMB-94-V11-MS</t>
  </si>
  <si>
    <t>ACMB-94-V10-MSA</t>
  </si>
  <si>
    <t>ACMB-94-V11-MSA</t>
  </si>
  <si>
    <t>ACMB-94-V10-MSB</t>
  </si>
  <si>
    <t>ACMB-94-V11-MSB</t>
  </si>
  <si>
    <t>ACMB-94-R06-BO</t>
  </si>
  <si>
    <t>ACMB-94-RR06-BO</t>
  </si>
  <si>
    <t>ACMB-94-R06-BOA</t>
  </si>
  <si>
    <t>ACMB-94-RR06-BOA</t>
  </si>
  <si>
    <t>ACMB-94-R06-BOB</t>
  </si>
  <si>
    <t>ACMB-94-RR06-BOB</t>
  </si>
  <si>
    <t>ACMB-94-V12-MS</t>
  </si>
  <si>
    <t>ACMB-94-V13-MS</t>
  </si>
  <si>
    <t>ACMB-94-V12-MSA</t>
  </si>
  <si>
    <t>ACMB-94-V13-MSA</t>
  </si>
  <si>
    <t>ACMB-94-V12-MSB</t>
  </si>
  <si>
    <t>ACMB-94-V13-MSB</t>
  </si>
  <si>
    <t>ACMB-94-R07-BO</t>
  </si>
  <si>
    <t>ACMB-94-RR07-BO</t>
  </si>
  <si>
    <t>ACMB-94-R07-BOA</t>
  </si>
  <si>
    <t>ACMB-94-RR07-BOA</t>
  </si>
  <si>
    <t>ACMB-94-R07-BOB</t>
  </si>
  <si>
    <t>ACMB-94-RR07-BOB</t>
  </si>
  <si>
    <t>ACMB-94-V14-MS</t>
  </si>
  <si>
    <t>ACMB-94-V15-MS</t>
  </si>
  <si>
    <t>ACMB-94-V14-MSA</t>
  </si>
  <si>
    <t>ACMB-94-V15-MSA</t>
  </si>
  <si>
    <t>ACMB-94-V14-MSB</t>
  </si>
  <si>
    <t>ACMB-94-V15-MSB</t>
  </si>
  <si>
    <t>ACMB-95-R01-BO</t>
  </si>
  <si>
    <t>ACMB-95-RR01-BO</t>
  </si>
  <si>
    <t>ACMB-95-R01-BOA</t>
  </si>
  <si>
    <t>ACMB-95-RR01-BOA</t>
  </si>
  <si>
    <t>ACMB-95-R01-BOB</t>
  </si>
  <si>
    <t>ACMB-95-RR01-BOB</t>
  </si>
  <si>
    <t>ACMB-95-V02-MS</t>
  </si>
  <si>
    <t>ACMB-95-V03-MS</t>
  </si>
  <si>
    <t>ACMB-95-V02-MSA</t>
  </si>
  <si>
    <t>ACMB-95-V03-MSA</t>
  </si>
  <si>
    <t>ACMB-95-V02-MSB</t>
  </si>
  <si>
    <t>ACMB-95-V03-MSB</t>
  </si>
  <si>
    <t>ACMB-95-R02-BO</t>
  </si>
  <si>
    <t>ACMB-95-RR02-BO</t>
  </si>
  <si>
    <t>ACMB-95-R02-BOA</t>
  </si>
  <si>
    <t>ACMB-95-RR02-BOA</t>
  </si>
  <si>
    <t>ACMB-95-R02-BOB</t>
  </si>
  <si>
    <t>ACMB-95-RR02-BOB</t>
  </si>
  <si>
    <t>ACMB-95-V04-MS</t>
  </si>
  <si>
    <t>ACMB-95-V05-MS</t>
  </si>
  <si>
    <t>ACMB-95-V04-MSA</t>
  </si>
  <si>
    <t>ACMB-95-V05-MSA</t>
  </si>
  <si>
    <t>ACMB-95-V04-MSB</t>
  </si>
  <si>
    <t>ACMB-95-V05-MSB</t>
  </si>
  <si>
    <t>ACMB-95-R03-BO</t>
  </si>
  <si>
    <t>ACMB-95-RR03-BO</t>
  </si>
  <si>
    <t>ACMB-95-R03-BOA</t>
  </si>
  <si>
    <t>ACMB-95-RR03-BOA</t>
  </si>
  <si>
    <t>ACMB-95-R03-BOB</t>
  </si>
  <si>
    <t>ACMB-95-RR03-BOB</t>
  </si>
  <si>
    <t>ACMB-95-V06-MS</t>
  </si>
  <si>
    <t>ACMB-95-V07-MS</t>
  </si>
  <si>
    <t>ACMB-95-V06-MSA</t>
  </si>
  <si>
    <t>ACMB-95-V07-MSA</t>
  </si>
  <si>
    <t>ACMB-95-V06-MSB</t>
  </si>
  <si>
    <t>ACMB-95-V07-MSB</t>
  </si>
  <si>
    <t>ACMB-95-R04-BO</t>
  </si>
  <si>
    <t>ACMB-95-RR04-BO</t>
  </si>
  <si>
    <t>ACMB-95-R04-BOA</t>
  </si>
  <si>
    <t>ACMB-95-RR04-BOA</t>
  </si>
  <si>
    <t>ACMB-95-R04-BOB</t>
  </si>
  <si>
    <t>ACMB-95-RR04-BOB</t>
  </si>
  <si>
    <t>ACMB-95-V08-MS</t>
  </si>
  <si>
    <t>ACMB-95-V09-MS</t>
  </si>
  <si>
    <t>ACMB-95-V08-MSA</t>
  </si>
  <si>
    <t>ACMB-95-V09-MSA</t>
  </si>
  <si>
    <t>ACMB-95-V08-MSB</t>
  </si>
  <si>
    <t>ACMB-95-V09-MSB</t>
  </si>
  <si>
    <t>ACMB-95-R05-BO</t>
  </si>
  <si>
    <t>ACMB-95-RR05-BO</t>
  </si>
  <si>
    <t>ACMB-95-R05-BOA</t>
  </si>
  <si>
    <t>ACMB-95-RR05-BOA</t>
  </si>
  <si>
    <t>ACMB-95-R05-BOB</t>
  </si>
  <si>
    <t>ACMB-95-RR05-BOB</t>
  </si>
  <si>
    <t>ACMB-95-V10-MS</t>
  </si>
  <si>
    <t>ACMB-95-V11-MS</t>
  </si>
  <si>
    <t>ACMB-95-V10-MSA</t>
  </si>
  <si>
    <t>ACMB-95-V11-MSA</t>
  </si>
  <si>
    <t>ACMB-95-V10-MSB</t>
  </si>
  <si>
    <t>ACMB-95-V11-MSB</t>
  </si>
  <si>
    <t>ACMB-95-R06-BO</t>
  </si>
  <si>
    <t>ACMB-95-RR06-BO</t>
  </si>
  <si>
    <t>ACMB-95-R06-BOA</t>
  </si>
  <si>
    <t>ACMB-95-RR06-BOA</t>
  </si>
  <si>
    <t>ACMB-95-R06-BOB</t>
  </si>
  <si>
    <t>ACMB-95-RR06-BOB</t>
  </si>
  <si>
    <t>ACMB-95-V12-MS</t>
  </si>
  <si>
    <t>ACMB-95-V13-MS</t>
  </si>
  <si>
    <t>ACMB-95-V12-MSA</t>
  </si>
  <si>
    <t>ACMB-95-V13-MSA</t>
  </si>
  <si>
    <t>ACMB-95-V12-MSB</t>
  </si>
  <si>
    <t>ACMB-95-V13-MSB</t>
  </si>
  <si>
    <t>ACMB-95-R07-BO</t>
  </si>
  <si>
    <t>ACMB-95-RR07-BO</t>
  </si>
  <si>
    <t>ACMB-95-R07-BOA</t>
  </si>
  <si>
    <t>ACMB-95-RR07-BOA</t>
  </si>
  <si>
    <t>ACMB-95-R07-BOB</t>
  </si>
  <si>
    <t>ACMB-95-RR07-BOB</t>
  </si>
  <si>
    <t>ACMB-95-V14-MS</t>
  </si>
  <si>
    <t>ACMB-95-V15-MS</t>
  </si>
  <si>
    <t>ACMB-95-V14-MSA</t>
  </si>
  <si>
    <t>ACMB-95-V15-MSA</t>
  </si>
  <si>
    <t>ACMB-95-V14-MSB</t>
  </si>
  <si>
    <t>ACMB-95-V15-MSB</t>
  </si>
  <si>
    <t>ACMB-96-R01-BO</t>
  </si>
  <si>
    <t>ACMB-96-RR01-BO</t>
  </si>
  <si>
    <t>ACMB-96-R01-BOA</t>
  </si>
  <si>
    <t>ACMB-96-RR01-BOA</t>
  </si>
  <si>
    <t>ACMB-96-R01-BOB</t>
  </si>
  <si>
    <t>ACMB-96-RR01-BOB</t>
  </si>
  <si>
    <t>ACMB-96-V02-MS</t>
  </si>
  <si>
    <t>ACMB-96-V03-MS</t>
  </si>
  <si>
    <t>ACMB-96-V02-MSA</t>
  </si>
  <si>
    <t>ACMB-96-V03-MSA</t>
  </si>
  <si>
    <t>ACMB-96-V02-MSB</t>
  </si>
  <si>
    <t>ACMB-96-V03-MSB</t>
  </si>
  <si>
    <t>ACMB-96-R02-BO</t>
  </si>
  <si>
    <t>ACMB-96-RR02-BO</t>
  </si>
  <si>
    <t>ACMB-96-R02-BOA</t>
  </si>
  <si>
    <t>ACMB-96-RR02-BOA</t>
  </si>
  <si>
    <t>ACMB-96-R02-BOB</t>
  </si>
  <si>
    <t>ACMB-96-RR02-BOB</t>
  </si>
  <si>
    <t>ACMB-96-V04-MS</t>
  </si>
  <si>
    <t>ACMB-96-V05-MS</t>
  </si>
  <si>
    <t>ACMB-96-V04-MSA</t>
  </si>
  <si>
    <t>ACMB-96-V05-MSA</t>
  </si>
  <si>
    <t>ACMB-96-V04-MSB</t>
  </si>
  <si>
    <t>ACMB-96-V05-MSB</t>
  </si>
  <si>
    <t>ACMB-96-R03-BO</t>
  </si>
  <si>
    <t>ACMB-96-RR03-BO</t>
  </si>
  <si>
    <t>ACMB-96-R03-BOA</t>
  </si>
  <si>
    <t>ACMB-96-RR03-BOA</t>
  </si>
  <si>
    <t>ACMB-96-R03-BOB</t>
  </si>
  <si>
    <t>ACMB-96-RR03-BOB</t>
  </si>
  <si>
    <t>ACMB-96-V06-MS</t>
  </si>
  <si>
    <t>ACMB-96-V07-MS</t>
  </si>
  <si>
    <t>ACMB-96-V06-MSA</t>
  </si>
  <si>
    <t>ACMB-96-V07-MSA</t>
  </si>
  <si>
    <t>ACMB-96-V06-MSB</t>
  </si>
  <si>
    <t>ACMB-96-V07-MSB</t>
  </si>
  <si>
    <t>ACMB-96-R04-BO</t>
  </si>
  <si>
    <t>ACMB-96-RR04-BO</t>
  </si>
  <si>
    <t>ACMB-96-R04-BOA</t>
  </si>
  <si>
    <t>ACMB-96-RR04-BOA</t>
  </si>
  <si>
    <t>ACMB-96-R04-BOB</t>
  </si>
  <si>
    <t>ACMB-96-RR04-BOB</t>
  </si>
  <si>
    <t>ACMB-96-V08-MS</t>
  </si>
  <si>
    <t>ACMB-96-V09-MS</t>
  </si>
  <si>
    <t>ACMB-96-V08-MSA</t>
  </si>
  <si>
    <t>ACMB-96-V09-MSA</t>
  </si>
  <si>
    <t>ACMB-96-V08-MSB</t>
  </si>
  <si>
    <t>ACMB-96-V09-MSB</t>
  </si>
  <si>
    <t>ACMB-96-R05-BO</t>
  </si>
  <si>
    <t>ACMB-96-RR05-BO</t>
  </si>
  <si>
    <t>ACMB-96-R05-BOA</t>
  </si>
  <si>
    <t>ACMB-96-RR05-BOA</t>
  </si>
  <si>
    <t>ACMB-96-R05-BOB</t>
  </si>
  <si>
    <t>ACMB-96-RR05-BOB</t>
  </si>
  <si>
    <t>ACMB-96-V10-MS</t>
  </si>
  <si>
    <t>ACMB-96-V11-MS</t>
  </si>
  <si>
    <t>ACMB-96-V10-MSA</t>
  </si>
  <si>
    <t>ACMB-96-V11-MSA</t>
  </si>
  <si>
    <t>ACMB-96-V10-MSB</t>
  </si>
  <si>
    <t>ACMB-96-V11-MSB</t>
  </si>
  <si>
    <t>ACMB-96-R06-BO</t>
  </si>
  <si>
    <t>ACMB-96-RR06-BO</t>
  </si>
  <si>
    <t>ACMB-96-R06-BOA</t>
  </si>
  <si>
    <t>ACMB-96-RR06-BOA</t>
  </si>
  <si>
    <t>ACMB-96-R06-BOB</t>
  </si>
  <si>
    <t>ACMB-96-RR06-BOB</t>
  </si>
  <si>
    <t>ACMB-96-V12-MS</t>
  </si>
  <si>
    <t>ACMB-96-V13-MS</t>
  </si>
  <si>
    <t>ACMB-96-V12-MSA</t>
  </si>
  <si>
    <t>ACMB-96-V13-MSA</t>
  </si>
  <si>
    <t>ACMB-96-V12-MSB</t>
  </si>
  <si>
    <t>ACMB-96-V13-MSB</t>
  </si>
  <si>
    <t>ACMB-96-R07-BO</t>
  </si>
  <si>
    <t>ACMB-96-RR07-BO</t>
  </si>
  <si>
    <t>ACMB-96-R07-BOA</t>
  </si>
  <si>
    <t>ACMB-96-RR07-BOA</t>
  </si>
  <si>
    <t>ACMB-96-R07-BOB</t>
  </si>
  <si>
    <t>ACMB-96-RR07-BOB</t>
  </si>
  <si>
    <t>ACMB-96-V14-MS</t>
  </si>
  <si>
    <t>ACMB-96-V15-MS</t>
  </si>
  <si>
    <t>ACMB-96-V14-MSA</t>
  </si>
  <si>
    <t>ACMB-96-V15-MSA</t>
  </si>
  <si>
    <t>ACMB-96-V14-MSB</t>
  </si>
  <si>
    <t>ACMB-96-V15-MSB</t>
  </si>
  <si>
    <t>ACMB-97-R01-BO</t>
  </si>
  <si>
    <t>ACMB-97-RR01-BO</t>
  </si>
  <si>
    <t>ACMB-97-R01-BOA</t>
  </si>
  <si>
    <t>ACMB-97-RR01-BOA</t>
  </si>
  <si>
    <t>ACMB-97-R01-BOB</t>
  </si>
  <si>
    <t>ACMB-97-RR01-BOB</t>
  </si>
  <si>
    <t>ACMB-97-V02-MS</t>
  </si>
  <si>
    <t>ACMB-97-V03-MS</t>
  </si>
  <si>
    <t>ACMB-97-V02-MSA</t>
  </si>
  <si>
    <t>ACMB-97-V03-MSA</t>
  </si>
  <si>
    <t>ACMB-97-V02-MSB</t>
  </si>
  <si>
    <t>ACMB-97-V03-MSB</t>
  </si>
  <si>
    <t>ACMB-97-R02-BO</t>
  </si>
  <si>
    <t>ACMB-97-RR02-BO</t>
  </si>
  <si>
    <t>ACMB-97-R02-BOA</t>
  </si>
  <si>
    <t>ACMB-97-RR02-BOA</t>
  </si>
  <si>
    <t>ACMB-97-R02-BOB</t>
  </si>
  <si>
    <t>ACMB-97-RR02-BOB</t>
  </si>
  <si>
    <t>ACMB-97-V04-MS</t>
  </si>
  <si>
    <t>ACMB-97-V05-MS</t>
  </si>
  <si>
    <t>ACMB-97-V04-MSA</t>
  </si>
  <si>
    <t>ACMB-97-V05-MSA</t>
  </si>
  <si>
    <t>ACMB-97-V04-MSB</t>
  </si>
  <si>
    <t>ACMB-97-V05-MSB</t>
  </si>
  <si>
    <t>ACMB-97-R03-BO</t>
  </si>
  <si>
    <t>ACMB-97-RR03-BO</t>
  </si>
  <si>
    <t>ACMB-97-R03-BOA</t>
  </si>
  <si>
    <t>ACMB-97-RR03-BOA</t>
  </si>
  <si>
    <t>ACMB-97-R03-BOB</t>
  </si>
  <si>
    <t>ACMB-97-RR03-BOB</t>
  </si>
  <si>
    <t>ACMB-97-V06-MS</t>
  </si>
  <si>
    <t>ACMB-97-V07-MS</t>
  </si>
  <si>
    <t>ACMB-97-V06-MSA</t>
  </si>
  <si>
    <t>ACMB-97-V07-MSA</t>
  </si>
  <si>
    <t>ACMB-97-V06-MSB</t>
  </si>
  <si>
    <t>ACMB-97-V07-MSB</t>
  </si>
  <si>
    <t>ACMB-97-R04-BO</t>
  </si>
  <si>
    <t>ACMB-97-RR04-BO</t>
  </si>
  <si>
    <t>ACMB-97-R04-BOA</t>
  </si>
  <si>
    <t>ACMB-97-RR04-BOA</t>
  </si>
  <si>
    <t>ACMB-97-R04-BOB</t>
  </si>
  <si>
    <t>ACMB-97-RR04-BOB</t>
  </si>
  <si>
    <t>ACMB-97-V08-MS</t>
  </si>
  <si>
    <t>ACMB-97-V09-MS</t>
  </si>
  <si>
    <t>ACMB-97-V08-MSA</t>
  </si>
  <si>
    <t>ACMB-97-V09-MSA</t>
  </si>
  <si>
    <t>ACMB-97-V08-MSB</t>
  </si>
  <si>
    <t>ACMB-97-V09-MSB</t>
  </si>
  <si>
    <t>ACMB-97-R05-BO</t>
  </si>
  <si>
    <t>ACMB-97-RR05-BO</t>
  </si>
  <si>
    <t>ACMB-97-R05-BOA</t>
  </si>
  <si>
    <t>ACMB-97-RR05-BOA</t>
  </si>
  <si>
    <t>ACMB-97-R05-BOB</t>
  </si>
  <si>
    <t>ACMB-97-RR05-BOB</t>
  </si>
  <si>
    <t>ACMB-97-V10-MS</t>
  </si>
  <si>
    <t>ACMB-97-V11-MS</t>
  </si>
  <si>
    <t>ACMB-97-V10-MSA</t>
  </si>
  <si>
    <t>ACMB-97-V11-MSA</t>
  </si>
  <si>
    <t>ACMB-97-V10-MSB</t>
  </si>
  <si>
    <t>ACMB-97-V11-MSB</t>
  </si>
  <si>
    <t>ACMB-97-R06-BO</t>
  </si>
  <si>
    <t>ACMB-97-RR06-BO</t>
  </si>
  <si>
    <t>ACMB-97-R06-BOA</t>
  </si>
  <si>
    <t>ACMB-97-RR06-BOA</t>
  </si>
  <si>
    <t>ACMB-97-R06-BOB</t>
  </si>
  <si>
    <t>ACMB-97-RR06-BOB</t>
  </si>
  <si>
    <t>ACMB-97-V12-MS</t>
  </si>
  <si>
    <t>ACMB-97-V13-MS</t>
  </si>
  <si>
    <t>ACMB-97-V12-MSA</t>
  </si>
  <si>
    <t>ACMB-97-V13-MSA</t>
  </si>
  <si>
    <t>ACMB-97-V12-MSB</t>
  </si>
  <si>
    <t>ACMB-97-V13-MSB</t>
  </si>
  <si>
    <t>ACMB-97-R07-BO</t>
  </si>
  <si>
    <t>ACMB-97-RR07-BO</t>
  </si>
  <si>
    <t>ACMB-97-R07-BOA</t>
  </si>
  <si>
    <t>ACMB-97-RR07-BOA</t>
  </si>
  <si>
    <t>ACMB-97-R07-BOB</t>
  </si>
  <si>
    <t>ACMB-97-RR07-BOB</t>
  </si>
  <si>
    <t>ACMB-97-V14-MS</t>
  </si>
  <si>
    <t>ACMB-97-V15-MS</t>
  </si>
  <si>
    <t>ACMB-97-V14-MSA</t>
  </si>
  <si>
    <t>ACMB-97-V15-MSA</t>
  </si>
  <si>
    <t>ACMB-97-V14-MSB</t>
  </si>
  <si>
    <t>ACMB-97-V15-MSB</t>
  </si>
  <si>
    <t>ACMB-98-R01-BO</t>
  </si>
  <si>
    <t>ACMB-98-RR01-BO</t>
  </si>
  <si>
    <t>ACMB-98-R01-BOA</t>
  </si>
  <si>
    <t>ACMB-98-RR01-BOA</t>
  </si>
  <si>
    <t>ACMB-98-R01-BOB</t>
  </si>
  <si>
    <t>ACMB-98-RR01-BOB</t>
  </si>
  <si>
    <t>ACMB-98-V02-MS</t>
  </si>
  <si>
    <t>ACMB-98-V03-MS</t>
  </si>
  <si>
    <t>ACMB-98-V02-MSA</t>
  </si>
  <si>
    <t>ACMB-98-V03-MSA</t>
  </si>
  <si>
    <t>ACMB-98-V02-MSB</t>
  </si>
  <si>
    <t>ACMB-98-V03-MSB</t>
  </si>
  <si>
    <t>ACMB-98-R02-BO</t>
  </si>
  <si>
    <t>ACMB-98-RR02-BO</t>
  </si>
  <si>
    <t>ACMB-98-R02-BOA</t>
  </si>
  <si>
    <t>ACMB-98-RR02-BOA</t>
  </si>
  <si>
    <t>ACMB-98-R02-BOB</t>
  </si>
  <si>
    <t>ACMB-98-RR02-BOB</t>
  </si>
  <si>
    <t>ACMB-98-V04-MS</t>
  </si>
  <si>
    <t>ACMB-98-V05-MS</t>
  </si>
  <si>
    <t>ACMB-98-V04-MSA</t>
  </si>
  <si>
    <t>ACMB-98-V05-MSA</t>
  </si>
  <si>
    <t>ACMB-98-V04-MSB</t>
  </si>
  <si>
    <t>ACMB-98-V05-MSB</t>
  </si>
  <si>
    <t>ACMB-98-R03-BO</t>
  </si>
  <si>
    <t>ACMB-98-RR03-BO</t>
  </si>
  <si>
    <t>ACMB-98-R03-BOA</t>
  </si>
  <si>
    <t>ACMB-98-RR03-BOA</t>
  </si>
  <si>
    <t>ACMB-98-R03-BOB</t>
  </si>
  <si>
    <t>ACMB-98-RR03-BOB</t>
  </si>
  <si>
    <t>ACMB-98-V06-MS</t>
  </si>
  <si>
    <t>ACMB-98-V07-MS</t>
  </si>
  <si>
    <t>ACMB-98-V06-MSA</t>
  </si>
  <si>
    <t>ACMB-98-V07-MSA</t>
  </si>
  <si>
    <t>ACMB-98-V06-MSB</t>
  </si>
  <si>
    <t>ACMB-98-V07-MSB</t>
  </si>
  <si>
    <t>ACMB-98-R04-BO</t>
  </si>
  <si>
    <t>ACMB-98-RR04-BO</t>
  </si>
  <si>
    <t>ACMB-98-R04-BOA</t>
  </si>
  <si>
    <t>ACMB-98-RR04-BOA</t>
  </si>
  <si>
    <t>ACMB-98-R04-BOB</t>
  </si>
  <si>
    <t>ACMB-98-RR04-BOB</t>
  </si>
  <si>
    <t>ACMB-98-V08-MS</t>
  </si>
  <si>
    <t>ACMB-98-V09-MS</t>
  </si>
  <si>
    <t>ACMB-98-V08-MSA</t>
  </si>
  <si>
    <t>ACMB-98-V09-MSA</t>
  </si>
  <si>
    <t>ACMB-98-V08-MSB</t>
  </si>
  <si>
    <t>ACMB-98-V09-MSB</t>
  </si>
  <si>
    <t>ACMB-98-R05-BO</t>
  </si>
  <si>
    <t>ACMB-98-RR05-BO</t>
  </si>
  <si>
    <t>ACMB-98-R05-BOA</t>
  </si>
  <si>
    <t>ACMB-98-RR05-BOA</t>
  </si>
  <si>
    <t>ACMB-98-R05-BOB</t>
  </si>
  <si>
    <t>ACMB-98-RR05-BOB</t>
  </si>
  <si>
    <t>ACMB-98-V10-MS</t>
  </si>
  <si>
    <t>ACMB-98-V11-MS</t>
  </si>
  <si>
    <t>ACMB-98-V10-MSA</t>
  </si>
  <si>
    <t>ACMB-98-V11-MSA</t>
  </si>
  <si>
    <t>ACMB-98-V10-MSB</t>
  </si>
  <si>
    <t>ACMB-98-V11-MSB</t>
  </si>
  <si>
    <t>ACMB-98-R06-BO</t>
  </si>
  <si>
    <t>ACMB-98-RR06-BO</t>
  </si>
  <si>
    <t>ACMB-98-R06-BOA</t>
  </si>
  <si>
    <t>ACMB-98-RR06-BOA</t>
  </si>
  <si>
    <t>ACMB-98-R06-BOB</t>
  </si>
  <si>
    <t>ACMB-98-RR06-BOB</t>
  </si>
  <si>
    <t>ACMB-98-V12-MS</t>
  </si>
  <si>
    <t>ACMB-98-V13-MS</t>
  </si>
  <si>
    <t>ACMB-98-V12-MSA</t>
  </si>
  <si>
    <t>ACMB-98-V13-MSA</t>
  </si>
  <si>
    <t>ACMB-98-V12-MSB</t>
  </si>
  <si>
    <t>ACMB-98-V13-MSB</t>
  </si>
  <si>
    <t>ACMB-98-R07-BO</t>
  </si>
  <si>
    <t>ACMB-98-RR07-BO</t>
  </si>
  <si>
    <t>ACMB-98-R07-BOA</t>
  </si>
  <si>
    <t>ACMB-98-RR07-BOA</t>
  </si>
  <si>
    <t>ACMB-98-R07-BOB</t>
  </si>
  <si>
    <t>ACMB-98-RR07-BOB</t>
  </si>
  <si>
    <t>ACMB-98-V14-MS</t>
  </si>
  <si>
    <t>ACMB-98-V15-MS</t>
  </si>
  <si>
    <t>ACMB-98-V14-MSA</t>
  </si>
  <si>
    <t>ACMB-98-V15-MSA</t>
  </si>
  <si>
    <t>ACMB-98-V14-MSB</t>
  </si>
  <si>
    <t>ACMB-98-V15-MSB</t>
  </si>
  <si>
    <t>ACMB-99-R01-BO</t>
  </si>
  <si>
    <t>ACMB-99-RR01-BO</t>
  </si>
  <si>
    <t>ACMB-99-R01-BOA</t>
  </si>
  <si>
    <t>ACMB-99-RR01-BOA</t>
  </si>
  <si>
    <t>ACMB-99-R01-BOB</t>
  </si>
  <si>
    <t>ACMB-99-RR01-BOB</t>
  </si>
  <si>
    <t>ACMB-99-V02-MS</t>
  </si>
  <si>
    <t>ACMB-99-V03-MS</t>
  </si>
  <si>
    <t>ACMB-99-V02-MSA</t>
  </si>
  <si>
    <t>ACMB-99-V03-MSA</t>
  </si>
  <si>
    <t>ACMB-99-V02-MSB</t>
  </si>
  <si>
    <t>ACMB-99-V03-MSB</t>
  </si>
  <si>
    <t>ACMB-99-R02-BO</t>
  </si>
  <si>
    <t>ACMB-99-RR02-BO</t>
  </si>
  <si>
    <t>ACMB-99-R02-BOA</t>
  </si>
  <si>
    <t>ACMB-99-RR02-BOA</t>
  </si>
  <si>
    <t>ACMB-99-R02-BOB</t>
  </si>
  <si>
    <t>ACMB-99-RR02-BOB</t>
  </si>
  <si>
    <t>ACMB-99-V04-MS</t>
  </si>
  <si>
    <t>ACMB-99-V05-MS</t>
  </si>
  <si>
    <t>ACMB-99-V04-MSA</t>
  </si>
  <si>
    <t>ACMB-99-V05-MSA</t>
  </si>
  <si>
    <t>ACMB-99-V04-MSB</t>
  </si>
  <si>
    <t>ACMB-99-V05-MSB</t>
  </si>
  <si>
    <t>ACMB-99-R03-BO</t>
  </si>
  <si>
    <t>ACMB-99-RR03-BO</t>
  </si>
  <si>
    <t>ACMB-99-R03-BOA</t>
  </si>
  <si>
    <t>ACMB-99-RR03-BOA</t>
  </si>
  <si>
    <t>ACMB-99-R03-BOB</t>
  </si>
  <si>
    <t>ACMB-99-RR03-BOB</t>
  </si>
  <si>
    <t>ACMB-99-V06-MS</t>
  </si>
  <si>
    <t>ACMB-99-V07-MS</t>
  </si>
  <si>
    <t>ACMB-99-V06-MSA</t>
  </si>
  <si>
    <t>ACMB-99-V07-MSA</t>
  </si>
  <si>
    <t>ACMB-99-V06-MSB</t>
  </si>
  <si>
    <t>ACMB-99-V07-MSB</t>
  </si>
  <si>
    <t>ACMB-99-R04-BO</t>
  </si>
  <si>
    <t>ACMB-99-RR04-BO</t>
  </si>
  <si>
    <t>ACMB-99-R04-BOA</t>
  </si>
  <si>
    <t>ACMB-99-RR04-BOA</t>
  </si>
  <si>
    <t>ACMB-99-R04-BOB</t>
  </si>
  <si>
    <t>ACMB-99-RR04-BOB</t>
  </si>
  <si>
    <t>ACMB-99-V08-MS</t>
  </si>
  <si>
    <t>ACMB-99-V09-MS</t>
  </si>
  <si>
    <t>ACMB-99-V08-MSA</t>
  </si>
  <si>
    <t>ACMB-99-V09-MSA</t>
  </si>
  <si>
    <t>ACMB-99-V08-MSB</t>
  </si>
  <si>
    <t>ACMB-99-V09-MSB</t>
  </si>
  <si>
    <t>ACMB-99-R05-BO</t>
  </si>
  <si>
    <t>ACMB-99-RR05-BO</t>
  </si>
  <si>
    <t>ACMB-99-R05-BOA</t>
  </si>
  <si>
    <t>ACMB-99-RR05-BOA</t>
  </si>
  <si>
    <t>ACMB-99-R05-BOB</t>
  </si>
  <si>
    <t>ACMB-99-RR05-BOB</t>
  </si>
  <si>
    <t>ACMB-99-V10-MS</t>
  </si>
  <si>
    <t>ACMB-99-V11-MS</t>
  </si>
  <si>
    <t>ACMB-99-V10-MSA</t>
  </si>
  <si>
    <t>ACMB-99-V11-MSA</t>
  </si>
  <si>
    <t>ACMB-99-V10-MSB</t>
  </si>
  <si>
    <t>ACMB-99-V11-MSB</t>
  </si>
  <si>
    <t>ACMB-99-R06-BO</t>
  </si>
  <si>
    <t>ACMB-99-RR06-BO</t>
  </si>
  <si>
    <t>ACMB-99-R06-BOA</t>
  </si>
  <si>
    <t>ACMB-99-RR06-BOA</t>
  </si>
  <si>
    <t>ACMB-99-R06-BOB</t>
  </si>
  <si>
    <t>ACMB-99-RR06-BOB</t>
  </si>
  <si>
    <t>ACMB-99-V12-MS</t>
  </si>
  <si>
    <t>ACMB-99-V13-MS</t>
  </si>
  <si>
    <t>ACMB-99-V12-MSA</t>
  </si>
  <si>
    <t>ACMB-99-V13-MSA</t>
  </si>
  <si>
    <t>ACMB-99-V12-MSB</t>
  </si>
  <si>
    <t>ACMB-99-V13-MSB</t>
  </si>
  <si>
    <t>ACMB-99-R07-BO</t>
  </si>
  <si>
    <t>ACMB-99-RR07-BO</t>
  </si>
  <si>
    <t>ACMB-99-R07-BOA</t>
  </si>
  <si>
    <t>ACMB-99-RR07-BOA</t>
  </si>
  <si>
    <t>ACMB-99-R07-BOB</t>
  </si>
  <si>
    <t>ACMB-99-RR07-BOB</t>
  </si>
  <si>
    <t>ACMB-99-V14-MS</t>
  </si>
  <si>
    <t>ACMB-99-V15-MS</t>
  </si>
  <si>
    <t>ACMB-99-V14-MSA</t>
  </si>
  <si>
    <t>ACMB-99-V15-MSA</t>
  </si>
  <si>
    <t>ACMB-99-V14-MSB</t>
  </si>
  <si>
    <t>ACMB-99-V15-MSB</t>
  </si>
  <si>
    <t>ACMB-100-R01-BO</t>
  </si>
  <si>
    <t>ACMB-100-RR01-BO</t>
  </si>
  <si>
    <t>ACMB-100-R01-BOA</t>
  </si>
  <si>
    <t>ACMB-100-RR01-BOA</t>
  </si>
  <si>
    <t>ACMB-100-R01-BOB</t>
  </si>
  <si>
    <t>ACMB-100-RR01-BOB</t>
  </si>
  <si>
    <t>ACMB-100-V02-MS</t>
  </si>
  <si>
    <t>ACMB-100-V03-MS</t>
  </si>
  <si>
    <t>ACMB-100-V02-MSA</t>
  </si>
  <si>
    <t>ACMB-100-V03-MSA</t>
  </si>
  <si>
    <t>ACMB-100-V02-MSB</t>
  </si>
  <si>
    <t>ACMB-100-V03-MSB</t>
  </si>
  <si>
    <t>ACMB-100-R02-BO</t>
  </si>
  <si>
    <t>ACMB-100-RR02-BO</t>
  </si>
  <si>
    <t>ACMB-100-R02-BOA</t>
  </si>
  <si>
    <t>ACMB-100-RR02-BOA</t>
  </si>
  <si>
    <t>ACMB-100-R02-BOB</t>
  </si>
  <si>
    <t>ACMB-100-RR02-BOB</t>
  </si>
  <si>
    <t>ACMB-100-V04-MS</t>
  </si>
  <si>
    <t>ACMB-100-V05-MS</t>
  </si>
  <si>
    <t>ACMB-100-V04-MSA</t>
  </si>
  <si>
    <t>ACMB-100-V05-MSA</t>
  </si>
  <si>
    <t>ACMB-100-V04-MSB</t>
  </si>
  <si>
    <t>ACMB-100-V05-MSB</t>
  </si>
  <si>
    <t>ACMB-100-R03-BO</t>
  </si>
  <si>
    <t>ACMB-100-RR03-BO</t>
  </si>
  <si>
    <t>ACMB-100-R03-BOA</t>
  </si>
  <si>
    <t>ACMB-100-RR03-BOA</t>
  </si>
  <si>
    <t>ACMB-100-R03-BOB</t>
  </si>
  <si>
    <t>ACMB-100-RR03-BOB</t>
  </si>
  <si>
    <t>ACMB-100-V06-MS</t>
  </si>
  <si>
    <t>ACMB-100-V07-MS</t>
  </si>
  <si>
    <t>ACMB-100-V06-MSA</t>
  </si>
  <si>
    <t>ACMB-100-V07-MSA</t>
  </si>
  <si>
    <t>ACMB-100-V06-MSB</t>
  </si>
  <si>
    <t>ACMB-100-V07-MSB</t>
  </si>
  <si>
    <t>ACMB-100-R04-BO</t>
  </si>
  <si>
    <t>ACMB-100-RR04-BO</t>
  </si>
  <si>
    <t>ACMB-100-R04-BOA</t>
  </si>
  <si>
    <t>ACMB-100-RR04-BOA</t>
  </si>
  <si>
    <t>ACMB-100-R04-BOB</t>
  </si>
  <si>
    <t>ACMB-100-RR04-BOB</t>
  </si>
  <si>
    <t>ACMB-100-V08-MS</t>
  </si>
  <si>
    <t>ACMB-100-V09-MS</t>
  </si>
  <si>
    <t>ACMB-100-V08-MSA</t>
  </si>
  <si>
    <t>ACMB-100-V09-MSA</t>
  </si>
  <si>
    <t>ACMB-100-V08-MSB</t>
  </si>
  <si>
    <t>ACMB-100-V09-MSB</t>
  </si>
  <si>
    <t>ACMB-100-R05-BO</t>
  </si>
  <si>
    <t>ACMB-100-RR05-BO</t>
  </si>
  <si>
    <t>ACMB-100-R05-BOA</t>
  </si>
  <si>
    <t>ACMB-100-RR05-BOA</t>
  </si>
  <si>
    <t>ACMB-100-R05-BOB</t>
  </si>
  <si>
    <t>ACMB-100-RR05-BOB</t>
  </si>
  <si>
    <t>ACMB-100-V10-MS</t>
  </si>
  <si>
    <t>ACMB-100-V11-MS</t>
  </si>
  <si>
    <t>ACMB-100-V10-MSA</t>
  </si>
  <si>
    <t>ACMB-100-V11-MSA</t>
  </si>
  <si>
    <t>ACMB-100-V10-MSB</t>
  </si>
  <si>
    <t>ACMB-100-V11-MSB</t>
  </si>
  <si>
    <t>ACMB-100-R06-BO</t>
  </si>
  <si>
    <t>ACMB-100-RR06-BO</t>
  </si>
  <si>
    <t>ACMB-100-R06-BOA</t>
  </si>
  <si>
    <t>ACMB-100-RR06-BOA</t>
  </si>
  <si>
    <t>ACMB-100-R06-BOB</t>
  </si>
  <si>
    <t>ACMB-100-RR06-BOB</t>
  </si>
  <si>
    <t>ACMB-100-V12-MS</t>
  </si>
  <si>
    <t>ACMB-100-V13-MS</t>
  </si>
  <si>
    <t>ACMB-100-V12-MSA</t>
  </si>
  <si>
    <t>ACMB-100-V13-MSA</t>
  </si>
  <si>
    <t>ACMB-100-V12-MSB</t>
  </si>
  <si>
    <t>ACMB-100-V13-MSB</t>
  </si>
  <si>
    <t>ACMB-100-R07-BO</t>
  </si>
  <si>
    <t>ACMB-100-RR07-BO</t>
  </si>
  <si>
    <t>ACMB-100-R07-BOA</t>
  </si>
  <si>
    <t>ACMB-100-RR07-BOA</t>
  </si>
  <si>
    <t>ACMB-100-R07-BOB</t>
  </si>
  <si>
    <t>ACMB-100-RR07-BOB</t>
  </si>
  <si>
    <t>ACMB-100-V14-MS</t>
  </si>
  <si>
    <t>ACMB-100-V15-MS</t>
  </si>
  <si>
    <t>ACMB-100-V14-MSA</t>
  </si>
  <si>
    <t>ACMB-100-V15-MSA</t>
  </si>
  <si>
    <t>ACMB-100-V14-MSB</t>
  </si>
  <si>
    <t>ACMB-100-V15-MSB</t>
  </si>
  <si>
    <t>ACMB-101-R01-BO</t>
  </si>
  <si>
    <t>ACMB-101-RR01-BO</t>
  </si>
  <si>
    <t>ACMB-101-R01-BOA</t>
  </si>
  <si>
    <t>ACMB-101-RR01-BOA</t>
  </si>
  <si>
    <t>ACMB-101-R01-BOB</t>
  </si>
  <si>
    <t>ACMB-101-RR01-BOB</t>
  </si>
  <si>
    <t>ACMB-101-V02-MS</t>
  </si>
  <si>
    <t>ACMB-101-V03-MS</t>
  </si>
  <si>
    <t>ACMB-101-V02-MSA</t>
  </si>
  <si>
    <t>ACMB-101-V03-MSA</t>
  </si>
  <si>
    <t>ACMB-101-V02-MSB</t>
  </si>
  <si>
    <t>ACMB-101-V03-MSB</t>
  </si>
  <si>
    <t>ACMB-101-R02-BO</t>
  </si>
  <si>
    <t>ACMB-101-RR02-BO</t>
  </si>
  <si>
    <t>ACMB-101-R02-BOA</t>
  </si>
  <si>
    <t>ACMB-101-RR02-BOA</t>
  </si>
  <si>
    <t>ACMB-101-R02-BOB</t>
  </si>
  <si>
    <t>ACMB-101-RR02-BOB</t>
  </si>
  <si>
    <t>ACMB-101-V04-MS</t>
  </si>
  <si>
    <t>ACMB-101-V05-MS</t>
  </si>
  <si>
    <t>ACMB-101-V04-MSA</t>
  </si>
  <si>
    <t>ACMB-101-V05-MSA</t>
  </si>
  <si>
    <t>ACMB-101-V04-MSB</t>
  </si>
  <si>
    <t>ACMB-101-V05-MSB</t>
  </si>
  <si>
    <t>ACMB-101-R03-BO</t>
  </si>
  <si>
    <t>ACMB-101-RR03-BO</t>
  </si>
  <si>
    <t>ACMB-101-R03-BOA</t>
  </si>
  <si>
    <t>ACMB-101-RR03-BOA</t>
  </si>
  <si>
    <t>ACMB-101-R03-BOB</t>
  </si>
  <si>
    <t>ACMB-101-RR03-BOB</t>
  </si>
  <si>
    <t>ACMB-101-V06-MS</t>
  </si>
  <si>
    <t>ACMB-101-V07-MS</t>
  </si>
  <si>
    <t>ACMB-101-V06-MSA</t>
  </si>
  <si>
    <t>ACMB-101-V07-MSA</t>
  </si>
  <si>
    <t>ACMB-101-V06-MSB</t>
  </si>
  <si>
    <t>ACMB-101-V07-MSB</t>
  </si>
  <si>
    <t>ACMB-101-R04-BO</t>
  </si>
  <si>
    <t>ACMB-101-RR04-BO</t>
  </si>
  <si>
    <t>ACMB-101-R04-BOA</t>
  </si>
  <si>
    <t>ACMB-101-RR04-BOA</t>
  </si>
  <si>
    <t>ACMB-101-R04-BOB</t>
  </si>
  <si>
    <t>ACMB-101-RR04-BOB</t>
  </si>
  <si>
    <t>ACMB-101-V08-MS</t>
  </si>
  <si>
    <t>ACMB-101-V09-MS</t>
  </si>
  <si>
    <t>ACMB-101-V08-MSA</t>
  </si>
  <si>
    <t>ACMB-101-V09-MSA</t>
  </si>
  <si>
    <t>ACMB-101-V08-MSB</t>
  </si>
  <si>
    <t>ACMB-101-V09-MSB</t>
  </si>
  <si>
    <t>ACMB-101-R05-BO</t>
  </si>
  <si>
    <t>ACMB-101-RR05-BO</t>
  </si>
  <si>
    <t>ACMB-101-R05-BOA</t>
  </si>
  <si>
    <t>ACMB-101-RR05-BOA</t>
  </si>
  <si>
    <t>ACMB-101-R05-BOB</t>
  </si>
  <si>
    <t>ACMB-101-RR05-BOB</t>
  </si>
  <si>
    <t>ACMB-101-V10-MS</t>
  </si>
  <si>
    <t>ACMB-101-V11-MS</t>
  </si>
  <si>
    <t>ACMB-101-V10-MSA</t>
  </si>
  <si>
    <t>ACMB-101-V11-MSA</t>
  </si>
  <si>
    <t>ACMB-101-V10-MSB</t>
  </si>
  <si>
    <t>ACMB-101-V11-MSB</t>
  </si>
  <si>
    <t>ACMB-101-R06-BO</t>
  </si>
  <si>
    <t>ACMB-101-RR06-BO</t>
  </si>
  <si>
    <t>ACMB-101-R06-BOA</t>
  </si>
  <si>
    <t>ACMB-101-RR06-BOA</t>
  </si>
  <si>
    <t>ACMB-101-R06-BOB</t>
  </si>
  <si>
    <t>ACMB-101-RR06-BOB</t>
  </si>
  <si>
    <t>ACMB-101-V12-MS</t>
  </si>
  <si>
    <t>ACMB-101-V13-MS</t>
  </si>
  <si>
    <t>ACMB-101-V12-MSA</t>
  </si>
  <si>
    <t>ACMB-101-V13-MSA</t>
  </si>
  <si>
    <t>ACMB-101-V12-MSB</t>
  </si>
  <si>
    <t>ACMB-101-V13-MSB</t>
  </si>
  <si>
    <t>ACMB-101-R07-BO</t>
  </si>
  <si>
    <t>ACMB-101-RR07-BO</t>
  </si>
  <si>
    <t>ACMB-101-R07-BOA</t>
  </si>
  <si>
    <t>ACMB-101-RR07-BOA</t>
  </si>
  <si>
    <t>ACMB-101-R07-BOB</t>
  </si>
  <si>
    <t>ACMB-101-RR07-BOB</t>
  </si>
  <si>
    <t>ACMB-101-V14-MS</t>
  </si>
  <si>
    <t>ACMB-101-V15-MS</t>
  </si>
  <si>
    <t>ACMB-101-V14-MSA</t>
  </si>
  <si>
    <t>ACMB-101-V15-MSA</t>
  </si>
  <si>
    <t>ACMB-101-V14-MSB</t>
  </si>
  <si>
    <t>ACMB-101-V15-MSB</t>
  </si>
  <si>
    <t>ACMB-102-R01-BO</t>
  </si>
  <si>
    <t>ACMB-102-RR01-BO</t>
  </si>
  <si>
    <t>ACMB-102-R01-BOA</t>
  </si>
  <si>
    <t>ACMB-102-RR01-BOA</t>
  </si>
  <si>
    <t>ACMB-102-R01-BOB</t>
  </si>
  <si>
    <t>ACMB-102-RR01-BOB</t>
  </si>
  <si>
    <t>ACMB-102-V02-MS</t>
  </si>
  <si>
    <t>ACMB-102-V03-MS</t>
  </si>
  <si>
    <t>ACMB-102-V02-MSA</t>
  </si>
  <si>
    <t>ACMB-102-V03-MSA</t>
  </si>
  <si>
    <t>ACMB-102-V02-MSB</t>
  </si>
  <si>
    <t>ACMB-102-V03-MSB</t>
  </si>
  <si>
    <t>ACMB-102-R02-BO</t>
  </si>
  <si>
    <t>ACMB-102-RR02-BO</t>
  </si>
  <si>
    <t>ACMB-102-R02-BOA</t>
  </si>
  <si>
    <t>ACMB-102-RR02-BOA</t>
  </si>
  <si>
    <t>ACMB-102-R02-BOB</t>
  </si>
  <si>
    <t>ACMB-102-RR02-BOB</t>
  </si>
  <si>
    <t>ACMB-102-V04-MS</t>
  </si>
  <si>
    <t>ACMB-102-V05-MS</t>
  </si>
  <si>
    <t>ACMB-102-V04-MSA</t>
  </si>
  <si>
    <t>ACMB-102-V05-MSA</t>
  </si>
  <si>
    <t>ACMB-102-V04-MSB</t>
  </si>
  <si>
    <t>ACMB-102-V05-MSB</t>
  </si>
  <si>
    <t>ACMB-102-R03-BO</t>
  </si>
  <si>
    <t>ACMB-102-RR03-BO</t>
  </si>
  <si>
    <t>ACMB-102-R03-BOA</t>
  </si>
  <si>
    <t>ACMB-102-RR03-BOA</t>
  </si>
  <si>
    <t>ACMB-102-R03-BOB</t>
  </si>
  <si>
    <t>ACMB-102-RR03-BOB</t>
  </si>
  <si>
    <t>ACMB-102-V06-MS</t>
  </si>
  <si>
    <t>ACMB-102-V07-MS</t>
  </si>
  <si>
    <t>ACMB-102-V06-MSA</t>
  </si>
  <si>
    <t>ACMB-102-V07-MSA</t>
  </si>
  <si>
    <t>ACMB-102-V06-MSB</t>
  </si>
  <si>
    <t>ACMB-102-V07-MSB</t>
  </si>
  <si>
    <t>ACMB-102-R04-BO</t>
  </si>
  <si>
    <t>ACMB-102-RR04-BO</t>
  </si>
  <si>
    <t>ACMB-102-R04-BOA</t>
  </si>
  <si>
    <t>ACMB-102-RR04-BOA</t>
  </si>
  <si>
    <t>ACMB-102-R04-BOB</t>
  </si>
  <si>
    <t>ACMB-102-RR04-BOB</t>
  </si>
  <si>
    <t>ACMB-102-V08-MS</t>
  </si>
  <si>
    <t>ACMB-102-V09-MS</t>
  </si>
  <si>
    <t>ACMB-102-V08-MSA</t>
  </si>
  <si>
    <t>ACMB-102-V09-MSA</t>
  </si>
  <si>
    <t>ACMB-102-V08-MSB</t>
  </si>
  <si>
    <t>ACMB-102-V09-MSB</t>
  </si>
  <si>
    <t>ACMB-102-R05-BO</t>
  </si>
  <si>
    <t>ACMB-102-RR05-BO</t>
  </si>
  <si>
    <t>ACMB-102-R05-BOA</t>
  </si>
  <si>
    <t>ACMB-102-RR05-BOA</t>
  </si>
  <si>
    <t>ACMB-102-R05-BOB</t>
  </si>
  <si>
    <t>ACMB-102-RR05-BOB</t>
  </si>
  <si>
    <t>ACMB-102-V10-MS</t>
  </si>
  <si>
    <t>ACMB-102-V11-MS</t>
  </si>
  <si>
    <t>ACMB-102-V10-MSA</t>
  </si>
  <si>
    <t>ACMB-102-V11-MSA</t>
  </si>
  <si>
    <t>ACMB-102-V10-MSB</t>
  </si>
  <si>
    <t>ACMB-102-V11-MSB</t>
  </si>
  <si>
    <t>ACMB-102-R06-BO</t>
  </si>
  <si>
    <t>ACMB-102-RR06-BO</t>
  </si>
  <si>
    <t>ACMB-102-R06-BOA</t>
  </si>
  <si>
    <t>ACMB-102-RR06-BOA</t>
  </si>
  <si>
    <t>ACMB-102-R06-BOB</t>
  </si>
  <si>
    <t>ACMB-102-RR06-BOB</t>
  </si>
  <si>
    <t>ACMB-102-V12-MS</t>
  </si>
  <si>
    <t>ACMB-102-V13-MS</t>
  </si>
  <si>
    <t>ACMB-102-V12-MSA</t>
  </si>
  <si>
    <t>ACMB-102-V13-MSA</t>
  </si>
  <si>
    <t>ACMB-102-V12-MSB</t>
  </si>
  <si>
    <t>ACMB-102-V13-MSB</t>
  </si>
  <si>
    <t>ACMB-102-R07-BO</t>
  </si>
  <si>
    <t>ACMB-102-RR07-BO</t>
  </si>
  <si>
    <t>ACMB-102-R07-BOA</t>
  </si>
  <si>
    <t>ACMB-102-RR07-BOA</t>
  </si>
  <si>
    <t>ACMB-102-R07-BOB</t>
  </si>
  <si>
    <t>ACMB-102-RR07-BOB</t>
  </si>
  <si>
    <t>ACMB-102-V14-MS</t>
  </si>
  <si>
    <t>ACMB-102-V15-MS</t>
  </si>
  <si>
    <t>ACMB-102-V14-MSA</t>
  </si>
  <si>
    <t>ACMB-102-V15-MSA</t>
  </si>
  <si>
    <t>ACMB-102-V14-MSB</t>
  </si>
  <si>
    <t>ACMB-102-V15-MSB</t>
  </si>
  <si>
    <t>ACMB-103-R01-BO</t>
  </si>
  <si>
    <t>ACMB-103-RR01-BO</t>
  </si>
  <si>
    <t>ACMB-103-R01-BOA</t>
  </si>
  <si>
    <t>ACMB-103-RR01-BOA</t>
  </si>
  <si>
    <t>ACMB-103-R01-BOB</t>
  </si>
  <si>
    <t>ACMB-103-RR01-BOB</t>
  </si>
  <si>
    <t>ACMB-103-V02-MS</t>
  </si>
  <si>
    <t>ACMB-103-V03-MS</t>
  </si>
  <si>
    <t>ACMB-103-V02-MSA</t>
  </si>
  <si>
    <t>ACMB-103-V03-MSA</t>
  </si>
  <si>
    <t>ACMB-103-V02-MSB</t>
  </si>
  <si>
    <t>ACMB-103-V03-MSB</t>
  </si>
  <si>
    <t>ACMB-103-R02-BO</t>
  </si>
  <si>
    <t>ACMB-103-RR02-BO</t>
  </si>
  <si>
    <t>ACMB-103-R02-BOA</t>
  </si>
  <si>
    <t>ACMB-103-RR02-BOA</t>
  </si>
  <si>
    <t>ACMB-103-R02-BOB</t>
  </si>
  <si>
    <t>ACMB-103-RR02-BOB</t>
  </si>
  <si>
    <t>ACMB-103-V04-MS</t>
  </si>
  <si>
    <t>ACMB-103-V05-MS</t>
  </si>
  <si>
    <t>ACMB-103-V04-MSA</t>
  </si>
  <si>
    <t>ACMB-103-V05-MSA</t>
  </si>
  <si>
    <t>ACMB-103-V04-MSB</t>
  </si>
  <si>
    <t>ACMB-103-V05-MSB</t>
  </si>
  <si>
    <t>ACMB-103-R03-BO</t>
  </si>
  <si>
    <t>ACMB-103-RR03-BO</t>
  </si>
  <si>
    <t>ACMB-103-R03-BOA</t>
  </si>
  <si>
    <t>ACMB-103-RR03-BOA</t>
  </si>
  <si>
    <t>ACMB-103-R03-BOB</t>
  </si>
  <si>
    <t>ACMB-103-RR03-BOB</t>
  </si>
  <si>
    <t>ACMB-103-V06-MS</t>
  </si>
  <si>
    <t>ACMB-103-V07-MS</t>
  </si>
  <si>
    <t>ACMB-103-V06-MSA</t>
  </si>
  <si>
    <t>ACMB-103-V07-MSA</t>
  </si>
  <si>
    <t>ACMB-103-V06-MSB</t>
  </si>
  <si>
    <t>ACMB-103-V07-MSB</t>
  </si>
  <si>
    <t>ACMB-103-R04-BO</t>
  </si>
  <si>
    <t>ACMB-103-RR04-BO</t>
  </si>
  <si>
    <t>ACMB-103-R04-BOA</t>
  </si>
  <si>
    <t>ACMB-103-RR04-BOA</t>
  </si>
  <si>
    <t>ACMB-103-R04-BOB</t>
  </si>
  <si>
    <t>ACMB-103-RR04-BOB</t>
  </si>
  <si>
    <t>ACMB-103-V08-MS</t>
  </si>
  <si>
    <t>ACMB-103-V09-MS</t>
  </si>
  <si>
    <t>ACMB-103-V08-MSA</t>
  </si>
  <si>
    <t>ACMB-103-V09-MSA</t>
  </si>
  <si>
    <t>ACMB-103-V08-MSB</t>
  </si>
  <si>
    <t>ACMB-103-V09-MSB</t>
  </si>
  <si>
    <t>ACMB-103-R05-BO</t>
  </si>
  <si>
    <t>ACMB-103-RR05-BO</t>
  </si>
  <si>
    <t>ACMB-103-R05-BOA</t>
  </si>
  <si>
    <t>ACMB-103-RR05-BOA</t>
  </si>
  <si>
    <t>ACMB-103-R05-BOB</t>
  </si>
  <si>
    <t>ACMB-103-RR05-BOB</t>
  </si>
  <si>
    <t>ACMB-103-V10-MS</t>
  </si>
  <si>
    <t>ACMB-103-V11-MS</t>
  </si>
  <si>
    <t>ACMB-103-V10-MSA</t>
  </si>
  <si>
    <t>ACMB-103-V11-MSA</t>
  </si>
  <si>
    <t>ACMB-103-V10-MSB</t>
  </si>
  <si>
    <t>ACMB-103-V11-MSB</t>
  </si>
  <si>
    <t>ACMB-103-R06-BO</t>
  </si>
  <si>
    <t>ACMB-103-RR06-BO</t>
  </si>
  <si>
    <t>ACMB-103-R06-BOA</t>
  </si>
  <si>
    <t>ACMB-103-RR06-BOA</t>
  </si>
  <si>
    <t>ACMB-103-R06-BOB</t>
  </si>
  <si>
    <t>ACMB-103-RR06-BOB</t>
  </si>
  <si>
    <t>ACMB-103-V12-MS</t>
  </si>
  <si>
    <t>ACMB-103-V13-MS</t>
  </si>
  <si>
    <t>ACMB-103-V12-MSA</t>
  </si>
  <si>
    <t>ACMB-103-V13-MSA</t>
  </si>
  <si>
    <t>ACMB-103-V12-MSB</t>
  </si>
  <si>
    <t>ACMB-103-V13-MSB</t>
  </si>
  <si>
    <t>ACMB-103-R07-BO</t>
  </si>
  <si>
    <t>ACMB-103-RR07-BO</t>
  </si>
  <si>
    <t>ACMB-103-R07-BOA</t>
  </si>
  <si>
    <t>ACMB-103-RR07-BOA</t>
  </si>
  <si>
    <t>ACMB-103-R07-BOB</t>
  </si>
  <si>
    <t>ACMB-103-RR07-BOB</t>
  </si>
  <si>
    <t>ACMB-103-V14-MS</t>
  </si>
  <si>
    <t>ACMB-103-V15-MS</t>
  </si>
  <si>
    <t>ACMB-103-V14-MSA</t>
  </si>
  <si>
    <t>ACMB-103-V15-MSA</t>
  </si>
  <si>
    <t>ACMB-103-V14-MSB</t>
  </si>
  <si>
    <t>ACMB-103-V15-MSB</t>
  </si>
  <si>
    <t>ACMB-104-R01-BO</t>
  </si>
  <si>
    <t>ACMB-104-RR01-BO</t>
  </si>
  <si>
    <t>ACMB-104-R01-BOA</t>
  </si>
  <si>
    <t>ACMB-104-RR01-BOA</t>
  </si>
  <si>
    <t>ACMB-104-R01-BOB</t>
  </si>
  <si>
    <t>ACMB-104-RR01-BOB</t>
  </si>
  <si>
    <t>ACMB-104-V02-MS</t>
  </si>
  <si>
    <t>ACMB-104-V03-MS</t>
  </si>
  <si>
    <t>ACMB-104-V02-MSA</t>
  </si>
  <si>
    <t>ACMB-104-V03-MSA</t>
  </si>
  <si>
    <t>ACMB-104-V02-MSB</t>
  </si>
  <si>
    <t>ACMB-104-V03-MSB</t>
  </si>
  <si>
    <t>ACMB-104-R02-BO</t>
  </si>
  <si>
    <t>ACMB-104-RR02-BO</t>
  </si>
  <si>
    <t>ACMB-104-R02-BOA</t>
  </si>
  <si>
    <t>ACMB-104-RR02-BOA</t>
  </si>
  <si>
    <t>ACMB-104-R02-BOB</t>
  </si>
  <si>
    <t>ACMB-104-RR02-BOB</t>
  </si>
  <si>
    <t>ACMB-104-V04-MS</t>
  </si>
  <si>
    <t>ACMB-104-V05-MS</t>
  </si>
  <si>
    <t>ACMB-104-V04-MSA</t>
  </si>
  <si>
    <t>ACMB-104-V05-MSA</t>
  </si>
  <si>
    <t>ACMB-104-V04-MSB</t>
  </si>
  <si>
    <t>ACMB-104-V05-MSB</t>
  </si>
  <si>
    <t>ACMB-104-R03-BO</t>
  </si>
  <si>
    <t>ACMB-104-RR03-BO</t>
  </si>
  <si>
    <t>ACMB-104-R03-BOA</t>
  </si>
  <si>
    <t>ACMB-104-RR03-BOA</t>
  </si>
  <si>
    <t>ACMB-104-R03-BOB</t>
  </si>
  <si>
    <t>ACMB-104-RR03-BOB</t>
  </si>
  <si>
    <t>ACMB-104-V06-MS</t>
  </si>
  <si>
    <t>ACMB-104-V07-MS</t>
  </si>
  <si>
    <t>ACMB-104-V06-MSA</t>
  </si>
  <si>
    <t>ACMB-104-V07-MSA</t>
  </si>
  <si>
    <t>ACMB-104-V06-MSB</t>
  </si>
  <si>
    <t>ACMB-104-V07-MSB</t>
  </si>
  <si>
    <t>ACMB-104-R04-BO</t>
  </si>
  <si>
    <t>ACMB-104-RR04-BO</t>
  </si>
  <si>
    <t>ACMB-104-R04-BOA</t>
  </si>
  <si>
    <t>ACMB-104-RR04-BOA</t>
  </si>
  <si>
    <t>ACMB-104-R04-BOB</t>
  </si>
  <si>
    <t>ACMB-104-RR04-BOB</t>
  </si>
  <si>
    <t>ACMB-104-V08-MS</t>
  </si>
  <si>
    <t>ACMB-104-V09-MS</t>
  </si>
  <si>
    <t>ACMB-104-V08-MSA</t>
  </si>
  <si>
    <t>ACMB-104-V09-MSA</t>
  </si>
  <si>
    <t>ACMB-104-V08-MSB</t>
  </si>
  <si>
    <t>ACMB-104-V09-MSB</t>
  </si>
  <si>
    <t>ACMB-104-R05-BO</t>
  </si>
  <si>
    <t>ACMB-104-RR05-BO</t>
  </si>
  <si>
    <t>ACMB-104-R05-BOA</t>
  </si>
  <si>
    <t>ACMB-104-RR05-BOA</t>
  </si>
  <si>
    <t>ACMB-104-R05-BOB</t>
  </si>
  <si>
    <t>ACMB-104-RR05-BOB</t>
  </si>
  <si>
    <t>ACMB-104-V10-MS</t>
  </si>
  <si>
    <t>ACMB-104-V11-MS</t>
  </si>
  <si>
    <t>ACMB-104-V10-MSA</t>
  </si>
  <si>
    <t>ACMB-104-V11-MSA</t>
  </si>
  <si>
    <t>ACMB-104-V10-MSB</t>
  </si>
  <si>
    <t>ACMB-104-V11-MSB</t>
  </si>
  <si>
    <t>ACMB-104-R06-BO</t>
  </si>
  <si>
    <t>ACMB-104-RR06-BO</t>
  </si>
  <si>
    <t>ACMB-104-R06-BOA</t>
  </si>
  <si>
    <t>ACMB-104-RR06-BOA</t>
  </si>
  <si>
    <t>ACMB-104-R06-BOB</t>
  </si>
  <si>
    <t>ACMB-104-RR06-BOB</t>
  </si>
  <si>
    <t>ACMB-104-V12-MS</t>
  </si>
  <si>
    <t>ACMB-104-V13-MS</t>
  </si>
  <si>
    <t>ACMB-104-V12-MSA</t>
  </si>
  <si>
    <t>ACMB-104-V13-MSA</t>
  </si>
  <si>
    <t>ACMB-104-V12-MSB</t>
  </si>
  <si>
    <t>ACMB-104-V13-MSB</t>
  </si>
  <si>
    <t>ACMB-104-R07-BO</t>
  </si>
  <si>
    <t>ACMB-104-RR07-BO</t>
  </si>
  <si>
    <t>ACMB-104-R07-BOA</t>
  </si>
  <si>
    <t>ACMB-104-RR07-BOA</t>
  </si>
  <si>
    <t>ACMB-104-R07-BOB</t>
  </si>
  <si>
    <t>ACMB-104-RR07-BOB</t>
  </si>
  <si>
    <t>ACMB-104-V14-MS</t>
  </si>
  <si>
    <t>ACMB-104-V15-MS</t>
  </si>
  <si>
    <t>ACMB-104-V14-MSA</t>
  </si>
  <si>
    <t>ACMB-104-V15-MSA</t>
  </si>
  <si>
    <t>ACMB-104-V14-MSB</t>
  </si>
  <si>
    <t>ACMB-104-V15-MSB</t>
  </si>
  <si>
    <t>ACMB-105-R01-BO</t>
  </si>
  <si>
    <t>ACMB-105-RR01-BO</t>
  </si>
  <si>
    <t>ACMB-105-R01-BOA</t>
  </si>
  <si>
    <t>ACMB-105-RR01-BOA</t>
  </si>
  <si>
    <t>ACMB-105-R01-BOB</t>
  </si>
  <si>
    <t>ACMB-105-RR01-BOB</t>
  </si>
  <si>
    <t>ACMB-105-V02-MS</t>
  </si>
  <si>
    <t>ACMB-105-V03-MS</t>
  </si>
  <si>
    <t>ACMB-105-V02-MSA</t>
  </si>
  <si>
    <t>ACMB-105-V03-MSA</t>
  </si>
  <si>
    <t>ACMB-105-V02-MSB</t>
  </si>
  <si>
    <t>ACMB-105-V03-MSB</t>
  </si>
  <si>
    <t>ACMB-105-R02-BO</t>
  </si>
  <si>
    <t>ACMB-105-RR02-BO</t>
  </si>
  <si>
    <t>ACMB-105-R02-BOA</t>
  </si>
  <si>
    <t>ACMB-105-RR02-BOA</t>
  </si>
  <si>
    <t>ACMB-105-R02-BOB</t>
  </si>
  <si>
    <t>ACMB-105-RR02-BOB</t>
  </si>
  <si>
    <t>ACMB-105-V04-MS</t>
  </si>
  <si>
    <t>ACMB-105-V05-MS</t>
  </si>
  <si>
    <t>ACMB-105-V04-MSA</t>
  </si>
  <si>
    <t>ACMB-105-V05-MSA</t>
  </si>
  <si>
    <t>ACMB-105-V04-MSB</t>
  </si>
  <si>
    <t>ACMB-105-V05-MSB</t>
  </si>
  <si>
    <t>ACMB-105-R03-BO</t>
  </si>
  <si>
    <t>ACMB-105-RR03-BO</t>
  </si>
  <si>
    <t>ACMB-105-R03-BOA</t>
  </si>
  <si>
    <t>ACMB-105-RR03-BOA</t>
  </si>
  <si>
    <t>ACMB-105-R03-BOB</t>
  </si>
  <si>
    <t>ACMB-105-RR03-BOB</t>
  </si>
  <si>
    <t>ACMB-105-V06-MS</t>
  </si>
  <si>
    <t>ACMB-105-V07-MS</t>
  </si>
  <si>
    <t>ACMB-105-V06-MSA</t>
  </si>
  <si>
    <t>ACMB-105-V07-MSA</t>
  </si>
  <si>
    <t>ACMB-105-V06-MSB</t>
  </si>
  <si>
    <t>ACMB-105-V07-MSB</t>
  </si>
  <si>
    <t>ACMB-105-R04-BO</t>
  </si>
  <si>
    <t>ACMB-105-RR04-BO</t>
  </si>
  <si>
    <t>ACMB-105-R04-BOA</t>
  </si>
  <si>
    <t>ACMB-105-RR04-BOA</t>
  </si>
  <si>
    <t>ACMB-105-R04-BOB</t>
  </si>
  <si>
    <t>ACMB-105-RR04-BOB</t>
  </si>
  <si>
    <t>ACMB-105-V08-MS</t>
  </si>
  <si>
    <t>ACMB-105-V09-MS</t>
  </si>
  <si>
    <t>ACMB-105-V08-MSA</t>
  </si>
  <si>
    <t>ACMB-105-V09-MSA</t>
  </si>
  <si>
    <t>ACMB-105-V08-MSB</t>
  </si>
  <si>
    <t>ACMB-105-V09-MSB</t>
  </si>
  <si>
    <t>ACMB-105-R05-BO</t>
  </si>
  <si>
    <t>ACMB-105-RR05-BO</t>
  </si>
  <si>
    <t>ACMB-105-R05-BOA</t>
  </si>
  <si>
    <t>ACMB-105-RR05-BOA</t>
  </si>
  <si>
    <t>ACMB-105-R05-BOB</t>
  </si>
  <si>
    <t>ACMB-105-RR05-BOB</t>
  </si>
  <si>
    <t>ACMB-105-V10-MS</t>
  </si>
  <si>
    <t>ACMB-105-V11-MS</t>
  </si>
  <si>
    <t>ACMB-105-V10-MSA</t>
  </si>
  <si>
    <t>ACMB-105-V11-MSA</t>
  </si>
  <si>
    <t>ACMB-105-V10-MSB</t>
  </si>
  <si>
    <t>ACMB-105-V11-MSB</t>
  </si>
  <si>
    <t>ACMB-105-R06-BO</t>
  </si>
  <si>
    <t>ACMB-105-RR06-BO</t>
  </si>
  <si>
    <t>ACMB-105-R06-BOA</t>
  </si>
  <si>
    <t>ACMB-105-RR06-BOA</t>
  </si>
  <si>
    <t>ACMB-105-R06-BOB</t>
  </si>
  <si>
    <t>ACMB-105-RR06-BOB</t>
  </si>
  <si>
    <t>ACMB-105-V12-MS</t>
  </si>
  <si>
    <t>ACMB-105-V13-MS</t>
  </si>
  <si>
    <t>ACMB-105-V12-MSA</t>
  </si>
  <si>
    <t>ACMB-105-V13-MSA</t>
  </si>
  <si>
    <t>ACMB-105-V12-MSB</t>
  </si>
  <si>
    <t>ACMB-105-V13-MSB</t>
  </si>
  <si>
    <t>ACMB-105-R07-BO</t>
  </si>
  <si>
    <t>ACMB-105-RR07-BO</t>
  </si>
  <si>
    <t>ACMB-105-R07-BOA</t>
  </si>
  <si>
    <t>ACMB-105-RR07-BOA</t>
  </si>
  <si>
    <t>ACMB-105-R07-BOB</t>
  </si>
  <si>
    <t>ACMB-105-RR07-BOB</t>
  </si>
  <si>
    <t>ACMB-105-V14-MS</t>
  </si>
  <si>
    <t>ACMB-105-V15-MS</t>
  </si>
  <si>
    <t>ACMB-105-V14-MSA</t>
  </si>
  <si>
    <t>ACMB-105-V15-MSA</t>
  </si>
  <si>
    <t>ACMB-105-V14-MSB</t>
  </si>
  <si>
    <t>ACMB-105-V15-MSB</t>
  </si>
  <si>
    <t>ACMB-106-R01-BO</t>
  </si>
  <si>
    <t>ACMB-106-RR01-BO</t>
  </si>
  <si>
    <t>ACMB-106-R01-BOA</t>
  </si>
  <si>
    <t>ACMB-106-RR01-BOA</t>
  </si>
  <si>
    <t>ACMB-106-R01-BOB</t>
  </si>
  <si>
    <t>ACMB-106-RR01-BOB</t>
  </si>
  <si>
    <t>ACMB-106-V02-MS</t>
  </si>
  <si>
    <t>ACMB-106-V03-MS</t>
  </si>
  <si>
    <t>ACMB-106-V02-MSA</t>
  </si>
  <si>
    <t>ACMB-106-V03-MSA</t>
  </si>
  <si>
    <t>ACMB-106-V02-MSB</t>
  </si>
  <si>
    <t>ACMB-106-V03-MSB</t>
  </si>
  <si>
    <t>ACMB-106-R02-BO</t>
  </si>
  <si>
    <t>ACMB-106-RR02-BO</t>
  </si>
  <si>
    <t>ACMB-106-R02-BOA</t>
  </si>
  <si>
    <t>ACMB-106-RR02-BOA</t>
  </si>
  <si>
    <t>ACMB-106-R02-BOB</t>
  </si>
  <si>
    <t>ACMB-106-RR02-BOB</t>
  </si>
  <si>
    <t>ACMB-106-V04-MS</t>
  </si>
  <si>
    <t>ACMB-106-V05-MS</t>
  </si>
  <si>
    <t>ACMB-106-V04-MSA</t>
  </si>
  <si>
    <t>ACMB-106-V05-MSA</t>
  </si>
  <si>
    <t>ACMB-106-V04-MSB</t>
  </si>
  <si>
    <t>ACMB-106-V05-MSB</t>
  </si>
  <si>
    <t>ACMB-106-R03-BO</t>
  </si>
  <si>
    <t>ACMB-106-RR03-BO</t>
  </si>
  <si>
    <t>ACMB-106-R03-BOA</t>
  </si>
  <si>
    <t>ACMB-106-RR03-BOA</t>
  </si>
  <si>
    <t>ACMB-106-R03-BOB</t>
  </si>
  <si>
    <t>ACMB-106-RR03-BOB</t>
  </si>
  <si>
    <t>ACMB-106-V06-MS</t>
  </si>
  <si>
    <t>ACMB-106-V07-MS</t>
  </si>
  <si>
    <t>ACMB-106-V06-MSA</t>
  </si>
  <si>
    <t>ACMB-106-V07-MSA</t>
  </si>
  <si>
    <t>ACMB-106-V06-MSB</t>
  </si>
  <si>
    <t>ACMB-106-V07-MSB</t>
  </si>
  <si>
    <t>ACMB-106-R04-BO</t>
  </si>
  <si>
    <t>ACMB-106-RR04-BO</t>
  </si>
  <si>
    <t>ACMB-106-R04-BOA</t>
  </si>
  <si>
    <t>ACMB-106-RR04-BOA</t>
  </si>
  <si>
    <t>ACMB-106-R04-BOB</t>
  </si>
  <si>
    <t>ACMB-106-RR04-BOB</t>
  </si>
  <si>
    <t>ACMB-106-V08-MS</t>
  </si>
  <si>
    <t>ACMB-106-V09-MS</t>
  </si>
  <si>
    <t>ACMB-106-V08-MSA</t>
  </si>
  <si>
    <t>ACMB-106-V09-MSA</t>
  </si>
  <si>
    <t>ACMB-106-V08-MSB</t>
  </si>
  <si>
    <t>ACMB-106-V09-MSB</t>
  </si>
  <si>
    <t>ACMB-106-R05-BO</t>
  </si>
  <si>
    <t>ACMB-106-RR05-BO</t>
  </si>
  <si>
    <t>ACMB-106-R05-BOA</t>
  </si>
  <si>
    <t>ACMB-106-RR05-BOA</t>
  </si>
  <si>
    <t>ACMB-106-R05-BOB</t>
  </si>
  <si>
    <t>ACMB-106-RR05-BOB</t>
  </si>
  <si>
    <t>ACMB-106-V10-MS</t>
  </si>
  <si>
    <t>ACMB-106-V11-MS</t>
  </si>
  <si>
    <t>ACMB-106-V10-MSA</t>
  </si>
  <si>
    <t>ACMB-106-V11-MSA</t>
  </si>
  <si>
    <t>ACMB-106-V10-MSB</t>
  </si>
  <si>
    <t>ACMB-106-V11-MSB</t>
  </si>
  <si>
    <t>ACMB-106-R06-BO</t>
  </si>
  <si>
    <t>ACMB-106-RR06-BO</t>
  </si>
  <si>
    <t>ACMB-106-R06-BOA</t>
  </si>
  <si>
    <t>ACMB-106-RR06-BOA</t>
  </si>
  <si>
    <t>ACMB-106-R06-BOB</t>
  </si>
  <si>
    <t>ACMB-106-RR06-BOB</t>
  </si>
  <si>
    <t>ACMB-106-V12-MS</t>
  </si>
  <si>
    <t>ACMB-106-V13-MS</t>
  </si>
  <si>
    <t>ACMB-106-V12-MSA</t>
  </si>
  <si>
    <t>ACMB-106-V13-MSA</t>
  </si>
  <si>
    <t>ACMB-106-V12-MSB</t>
  </si>
  <si>
    <t>ACMB-106-V13-MSB</t>
  </si>
  <si>
    <t>ACMB-106-R07-BO</t>
  </si>
  <si>
    <t>ACMB-106-RR07-BO</t>
  </si>
  <si>
    <t>ACMB-106-R07-BOA</t>
  </si>
  <si>
    <t>ACMB-106-RR07-BOA</t>
  </si>
  <si>
    <t>ACMB-106-R07-BOB</t>
  </si>
  <si>
    <t>ACMB-106-RR07-BOB</t>
  </si>
  <si>
    <t>ACMB-106-V14-MS</t>
  </si>
  <si>
    <t>ACMB-106-V15-MS</t>
  </si>
  <si>
    <t>ACMB-106-V14-MSA</t>
  </si>
  <si>
    <t>ACMB-106-V15-MSA</t>
  </si>
  <si>
    <t>ACMB-106-V14-MSB</t>
  </si>
  <si>
    <t>ACMB-106-V15-MSB</t>
  </si>
  <si>
    <t>ACMB-107-R01-BO</t>
  </si>
  <si>
    <t>ACMB-107-RR01-BO</t>
  </si>
  <si>
    <t>ACMB-107-R01-BOA</t>
  </si>
  <si>
    <t>ACMB-107-RR01-BOA</t>
  </si>
  <si>
    <t>ACMB-107-R01-BOB</t>
  </si>
  <si>
    <t>ACMB-107-RR01-BOB</t>
  </si>
  <si>
    <t>ACMB-107-V02-MS</t>
  </si>
  <si>
    <t>ACMB-107-V03-MS</t>
  </si>
  <si>
    <t>ACMB-107-V02-MSA</t>
  </si>
  <si>
    <t>ACMB-107-V03-MSA</t>
  </si>
  <si>
    <t>ACMB-107-V02-MSB</t>
  </si>
  <si>
    <t>ACMB-107-V03-MSB</t>
  </si>
  <si>
    <t>ACMB-107-R02-BO</t>
  </si>
  <si>
    <t>ACMB-107-RR02-BO</t>
  </si>
  <si>
    <t>ACMB-107-R02-BOA</t>
  </si>
  <si>
    <t>ACMB-107-RR02-BOA</t>
  </si>
  <si>
    <t>ACMB-107-R02-BOB</t>
  </si>
  <si>
    <t>ACMB-107-RR02-BOB</t>
  </si>
  <si>
    <t>ACMB-107-V04-MS</t>
  </si>
  <si>
    <t>ACMB-107-V05-MS</t>
  </si>
  <si>
    <t>ACMB-107-V04-MSA</t>
  </si>
  <si>
    <t>ACMB-107-V05-MSA</t>
  </si>
  <si>
    <t>ACMB-107-V04-MSB</t>
  </si>
  <si>
    <t>ACMB-107-V05-MSB</t>
  </si>
  <si>
    <t>ACMB-107-R03-BO</t>
  </si>
  <si>
    <t>ACMB-107-RR03-BO</t>
  </si>
  <si>
    <t>ACMB-107-R03-BOA</t>
  </si>
  <si>
    <t>ACMB-107-RR03-BOA</t>
  </si>
  <si>
    <t>ACMB-107-R03-BOB</t>
  </si>
  <si>
    <t>ACMB-107-RR03-BOB</t>
  </si>
  <si>
    <t>ACMB-107-V06-MS</t>
  </si>
  <si>
    <t>ACMB-107-V07-MS</t>
  </si>
  <si>
    <t>ACMB-107-V06-MSA</t>
  </si>
  <si>
    <t>ACMB-107-V07-MSA</t>
  </si>
  <si>
    <t>ACMB-107-V06-MSB</t>
  </si>
  <si>
    <t>ACMB-107-V07-MSB</t>
  </si>
  <si>
    <t>ACMB-107-R04-BO</t>
  </si>
  <si>
    <t>ACMB-107-RR04-BO</t>
  </si>
  <si>
    <t>ACMB-107-R04-BOA</t>
  </si>
  <si>
    <t>ACMB-107-RR04-BOA</t>
  </si>
  <si>
    <t>ACMB-107-R04-BOB</t>
  </si>
  <si>
    <t>ACMB-107-RR04-BOB</t>
  </si>
  <si>
    <t>ACMB-107-V08-MS</t>
  </si>
  <si>
    <t>ACMB-107-V09-MS</t>
  </si>
  <si>
    <t>ACMB-107-V08-MSA</t>
  </si>
  <si>
    <t>ACMB-107-V09-MSA</t>
  </si>
  <si>
    <t>ACMB-107-V08-MSB</t>
  </si>
  <si>
    <t>ACMB-107-V09-MSB</t>
  </si>
  <si>
    <t>ACMB-107-R05-BO</t>
  </si>
  <si>
    <t>ACMB-107-RR05-BO</t>
  </si>
  <si>
    <t>ACMB-107-R05-BOA</t>
  </si>
  <si>
    <t>ACMB-107-RR05-BOA</t>
  </si>
  <si>
    <t>ACMB-107-R05-BOB</t>
  </si>
  <si>
    <t>ACMB-107-RR05-BOB</t>
  </si>
  <si>
    <t>ACMB-107-V10-MS</t>
  </si>
  <si>
    <t>ACMB-107-V11-MS</t>
  </si>
  <si>
    <t>ACMB-107-V10-MSA</t>
  </si>
  <si>
    <t>ACMB-107-V11-MSA</t>
  </si>
  <si>
    <t>ACMB-107-V10-MSB</t>
  </si>
  <si>
    <t>ACMB-107-V11-MSB</t>
  </si>
  <si>
    <t>ACMB-107-R06-BO</t>
  </si>
  <si>
    <t>ACMB-107-RR06-BO</t>
  </si>
  <si>
    <t>ACMB-107-R06-BOA</t>
  </si>
  <si>
    <t>ACMB-107-RR06-BOA</t>
  </si>
  <si>
    <t>ACMB-107-R06-BOB</t>
  </si>
  <si>
    <t>ACMB-107-RR06-BOB</t>
  </si>
  <si>
    <t>ACMB-107-V12-MS</t>
  </si>
  <si>
    <t>ACMB-107-V13-MS</t>
  </si>
  <si>
    <t>ACMB-107-V12-MSA</t>
  </si>
  <si>
    <t>ACMB-107-V13-MSA</t>
  </si>
  <si>
    <t>ACMB-107-V12-MSB</t>
  </si>
  <si>
    <t>ACMB-107-V13-MSB</t>
  </si>
  <si>
    <t>ACMB-107-R07-BO</t>
  </si>
  <si>
    <t>ACMB-107-RR07-BO</t>
  </si>
  <si>
    <t>ACMB-107-R07-BOA</t>
  </si>
  <si>
    <t>ACMB-107-RR07-BOA</t>
  </si>
  <si>
    <t>ACMB-107-R07-BOB</t>
  </si>
  <si>
    <t>ACMB-107-RR07-BOB</t>
  </si>
  <si>
    <t>ACMB-107-V14-MS</t>
  </si>
  <si>
    <t>ACMB-107-V15-MS</t>
  </si>
  <si>
    <t>ACMB-107-V14-MSA</t>
  </si>
  <si>
    <t>ACMB-107-V15-MSA</t>
  </si>
  <si>
    <t>ACMB-107-V14-MSB</t>
  </si>
  <si>
    <t>ACMB-107-V15-MSB</t>
  </si>
  <si>
    <t>ACMB-108-R01-BO</t>
  </si>
  <si>
    <t>ACMB-108-RR01-BO</t>
  </si>
  <si>
    <t>ACMB-108-R01-BOA</t>
  </si>
  <si>
    <t>ACMB-108-RR01-BOA</t>
  </si>
  <si>
    <t>ACMB-108-R01-BOB</t>
  </si>
  <si>
    <t>ACMB-108-RR01-BOB</t>
  </si>
  <si>
    <t>ACMB-108-V02-MS</t>
  </si>
  <si>
    <t>ACMB-108-V03-MS</t>
  </si>
  <si>
    <t>ACMB-108-V02-MSA</t>
  </si>
  <si>
    <t>ACMB-108-V03-MSA</t>
  </si>
  <si>
    <t>ACMB-108-V02-MSB</t>
  </si>
  <si>
    <t>ACMB-108-V03-MSB</t>
  </si>
  <si>
    <t>ACMB-108-R02-BO</t>
  </si>
  <si>
    <t>ACMB-108-RR02-BO</t>
  </si>
  <si>
    <t>ACMB-108-R02-BOA</t>
  </si>
  <si>
    <t>ACMB-108-RR02-BOA</t>
  </si>
  <si>
    <t>ACMB-108-R02-BOB</t>
  </si>
  <si>
    <t>ACMB-108-RR02-BOB</t>
  </si>
  <si>
    <t>ACMB-108-V04-MS</t>
  </si>
  <si>
    <t>ACMB-108-V05-MS</t>
  </si>
  <si>
    <t>ACMB-108-V04-MSA</t>
  </si>
  <si>
    <t>ACMB-108-V05-MSA</t>
  </si>
  <si>
    <t>ACMB-108-V04-MSB</t>
  </si>
  <si>
    <t>ACMB-108-V05-MSB</t>
  </si>
  <si>
    <t>ACMB-108-R03-BO</t>
  </si>
  <si>
    <t>ACMB-108-RR03-BO</t>
  </si>
  <si>
    <t>ACMB-108-R03-BOA</t>
  </si>
  <si>
    <t>ACMB-108-RR03-BOA</t>
  </si>
  <si>
    <t>ACMB-108-R03-BOB</t>
  </si>
  <si>
    <t>ACMB-108-RR03-BOB</t>
  </si>
  <si>
    <t>ACMB-108-V06-MS</t>
  </si>
  <si>
    <t>ACMB-108-V07-MS</t>
  </si>
  <si>
    <t>ACMB-108-V06-MSA</t>
  </si>
  <si>
    <t>ACMB-108-V07-MSA</t>
  </si>
  <si>
    <t>ACMB-108-V06-MSB</t>
  </si>
  <si>
    <t>ACMB-108-V07-MSB</t>
  </si>
  <si>
    <t>ACMB-108-R04-BO</t>
  </si>
  <si>
    <t>ACMB-108-RR04-BO</t>
  </si>
  <si>
    <t>ACMB-108-R04-BOA</t>
  </si>
  <si>
    <t>ACMB-108-RR04-BOA</t>
  </si>
  <si>
    <t>ACMB-108-R04-BOB</t>
  </si>
  <si>
    <t>ACMB-108-RR04-BOB</t>
  </si>
  <si>
    <t>ACMB-108-V08-MS</t>
  </si>
  <si>
    <t>ACMB-108-V09-MS</t>
  </si>
  <si>
    <t>ACMB-108-V08-MSA</t>
  </si>
  <si>
    <t>ACMB-108-V09-MSA</t>
  </si>
  <si>
    <t>ACMB-108-V08-MSB</t>
  </si>
  <si>
    <t>ACMB-108-V09-MSB</t>
  </si>
  <si>
    <t>ACMB-108-R05-BO</t>
  </si>
  <si>
    <t>ACMB-108-RR05-BO</t>
  </si>
  <si>
    <t>ACMB-108-R05-BOA</t>
  </si>
  <si>
    <t>ACMB-108-RR05-BOA</t>
  </si>
  <si>
    <t>ACMB-108-R05-BOB</t>
  </si>
  <si>
    <t>ACMB-108-RR05-BOB</t>
  </si>
  <si>
    <t>ACMB-108-V10-MS</t>
  </si>
  <si>
    <t>ACMB-108-V11-MS</t>
  </si>
  <si>
    <t>ACMB-108-V10-MSA</t>
  </si>
  <si>
    <t>ACMB-108-V11-MSA</t>
  </si>
  <si>
    <t>ACMB-108-V10-MSB</t>
  </si>
  <si>
    <t>ACMB-108-V11-MSB</t>
  </si>
  <si>
    <t>ACMB-108-R06-BO</t>
  </si>
  <si>
    <t>ACMB-108-RR06-BO</t>
  </si>
  <si>
    <t>ACMB-108-R06-BOA</t>
  </si>
  <si>
    <t>ACMB-108-RR06-BOA</t>
  </si>
  <si>
    <t>ACMB-108-R06-BOB</t>
  </si>
  <si>
    <t>ACMB-108-RR06-BOB</t>
  </si>
  <si>
    <t>ACMB-108-V12-MS</t>
  </si>
  <si>
    <t>ACMB-108-V13-MS</t>
  </si>
  <si>
    <t>ACMB-108-V12-MSA</t>
  </si>
  <si>
    <t>ACMB-108-V13-MSA</t>
  </si>
  <si>
    <t>ACMB-108-V12-MSB</t>
  </si>
  <si>
    <t>ACMB-108-V13-MSB</t>
  </si>
  <si>
    <t>ACMB-108-R07-BO</t>
  </si>
  <si>
    <t>ACMB-108-RR07-BO</t>
  </si>
  <si>
    <t>ACMB-108-R07-BOA</t>
  </si>
  <si>
    <t>ACMB-108-RR07-BOA</t>
  </si>
  <si>
    <t>ACMB-108-R07-BOB</t>
  </si>
  <si>
    <t>ACMB-108-RR07-BOB</t>
  </si>
  <si>
    <t>ACMB-108-V14-MS</t>
  </si>
  <si>
    <t>ACMB-108-V15-MS</t>
  </si>
  <si>
    <t>ACMB-108-V14-MSA</t>
  </si>
  <si>
    <t>ACMB-108-V15-MSA</t>
  </si>
  <si>
    <t>ACMB-108-V14-MSB</t>
  </si>
  <si>
    <t>ACMB-108-V15-MSB</t>
  </si>
  <si>
    <t>ACMB-109-R01-BO</t>
  </si>
  <si>
    <t>ACMB-109-RR01-BO</t>
  </si>
  <si>
    <t>ACMB-109-R01-BOA</t>
  </si>
  <si>
    <t>ACMB-109-RR01-BOA</t>
  </si>
  <si>
    <t>ACMB-109-R01-BOB</t>
  </si>
  <si>
    <t>ACMB-109-RR01-BOB</t>
  </si>
  <si>
    <t>ACMB-109-V02-MS</t>
  </si>
  <si>
    <t>ACMB-109-V03-MS</t>
  </si>
  <si>
    <t>ACMB-109-V02-MSA</t>
  </si>
  <si>
    <t>ACMB-109-V03-MSA</t>
  </si>
  <si>
    <t>ACMB-109-V02-MSB</t>
  </si>
  <si>
    <t>ACMB-109-V03-MSB</t>
  </si>
  <si>
    <t>ACMB-109-R02-BO</t>
  </si>
  <si>
    <t>ACMB-109-RR02-BO</t>
  </si>
  <si>
    <t>ACMB-109-R02-BOA</t>
  </si>
  <si>
    <t>ACMB-109-RR02-BOA</t>
  </si>
  <si>
    <t>ACMB-109-R02-BOB</t>
  </si>
  <si>
    <t>ACMB-109-RR02-BOB</t>
  </si>
  <si>
    <t>ACMB-109-V04-MS</t>
  </si>
  <si>
    <t>ACMB-109-V05-MS</t>
  </si>
  <si>
    <t>ACMB-109-V04-MSA</t>
  </si>
  <si>
    <t>ACMB-109-V05-MSA</t>
  </si>
  <si>
    <t>ACMB-109-V04-MSB</t>
  </si>
  <si>
    <t>ACMB-109-V05-MSB</t>
  </si>
  <si>
    <t>ACMB-109-R03-BO</t>
  </si>
  <si>
    <t>ACMB-109-RR03-BO</t>
  </si>
  <si>
    <t>ACMB-109-R03-BOA</t>
  </si>
  <si>
    <t>ACMB-109-RR03-BOA</t>
  </si>
  <si>
    <t>ACMB-109-R03-BOB</t>
  </si>
  <si>
    <t>ACMB-109-RR03-BOB</t>
  </si>
  <si>
    <t>ACMB-109-V06-MS</t>
  </si>
  <si>
    <t>ACMB-109-V07-MS</t>
  </si>
  <si>
    <t>ACMB-109-V06-MSA</t>
  </si>
  <si>
    <t>ACMB-109-V07-MSA</t>
  </si>
  <si>
    <t>ACMB-109-V06-MSB</t>
  </si>
  <si>
    <t>ACMB-109-V07-MSB</t>
  </si>
  <si>
    <t>ACMB-109-R04-BO</t>
  </si>
  <si>
    <t>ACMB-109-RR04-BO</t>
  </si>
  <si>
    <t>ACMB-109-R04-BOA</t>
  </si>
  <si>
    <t>ACMB-109-RR04-BOA</t>
  </si>
  <si>
    <t>ACMB-109-R04-BOB</t>
  </si>
  <si>
    <t>ACMB-109-RR04-BOB</t>
  </si>
  <si>
    <t>ACMB-109-V08-MS</t>
  </si>
  <si>
    <t>ACMB-109-V09-MS</t>
  </si>
  <si>
    <t>ACMB-109-V08-MSA</t>
  </si>
  <si>
    <t>ACMB-109-V09-MSA</t>
  </si>
  <si>
    <t>ACMB-109-V08-MSB</t>
  </si>
  <si>
    <t>ACMB-109-V09-MSB</t>
  </si>
  <si>
    <t>ACMB-109-R05-BO</t>
  </si>
  <si>
    <t>ACMB-109-RR05-BO</t>
  </si>
  <si>
    <t>ACMB-109-R05-BOA</t>
  </si>
  <si>
    <t>ACMB-109-RR05-BOA</t>
  </si>
  <si>
    <t>ACMB-109-R05-BOB</t>
  </si>
  <si>
    <t>ACMB-109-RR05-BOB</t>
  </si>
  <si>
    <t>ACMB-109-V10-MS</t>
  </si>
  <si>
    <t>ACMB-109-V11-MS</t>
  </si>
  <si>
    <t>ACMB-109-V10-MSA</t>
  </si>
  <si>
    <t>ACMB-109-V11-MSA</t>
  </si>
  <si>
    <t>ACMB-109-V10-MSB</t>
  </si>
  <si>
    <t>ACMB-109-V11-MSB</t>
  </si>
  <si>
    <t>ACMB-109-R06-BO</t>
  </si>
  <si>
    <t>ACMB-109-RR06-BO</t>
  </si>
  <si>
    <t>ACMB-109-R06-BOA</t>
  </si>
  <si>
    <t>ACMB-109-RR06-BOA</t>
  </si>
  <si>
    <t>ACMB-109-R06-BOB</t>
  </si>
  <si>
    <t>ACMB-109-RR06-BOB</t>
  </si>
  <si>
    <t>ACMB-109-V12-MS</t>
  </si>
  <si>
    <t>ACMB-109-V13-MS</t>
  </si>
  <si>
    <t>ACMB-109-V12-MSA</t>
  </si>
  <si>
    <t>ACMB-109-V13-MSA</t>
  </si>
  <si>
    <t>ACMB-109-V12-MSB</t>
  </si>
  <si>
    <t>ACMB-109-V13-MSB</t>
  </si>
  <si>
    <t>ACMB-109-R07-BO</t>
  </si>
  <si>
    <t>ACMB-109-RR07-BO</t>
  </si>
  <si>
    <t>ACMB-109-R07-BOA</t>
  </si>
  <si>
    <t>ACMB-109-RR07-BOA</t>
  </si>
  <si>
    <t>ACMB-109-R07-BOB</t>
  </si>
  <si>
    <t>ACMB-109-RR07-BOB</t>
  </si>
  <si>
    <t>ACMB-109-V14-MS</t>
  </si>
  <si>
    <t>ACMB-109-V15-MS</t>
  </si>
  <si>
    <t>ACMB-109-V14-MSA</t>
  </si>
  <si>
    <t>ACMB-109-V15-MSA</t>
  </si>
  <si>
    <t>ACMB-109-V14-MSB</t>
  </si>
  <si>
    <t>ACMB-109-V15-MSB</t>
  </si>
  <si>
    <t>ACMB-110-R01-BO</t>
  </si>
  <si>
    <t>ACMB-110-RR01-BO</t>
  </si>
  <si>
    <t>ACMB-110-R01-BOA</t>
  </si>
  <si>
    <t>ACMB-110-RR01-BOA</t>
  </si>
  <si>
    <t>ACMB-110-R01-BOB</t>
  </si>
  <si>
    <t>ACMB-110-RR01-BOB</t>
  </si>
  <si>
    <t>ACMB-110-V02-MS</t>
  </si>
  <si>
    <t>ACMB-110-V03-MS</t>
  </si>
  <si>
    <t>ACMB-110-V02-MSA</t>
  </si>
  <si>
    <t>ACMB-110-V03-MSA</t>
  </si>
  <si>
    <t>ACMB-110-V02-MSB</t>
  </si>
  <si>
    <t>ACMB-110-V03-MSB</t>
  </si>
  <si>
    <t>ACMB-110-R02-BO</t>
  </si>
  <si>
    <t>ACMB-110-RR02-BO</t>
  </si>
  <si>
    <t>ACMB-110-R02-BOA</t>
  </si>
  <si>
    <t>ACMB-110-RR02-BOA</t>
  </si>
  <si>
    <t>ACMB-110-R02-BOB</t>
  </si>
  <si>
    <t>ACMB-110-RR02-BOB</t>
  </si>
  <si>
    <t>ACMB-110-V04-MS</t>
  </si>
  <si>
    <t>ACMB-110-V05-MS</t>
  </si>
  <si>
    <t>ACMB-110-V04-MSA</t>
  </si>
  <si>
    <t>ACMB-110-V05-MSA</t>
  </si>
  <si>
    <t>ACMB-110-V04-MSB</t>
  </si>
  <si>
    <t>ACMB-110-V05-MSB</t>
  </si>
  <si>
    <t>ACMB-110-R03-BO</t>
  </si>
  <si>
    <t>ACMB-110-RR03-BO</t>
  </si>
  <si>
    <t>ACMB-110-R03-BOA</t>
  </si>
  <si>
    <t>ACMB-110-RR03-BOA</t>
  </si>
  <si>
    <t>ACMB-110-R03-BOB</t>
  </si>
  <si>
    <t>ACMB-110-RR03-BOB</t>
  </si>
  <si>
    <t>ACMB-110-V06-MS</t>
  </si>
  <si>
    <t>ACMB-110-V07-MS</t>
  </si>
  <si>
    <t>ACMB-110-V06-MSA</t>
  </si>
  <si>
    <t>ACMB-110-V07-MSA</t>
  </si>
  <si>
    <t>ACMB-110-V06-MSB</t>
  </si>
  <si>
    <t>ACMB-110-V07-MSB</t>
  </si>
  <si>
    <t>ACMB-110-R04-BO</t>
  </si>
  <si>
    <t>ACMB-110-RR04-BO</t>
  </si>
  <si>
    <t>ACMB-110-R04-BOA</t>
  </si>
  <si>
    <t>ACMB-110-RR04-BOA</t>
  </si>
  <si>
    <t>ACMB-110-R04-BOB</t>
  </si>
  <si>
    <t>ACMB-110-RR04-BOB</t>
  </si>
  <si>
    <t>ACMB-110-V08-MS</t>
  </si>
  <si>
    <t>ACMB-110-V09-MS</t>
  </si>
  <si>
    <t>ACMB-110-V08-MSA</t>
  </si>
  <si>
    <t>ACMB-110-V09-MSA</t>
  </si>
  <si>
    <t>ACMB-110-V08-MSB</t>
  </si>
  <si>
    <t>ACMB-110-V09-MSB</t>
  </si>
  <si>
    <t>ACMB-110-R05-BO</t>
  </si>
  <si>
    <t>ACMB-110-RR05-BO</t>
  </si>
  <si>
    <t>ACMB-110-R05-BOA</t>
  </si>
  <si>
    <t>ACMB-110-RR05-BOA</t>
  </si>
  <si>
    <t>ACMB-110-R05-BOB</t>
  </si>
  <si>
    <t>ACMB-110-RR05-BOB</t>
  </si>
  <si>
    <t>ACMB-110-V10-MS</t>
  </si>
  <si>
    <t>ACMB-110-V11-MS</t>
  </si>
  <si>
    <t>ACMB-110-V10-MSA</t>
  </si>
  <si>
    <t>ACMB-110-V11-MSA</t>
  </si>
  <si>
    <t>ACMB-110-V10-MSB</t>
  </si>
  <si>
    <t>ACMB-110-V11-MSB</t>
  </si>
  <si>
    <t>ACMB-110-R06-BO</t>
  </si>
  <si>
    <t>ACMB-110-RR06-BO</t>
  </si>
  <si>
    <t>ACMB-110-R06-BOA</t>
  </si>
  <si>
    <t>ACMB-110-RR06-BOA</t>
  </si>
  <si>
    <t>ACMB-110-R06-BOB</t>
  </si>
  <si>
    <t>ACMB-110-RR06-BOB</t>
  </si>
  <si>
    <t>ACMB-110-V12-MS</t>
  </si>
  <si>
    <t>ACMB-110-V13-MS</t>
  </si>
  <si>
    <t>ACMB-110-V12-MSA</t>
  </si>
  <si>
    <t>ACMB-110-V13-MSA</t>
  </si>
  <si>
    <t>ACMB-110-V12-MSB</t>
  </si>
  <si>
    <t>ACMB-110-V13-MSB</t>
  </si>
  <si>
    <t>ACMB-110-R07-BO</t>
  </si>
  <si>
    <t>ACMB-110-RR07-BO</t>
  </si>
  <si>
    <t>ACMB-110-R07-BOA</t>
  </si>
  <si>
    <t>ACMB-110-RR07-BOA</t>
  </si>
  <si>
    <t>ACMB-110-R07-BOB</t>
  </si>
  <si>
    <t>ACMB-110-RR07-BOB</t>
  </si>
  <si>
    <t>ACMB-110-V14-MS</t>
  </si>
  <si>
    <t>ACMB-110-V15-MS</t>
  </si>
  <si>
    <t>ACMB-110-V14-MSA</t>
  </si>
  <si>
    <t>ACMB-110-V15-MSA</t>
  </si>
  <si>
    <t>ACMB-110-V14-MSB</t>
  </si>
  <si>
    <t>ACMB-110-V15-MSB</t>
  </si>
  <si>
    <t>ACMB-111-R01-BO</t>
  </si>
  <si>
    <t>ACMB-111-RR01-BO</t>
  </si>
  <si>
    <t>ACMB-111-R01-BOA</t>
  </si>
  <si>
    <t>ACMB-111-RR01-BOA</t>
  </si>
  <si>
    <t>ACMB-111-R01-BOB</t>
  </si>
  <si>
    <t>ACMB-111-RR01-BOB</t>
  </si>
  <si>
    <t>ACMB-111-V02-MS</t>
  </si>
  <si>
    <t>ACMB-111-V03-MS</t>
  </si>
  <si>
    <t>ACMB-111-V02-MSA</t>
  </si>
  <si>
    <t>ACMB-111-V03-MSA</t>
  </si>
  <si>
    <t>ACMB-111-V02-MSB</t>
  </si>
  <si>
    <t>ACMB-111-V03-MSB</t>
  </si>
  <si>
    <t>ACMB-111-R02-BO</t>
  </si>
  <si>
    <t>ACMB-111-RR02-BO</t>
  </si>
  <si>
    <t>ACMB-111-R02-BOA</t>
  </si>
  <si>
    <t>ACMB-111-RR02-BOA</t>
  </si>
  <si>
    <t>ACMB-111-R02-BOB</t>
  </si>
  <si>
    <t>ACMB-111-RR02-BOB</t>
  </si>
  <si>
    <t>ACMB-111-V04-MS</t>
  </si>
  <si>
    <t>ACMB-111-V05-MS</t>
  </si>
  <si>
    <t>ACMB-111-V04-MSA</t>
  </si>
  <si>
    <t>ACMB-111-V05-MSA</t>
  </si>
  <si>
    <t>ACMB-111-V04-MSB</t>
  </si>
  <si>
    <t>ACMB-111-V05-MSB</t>
  </si>
  <si>
    <t>ACMB-111-R03-BO</t>
  </si>
  <si>
    <t>ACMB-111-RR03-BO</t>
  </si>
  <si>
    <t>ACMB-111-R03-BOA</t>
  </si>
  <si>
    <t>ACMB-111-RR03-BOA</t>
  </si>
  <si>
    <t>ACMB-111-R03-BOB</t>
  </si>
  <si>
    <t>ACMB-111-RR03-BOB</t>
  </si>
  <si>
    <t>ACMB-111-V06-MS</t>
  </si>
  <si>
    <t>ACMB-111-V07-MS</t>
  </si>
  <si>
    <t>ACMB-111-V06-MSA</t>
  </si>
  <si>
    <t>ACMB-111-V07-MSA</t>
  </si>
  <si>
    <t>ACMB-111-V06-MSB</t>
  </si>
  <si>
    <t>ACMB-111-V07-MSB</t>
  </si>
  <si>
    <t>ACMB-111-R04-BO</t>
  </si>
  <si>
    <t>ACMB-111-RR04-BO</t>
  </si>
  <si>
    <t>ACMB-111-R04-BOA</t>
  </si>
  <si>
    <t>ACMB-111-RR04-BOA</t>
  </si>
  <si>
    <t>ACMB-111-R04-BOB</t>
  </si>
  <si>
    <t>ACMB-111-RR04-BOB</t>
  </si>
  <si>
    <t>ACMB-111-V08-MS</t>
  </si>
  <si>
    <t>ACMB-111-V09-MS</t>
  </si>
  <si>
    <t>ACMB-111-V08-MSA</t>
  </si>
  <si>
    <t>ACMB-111-V09-MSA</t>
  </si>
  <si>
    <t>ACMB-111-V08-MSB</t>
  </si>
  <si>
    <t>ACMB-111-V09-MSB</t>
  </si>
  <si>
    <t>ACMB-111-R05-BO</t>
  </si>
  <si>
    <t>ACMB-111-RR05-BO</t>
  </si>
  <si>
    <t>ACMB-111-R05-BOA</t>
  </si>
  <si>
    <t>ACMB-111-RR05-BOA</t>
  </si>
  <si>
    <t>ACMB-111-R05-BOB</t>
  </si>
  <si>
    <t>ACMB-111-RR05-BOB</t>
  </si>
  <si>
    <t>ACMB-111-V10-MS</t>
  </si>
  <si>
    <t>ACMB-111-V11-MS</t>
  </si>
  <si>
    <t>ACMB-111-V10-MSA</t>
  </si>
  <si>
    <t>ACMB-111-V11-MSA</t>
  </si>
  <si>
    <t>ACMB-111-V10-MSB</t>
  </si>
  <si>
    <t>ACMB-111-V11-MSB</t>
  </si>
  <si>
    <t>ACMB-111-R06-BO</t>
  </si>
  <si>
    <t>ACMB-111-RR06-BO</t>
  </si>
  <si>
    <t>ACMB-111-R06-BOA</t>
  </si>
  <si>
    <t>ACMB-111-RR06-BOA</t>
  </si>
  <si>
    <t>ACMB-111-R06-BOB</t>
  </si>
  <si>
    <t>ACMB-111-RR06-BOB</t>
  </si>
  <si>
    <t>ACMB-111-V12-MS</t>
  </si>
  <si>
    <t>ACMB-111-V13-MS</t>
  </si>
  <si>
    <t>ACMB-111-V12-MSA</t>
  </si>
  <si>
    <t>ACMB-111-V13-MSA</t>
  </si>
  <si>
    <t>ACMB-111-V12-MSB</t>
  </si>
  <si>
    <t>ACMB-111-V13-MSB</t>
  </si>
  <si>
    <t>ACMB-111-R07-BO</t>
  </si>
  <si>
    <t>ACMB-111-RR07-BO</t>
  </si>
  <si>
    <t>ACMB-111-R07-BOA</t>
  </si>
  <si>
    <t>ACMB-111-RR07-BOA</t>
  </si>
  <si>
    <t>ACMB-111-R07-BOB</t>
  </si>
  <si>
    <t>ACMB-111-RR07-BOB</t>
  </si>
  <si>
    <t>ACMB-111-V14-MS</t>
  </si>
  <si>
    <t>ACMB-111-V15-MS</t>
  </si>
  <si>
    <t>ACMB-111-V14-MSA</t>
  </si>
  <si>
    <t>ACMB-111-V15-MSA</t>
  </si>
  <si>
    <t>ACMB-111-V14-MSB</t>
  </si>
  <si>
    <t>ACMB-111-V15-MSB</t>
  </si>
  <si>
    <t>ACMB-112-R01-BO</t>
  </si>
  <si>
    <t>ACMB-112-RR01-BO</t>
  </si>
  <si>
    <t>ACMB-112-R01-BOA</t>
  </si>
  <si>
    <t>ACMB-112-RR01-BOA</t>
  </si>
  <si>
    <t>ACMB-112-R01-BOB</t>
  </si>
  <si>
    <t>ACMB-112-RR01-BOB</t>
  </si>
  <si>
    <t>ACMB-112-V02-MS</t>
  </si>
  <si>
    <t>ACMB-112-V03-MS</t>
  </si>
  <si>
    <t>ACMB-112-V02-MSA</t>
  </si>
  <si>
    <t>ACMB-112-V03-MSA</t>
  </si>
  <si>
    <t>ACMB-112-V02-MSB</t>
  </si>
  <si>
    <t>ACMB-112-V03-MSB</t>
  </si>
  <si>
    <t>ACMB-112-R02-BO</t>
  </si>
  <si>
    <t>ACMB-112-RR02-BO</t>
  </si>
  <si>
    <t>ACMB-112-R02-BOA</t>
  </si>
  <si>
    <t>ACMB-112-RR02-BOA</t>
  </si>
  <si>
    <t>ACMB-112-R02-BOB</t>
  </si>
  <si>
    <t>ACMB-112-RR02-BOB</t>
  </si>
  <si>
    <t>ACMB-112-V04-MS</t>
  </si>
  <si>
    <t>ACMB-112-V05-MS</t>
  </si>
  <si>
    <t>ACMB-112-V04-MSA</t>
  </si>
  <si>
    <t>ACMB-112-V05-MSA</t>
  </si>
  <si>
    <t>ACMB-112-V04-MSB</t>
  </si>
  <si>
    <t>ACMB-112-V05-MSB</t>
  </si>
  <si>
    <t>ACMB-112-R03-BO</t>
  </si>
  <si>
    <t>ACMB-112-RR03-BO</t>
  </si>
  <si>
    <t>ACMB-112-R03-BOA</t>
  </si>
  <si>
    <t>ACMB-112-RR03-BOA</t>
  </si>
  <si>
    <t>ACMB-112-R03-BOB</t>
  </si>
  <si>
    <t>ACMB-112-RR03-BOB</t>
  </si>
  <si>
    <t>ACMB-112-V06-MS</t>
  </si>
  <si>
    <t>ACMB-112-V07-MS</t>
  </si>
  <si>
    <t>ACMB-112-V06-MSA</t>
  </si>
  <si>
    <t>ACMB-112-V07-MSA</t>
  </si>
  <si>
    <t>ACMB-112-V06-MSB</t>
  </si>
  <si>
    <t>ACMB-112-V07-MSB</t>
  </si>
  <si>
    <t>ACMB-112-R04-BO</t>
  </si>
  <si>
    <t>ACMB-112-RR04-BO</t>
  </si>
  <si>
    <t>ACMB-112-R04-BOA</t>
  </si>
  <si>
    <t>ACMB-112-RR04-BOA</t>
  </si>
  <si>
    <t>ACMB-112-R04-BOB</t>
  </si>
  <si>
    <t>ACMB-112-RR04-BOB</t>
  </si>
  <si>
    <t>ACMB-112-V08-MS</t>
  </si>
  <si>
    <t>ACMB-112-V09-MS</t>
  </si>
  <si>
    <t>ACMB-112-V08-MSA</t>
  </si>
  <si>
    <t>ACMB-112-V09-MSA</t>
  </si>
  <si>
    <t>ACMB-112-V08-MSB</t>
  </si>
  <si>
    <t>ACMB-112-V09-MSB</t>
  </si>
  <si>
    <t>ACMB-112-R05-BO</t>
  </si>
  <si>
    <t>ACMB-112-RR05-BO</t>
  </si>
  <si>
    <t>ACMB-112-R05-BOA</t>
  </si>
  <si>
    <t>ACMB-112-RR05-BOA</t>
  </si>
  <si>
    <t>ACMB-112-R05-BOB</t>
  </si>
  <si>
    <t>ACMB-112-RR05-BOB</t>
  </si>
  <si>
    <t>ACMB-112-V10-MS</t>
  </si>
  <si>
    <t>ACMB-112-V11-MS</t>
  </si>
  <si>
    <t>ACMB-112-V10-MSA</t>
  </si>
  <si>
    <t>ACMB-112-V11-MSA</t>
  </si>
  <si>
    <t>ACMB-112-V10-MSB</t>
  </si>
  <si>
    <t>ACMB-112-V11-MSB</t>
  </si>
  <si>
    <t>ACMB-112-R06-BO</t>
  </si>
  <si>
    <t>ACMB-112-RR06-BO</t>
  </si>
  <si>
    <t>ACMB-112-R06-BOA</t>
  </si>
  <si>
    <t>ACMB-112-RR06-BOA</t>
  </si>
  <si>
    <t>ACMB-112-R06-BOB</t>
  </si>
  <si>
    <t>ACMB-112-RR06-BOB</t>
  </si>
  <si>
    <t>ACMB-112-V12-MS</t>
  </si>
  <si>
    <t>ACMB-112-V13-MS</t>
  </si>
  <si>
    <t>ACMB-112-V12-MSA</t>
  </si>
  <si>
    <t>ACMB-112-V13-MSA</t>
  </si>
  <si>
    <t>ACMB-112-V12-MSB</t>
  </si>
  <si>
    <t>ACMB-112-V13-MSB</t>
  </si>
  <si>
    <t>ACMB-112-R07-BO</t>
  </si>
  <si>
    <t>ACMB-112-RR07-BO</t>
  </si>
  <si>
    <t>ACMB-112-R07-BOA</t>
  </si>
  <si>
    <t>ACMB-112-RR07-BOA</t>
  </si>
  <si>
    <t>ACMB-112-R07-BOB</t>
  </si>
  <si>
    <t>ACMB-112-RR07-BOB</t>
  </si>
  <si>
    <t>ACMB-112-V14-MS</t>
  </si>
  <si>
    <t>ACMB-112-V15-MS</t>
  </si>
  <si>
    <t>ACMB-112-V14-MSA</t>
  </si>
  <si>
    <t>ACMB-112-V15-MSA</t>
  </si>
  <si>
    <t>ACMB-112-V14-MSB</t>
  </si>
  <si>
    <t>ACMB-112-V15-MSB</t>
  </si>
  <si>
    <t>ACMB-113-R01-BO</t>
  </si>
  <si>
    <t>ACMB-113-RR01-BO</t>
  </si>
  <si>
    <t>ACMB-113-R01-BOA</t>
  </si>
  <si>
    <t>ACMB-113-RR01-BOA</t>
  </si>
  <si>
    <t>ACMB-113-R01-BOB</t>
  </si>
  <si>
    <t>ACMB-113-RR01-BOB</t>
  </si>
  <si>
    <t>ACMB-113-V02-MS</t>
  </si>
  <si>
    <t>ACMB-113-V03-MS</t>
  </si>
  <si>
    <t>ACMB-113-V02-MSA</t>
  </si>
  <si>
    <t>ACMB-113-V03-MSA</t>
  </si>
  <si>
    <t>ACMB-113-V02-MSB</t>
  </si>
  <si>
    <t>ACMB-113-V03-MSB</t>
  </si>
  <si>
    <t>ACMB-113-R02-BO</t>
  </si>
  <si>
    <t>ACMB-113-RR02-BO</t>
  </si>
  <si>
    <t>ACMB-113-R02-BOA</t>
  </si>
  <si>
    <t>ACMB-113-RR02-BOA</t>
  </si>
  <si>
    <t>ACMB-113-R02-BOB</t>
  </si>
  <si>
    <t>ACMB-113-RR02-BOB</t>
  </si>
  <si>
    <t>ACMB-113-V04-MS</t>
  </si>
  <si>
    <t>ACMB-113-V05-MS</t>
  </si>
  <si>
    <t>ACMB-113-V04-MSA</t>
  </si>
  <si>
    <t>ACMB-113-V05-MSA</t>
  </si>
  <si>
    <t>ACMB-113-V04-MSB</t>
  </si>
  <si>
    <t>ACMB-113-V05-MSB</t>
  </si>
  <si>
    <t>ACMB-113-R03-BO</t>
  </si>
  <si>
    <t>ACMB-113-RR03-BO</t>
  </si>
  <si>
    <t>ACMB-113-R03-BOA</t>
  </si>
  <si>
    <t>ACMB-113-RR03-BOA</t>
  </si>
  <si>
    <t>ACMB-113-R03-BOB</t>
  </si>
  <si>
    <t>ACMB-113-RR03-BOB</t>
  </si>
  <si>
    <t>ACMB-113-V06-MS</t>
  </si>
  <si>
    <t>ACMB-113-V07-MS</t>
  </si>
  <si>
    <t>ACMB-113-V06-MSA</t>
  </si>
  <si>
    <t>ACMB-113-V07-MSA</t>
  </si>
  <si>
    <t>ACMB-113-V06-MSB</t>
  </si>
  <si>
    <t>ACMB-113-V07-MSB</t>
  </si>
  <si>
    <t>ACMB-113-R04-BO</t>
  </si>
  <si>
    <t>ACMB-113-RR04-BO</t>
  </si>
  <si>
    <t>ACMB-113-R04-BOA</t>
  </si>
  <si>
    <t>ACMB-113-RR04-BOA</t>
  </si>
  <si>
    <t>ACMB-113-R04-BOB</t>
  </si>
  <si>
    <t>ACMB-113-RR04-BOB</t>
  </si>
  <si>
    <t>ACMB-113-V08-MS</t>
  </si>
  <si>
    <t>ACMB-113-V09-MS</t>
  </si>
  <si>
    <t>ACMB-113-V08-MSA</t>
  </si>
  <si>
    <t>ACMB-113-V09-MSA</t>
  </si>
  <si>
    <t>ACMB-113-V08-MSB</t>
  </si>
  <si>
    <t>ACMB-113-V09-MSB</t>
  </si>
  <si>
    <t>ACMB-113-R05-BO</t>
  </si>
  <si>
    <t>ACMB-113-RR05-BO</t>
  </si>
  <si>
    <t>ACMB-113-R05-BOA</t>
  </si>
  <si>
    <t>ACMB-113-RR05-BOA</t>
  </si>
  <si>
    <t>ACMB-113-R05-BOB</t>
  </si>
  <si>
    <t>ACMB-113-RR05-BOB</t>
  </si>
  <si>
    <t>ACMB-113-V10-MS</t>
  </si>
  <si>
    <t>ACMB-113-V11-MS</t>
  </si>
  <si>
    <t>ACMB-113-V10-MSA</t>
  </si>
  <si>
    <t>ACMB-113-V11-MSA</t>
  </si>
  <si>
    <t>ACMB-113-V10-MSB</t>
  </si>
  <si>
    <t>ACMB-113-V11-MSB</t>
  </si>
  <si>
    <t>ACMB-113-R06-BO</t>
  </si>
  <si>
    <t>ACMB-113-RR06-BO</t>
  </si>
  <si>
    <t>ACMB-113-R06-BOA</t>
  </si>
  <si>
    <t>ACMB-113-RR06-BOA</t>
  </si>
  <si>
    <t>ACMB-113-R06-BOB</t>
  </si>
  <si>
    <t>ACMB-113-RR06-BOB</t>
  </si>
  <si>
    <t>ACMB-113-V12-MS</t>
  </si>
  <si>
    <t>ACMB-113-V13-MS</t>
  </si>
  <si>
    <t>ACMB-113-V12-MSA</t>
  </si>
  <si>
    <t>ACMB-113-V13-MSA</t>
  </si>
  <si>
    <t>ACMB-113-V12-MSB</t>
  </si>
  <si>
    <t>ACMB-113-V13-MSB</t>
  </si>
  <si>
    <t>ACMB-113-R07-BO</t>
  </si>
  <si>
    <t>ACMB-113-RR07-BO</t>
  </si>
  <si>
    <t>ACMB-113-R07-BOA</t>
  </si>
  <si>
    <t>ACMB-113-RR07-BOA</t>
  </si>
  <si>
    <t>ACMB-113-R07-BOB</t>
  </si>
  <si>
    <t>ACMB-113-RR07-BOB</t>
  </si>
  <si>
    <t>ACMB-113-V14-MS</t>
  </si>
  <si>
    <t>ACMB-113-V15-MS</t>
  </si>
  <si>
    <t>ACMB-113-V14-MSA</t>
  </si>
  <si>
    <t>ACMB-113-V15-MSA</t>
  </si>
  <si>
    <t>ACMB-113-V14-MSB</t>
  </si>
  <si>
    <t>ACMB-113-V15-MSB</t>
  </si>
  <si>
    <t>ACMB-114-R01-BO</t>
  </si>
  <si>
    <t>ACMB-114-RR01-BO</t>
  </si>
  <si>
    <t>ACMB-114-R01-BOA</t>
  </si>
  <si>
    <t>ACMB-114-RR01-BOA</t>
  </si>
  <si>
    <t>ACMB-114-R01-BOB</t>
  </si>
  <si>
    <t>ACMB-114-RR01-BOB</t>
  </si>
  <si>
    <t>ACMB-114-V02-MS</t>
  </si>
  <si>
    <t>ACMB-114-V03-MS</t>
  </si>
  <si>
    <t>ACMB-114-V02-MSA</t>
  </si>
  <si>
    <t>ACMB-114-V03-MSA</t>
  </si>
  <si>
    <t>ACMB-114-V02-MSB</t>
  </si>
  <si>
    <t>ACMB-114-V03-MSB</t>
  </si>
  <si>
    <t>ACMB-114-R02-BO</t>
  </si>
  <si>
    <t>ACMB-114-RR02-BO</t>
  </si>
  <si>
    <t>ACMB-114-R02-BOA</t>
  </si>
  <si>
    <t>ACMB-114-RR02-BOA</t>
  </si>
  <si>
    <t>ACMB-114-R02-BOB</t>
  </si>
  <si>
    <t>ACMB-114-RR02-BOB</t>
  </si>
  <si>
    <t>ACMB-114-V04-MS</t>
  </si>
  <si>
    <t>ACMB-114-V05-MS</t>
  </si>
  <si>
    <t>ACMB-114-V04-MSA</t>
  </si>
  <si>
    <t>ACMB-114-V05-MSA</t>
  </si>
  <si>
    <t>ACMB-114-V04-MSB</t>
  </si>
  <si>
    <t>ACMB-114-V05-MSB</t>
  </si>
  <si>
    <t>ACMB-114-R03-BO</t>
  </si>
  <si>
    <t>ACMB-114-RR03-BO</t>
  </si>
  <si>
    <t>ACMB-114-R03-BOA</t>
  </si>
  <si>
    <t>ACMB-114-RR03-BOA</t>
  </si>
  <si>
    <t>ACMB-114-R03-BOB</t>
  </si>
  <si>
    <t>ACMB-114-RR03-BOB</t>
  </si>
  <si>
    <t>ACMB-114-V06-MS</t>
  </si>
  <si>
    <t>ACMB-114-V07-MS</t>
  </si>
  <si>
    <t>ACMB-114-V06-MSA</t>
  </si>
  <si>
    <t>ACMB-114-V07-MSA</t>
  </si>
  <si>
    <t>ACMB-114-V06-MSB</t>
  </si>
  <si>
    <t>ACMB-114-V07-MSB</t>
  </si>
  <si>
    <t>ACMB-114-R04-BO</t>
  </si>
  <si>
    <t>ACMB-114-RR04-BO</t>
  </si>
  <si>
    <t>ACMB-114-R04-BOA</t>
  </si>
  <si>
    <t>ACMB-114-RR04-BOA</t>
  </si>
  <si>
    <t>ACMB-114-R04-BOB</t>
  </si>
  <si>
    <t>ACMB-114-RR04-BOB</t>
  </si>
  <si>
    <t>ACMB-114-V08-MS</t>
  </si>
  <si>
    <t>ACMB-114-V09-MS</t>
  </si>
  <si>
    <t>ACMB-114-V08-MSA</t>
  </si>
  <si>
    <t>ACMB-114-V09-MSA</t>
  </si>
  <si>
    <t>ACMB-114-V08-MSB</t>
  </si>
  <si>
    <t>ACMB-114-V09-MSB</t>
  </si>
  <si>
    <t>ACMB-114-R05-BO</t>
  </si>
  <si>
    <t>ACMB-114-RR05-BO</t>
  </si>
  <si>
    <t>ACMB-114-R05-BOA</t>
  </si>
  <si>
    <t>ACMB-114-RR05-BOA</t>
  </si>
  <si>
    <t>ACMB-114-R05-BOB</t>
  </si>
  <si>
    <t>ACMB-114-RR05-BOB</t>
  </si>
  <si>
    <t>ACMB-114-V10-MS</t>
  </si>
  <si>
    <t>ACMB-114-V11-MS</t>
  </si>
  <si>
    <t>ACMB-114-V10-MSA</t>
  </si>
  <si>
    <t>ACMB-114-V11-MSA</t>
  </si>
  <si>
    <t>ACMB-114-V10-MSB</t>
  </si>
  <si>
    <t>ACMB-114-V11-MSB</t>
  </si>
  <si>
    <t>ACMB-114-R06-BO</t>
  </si>
  <si>
    <t>ACMB-114-RR06-BO</t>
  </si>
  <si>
    <t>ACMB-114-R06-BOA</t>
  </si>
  <si>
    <t>ACMB-114-RR06-BOA</t>
  </si>
  <si>
    <t>ACMB-114-R06-BOB</t>
  </si>
  <si>
    <t>ACMB-114-RR06-BOB</t>
  </si>
  <si>
    <t>ACMB-114-V12-MS</t>
  </si>
  <si>
    <t>ACMB-114-V13-MS</t>
  </si>
  <si>
    <t>ACMB-114-V12-MSA</t>
  </si>
  <si>
    <t>ACMB-114-V13-MSA</t>
  </si>
  <si>
    <t>ACMB-114-V12-MSB</t>
  </si>
  <si>
    <t>ACMB-114-V13-MSB</t>
  </si>
  <si>
    <t>ACMB-114-R07-BO</t>
  </si>
  <si>
    <t>ACMB-114-RR07-BO</t>
  </si>
  <si>
    <t>ACMB-114-R07-BOA</t>
  </si>
  <si>
    <t>ACMB-114-RR07-BOA</t>
  </si>
  <si>
    <t>ACMB-114-R07-BOB</t>
  </si>
  <si>
    <t>ACMB-114-RR07-BOB</t>
  </si>
  <si>
    <t>ACMB-114-V14-MS</t>
  </si>
  <si>
    <t>ACMB-114-V15-MS</t>
  </si>
  <si>
    <t>ACMB-114-V14-MSA</t>
  </si>
  <si>
    <t>ACMB-114-V15-MSA</t>
  </si>
  <si>
    <t>ACMB-114-V14-MSB</t>
  </si>
  <si>
    <t>ACMB-114-V15-MSB</t>
  </si>
  <si>
    <t>ACMB-115-R01-BO</t>
  </si>
  <si>
    <t>ACMB-115-RR01-BO</t>
  </si>
  <si>
    <t>ACMB-115-R01-BOA</t>
  </si>
  <si>
    <t>ACMB-115-RR01-BOA</t>
  </si>
  <si>
    <t>ACMB-115-R01-BOB</t>
  </si>
  <si>
    <t>ACMB-115-RR01-BOB</t>
  </si>
  <si>
    <t>ACMB-115-V02-MS</t>
  </si>
  <si>
    <t>ACMB-115-V03-MS</t>
  </si>
  <si>
    <t>ACMB-115-V02-MSA</t>
  </si>
  <si>
    <t>ACMB-115-V03-MSA</t>
  </si>
  <si>
    <t>ACMB-115-V02-MSB</t>
  </si>
  <si>
    <t>ACMB-115-V03-MSB</t>
  </si>
  <si>
    <t>ACMB-115-R02-BO</t>
  </si>
  <si>
    <t>ACMB-115-RR02-BO</t>
  </si>
  <si>
    <t>ACMB-115-R02-BOA</t>
  </si>
  <si>
    <t>ACMB-115-RR02-BOA</t>
  </si>
  <si>
    <t>ACMB-115-R02-BOB</t>
  </si>
  <si>
    <t>ACMB-115-RR02-BOB</t>
  </si>
  <si>
    <t>ACMB-115-V04-MS</t>
  </si>
  <si>
    <t>ACMB-115-V05-MS</t>
  </si>
  <si>
    <t>ACMB-115-V04-MSA</t>
  </si>
  <si>
    <t>ACMB-115-V05-MSA</t>
  </si>
  <si>
    <t>ACMB-115-V04-MSB</t>
  </si>
  <si>
    <t>ACMB-115-V05-MSB</t>
  </si>
  <si>
    <t>ACMB-115-R03-BO</t>
  </si>
  <si>
    <t>ACMB-115-RR03-BO</t>
  </si>
  <si>
    <t>ACMB-115-R03-BOA</t>
  </si>
  <si>
    <t>ACMB-115-RR03-BOA</t>
  </si>
  <si>
    <t>ACMB-115-R03-BOB</t>
  </si>
  <si>
    <t>ACMB-115-RR03-BOB</t>
  </si>
  <si>
    <t>ACMB-115-V06-MS</t>
  </si>
  <si>
    <t>ACMB-115-V07-MS</t>
  </si>
  <si>
    <t>ACMB-115-V06-MSA</t>
  </si>
  <si>
    <t>ACMB-115-V07-MSA</t>
  </si>
  <si>
    <t>ACMB-115-V06-MSB</t>
  </si>
  <si>
    <t>ACMB-115-V07-MSB</t>
  </si>
  <si>
    <t>ACMB-115-R04-BO</t>
  </si>
  <si>
    <t>ACMB-115-RR04-BO</t>
  </si>
  <si>
    <t>ACMB-115-R04-BOA</t>
  </si>
  <si>
    <t>ACMB-115-RR04-BOA</t>
  </si>
  <si>
    <t>ACMB-115-R04-BOB</t>
  </si>
  <si>
    <t>ACMB-115-RR04-BOB</t>
  </si>
  <si>
    <t>ACMB-115-V08-MS</t>
  </si>
  <si>
    <t>ACMB-115-V09-MS</t>
  </si>
  <si>
    <t>ACMB-115-V08-MSA</t>
  </si>
  <si>
    <t>ACMB-115-V09-MSA</t>
  </si>
  <si>
    <t>ACMB-115-V08-MSB</t>
  </si>
  <si>
    <t>ACMB-115-V09-MSB</t>
  </si>
  <si>
    <t>ACMB-115-R05-BO</t>
  </si>
  <si>
    <t>ACMB-115-RR05-BO</t>
  </si>
  <si>
    <t>ACMB-115-R05-BOA</t>
  </si>
  <si>
    <t>ACMB-115-RR05-BOA</t>
  </si>
  <si>
    <t>ACMB-115-R05-BOB</t>
  </si>
  <si>
    <t>ACMB-115-RR05-BOB</t>
  </si>
  <si>
    <t>ACMB-115-V10-MS</t>
  </si>
  <si>
    <t>ACMB-115-V11-MS</t>
  </si>
  <si>
    <t>ACMB-115-V10-MSA</t>
  </si>
  <si>
    <t>ACMB-115-V11-MSA</t>
  </si>
  <si>
    <t>ACMB-115-V10-MSB</t>
  </si>
  <si>
    <t>ACMB-115-V11-MSB</t>
  </si>
  <si>
    <t>ACMB-115-R06-BO</t>
  </si>
  <si>
    <t>ACMB-115-RR06-BO</t>
  </si>
  <si>
    <t>ACMB-115-R06-BOA</t>
  </si>
  <si>
    <t>ACMB-115-RR06-BOA</t>
  </si>
  <si>
    <t>ACMB-115-R06-BOB</t>
  </si>
  <si>
    <t>ACMB-115-RR06-BOB</t>
  </si>
  <si>
    <t>ACMB-115-V12-MS</t>
  </si>
  <si>
    <t>ACMB-115-V13-MS</t>
  </si>
  <si>
    <t>ACMB-115-V12-MSA</t>
  </si>
  <si>
    <t>ACMB-115-V13-MSA</t>
  </si>
  <si>
    <t>ACMB-115-V12-MSB</t>
  </si>
  <si>
    <t>ACMB-115-V13-MSB</t>
  </si>
  <si>
    <t>ACMB-115-R07-BO</t>
  </si>
  <si>
    <t>ACMB-115-RR07-BO</t>
  </si>
  <si>
    <t>ACMB-115-R07-BOA</t>
  </si>
  <si>
    <t>ACMB-115-RR07-BOA</t>
  </si>
  <si>
    <t>ACMB-115-R07-BOB</t>
  </si>
  <si>
    <t>ACMB-115-RR07-BOB</t>
  </si>
  <si>
    <t>ACMB-115-V14-MS</t>
  </si>
  <si>
    <t>ACMB-115-V15-MS</t>
  </si>
  <si>
    <t>ACMB-115-V14-MSA</t>
  </si>
  <si>
    <t>ACMB-115-V15-MSA</t>
  </si>
  <si>
    <t>ACMB-115-V14-MSB</t>
  </si>
  <si>
    <t>ACMB-115-V15-MSB</t>
  </si>
  <si>
    <t>ACMB-116-R01-BO</t>
  </si>
  <si>
    <t>ACMB-116-RR01-BO</t>
  </si>
  <si>
    <t>ACMB-116-R01-BOA</t>
  </si>
  <si>
    <t>ACMB-116-RR01-BOA</t>
  </si>
  <si>
    <t>ACMB-116-R01-BOB</t>
  </si>
  <si>
    <t>ACMB-116-RR01-BOB</t>
  </si>
  <si>
    <t>ACMB-116-V02-MS</t>
  </si>
  <si>
    <t>ACMB-116-V03-MS</t>
  </si>
  <si>
    <t>ACMB-116-V02-MSA</t>
  </si>
  <si>
    <t>ACMB-116-V03-MSA</t>
  </si>
  <si>
    <t>ACMB-116-V02-MSB</t>
  </si>
  <si>
    <t>ACMB-116-V03-MSB</t>
  </si>
  <si>
    <t>ACMB-116-R02-BO</t>
  </si>
  <si>
    <t>ACMB-116-RR02-BO</t>
  </si>
  <si>
    <t>ACMB-116-R02-BOA</t>
  </si>
  <si>
    <t>ACMB-116-RR02-BOA</t>
  </si>
  <si>
    <t>ACMB-116-R02-BOB</t>
  </si>
  <si>
    <t>ACMB-116-RR02-BOB</t>
  </si>
  <si>
    <t>ACMB-116-V04-MS</t>
  </si>
  <si>
    <t>ACMB-116-V05-MS</t>
  </si>
  <si>
    <t>ACMB-116-V04-MSA</t>
  </si>
  <si>
    <t>ACMB-116-V05-MSA</t>
  </si>
  <si>
    <t>ACMB-116-V04-MSB</t>
  </si>
  <si>
    <t>ACMB-116-V05-MSB</t>
  </si>
  <si>
    <t>ACMB-116-R03-BO</t>
  </si>
  <si>
    <t>ACMB-116-RR03-BO</t>
  </si>
  <si>
    <t>ACMB-116-R03-BOA</t>
  </si>
  <si>
    <t>ACMB-116-RR03-BOA</t>
  </si>
  <si>
    <t>ACMB-116-R03-BOB</t>
  </si>
  <si>
    <t>ACMB-116-RR03-BOB</t>
  </si>
  <si>
    <t>ACMB-116-V06-MS</t>
  </si>
  <si>
    <t>ACMB-116-V07-MS</t>
  </si>
  <si>
    <t>ACMB-116-V06-MSA</t>
  </si>
  <si>
    <t>ACMB-116-V07-MSA</t>
  </si>
  <si>
    <t>ACMB-116-V06-MSB</t>
  </si>
  <si>
    <t>ACMB-116-V07-MSB</t>
  </si>
  <si>
    <t>ACMB-116-R04-BO</t>
  </si>
  <si>
    <t>ACMB-116-RR04-BO</t>
  </si>
  <si>
    <t>ACMB-116-R04-BOA</t>
  </si>
  <si>
    <t>ACMB-116-RR04-BOA</t>
  </si>
  <si>
    <t>ACMB-116-R04-BOB</t>
  </si>
  <si>
    <t>ACMB-116-RR04-BOB</t>
  </si>
  <si>
    <t>ACMB-116-V08-MS</t>
  </si>
  <si>
    <t>ACMB-116-V09-MS</t>
  </si>
  <si>
    <t>ACMB-116-V08-MSA</t>
  </si>
  <si>
    <t>ACMB-116-V09-MSA</t>
  </si>
  <si>
    <t>ACMB-116-V08-MSB</t>
  </si>
  <si>
    <t>ACMB-116-V09-MSB</t>
  </si>
  <si>
    <t>ACMB-116-R05-BO</t>
  </si>
  <si>
    <t>ACMB-116-RR05-BO</t>
  </si>
  <si>
    <t>ACMB-116-R05-BOA</t>
  </si>
  <si>
    <t>ACMB-116-RR05-BOA</t>
  </si>
  <si>
    <t>ACMB-116-R05-BOB</t>
  </si>
  <si>
    <t>ACMB-116-RR05-BOB</t>
  </si>
  <si>
    <t>ACMB-116-V10-MS</t>
  </si>
  <si>
    <t>ACMB-116-V11-MS</t>
  </si>
  <si>
    <t>ACMB-116-V10-MSA</t>
  </si>
  <si>
    <t>ACMB-116-V11-MSA</t>
  </si>
  <si>
    <t>ACMB-116-V10-MSB</t>
  </si>
  <si>
    <t>ACMB-116-V11-MSB</t>
  </si>
  <si>
    <t>ACMB-116-R06-BO</t>
  </si>
  <si>
    <t>ACMB-116-RR06-BO</t>
  </si>
  <si>
    <t>ACMB-116-R06-BOA</t>
  </si>
  <si>
    <t>ACMB-116-RR06-BOA</t>
  </si>
  <si>
    <t>ACMB-116-R06-BOB</t>
  </si>
  <si>
    <t>ACMB-116-RR06-BOB</t>
  </si>
  <si>
    <t>ACMB-116-V12-MS</t>
  </si>
  <si>
    <t>ACMB-116-V13-MS</t>
  </si>
  <si>
    <t>ACMB-116-V12-MSA</t>
  </si>
  <si>
    <t>ACMB-116-V13-MSA</t>
  </si>
  <si>
    <t>ACMB-116-V12-MSB</t>
  </si>
  <si>
    <t>ACMB-116-V13-MSB</t>
  </si>
  <si>
    <t>ACMB-116-R07-BO</t>
  </si>
  <si>
    <t>ACMB-116-RR07-BO</t>
  </si>
  <si>
    <t>ACMB-116-R07-BOA</t>
  </si>
  <si>
    <t>ACMB-116-RR07-BOA</t>
  </si>
  <si>
    <t>ACMB-116-R07-BOB</t>
  </si>
  <si>
    <t>ACMB-116-RR07-BOB</t>
  </si>
  <si>
    <t>ACMB-116-V14-MS</t>
  </si>
  <si>
    <t>ACMB-116-V15-MS</t>
  </si>
  <si>
    <t>ACMB-116-V14-MSA</t>
  </si>
  <si>
    <t>ACMB-116-V15-MSA</t>
  </si>
  <si>
    <t>ACMB-116-V14-MSB</t>
  </si>
  <si>
    <t>ACMB-116-V15-MSB</t>
  </si>
  <si>
    <t>ACMB-117-R01-BO</t>
  </si>
  <si>
    <t>ACMB-117-RR01-BO</t>
  </si>
  <si>
    <t>ACMB-117-R01-BOA</t>
  </si>
  <si>
    <t>ACMB-117-RR01-BOA</t>
  </si>
  <si>
    <t>ACMB-117-R01-BOB</t>
  </si>
  <si>
    <t>ACMB-117-RR01-BOB</t>
  </si>
  <si>
    <t>ACMB-117-V02-MS</t>
  </si>
  <si>
    <t>ACMB-117-V03-MS</t>
  </si>
  <si>
    <t>ACMB-117-V02-MSA</t>
  </si>
  <si>
    <t>ACMB-117-V03-MSA</t>
  </si>
  <si>
    <t>ACMB-117-V02-MSB</t>
  </si>
  <si>
    <t>ACMB-117-V03-MSB</t>
  </si>
  <si>
    <t>ACMB-117-R02-BO</t>
  </si>
  <si>
    <t>ACMB-117-RR02-BO</t>
  </si>
  <si>
    <t>ACMB-117-R02-BOA</t>
  </si>
  <si>
    <t>ACMB-117-RR02-BOA</t>
  </si>
  <si>
    <t>ACMB-117-R02-BOB</t>
  </si>
  <si>
    <t>ACMB-117-RR02-BOB</t>
  </si>
  <si>
    <t>ACMB-117-V04-MS</t>
  </si>
  <si>
    <t>ACMB-117-V05-MS</t>
  </si>
  <si>
    <t>ACMB-117-V04-MSA</t>
  </si>
  <si>
    <t>ACMB-117-V05-MSA</t>
  </si>
  <si>
    <t>ACMB-117-V04-MSB</t>
  </si>
  <si>
    <t>ACMB-117-V05-MSB</t>
  </si>
  <si>
    <t>ACMB-117-R03-BO</t>
  </si>
  <si>
    <t>ACMB-117-RR03-BO</t>
  </si>
  <si>
    <t>ACMB-117-R03-BOA</t>
  </si>
  <si>
    <t>ACMB-117-RR03-BOA</t>
  </si>
  <si>
    <t>ACMB-117-R03-BOB</t>
  </si>
  <si>
    <t>ACMB-117-RR03-BOB</t>
  </si>
  <si>
    <t>ACMB-117-V06-MS</t>
  </si>
  <si>
    <t>ACMB-117-V07-MS</t>
  </si>
  <si>
    <t>ACMB-117-V06-MSA</t>
  </si>
  <si>
    <t>ACMB-117-V07-MSA</t>
  </si>
  <si>
    <t>ACMB-117-V06-MSB</t>
  </si>
  <si>
    <t>ACMB-117-V07-MSB</t>
  </si>
  <si>
    <t>ACMB-117-R04-BO</t>
  </si>
  <si>
    <t>ACMB-117-RR04-BO</t>
  </si>
  <si>
    <t>ACMB-117-R04-BOA</t>
  </si>
  <si>
    <t>ACMB-117-RR04-BOA</t>
  </si>
  <si>
    <t>ACMB-117-R04-BOB</t>
  </si>
  <si>
    <t>ACMB-117-RR04-BOB</t>
  </si>
  <si>
    <t>ACMB-117-V08-MS</t>
  </si>
  <si>
    <t>ACMB-117-V09-MS</t>
  </si>
  <si>
    <t>ACMB-117-V08-MSA</t>
  </si>
  <si>
    <t>ACMB-117-V09-MSA</t>
  </si>
  <si>
    <t>ACMB-117-V08-MSB</t>
  </si>
  <si>
    <t>ACMB-117-V09-MSB</t>
  </si>
  <si>
    <t>ACMB-117-R05-BO</t>
  </si>
  <si>
    <t>ACMB-117-RR05-BO</t>
  </si>
  <si>
    <t>ACMB-117-R05-BOA</t>
  </si>
  <si>
    <t>ACMB-117-RR05-BOA</t>
  </si>
  <si>
    <t>ACMB-117-R05-BOB</t>
  </si>
  <si>
    <t>ACMB-117-RR05-BOB</t>
  </si>
  <si>
    <t>ACMB-117-V10-MS</t>
  </si>
  <si>
    <t>ACMB-117-V11-MS</t>
  </si>
  <si>
    <t>ACMB-117-V10-MSA</t>
  </si>
  <si>
    <t>ACMB-117-V11-MSA</t>
  </si>
  <si>
    <t>ACMB-117-V10-MSB</t>
  </si>
  <si>
    <t>ACMB-117-V11-MSB</t>
  </si>
  <si>
    <t>ACMB-117-R06-BO</t>
  </si>
  <si>
    <t>ACMB-117-RR06-BO</t>
  </si>
  <si>
    <t>ACMB-117-R06-BOA</t>
  </si>
  <si>
    <t>ACMB-117-RR06-BOA</t>
  </si>
  <si>
    <t>ACMB-117-R06-BOB</t>
  </si>
  <si>
    <t>ACMB-117-RR06-BOB</t>
  </si>
  <si>
    <t>ACMB-117-V12-MS</t>
  </si>
  <si>
    <t>ACMB-117-V13-MS</t>
  </si>
  <si>
    <t>ACMB-117-V12-MSA</t>
  </si>
  <si>
    <t>ACMB-117-V13-MSA</t>
  </si>
  <si>
    <t>ACMB-117-V12-MSB</t>
  </si>
  <si>
    <t>ACMB-117-V13-MSB</t>
  </si>
  <si>
    <t>ACMB-117-R07-BO</t>
  </si>
  <si>
    <t>ACMB-117-RR07-BO</t>
  </si>
  <si>
    <t>ACMB-117-R07-BOA</t>
  </si>
  <si>
    <t>ACMB-117-RR07-BOA</t>
  </si>
  <si>
    <t>ACMB-117-R07-BOB</t>
  </si>
  <si>
    <t>ACMB-117-RR07-BOB</t>
  </si>
  <si>
    <t>ACMB-117-V14-MS</t>
  </si>
  <si>
    <t>ACMB-117-V15-MS</t>
  </si>
  <si>
    <t>ACMB-117-V14-MSA</t>
  </si>
  <si>
    <t>ACMB-117-V15-MSA</t>
  </si>
  <si>
    <t>ACMB-117-V14-MSB</t>
  </si>
  <si>
    <t>ACMB-117-V15-MSB</t>
  </si>
  <si>
    <t>ACMB-118-R01-BO</t>
  </si>
  <si>
    <t>ACMB-118-RR01-BO</t>
  </si>
  <si>
    <t>ACMB-118-R01-BOA</t>
  </si>
  <si>
    <t>ACMB-118-RR01-BOA</t>
  </si>
  <si>
    <t>ACMB-118-R01-BOB</t>
  </si>
  <si>
    <t>ACMB-118-RR01-BOB</t>
  </si>
  <si>
    <t>ACMB-118-V02-MS</t>
  </si>
  <si>
    <t>ACMB-118-V03-MS</t>
  </si>
  <si>
    <t>ACMB-118-V02-MSA</t>
  </si>
  <si>
    <t>ACMB-118-V03-MSA</t>
  </si>
  <si>
    <t>ACMB-118-V02-MSB</t>
  </si>
  <si>
    <t>ACMB-118-V03-MSB</t>
  </si>
  <si>
    <t>ACMB-118-R02-BO</t>
  </si>
  <si>
    <t>ACMB-118-RR02-BO</t>
  </si>
  <si>
    <t>ACMB-118-R02-BOA</t>
  </si>
  <si>
    <t>ACMB-118-RR02-BOA</t>
  </si>
  <si>
    <t>ACMB-118-R02-BOB</t>
  </si>
  <si>
    <t>ACMB-118-RR02-BOB</t>
  </si>
  <si>
    <t>ACMB-118-V04-MS</t>
  </si>
  <si>
    <t>ACMB-118-V05-MS</t>
  </si>
  <si>
    <t>ACMB-118-V04-MSA</t>
  </si>
  <si>
    <t>ACMB-118-V05-MSA</t>
  </si>
  <si>
    <t>ACMB-118-V04-MSB</t>
  </si>
  <si>
    <t>ACMB-118-V05-MSB</t>
  </si>
  <si>
    <t>ACMB-118-R03-BO</t>
  </si>
  <si>
    <t>ACMB-118-RR03-BO</t>
  </si>
  <si>
    <t>ACMB-118-R03-BOA</t>
  </si>
  <si>
    <t>ACMB-118-RR03-BOA</t>
  </si>
  <si>
    <t>ACMB-118-R03-BOB</t>
  </si>
  <si>
    <t>ACMB-118-RR03-BOB</t>
  </si>
  <si>
    <t>ACMB-118-V06-MS</t>
  </si>
  <si>
    <t>ACMB-118-V07-MS</t>
  </si>
  <si>
    <t>ACMB-118-V06-MSA</t>
  </si>
  <si>
    <t>ACMB-118-V07-MSA</t>
  </si>
  <si>
    <t>ACMB-118-V06-MSB</t>
  </si>
  <si>
    <t>ACMB-118-V07-MSB</t>
  </si>
  <si>
    <t>ACMB-118-R04-BO</t>
  </si>
  <si>
    <t>ACMB-118-RR04-BO</t>
  </si>
  <si>
    <t>ACMB-118-R04-BOA</t>
  </si>
  <si>
    <t>ACMB-118-RR04-BOA</t>
  </si>
  <si>
    <t>ACMB-118-R04-BOB</t>
  </si>
  <si>
    <t>ACMB-118-RR04-BOB</t>
  </si>
  <si>
    <t>ACMB-118-V08-MS</t>
  </si>
  <si>
    <t>ACMB-118-V09-MS</t>
  </si>
  <si>
    <t>ACMB-118-V08-MSA</t>
  </si>
  <si>
    <t>ACMB-118-V09-MSA</t>
  </si>
  <si>
    <t>ACMB-118-V08-MSB</t>
  </si>
  <si>
    <t>ACMB-118-V09-MSB</t>
  </si>
  <si>
    <t>ACMB-118-R05-BO</t>
  </si>
  <si>
    <t>ACMB-118-RR05-BO</t>
  </si>
  <si>
    <t>ACMB-118-R05-BOA</t>
  </si>
  <si>
    <t>ACMB-118-RR05-BOA</t>
  </si>
  <si>
    <t>ACMB-118-R05-BOB</t>
  </si>
  <si>
    <t>ACMB-118-RR05-BOB</t>
  </si>
  <si>
    <t>ACMB-118-V10-MS</t>
  </si>
  <si>
    <t>ACMB-118-V11-MS</t>
  </si>
  <si>
    <t>ACMB-118-V10-MSA</t>
  </si>
  <si>
    <t>ACMB-118-V11-MSA</t>
  </si>
  <si>
    <t>ACMB-118-V10-MSB</t>
  </si>
  <si>
    <t>ACMB-118-V11-MSB</t>
  </si>
  <si>
    <t>ACMB-118-R06-BO</t>
  </si>
  <si>
    <t>ACMB-118-RR06-BO</t>
  </si>
  <si>
    <t>ACMB-118-R06-BOA</t>
  </si>
  <si>
    <t>ACMB-118-RR06-BOA</t>
  </si>
  <si>
    <t>ACMB-118-R06-BOB</t>
  </si>
  <si>
    <t>ACMB-118-RR06-BOB</t>
  </si>
  <si>
    <t>ACMB-118-V12-MS</t>
  </si>
  <si>
    <t>ACMB-118-V13-MS</t>
  </si>
  <si>
    <t>ACMB-118-V12-MSA</t>
  </si>
  <si>
    <t>ACMB-118-V13-MSA</t>
  </si>
  <si>
    <t>ACMB-118-V12-MSB</t>
  </si>
  <si>
    <t>ACMB-118-V13-MSB</t>
  </si>
  <si>
    <t>ACMB-118-R07-BO</t>
  </si>
  <si>
    <t>ACMB-118-RR07-BO</t>
  </si>
  <si>
    <t>ACMB-118-R07-BOA</t>
  </si>
  <si>
    <t>ACMB-118-RR07-BOA</t>
  </si>
  <si>
    <t>ACMB-118-R07-BOB</t>
  </si>
  <si>
    <t>ACMB-118-RR07-BOB</t>
  </si>
  <si>
    <t>ACMB-118-V14-MS</t>
  </si>
  <si>
    <t>ACMB-118-V15-MS</t>
  </si>
  <si>
    <t>ACMB-118-V14-MSA</t>
  </si>
  <si>
    <t>ACMB-118-V15-MSA</t>
  </si>
  <si>
    <t>ACMB-118-V14-MSB</t>
  </si>
  <si>
    <t>ACMB-118-V15-MSB</t>
  </si>
  <si>
    <t>ACMB-119-R01-BO</t>
  </si>
  <si>
    <t>ACMB-119-RR01-BO</t>
  </si>
  <si>
    <t>ACMB-119-R01-BOA</t>
  </si>
  <si>
    <t>ACMB-119-RR01-BOA</t>
  </si>
  <si>
    <t>ACMB-119-R01-BOB</t>
  </si>
  <si>
    <t>ACMB-119-RR01-BOB</t>
  </si>
  <si>
    <t>ACMB-119-V02-MS</t>
  </si>
  <si>
    <t>ACMB-119-V03-MS</t>
  </si>
  <si>
    <t>ACMB-119-V02-MSA</t>
  </si>
  <si>
    <t>ACMB-119-V03-MSA</t>
  </si>
  <si>
    <t>ACMB-119-V02-MSB</t>
  </si>
  <si>
    <t>ACMB-119-V03-MSB</t>
  </si>
  <si>
    <t>ACMB-119-R02-BO</t>
  </si>
  <si>
    <t>ACMB-119-RR02-BO</t>
  </si>
  <si>
    <t>ACMB-119-R02-BOA</t>
  </si>
  <si>
    <t>ACMB-119-RR02-BOA</t>
  </si>
  <si>
    <t>ACMB-119-R02-BOB</t>
  </si>
  <si>
    <t>ACMB-119-RR02-BOB</t>
  </si>
  <si>
    <t>ACMB-119-V04-MS</t>
  </si>
  <si>
    <t>ACMB-119-V05-MS</t>
  </si>
  <si>
    <t>ACMB-119-V04-MSA</t>
  </si>
  <si>
    <t>ACMB-119-V05-MSA</t>
  </si>
  <si>
    <t>ACMB-119-V04-MSB</t>
  </si>
  <si>
    <t>ACMB-119-V05-MSB</t>
  </si>
  <si>
    <t>ACMB-119-R03-BO</t>
  </si>
  <si>
    <t>ACMB-119-RR03-BO</t>
  </si>
  <si>
    <t>ACMB-119-R03-BOA</t>
  </si>
  <si>
    <t>ACMB-119-RR03-BOA</t>
  </si>
  <si>
    <t>ACMB-119-R03-BOB</t>
  </si>
  <si>
    <t>ACMB-119-RR03-BOB</t>
  </si>
  <si>
    <t>ACMB-119-V06-MS</t>
  </si>
  <si>
    <t>ACMB-119-V07-MS</t>
  </si>
  <si>
    <t>ACMB-119-V06-MSA</t>
  </si>
  <si>
    <t>ACMB-119-V07-MSA</t>
  </si>
  <si>
    <t>ACMB-119-V06-MSB</t>
  </si>
  <si>
    <t>ACMB-119-V07-MSB</t>
  </si>
  <si>
    <t>ACMB-119-R04-BO</t>
  </si>
  <si>
    <t>ACMB-119-RR04-BO</t>
  </si>
  <si>
    <t>ACMB-119-R04-BOA</t>
  </si>
  <si>
    <t>ACMB-119-RR04-BOA</t>
  </si>
  <si>
    <t>ACMB-119-R04-BOB</t>
  </si>
  <si>
    <t>ACMB-119-RR04-BOB</t>
  </si>
  <si>
    <t>ACMB-119-V08-MS</t>
  </si>
  <si>
    <t>ACMB-119-V09-MS</t>
  </si>
  <si>
    <t>ACMB-119-V08-MSA</t>
  </si>
  <si>
    <t>ACMB-119-V09-MSA</t>
  </si>
  <si>
    <t>ACMB-119-V08-MSB</t>
  </si>
  <si>
    <t>ACMB-119-V09-MSB</t>
  </si>
  <si>
    <t>ACMB-119-R05-BO</t>
  </si>
  <si>
    <t>ACMB-119-RR05-BO</t>
  </si>
  <si>
    <t>ACMB-119-R05-BOA</t>
  </si>
  <si>
    <t>ACMB-119-RR05-BOA</t>
  </si>
  <si>
    <t>ACMB-119-R05-BOB</t>
  </si>
  <si>
    <t>ACMB-119-RR05-BOB</t>
  </si>
  <si>
    <t>ACMB-119-V10-MS</t>
  </si>
  <si>
    <t>ACMB-119-V11-MS</t>
  </si>
  <si>
    <t>ACMB-119-V10-MSA</t>
  </si>
  <si>
    <t>ACMB-119-V11-MSA</t>
  </si>
  <si>
    <t>ACMB-119-V10-MSB</t>
  </si>
  <si>
    <t>ACMB-119-V11-MSB</t>
  </si>
  <si>
    <t>ACMB-119-R06-BO</t>
  </si>
  <si>
    <t>ACMB-119-RR06-BO</t>
  </si>
  <si>
    <t>ACMB-119-R06-BOA</t>
  </si>
  <si>
    <t>ACMB-119-RR06-BOA</t>
  </si>
  <si>
    <t>ACMB-119-R06-BOB</t>
  </si>
  <si>
    <t>ACMB-119-RR06-BOB</t>
  </si>
  <si>
    <t>ACMB-119-V12-MS</t>
  </si>
  <si>
    <t>ACMB-119-V13-MS</t>
  </si>
  <si>
    <t>ACMB-119-V12-MSA</t>
  </si>
  <si>
    <t>ACMB-119-V13-MSA</t>
  </si>
  <si>
    <t>ACMB-119-V12-MSB</t>
  </si>
  <si>
    <t>ACMB-119-V13-MSB</t>
  </si>
  <si>
    <t>ACMB-119-R07-BO</t>
  </si>
  <si>
    <t>ACMB-119-RR07-BO</t>
  </si>
  <si>
    <t>ACMB-119-R07-BOA</t>
  </si>
  <si>
    <t>ACMB-119-RR07-BOA</t>
  </si>
  <si>
    <t>ACMB-119-R07-BOB</t>
  </si>
  <si>
    <t>ACMB-119-RR07-BOB</t>
  </si>
  <si>
    <t>ACMB-119-V14-MS</t>
  </si>
  <si>
    <t>ACMB-119-V15-MS</t>
  </si>
  <si>
    <t>ACMB-119-V14-MSA</t>
  </si>
  <si>
    <t>ACMB-119-V15-MSA</t>
  </si>
  <si>
    <t>ACMB-119-V14-MSB</t>
  </si>
  <si>
    <t>ACMB-119-V15-MSB</t>
  </si>
  <si>
    <t>ACMB-120-R01-BO</t>
  </si>
  <si>
    <t>ACMB-120-RR01-BO</t>
  </si>
  <si>
    <t>ACMB-120-R01-BOA</t>
  </si>
  <si>
    <t>ACMB-120-RR01-BOA</t>
  </si>
  <si>
    <t>ACMB-120-R01-BOB</t>
  </si>
  <si>
    <t>ACMB-120-RR01-BOB</t>
  </si>
  <si>
    <t>ACMB-120-V02-MS</t>
  </si>
  <si>
    <t>ACMB-120-V03-MS</t>
  </si>
  <si>
    <t>ACMB-120-V02-MSA</t>
  </si>
  <si>
    <t>ACMB-120-V03-MSA</t>
  </si>
  <si>
    <t>ACMB-120-V02-MSB</t>
  </si>
  <si>
    <t>ACMB-120-V03-MSB</t>
  </si>
  <si>
    <t>ACMB-120-R02-BO</t>
  </si>
  <si>
    <t>ACMB-120-RR02-BO</t>
  </si>
  <si>
    <t>ACMB-120-R02-BOA</t>
  </si>
  <si>
    <t>ACMB-120-RR02-BOA</t>
  </si>
  <si>
    <t>ACMB-120-R02-BOB</t>
  </si>
  <si>
    <t>ACMB-120-RR02-BOB</t>
  </si>
  <si>
    <t>ACMB-120-V04-MS</t>
  </si>
  <si>
    <t>ACMB-120-V05-MS</t>
  </si>
  <si>
    <t>ACMB-120-V04-MSA</t>
  </si>
  <si>
    <t>ACMB-120-V05-MSA</t>
  </si>
  <si>
    <t>ACMB-120-V04-MSB</t>
  </si>
  <si>
    <t>ACMB-120-V05-MSB</t>
  </si>
  <si>
    <t>ACMB-120-R03-BO</t>
  </si>
  <si>
    <t>ACMB-120-RR03-BO</t>
  </si>
  <si>
    <t>ACMB-120-R03-BOA</t>
  </si>
  <si>
    <t>ACMB-120-RR03-BOA</t>
  </si>
  <si>
    <t>ACMB-120-R03-BOB</t>
  </si>
  <si>
    <t>ACMB-120-RR03-BOB</t>
  </si>
  <si>
    <t>ACMB-120-V06-MS</t>
  </si>
  <si>
    <t>ACMB-120-V07-MS</t>
  </si>
  <si>
    <t>ACMB-120-V06-MSA</t>
  </si>
  <si>
    <t>ACMB-120-V07-MSA</t>
  </si>
  <si>
    <t>ACMB-120-V06-MSB</t>
  </si>
  <si>
    <t>ACMB-120-V07-MSB</t>
  </si>
  <si>
    <t>ACMB-120-R04-BO</t>
  </si>
  <si>
    <t>ACMB-120-RR04-BO</t>
  </si>
  <si>
    <t>ACMB-120-R04-BOA</t>
  </si>
  <si>
    <t>ACMB-120-RR04-BOA</t>
  </si>
  <si>
    <t>ACMB-120-R04-BOB</t>
  </si>
  <si>
    <t>ACMB-120-RR04-BOB</t>
  </si>
  <si>
    <t>ACMB-120-V08-MS</t>
  </si>
  <si>
    <t>ACMB-120-V09-MS</t>
  </si>
  <si>
    <t>ACMB-120-V08-MSA</t>
  </si>
  <si>
    <t>ACMB-120-V09-MSA</t>
  </si>
  <si>
    <t>ACMB-120-V08-MSB</t>
  </si>
  <si>
    <t>ACMB-120-V09-MSB</t>
  </si>
  <si>
    <t>ACMB-120-R05-BO</t>
  </si>
  <si>
    <t>ACMB-120-RR05-BO</t>
  </si>
  <si>
    <t>ACMB-120-R05-BOA</t>
  </si>
  <si>
    <t>ACMB-120-RR05-BOA</t>
  </si>
  <si>
    <t>ACMB-120-R05-BOB</t>
  </si>
  <si>
    <t>ACMB-120-RR05-BOB</t>
  </si>
  <si>
    <t>ACMB-120-V10-MS</t>
  </si>
  <si>
    <t>ACMB-120-V11-MS</t>
  </si>
  <si>
    <t>ACMB-120-V10-MSA</t>
  </si>
  <si>
    <t>ACMB-120-V11-MSA</t>
  </si>
  <si>
    <t>ACMB-120-V10-MSB</t>
  </si>
  <si>
    <t>ACMB-120-V11-MSB</t>
  </si>
  <si>
    <t>ACMB-120-R06-BO</t>
  </si>
  <si>
    <t>ACMB-120-RR06-BO</t>
  </si>
  <si>
    <t>ACMB-120-R06-BOA</t>
  </si>
  <si>
    <t>ACMB-120-RR06-BOA</t>
  </si>
  <si>
    <t>ACMB-120-R06-BOB</t>
  </si>
  <si>
    <t>ACMB-120-RR06-BOB</t>
  </si>
  <si>
    <t>ACMB-120-V12-MS</t>
  </si>
  <si>
    <t>ACMB-120-V13-MS</t>
  </si>
  <si>
    <t>ACMB-120-V12-MSA</t>
  </si>
  <si>
    <t>ACMB-120-V13-MSA</t>
  </si>
  <si>
    <t>ACMB-120-V12-MSB</t>
  </si>
  <si>
    <t>ACMB-120-V13-MSB</t>
  </si>
  <si>
    <t>ACMB-120-R07-BO</t>
  </si>
  <si>
    <t>ACMB-120-RR07-BO</t>
  </si>
  <si>
    <t>ACMB-120-R07-BOA</t>
  </si>
  <si>
    <t>ACMB-120-RR07-BOA</t>
  </si>
  <si>
    <t>ACMB-120-R07-BOB</t>
  </si>
  <si>
    <t>ACMB-120-RR07-BOB</t>
  </si>
  <si>
    <t>ACMB-120-V14-MS</t>
  </si>
  <si>
    <t>ACMB-120-V15-MS</t>
  </si>
  <si>
    <t>ACMB-120-V14-MSA</t>
  </si>
  <si>
    <t>ACMB-120-V15-MSA</t>
  </si>
  <si>
    <t>ACMB-120-V14-MSB</t>
  </si>
  <si>
    <t>ACMB-120-V15-MSB</t>
  </si>
  <si>
    <t>ACMB-121-R01-BO</t>
  </si>
  <si>
    <t>ACMB-121-RR01-BO</t>
  </si>
  <si>
    <t>ACMB-121-R01-BOA</t>
  </si>
  <si>
    <t>ACMB-121-RR01-BOA</t>
  </si>
  <si>
    <t>ACMB-121-R01-BOB</t>
  </si>
  <si>
    <t>ACMB-121-RR01-BOB</t>
  </si>
  <si>
    <t>ACMB-121-V02-MS</t>
  </si>
  <si>
    <t>ACMB-121-V03-MS</t>
  </si>
  <si>
    <t>ACMB-121-V02-MSA</t>
  </si>
  <si>
    <t>ACMB-121-V03-MSA</t>
  </si>
  <si>
    <t>ACMB-121-V02-MSB</t>
  </si>
  <si>
    <t>ACMB-121-V03-MSB</t>
  </si>
  <si>
    <t>ACMB-121-R02-BO</t>
  </si>
  <si>
    <t>ACMB-121-RR02-BO</t>
  </si>
  <si>
    <t>ACMB-121-R02-BOA</t>
  </si>
  <si>
    <t>ACMB-121-RR02-BOA</t>
  </si>
  <si>
    <t>ACMB-121-R02-BOB</t>
  </si>
  <si>
    <t>ACMB-121-RR02-BOB</t>
  </si>
  <si>
    <t>ACMB-121-V04-MS</t>
  </si>
  <si>
    <t>ACMB-121-V05-MS</t>
  </si>
  <si>
    <t>ACMB-121-V04-MSA</t>
  </si>
  <si>
    <t>ACMB-121-V05-MSA</t>
  </si>
  <si>
    <t>ACMB-121-V04-MSB</t>
  </si>
  <si>
    <t>ACMB-121-V05-MSB</t>
  </si>
  <si>
    <t>ACMB-121-R03-BO</t>
  </si>
  <si>
    <t>ACMB-121-RR03-BO</t>
  </si>
  <si>
    <t>ACMB-121-R03-BOA</t>
  </si>
  <si>
    <t>ACMB-121-RR03-BOA</t>
  </si>
  <si>
    <t>ACMB-121-R03-BOB</t>
  </si>
  <si>
    <t>ACMB-121-RR03-BOB</t>
  </si>
  <si>
    <t>ACMB-121-V06-MS</t>
  </si>
  <si>
    <t>ACMB-121-V07-MS</t>
  </si>
  <si>
    <t>ACMB-121-V06-MSA</t>
  </si>
  <si>
    <t>ACMB-121-V07-MSA</t>
  </si>
  <si>
    <t>ACMB-121-V06-MSB</t>
  </si>
  <si>
    <t>ACMB-121-V07-MSB</t>
  </si>
  <si>
    <t>ACMB-121-R04-BO</t>
  </si>
  <si>
    <t>ACMB-121-RR04-BO</t>
  </si>
  <si>
    <t>ACMB-121-R04-BOA</t>
  </si>
  <si>
    <t>ACMB-121-RR04-BOA</t>
  </si>
  <si>
    <t>ACMB-121-R04-BOB</t>
  </si>
  <si>
    <t>ACMB-121-RR04-BOB</t>
  </si>
  <si>
    <t>ACMB-121-V08-MS</t>
  </si>
  <si>
    <t>ACMB-121-V09-MS</t>
  </si>
  <si>
    <t>ACMB-121-V08-MSA</t>
  </si>
  <si>
    <t>ACMB-121-V09-MSA</t>
  </si>
  <si>
    <t>ACMB-121-V08-MSB</t>
  </si>
  <si>
    <t>ACMB-121-V09-MSB</t>
  </si>
  <si>
    <t>ACMB-121-R05-BO</t>
  </si>
  <si>
    <t>ACMB-121-RR05-BO</t>
  </si>
  <si>
    <t>ACMB-121-R05-BOA</t>
  </si>
  <si>
    <t>ACMB-121-RR05-BOA</t>
  </si>
  <si>
    <t>ACMB-121-R05-BOB</t>
  </si>
  <si>
    <t>ACMB-121-RR05-BOB</t>
  </si>
  <si>
    <t>ACMB-121-V10-MS</t>
  </si>
  <si>
    <t>ACMB-121-V11-MS</t>
  </si>
  <si>
    <t>ACMB-121-V10-MSA</t>
  </si>
  <si>
    <t>ACMB-121-V11-MSA</t>
  </si>
  <si>
    <t>ACMB-121-V10-MSB</t>
  </si>
  <si>
    <t>ACMB-121-V11-MSB</t>
  </si>
  <si>
    <t>ACMB-121-R06-BO</t>
  </si>
  <si>
    <t>ACMB-121-RR06-BO</t>
  </si>
  <si>
    <t>ACMB-121-R06-BOA</t>
  </si>
  <si>
    <t>ACMB-121-RR06-BOA</t>
  </si>
  <si>
    <t>ACMB-121-R06-BOB</t>
  </si>
  <si>
    <t>ACMB-121-RR06-BOB</t>
  </si>
  <si>
    <t>ACMB-121-V12-MS</t>
  </si>
  <si>
    <t>ACMB-121-V13-MS</t>
  </si>
  <si>
    <t>ACMB-121-V12-MSA</t>
  </si>
  <si>
    <t>ACMB-121-V13-MSA</t>
  </si>
  <si>
    <t>ACMB-121-V12-MSB</t>
  </si>
  <si>
    <t>ACMB-121-V13-MSB</t>
  </si>
  <si>
    <t>ACMB-121-R07-BO</t>
  </si>
  <si>
    <t>ACMB-121-RR07-BO</t>
  </si>
  <si>
    <t>ACMB-121-R07-BOA</t>
  </si>
  <si>
    <t>ACMB-121-RR07-BOA</t>
  </si>
  <si>
    <t>ACMB-121-R07-BOB</t>
  </si>
  <si>
    <t>ACMB-121-RR07-BOB</t>
  </si>
  <si>
    <t>ACMB-121-V14-MS</t>
  </si>
  <si>
    <t>ACMB-121-V15-MS</t>
  </si>
  <si>
    <t>ACMB-121-V14-MSA</t>
  </si>
  <si>
    <t>ACMB-121-V15-MSA</t>
  </si>
  <si>
    <t>ACMB-121-V14-MSB</t>
  </si>
  <si>
    <t>ACMB-121-V15-MSB</t>
  </si>
  <si>
    <t>ACMB-122-R01-BO</t>
  </si>
  <si>
    <t>ACMB-122-RR01-BO</t>
  </si>
  <si>
    <t>ACMB-122-R01-BOA</t>
  </si>
  <si>
    <t>ACMB-122-RR01-BOA</t>
  </si>
  <si>
    <t>ACMB-122-R01-BOB</t>
  </si>
  <si>
    <t>ACMB-122-RR01-BOB</t>
  </si>
  <si>
    <t>ACMB-122-V02-MS</t>
  </si>
  <si>
    <t>ACMB-122-V03-MS</t>
  </si>
  <si>
    <t>ACMB-122-V02-MSA</t>
  </si>
  <si>
    <t>ACMB-122-V03-MSA</t>
  </si>
  <si>
    <t>ACMB-122-V02-MSB</t>
  </si>
  <si>
    <t>ACMB-122-V03-MSB</t>
  </si>
  <si>
    <t>ACMB-122-R02-BO</t>
  </si>
  <si>
    <t>ACMB-122-RR02-BO</t>
  </si>
  <si>
    <t>ACMB-122-R02-BOA</t>
  </si>
  <si>
    <t>ACMB-122-RR02-BOA</t>
  </si>
  <si>
    <t>ACMB-122-R02-BOB</t>
  </si>
  <si>
    <t>ACMB-122-RR02-BOB</t>
  </si>
  <si>
    <t>ACMB-122-V04-MS</t>
  </si>
  <si>
    <t>ACMB-122-V05-MS</t>
  </si>
  <si>
    <t>ACMB-122-V04-MSA</t>
  </si>
  <si>
    <t>ACMB-122-V05-MSA</t>
  </si>
  <si>
    <t>ACMB-122-V04-MSB</t>
  </si>
  <si>
    <t>ACMB-122-V05-MSB</t>
  </si>
  <si>
    <t>ACMB-122-R03-BO</t>
  </si>
  <si>
    <t>ACMB-122-RR03-BO</t>
  </si>
  <si>
    <t>ACMB-122-R03-BOA</t>
  </si>
  <si>
    <t>ACMB-122-RR03-BOA</t>
  </si>
  <si>
    <t>ACMB-122-R03-BOB</t>
  </si>
  <si>
    <t>ACMB-122-RR03-BOB</t>
  </si>
  <si>
    <t>ACMB-122-V06-MS</t>
  </si>
  <si>
    <t>ACMB-122-V07-MS</t>
  </si>
  <si>
    <t>ACMB-122-V06-MSA</t>
  </si>
  <si>
    <t>ACMB-122-V07-MSA</t>
  </si>
  <si>
    <t>ACMB-122-V06-MSB</t>
  </si>
  <si>
    <t>ACMB-122-V07-MSB</t>
  </si>
  <si>
    <t>ACMB-122-R04-BO</t>
  </si>
  <si>
    <t>ACMB-122-RR04-BO</t>
  </si>
  <si>
    <t>ACMB-122-R04-BOA</t>
  </si>
  <si>
    <t>ACMB-122-RR04-BOA</t>
  </si>
  <si>
    <t>ACMB-122-R04-BOB</t>
  </si>
  <si>
    <t>ACMB-122-RR04-BOB</t>
  </si>
  <si>
    <t>ACMB-122-V08-MS</t>
  </si>
  <si>
    <t>ACMB-122-V09-MS</t>
  </si>
  <si>
    <t>ACMB-122-V08-MSA</t>
  </si>
  <si>
    <t>ACMB-122-V09-MSA</t>
  </si>
  <si>
    <t>ACMB-122-V08-MSB</t>
  </si>
  <si>
    <t>ACMB-122-V09-MSB</t>
  </si>
  <si>
    <t>ACMB-122-R05-BO</t>
  </si>
  <si>
    <t>ACMB-122-RR05-BO</t>
  </si>
  <si>
    <t>ACMB-122-R05-BOA</t>
  </si>
  <si>
    <t>ACMB-122-RR05-BOA</t>
  </si>
  <si>
    <t>ACMB-122-R05-BOB</t>
  </si>
  <si>
    <t>ACMB-122-RR05-BOB</t>
  </si>
  <si>
    <t>ACMB-122-V10-MS</t>
  </si>
  <si>
    <t>ACMB-122-V11-MS</t>
  </si>
  <si>
    <t>ACMB-122-V10-MSA</t>
  </si>
  <si>
    <t>ACMB-122-V11-MSA</t>
  </si>
  <si>
    <t>ACMB-122-V10-MSB</t>
  </si>
  <si>
    <t>ACMB-122-V11-MSB</t>
  </si>
  <si>
    <t>ACMB-122-R06-BO</t>
  </si>
  <si>
    <t>ACMB-122-RR06-BO</t>
  </si>
  <si>
    <t>ACMB-122-R06-BOA</t>
  </si>
  <si>
    <t>ACMB-122-RR06-BOA</t>
  </si>
  <si>
    <t>ACMB-122-R06-BOB</t>
  </si>
  <si>
    <t>ACMB-122-RR06-BOB</t>
  </si>
  <si>
    <t>ACMB-122-V12-MS</t>
  </si>
  <si>
    <t>ACMB-122-V13-MS</t>
  </si>
  <si>
    <t>ACMB-122-V12-MSA</t>
  </si>
  <si>
    <t>ACMB-122-V13-MSA</t>
  </si>
  <si>
    <t>ACMB-122-V12-MSB</t>
  </si>
  <si>
    <t>ACMB-122-V13-MSB</t>
  </si>
  <si>
    <t>ACMB-122-R07-BO</t>
  </si>
  <si>
    <t>ACMB-122-RR07-BO</t>
  </si>
  <si>
    <t>ACMB-122-R07-BOA</t>
  </si>
  <si>
    <t>ACMB-122-RR07-BOA</t>
  </si>
  <si>
    <t>ACMB-122-R07-BOB</t>
  </si>
  <si>
    <t>ACMB-122-RR07-BOB</t>
  </si>
  <si>
    <t>ACMB-122-V14-MS</t>
  </si>
  <si>
    <t>ACMB-122-V15-MS</t>
  </si>
  <si>
    <t>ACMB-122-V14-MSA</t>
  </si>
  <si>
    <t>ACMB-122-V15-MSA</t>
  </si>
  <si>
    <t>ACMB-122-V14-MSB</t>
  </si>
  <si>
    <t>ACMB-122-V15-MSB</t>
  </si>
  <si>
    <t>ACMB-123-R01-BO</t>
  </si>
  <si>
    <t>ACMB-123-RR01-BO</t>
  </si>
  <si>
    <t>ACMB-123-R01-BOA</t>
  </si>
  <si>
    <t>ACMB-123-RR01-BOA</t>
  </si>
  <si>
    <t>ACMB-123-R01-BOB</t>
  </si>
  <si>
    <t>ACMB-123-RR01-BOB</t>
  </si>
  <si>
    <t>ACMB-123-V02-MS</t>
  </si>
  <si>
    <t>ACMB-123-V03-MS</t>
  </si>
  <si>
    <t>ACMB-123-V02-MSA</t>
  </si>
  <si>
    <t>ACMB-123-V03-MSA</t>
  </si>
  <si>
    <t>ACMB-123-V02-MSB</t>
  </si>
  <si>
    <t>ACMB-123-V03-MSB</t>
  </si>
  <si>
    <t>ACMB-123-R02-BO</t>
  </si>
  <si>
    <t>ACMB-123-RR02-BO</t>
  </si>
  <si>
    <t>ACMB-123-R02-BOA</t>
  </si>
  <si>
    <t>ACMB-123-RR02-BOA</t>
  </si>
  <si>
    <t>ACMB-123-R02-BOB</t>
  </si>
  <si>
    <t>ACMB-123-RR02-BOB</t>
  </si>
  <si>
    <t>ACMB-123-V04-MS</t>
  </si>
  <si>
    <t>ACMB-123-V05-MS</t>
  </si>
  <si>
    <t>ACMB-123-V04-MSA</t>
  </si>
  <si>
    <t>ACMB-123-V05-MSA</t>
  </si>
  <si>
    <t>ACMB-123-V04-MSB</t>
  </si>
  <si>
    <t>ACMB-123-V05-MSB</t>
  </si>
  <si>
    <t>ACMB-123-R03-BO</t>
  </si>
  <si>
    <t>ACMB-123-RR03-BO</t>
  </si>
  <si>
    <t>ACMB-123-R03-BOA</t>
  </si>
  <si>
    <t>ACMB-123-RR03-BOA</t>
  </si>
  <si>
    <t>ACMB-123-R03-BOB</t>
  </si>
  <si>
    <t>ACMB-123-RR03-BOB</t>
  </si>
  <si>
    <t>ACMB-123-V06-MS</t>
  </si>
  <si>
    <t>ACMB-123-V07-MS</t>
  </si>
  <si>
    <t>ACMB-123-V06-MSA</t>
  </si>
  <si>
    <t>ACMB-123-V07-MSA</t>
  </si>
  <si>
    <t>ACMB-123-V06-MSB</t>
  </si>
  <si>
    <t>ACMB-123-V07-MSB</t>
  </si>
  <si>
    <t>ACMB-123-R04-BO</t>
  </si>
  <si>
    <t>ACMB-123-RR04-BO</t>
  </si>
  <si>
    <t>ACMB-123-R04-BOA</t>
  </si>
  <si>
    <t>ACMB-123-RR04-BOA</t>
  </si>
  <si>
    <t>ACMB-123-R04-BOB</t>
  </si>
  <si>
    <t>ACMB-123-RR04-BOB</t>
  </si>
  <si>
    <t>ACMB-123-V08-MS</t>
  </si>
  <si>
    <t>ACMB-123-V09-MS</t>
  </si>
  <si>
    <t>ACMB-123-V08-MSA</t>
  </si>
  <si>
    <t>ACMB-123-V09-MSA</t>
  </si>
  <si>
    <t>ACMB-123-V08-MSB</t>
  </si>
  <si>
    <t>ACMB-123-V09-MSB</t>
  </si>
  <si>
    <t>ACMB-123-R05-BO</t>
  </si>
  <si>
    <t>ACMB-123-RR05-BO</t>
  </si>
  <si>
    <t>ACMB-123-R05-BOA</t>
  </si>
  <si>
    <t>ACMB-123-RR05-BOA</t>
  </si>
  <si>
    <t>ACMB-123-R05-BOB</t>
  </si>
  <si>
    <t>ACMB-123-RR05-BOB</t>
  </si>
  <si>
    <t>ACMB-123-V10-MS</t>
  </si>
  <si>
    <t>ACMB-123-V11-MS</t>
  </si>
  <si>
    <t>ACMB-123-V10-MSA</t>
  </si>
  <si>
    <t>ACMB-123-V11-MSA</t>
  </si>
  <si>
    <t>ACMB-123-V10-MSB</t>
  </si>
  <si>
    <t>ACMB-123-V11-MSB</t>
  </si>
  <si>
    <t>ACMB-123-R06-BO</t>
  </si>
  <si>
    <t>ACMB-123-RR06-BO</t>
  </si>
  <si>
    <t>ACMB-123-R06-BOA</t>
  </si>
  <si>
    <t>ACMB-123-RR06-BOA</t>
  </si>
  <si>
    <t>ACMB-123-R06-BOB</t>
  </si>
  <si>
    <t>ACMB-123-RR06-BOB</t>
  </si>
  <si>
    <t>ACMB-123-V12-MS</t>
  </si>
  <si>
    <t>ACMB-123-V13-MS</t>
  </si>
  <si>
    <t>ACMB-123-V12-MSA</t>
  </si>
  <si>
    <t>ACMB-123-V13-MSA</t>
  </si>
  <si>
    <t>ACMB-123-V12-MSB</t>
  </si>
  <si>
    <t>ACMB-123-V13-MSB</t>
  </si>
  <si>
    <t>ACMB-123-R07-BO</t>
  </si>
  <si>
    <t>ACMB-123-RR07-BO</t>
  </si>
  <si>
    <t>ACMB-123-R07-BOA</t>
  </si>
  <si>
    <t>ACMB-123-RR07-BOA</t>
  </si>
  <si>
    <t>ACMB-123-R07-BOB</t>
  </si>
  <si>
    <t>ACMB-123-RR07-BOB</t>
  </si>
  <si>
    <t>ACMB-123-V14-MS</t>
  </si>
  <si>
    <t>ACMB-123-V15-MS</t>
  </si>
  <si>
    <t>ACMB-123-V14-MSA</t>
  </si>
  <si>
    <t>ACMB-123-V15-MSA</t>
  </si>
  <si>
    <t>ACMB-123-V14-MSB</t>
  </si>
  <si>
    <t>ACMB-123-V15-MSB</t>
  </si>
  <si>
    <t>ACMB-124-R01-BO</t>
  </si>
  <si>
    <t>ACMB-124-RR01-BO</t>
  </si>
  <si>
    <t>ACMB-124-R01-BOA</t>
  </si>
  <si>
    <t>ACMB-124-RR01-BOA</t>
  </si>
  <si>
    <t>ACMB-124-R01-BOB</t>
  </si>
  <si>
    <t>ACMB-124-RR01-BOB</t>
  </si>
  <si>
    <t>ACMB-124-V02-MS</t>
  </si>
  <si>
    <t>ACMB-124-V03-MS</t>
  </si>
  <si>
    <t>ACMB-124-V02-MSA</t>
  </si>
  <si>
    <t>ACMB-124-V03-MSA</t>
  </si>
  <si>
    <t>ACMB-124-V02-MSB</t>
  </si>
  <si>
    <t>ACMB-124-V03-MSB</t>
  </si>
  <si>
    <t>ACMB-124-R02-BO</t>
  </si>
  <si>
    <t>ACMB-124-RR02-BO</t>
  </si>
  <si>
    <t>ACMB-124-R02-BOA</t>
  </si>
  <si>
    <t>ACMB-124-RR02-BOA</t>
  </si>
  <si>
    <t>ACMB-124-R02-BOB</t>
  </si>
  <si>
    <t>ACMB-124-RR02-BOB</t>
  </si>
  <si>
    <t>ACMB-124-V04-MS</t>
  </si>
  <si>
    <t>ACMB-124-V05-MS</t>
  </si>
  <si>
    <t>ACMB-124-V04-MSA</t>
  </si>
  <si>
    <t>ACMB-124-V05-MSA</t>
  </si>
  <si>
    <t>ACMB-124-V04-MSB</t>
  </si>
  <si>
    <t>ACMB-124-V05-MSB</t>
  </si>
  <si>
    <t>ACMB-124-R03-BO</t>
  </si>
  <si>
    <t>ACMB-124-RR03-BO</t>
  </si>
  <si>
    <t>ACMB-124-R03-BOA</t>
  </si>
  <si>
    <t>ACMB-124-RR03-BOA</t>
  </si>
  <si>
    <t>ACMB-124-R03-BOB</t>
  </si>
  <si>
    <t>ACMB-124-RR03-BOB</t>
  </si>
  <si>
    <t>ACMB-124-V06-MS</t>
  </si>
  <si>
    <t>ACMB-124-V07-MS</t>
  </si>
  <si>
    <t>ACMB-124-V06-MSA</t>
  </si>
  <si>
    <t>ACMB-124-V07-MSA</t>
  </si>
  <si>
    <t>ACMB-124-V06-MSB</t>
  </si>
  <si>
    <t>ACMB-124-V07-MSB</t>
  </si>
  <si>
    <t>ACMB-124-R04-BO</t>
  </si>
  <si>
    <t>ACMB-124-RR04-BO</t>
  </si>
  <si>
    <t>ACMB-124-R04-BOA</t>
  </si>
  <si>
    <t>ACMB-124-RR04-BOA</t>
  </si>
  <si>
    <t>ACMB-124-R04-BOB</t>
  </si>
  <si>
    <t>ACMB-124-RR04-BOB</t>
  </si>
  <si>
    <t>ACMB-124-V08-MS</t>
  </si>
  <si>
    <t>ACMB-124-V09-MS</t>
  </si>
  <si>
    <t>ACMB-124-V08-MSA</t>
  </si>
  <si>
    <t>ACMB-124-V09-MSA</t>
  </si>
  <si>
    <t>ACMB-124-V08-MSB</t>
  </si>
  <si>
    <t>ACMB-124-V09-MSB</t>
  </si>
  <si>
    <t>ACMB-124-R05-BO</t>
  </si>
  <si>
    <t>ACMB-124-RR05-BO</t>
  </si>
  <si>
    <t>ACMB-124-R05-BOA</t>
  </si>
  <si>
    <t>ACMB-124-RR05-BOA</t>
  </si>
  <si>
    <t>ACMB-124-R05-BOB</t>
  </si>
  <si>
    <t>ACMB-124-RR05-BOB</t>
  </si>
  <si>
    <t>ACMB-124-V10-MS</t>
  </si>
  <si>
    <t>ACMB-124-V11-MS</t>
  </si>
  <si>
    <t>ACMB-124-V10-MSA</t>
  </si>
  <si>
    <t>ACMB-124-V11-MSA</t>
  </si>
  <si>
    <t>ACMB-124-V10-MSB</t>
  </si>
  <si>
    <t>ACMB-124-V11-MSB</t>
  </si>
  <si>
    <t>ACMB-124-R06-BO</t>
  </si>
  <si>
    <t>ACMB-124-RR06-BO</t>
  </si>
  <si>
    <t>ACMB-124-R06-BOA</t>
  </si>
  <si>
    <t>ACMB-124-RR06-BOA</t>
  </si>
  <si>
    <t>ACMB-124-R06-BOB</t>
  </si>
  <si>
    <t>ACMB-124-RR06-BOB</t>
  </si>
  <si>
    <t>ACMB-124-V12-MS</t>
  </si>
  <si>
    <t>ACMB-124-V13-MS</t>
  </si>
  <si>
    <t>ACMB-124-V12-MSA</t>
  </si>
  <si>
    <t>ACMB-124-V13-MSA</t>
  </si>
  <si>
    <t>ACMB-124-V12-MSB</t>
  </si>
  <si>
    <t>ACMB-124-V13-MSB</t>
  </si>
  <si>
    <t>ACMB-124-R07-BO</t>
  </si>
  <si>
    <t>ACMB-124-RR07-BO</t>
  </si>
  <si>
    <t>ACMB-124-R07-BOA</t>
  </si>
  <si>
    <t>ACMB-124-RR07-BOA</t>
  </si>
  <si>
    <t>ACMB-124-R07-BOB</t>
  </si>
  <si>
    <t>ACMB-124-RR07-BOB</t>
  </si>
  <si>
    <t>ACMB-124-V14-MS</t>
  </si>
  <si>
    <t>ACMB-124-V15-MS</t>
  </si>
  <si>
    <t>ACMB-124-V14-MSA</t>
  </si>
  <si>
    <t>ACMB-124-V15-MSA</t>
  </si>
  <si>
    <t>ACMB-124-V14-MSB</t>
  </si>
  <si>
    <t>ACMB-124-V15-MSB</t>
  </si>
  <si>
    <t>ACMB-125-R01-BO</t>
  </si>
  <si>
    <t>ACMB-125-RR01-BO</t>
  </si>
  <si>
    <t>ACMB-125-R01-BOA</t>
  </si>
  <si>
    <t>ACMB-125-RR01-BOA</t>
  </si>
  <si>
    <t>ACMB-125-R01-BOB</t>
  </si>
  <si>
    <t>ACMB-125-RR01-BOB</t>
  </si>
  <si>
    <t>ACMB-125-V02-MS</t>
  </si>
  <si>
    <t>ACMB-125-V03-MS</t>
  </si>
  <si>
    <t>ACMB-125-V02-MSA</t>
  </si>
  <si>
    <t>ACMB-125-V03-MSA</t>
  </si>
  <si>
    <t>ACMB-125-V02-MSB</t>
  </si>
  <si>
    <t>ACMB-125-V03-MSB</t>
  </si>
  <si>
    <t>ACMB-125-R02-BO</t>
  </si>
  <si>
    <t>ACMB-125-RR02-BO</t>
  </si>
  <si>
    <t>ACMB-125-R02-BOA</t>
  </si>
  <si>
    <t>ACMB-125-RR02-BOA</t>
  </si>
  <si>
    <t>ACMB-125-R02-BOB</t>
  </si>
  <si>
    <t>ACMB-125-RR02-BOB</t>
  </si>
  <si>
    <t>ACMB-125-V04-MS</t>
  </si>
  <si>
    <t>ACMB-125-V05-MS</t>
  </si>
  <si>
    <t>ACMB-125-V04-MSA</t>
  </si>
  <si>
    <t>ACMB-125-V05-MSA</t>
  </si>
  <si>
    <t>ACMB-125-V04-MSB</t>
  </si>
  <si>
    <t>ACMB-125-V05-MSB</t>
  </si>
  <si>
    <t>ACMB-125-R03-BO</t>
  </si>
  <si>
    <t>ACMB-125-RR03-BO</t>
  </si>
  <si>
    <t>ACMB-125-R03-BOA</t>
  </si>
  <si>
    <t>ACMB-125-RR03-BOA</t>
  </si>
  <si>
    <t>ACMB-125-R03-BOB</t>
  </si>
  <si>
    <t>ACMB-125-RR03-BOB</t>
  </si>
  <si>
    <t>ACMB-125-V06-MS</t>
  </si>
  <si>
    <t>ACMB-125-V07-MS</t>
  </si>
  <si>
    <t>ACMB-125-V06-MSA</t>
  </si>
  <si>
    <t>ACMB-125-V07-MSA</t>
  </si>
  <si>
    <t>ACMB-125-V06-MSB</t>
  </si>
  <si>
    <t>ACMB-125-V07-MSB</t>
  </si>
  <si>
    <t>ACMB-125-R04-BO</t>
  </si>
  <si>
    <t>ACMB-125-RR04-BO</t>
  </si>
  <si>
    <t>ACMB-125-R04-BOA</t>
  </si>
  <si>
    <t>ACMB-125-RR04-BOA</t>
  </si>
  <si>
    <t>ACMB-125-R04-BOB</t>
  </si>
  <si>
    <t>ACMB-125-RR04-BOB</t>
  </si>
  <si>
    <t>ACMB-125-V08-MS</t>
  </si>
  <si>
    <t>ACMB-125-V09-MS</t>
  </si>
  <si>
    <t>ACMB-125-V08-MSA</t>
  </si>
  <si>
    <t>ACMB-125-V09-MSA</t>
  </si>
  <si>
    <t>ACMB-125-V08-MSB</t>
  </si>
  <si>
    <t>ACMB-125-V09-MSB</t>
  </si>
  <si>
    <t>ACMB-125-R05-BO</t>
  </si>
  <si>
    <t>ACMB-125-RR05-BO</t>
  </si>
  <si>
    <t>ACMB-125-R05-BOA</t>
  </si>
  <si>
    <t>ACMB-125-RR05-BOA</t>
  </si>
  <si>
    <t>ACMB-125-R05-BOB</t>
  </si>
  <si>
    <t>ACMB-125-RR05-BOB</t>
  </si>
  <si>
    <t>ACMB-125-V10-MS</t>
  </si>
  <si>
    <t>ACMB-125-V11-MS</t>
  </si>
  <si>
    <t>ACMB-125-V10-MSA</t>
  </si>
  <si>
    <t>ACMB-125-V11-MSA</t>
  </si>
  <si>
    <t>ACMB-125-V10-MSB</t>
  </si>
  <si>
    <t>ACMB-125-V11-MSB</t>
  </si>
  <si>
    <t>ACMB-125-R06-BO</t>
  </si>
  <si>
    <t>ACMB-125-RR06-BO</t>
  </si>
  <si>
    <t>ACMB-125-R06-BOA</t>
  </si>
  <si>
    <t>ACMB-125-RR06-BOA</t>
  </si>
  <si>
    <t>ACMB-125-R06-BOB</t>
  </si>
  <si>
    <t>ACMB-125-RR06-BOB</t>
  </si>
  <si>
    <t>ACMB-125-V12-MS</t>
  </si>
  <si>
    <t>ACMB-125-V13-MS</t>
  </si>
  <si>
    <t>ACMB-125-V12-MSA</t>
  </si>
  <si>
    <t>ACMB-125-V13-MSA</t>
  </si>
  <si>
    <t>ACMB-125-V12-MSB</t>
  </si>
  <si>
    <t>ACMB-125-V13-MSB</t>
  </si>
  <si>
    <t>ACMB-125-R07-BO</t>
  </si>
  <si>
    <t>ACMB-125-RR07-BO</t>
  </si>
  <si>
    <t>ACMB-125-R07-BOA</t>
  </si>
  <si>
    <t>ACMB-125-RR07-BOA</t>
  </si>
  <si>
    <t>ACMB-125-R07-BOB</t>
  </si>
  <si>
    <t>ACMB-125-RR07-BOB</t>
  </si>
  <si>
    <t>ACMB-125-V14-MS</t>
  </si>
  <si>
    <t>ACMB-125-V15-MS</t>
  </si>
  <si>
    <t>ACMB-125-V14-MSA</t>
  </si>
  <si>
    <t>ACMB-125-V15-MSA</t>
  </si>
  <si>
    <t>ACMB-125-V14-MSB</t>
  </si>
  <si>
    <t>ACMB-125-V15-MSB</t>
  </si>
  <si>
    <t>ACMB-126-R01-BO</t>
  </si>
  <si>
    <t>ACMB-126-RR01-BO</t>
  </si>
  <si>
    <t>ACMB-126-R01-BOA</t>
  </si>
  <si>
    <t>ACMB-126-RR01-BOA</t>
  </si>
  <si>
    <t>ACMB-126-R01-BOB</t>
  </si>
  <si>
    <t>ACMB-126-RR01-BOB</t>
  </si>
  <si>
    <t>ACMB-126-V02-MS</t>
  </si>
  <si>
    <t>ACMB-126-V03-MS</t>
  </si>
  <si>
    <t>ACMB-126-V02-MSA</t>
  </si>
  <si>
    <t>ACMB-126-V03-MSA</t>
  </si>
  <si>
    <t>ACMB-126-V02-MSB</t>
  </si>
  <si>
    <t>ACMB-126-V03-MSB</t>
  </si>
  <si>
    <t>ACMB-126-R02-BO</t>
  </si>
  <si>
    <t>ACMB-126-RR02-BO</t>
  </si>
  <si>
    <t>ACMB-126-R02-BOA</t>
  </si>
  <si>
    <t>ACMB-126-RR02-BOA</t>
  </si>
  <si>
    <t>ACMB-126-R02-BOB</t>
  </si>
  <si>
    <t>ACMB-126-RR02-BOB</t>
  </si>
  <si>
    <t>ACMB-126-V04-MS</t>
  </si>
  <si>
    <t>ACMB-126-V05-MS</t>
  </si>
  <si>
    <t>ACMB-126-V04-MSA</t>
  </si>
  <si>
    <t>ACMB-126-V05-MSA</t>
  </si>
  <si>
    <t>ACMB-126-V04-MSB</t>
  </si>
  <si>
    <t>ACMB-126-V05-MSB</t>
  </si>
  <si>
    <t>ACMB-126-R03-BO</t>
  </si>
  <si>
    <t>ACMB-126-RR03-BO</t>
  </si>
  <si>
    <t>ACMB-126-R03-BOA</t>
  </si>
  <si>
    <t>ACMB-126-RR03-BOA</t>
  </si>
  <si>
    <t>ACMB-126-R03-BOB</t>
  </si>
  <si>
    <t>ACMB-126-RR03-BOB</t>
  </si>
  <si>
    <t>ACMB-126-V06-MS</t>
  </si>
  <si>
    <t>ACMB-126-V07-MS</t>
  </si>
  <si>
    <t>ACMB-126-V06-MSA</t>
  </si>
  <si>
    <t>ACMB-126-V07-MSA</t>
  </si>
  <si>
    <t>ACMB-126-V06-MSB</t>
  </si>
  <si>
    <t>ACMB-126-V07-MSB</t>
  </si>
  <si>
    <t>ACMB-126-R04-BO</t>
  </si>
  <si>
    <t>ACMB-126-RR04-BO</t>
  </si>
  <si>
    <t>ACMB-126-R04-BOA</t>
  </si>
  <si>
    <t>ACMB-126-RR04-BOA</t>
  </si>
  <si>
    <t>ACMB-126-R04-BOB</t>
  </si>
  <si>
    <t>ACMB-126-RR04-BOB</t>
  </si>
  <si>
    <t>ACMB-126-V08-MS</t>
  </si>
  <si>
    <t>ACMB-126-V09-MS</t>
  </si>
  <si>
    <t>ACMB-126-V08-MSA</t>
  </si>
  <si>
    <t>ACMB-126-V09-MSA</t>
  </si>
  <si>
    <t>ACMB-126-V08-MSB</t>
  </si>
  <si>
    <t>ACMB-126-V09-MSB</t>
  </si>
  <si>
    <t>ACMB-126-R05-BO</t>
  </si>
  <si>
    <t>ACMB-126-RR05-BO</t>
  </si>
  <si>
    <t>ACMB-126-R05-BOA</t>
  </si>
  <si>
    <t>ACMB-126-RR05-BOA</t>
  </si>
  <si>
    <t>ACMB-126-R05-BOB</t>
  </si>
  <si>
    <t>ACMB-126-RR05-BOB</t>
  </si>
  <si>
    <t>ACMB-126-V10-MS</t>
  </si>
  <si>
    <t>ACMB-126-V11-MS</t>
  </si>
  <si>
    <t>ACMB-126-V10-MSA</t>
  </si>
  <si>
    <t>ACMB-126-V11-MSA</t>
  </si>
  <si>
    <t>ACMB-126-V10-MSB</t>
  </si>
  <si>
    <t>ACMB-126-V11-MSB</t>
  </si>
  <si>
    <t>ACMB-126-R06-BO</t>
  </si>
  <si>
    <t>ACMB-126-RR06-BO</t>
  </si>
  <si>
    <t>ACMB-126-R06-BOA</t>
  </si>
  <si>
    <t>ACMB-126-RR06-BOA</t>
  </si>
  <si>
    <t>ACMB-126-R06-BOB</t>
  </si>
  <si>
    <t>ACMB-126-RR06-BOB</t>
  </si>
  <si>
    <t>ACMB-126-V12-MS</t>
  </si>
  <si>
    <t>ACMB-126-V13-MS</t>
  </si>
  <si>
    <t>ACMB-126-V12-MSA</t>
  </si>
  <si>
    <t>ACMB-126-V13-MSA</t>
  </si>
  <si>
    <t>ACMB-126-V12-MSB</t>
  </si>
  <si>
    <t>ACMB-126-V13-MSB</t>
  </si>
  <si>
    <t>ACMB-126-R07-BO</t>
  </si>
  <si>
    <t>ACMB-126-RR07-BO</t>
  </si>
  <si>
    <t>ACMB-126-R07-BOA</t>
  </si>
  <si>
    <t>ACMB-126-RR07-BOA</t>
  </si>
  <si>
    <t>ACMB-126-R07-BOB</t>
  </si>
  <si>
    <t>ACMB-126-RR07-BOB</t>
  </si>
  <si>
    <t>ACMB-126-V14-MS</t>
  </si>
  <si>
    <t>ACMB-126-V15-MS</t>
  </si>
  <si>
    <t>ACMB-126-V14-MSA</t>
  </si>
  <si>
    <t>ACMB-126-V15-MSA</t>
  </si>
  <si>
    <t>ACMB-126-V14-MSB</t>
  </si>
  <si>
    <t>ACMB-126-V15-MSB</t>
  </si>
  <si>
    <t>ACMB-127-R01-BO</t>
  </si>
  <si>
    <t>ACMB-127-RR01-BO</t>
  </si>
  <si>
    <t>ACMB-127-R01-BOA</t>
  </si>
  <si>
    <t>ACMB-127-RR01-BOA</t>
  </si>
  <si>
    <t>ACMB-127-R01-BOB</t>
  </si>
  <si>
    <t>ACMB-127-RR01-BOB</t>
  </si>
  <si>
    <t>ACMB-127-V02-MS</t>
  </si>
  <si>
    <t>ACMB-127-V03-MS</t>
  </si>
  <si>
    <t>ACMB-127-V02-MSA</t>
  </si>
  <si>
    <t>ACMB-127-V03-MSA</t>
  </si>
  <si>
    <t>ACMB-127-V02-MSB</t>
  </si>
  <si>
    <t>ACMB-127-V03-MSB</t>
  </si>
  <si>
    <t>ACMB-127-R02-BO</t>
  </si>
  <si>
    <t>ACMB-127-RR02-BO</t>
  </si>
  <si>
    <t>ACMB-127-R02-BOA</t>
  </si>
  <si>
    <t>ACMB-127-RR02-BOA</t>
  </si>
  <si>
    <t>ACMB-127-R02-BOB</t>
  </si>
  <si>
    <t>ACMB-127-RR02-BOB</t>
  </si>
  <si>
    <t>ACMB-127-V04-MS</t>
  </si>
  <si>
    <t>ACMB-127-V05-MS</t>
  </si>
  <si>
    <t>ACMB-127-V04-MSA</t>
  </si>
  <si>
    <t>ACMB-127-V05-MSA</t>
  </si>
  <si>
    <t>ACMB-127-V04-MSB</t>
  </si>
  <si>
    <t>ACMB-127-V05-MSB</t>
  </si>
  <si>
    <t>ACMB-127-R03-BO</t>
  </si>
  <si>
    <t>ACMB-127-RR03-BO</t>
  </si>
  <si>
    <t>ACMB-127-R03-BOA</t>
  </si>
  <si>
    <t>ACMB-127-RR03-BOA</t>
  </si>
  <si>
    <t>ACMB-127-R03-BOB</t>
  </si>
  <si>
    <t>ACMB-127-RR03-BOB</t>
  </si>
  <si>
    <t>ACMB-127-V06-MS</t>
  </si>
  <si>
    <t>ACMB-127-V07-MS</t>
  </si>
  <si>
    <t>ACMB-127-V06-MSA</t>
  </si>
  <si>
    <t>ACMB-127-V07-MSA</t>
  </si>
  <si>
    <t>ACMB-127-V06-MSB</t>
  </si>
  <si>
    <t>ACMB-127-V07-MSB</t>
  </si>
  <si>
    <t>ACMB-127-R04-BO</t>
  </si>
  <si>
    <t>ACMB-127-RR04-BO</t>
  </si>
  <si>
    <t>ACMB-127-R04-BOA</t>
  </si>
  <si>
    <t>ACMB-127-RR04-BOA</t>
  </si>
  <si>
    <t>ACMB-127-R04-BOB</t>
  </si>
  <si>
    <t>ACMB-127-RR04-BOB</t>
  </si>
  <si>
    <t>ACMB-127-V08-MS</t>
  </si>
  <si>
    <t>ACMB-127-V09-MS</t>
  </si>
  <si>
    <t>ACMB-127-V08-MSA</t>
  </si>
  <si>
    <t>ACMB-127-V09-MSA</t>
  </si>
  <si>
    <t>ACMB-127-V08-MSB</t>
  </si>
  <si>
    <t>ACMB-127-V09-MSB</t>
  </si>
  <si>
    <t>ACMB-127-R05-BO</t>
  </si>
  <si>
    <t>ACMB-127-RR05-BO</t>
  </si>
  <si>
    <t>ACMB-127-R05-BOA</t>
  </si>
  <si>
    <t>ACMB-127-RR05-BOA</t>
  </si>
  <si>
    <t>ACMB-127-R05-BOB</t>
  </si>
  <si>
    <t>ACMB-127-RR05-BOB</t>
  </si>
  <si>
    <t>ACMB-127-V10-MS</t>
  </si>
  <si>
    <t>ACMB-127-V11-MS</t>
  </si>
  <si>
    <t>ACMB-127-V10-MSA</t>
  </si>
  <si>
    <t>ACMB-127-V11-MSA</t>
  </si>
  <si>
    <t>ACMB-127-V10-MSB</t>
  </si>
  <si>
    <t>ACMB-127-V11-MSB</t>
  </si>
  <si>
    <t>ACMB-127-R06-BO</t>
  </si>
  <si>
    <t>ACMB-127-RR06-BO</t>
  </si>
  <si>
    <t>ACMB-127-R06-BOA</t>
  </si>
  <si>
    <t>ACMB-127-RR06-BOA</t>
  </si>
  <si>
    <t>ACMB-127-R06-BOB</t>
  </si>
  <si>
    <t>ACMB-127-RR06-BOB</t>
  </si>
  <si>
    <t>ACMB-127-V12-MS</t>
  </si>
  <si>
    <t>ACMB-127-V13-MS</t>
  </si>
  <si>
    <t>ACMB-127-V12-MSA</t>
  </si>
  <si>
    <t>ACMB-127-V13-MSA</t>
  </si>
  <si>
    <t>ACMB-127-V12-MSB</t>
  </si>
  <si>
    <t>ACMB-127-V13-MSB</t>
  </si>
  <si>
    <t>ACMB-127-R07-BO</t>
  </si>
  <si>
    <t>ACMB-127-RR07-BO</t>
  </si>
  <si>
    <t>ACMB-127-R07-BOA</t>
  </si>
  <si>
    <t>ACMB-127-RR07-BOA</t>
  </si>
  <si>
    <t>ACMB-127-R07-BOB</t>
  </si>
  <si>
    <t>ACMB-127-RR07-BOB</t>
  </si>
  <si>
    <t>ACMB-127-V14-MS</t>
  </si>
  <si>
    <t>ACMB-127-V15-MS</t>
  </si>
  <si>
    <t>ACMB-127-V14-MSA</t>
  </si>
  <si>
    <t>ACMB-127-V15-MSA</t>
  </si>
  <si>
    <t>ACMB-127-V14-MSB</t>
  </si>
  <si>
    <t>ACMB-127-V15-MSB</t>
  </si>
  <si>
    <t>ACMB-128-R01-BO</t>
  </si>
  <si>
    <t>ACMB-128-RR01-BO</t>
  </si>
  <si>
    <t>ACMB-128-R01-BOA</t>
  </si>
  <si>
    <t>ACMB-128-RR01-BOA</t>
  </si>
  <si>
    <t>ACMB-128-R01-BOB</t>
  </si>
  <si>
    <t>ACMB-128-RR01-BOB</t>
  </si>
  <si>
    <t>ACMB-128-V02-MS</t>
  </si>
  <si>
    <t>ACMB-128-V03-MS</t>
  </si>
  <si>
    <t>ACMB-128-V02-MSA</t>
  </si>
  <si>
    <t>ACMB-128-V03-MSA</t>
  </si>
  <si>
    <t>ACMB-128-V02-MSB</t>
  </si>
  <si>
    <t>ACMB-128-V03-MSB</t>
  </si>
  <si>
    <t>ACMB-128-R02-BO</t>
  </si>
  <si>
    <t>ACMB-128-RR02-BO</t>
  </si>
  <si>
    <t>ACMB-128-R02-BOA</t>
  </si>
  <si>
    <t>ACMB-128-RR02-BOA</t>
  </si>
  <si>
    <t>ACMB-128-R02-BOB</t>
  </si>
  <si>
    <t>ACMB-128-RR02-BOB</t>
  </si>
  <si>
    <t>ACMB-128-V04-MS</t>
  </si>
  <si>
    <t>ACMB-128-V05-MS</t>
  </si>
  <si>
    <t>ACMB-128-V04-MSA</t>
  </si>
  <si>
    <t>ACMB-128-V05-MSA</t>
  </si>
  <si>
    <t>ACMB-128-V04-MSB</t>
  </si>
  <si>
    <t>ACMB-128-V05-MSB</t>
  </si>
  <si>
    <t>ACMB-128-R03-BO</t>
  </si>
  <si>
    <t>ACMB-128-RR03-BO</t>
  </si>
  <si>
    <t>ACMB-128-R03-BOA</t>
  </si>
  <si>
    <t>ACMB-128-RR03-BOA</t>
  </si>
  <si>
    <t>ACMB-128-R03-BOB</t>
  </si>
  <si>
    <t>ACMB-128-RR03-BOB</t>
  </si>
  <si>
    <t>ACMB-128-V06-MS</t>
  </si>
  <si>
    <t>ACMB-128-V07-MS</t>
  </si>
  <si>
    <t>ACMB-128-V06-MSA</t>
  </si>
  <si>
    <t>ACMB-128-V07-MSA</t>
  </si>
  <si>
    <t>ACMB-128-V06-MSB</t>
  </si>
  <si>
    <t>ACMB-128-V07-MSB</t>
  </si>
  <si>
    <t>ACMB-128-R04-BO</t>
  </si>
  <si>
    <t>ACMB-128-RR04-BO</t>
  </si>
  <si>
    <t>ACMB-128-R04-BOA</t>
  </si>
  <si>
    <t>ACMB-128-RR04-BOA</t>
  </si>
  <si>
    <t>ACMB-128-R04-BOB</t>
  </si>
  <si>
    <t>ACMB-128-RR04-BOB</t>
  </si>
  <si>
    <t>ACMB-128-V08-MS</t>
  </si>
  <si>
    <t>ACMB-128-V09-MS</t>
  </si>
  <si>
    <t>ACMB-128-V08-MSA</t>
  </si>
  <si>
    <t>ACMB-128-V09-MSA</t>
  </si>
  <si>
    <t>ACMB-128-V08-MSB</t>
  </si>
  <si>
    <t>ACMB-128-V09-MSB</t>
  </si>
  <si>
    <t>ACMB-128-R05-BO</t>
  </si>
  <si>
    <t>ACMB-128-RR05-BO</t>
  </si>
  <si>
    <t>ACMB-128-R05-BOA</t>
  </si>
  <si>
    <t>ACMB-128-RR05-BOA</t>
  </si>
  <si>
    <t>ACMB-128-R05-BOB</t>
  </si>
  <si>
    <t>ACMB-128-RR05-BOB</t>
  </si>
  <si>
    <t>ACMB-128-V10-MS</t>
  </si>
  <si>
    <t>ACMB-128-V11-MS</t>
  </si>
  <si>
    <t>ACMB-128-V10-MSA</t>
  </si>
  <si>
    <t>ACMB-128-V11-MSA</t>
  </si>
  <si>
    <t>ACMB-128-V10-MSB</t>
  </si>
  <si>
    <t>ACMB-128-V11-MSB</t>
  </si>
  <si>
    <t>ACMB-128-R06-BO</t>
  </si>
  <si>
    <t>ACMB-128-RR06-BO</t>
  </si>
  <si>
    <t>ACMB-128-R06-BOA</t>
  </si>
  <si>
    <t>ACMB-128-RR06-BOA</t>
  </si>
  <si>
    <t>ACMB-128-R06-BOB</t>
  </si>
  <si>
    <t>ACMB-128-RR06-BOB</t>
  </si>
  <si>
    <t>ACMB-128-V12-MS</t>
  </si>
  <si>
    <t>ACMB-128-V13-MS</t>
  </si>
  <si>
    <t>ACMB-128-V12-MSA</t>
  </si>
  <si>
    <t>ACMB-128-V13-MSA</t>
  </si>
  <si>
    <t>ACMB-128-V12-MSB</t>
  </si>
  <si>
    <t>ACMB-128-V13-MSB</t>
  </si>
  <si>
    <t>ACMB-128-R07-BO</t>
  </si>
  <si>
    <t>ACMB-128-RR07-BO</t>
  </si>
  <si>
    <t>ACMB-128-R07-BOA</t>
  </si>
  <si>
    <t>ACMB-128-RR07-BOA</t>
  </si>
  <si>
    <t>ACMB-128-R07-BOB</t>
  </si>
  <si>
    <t>ACMB-128-RR07-BOB</t>
  </si>
  <si>
    <t>ACMB-128-V14-MS</t>
  </si>
  <si>
    <t>ACMB-128-V15-MS</t>
  </si>
  <si>
    <t>ACMB-128-V14-MSA</t>
  </si>
  <si>
    <t>ACMB-128-V15-MSA</t>
  </si>
  <si>
    <t>ACMB-128-V14-MSB</t>
  </si>
  <si>
    <t>ACMB-128-V15-MSB</t>
  </si>
  <si>
    <t>ACMB-129-R01-BO</t>
  </si>
  <si>
    <t>ACMB-129-RR01-BO</t>
  </si>
  <si>
    <t>ACMB-129-R01-BOA</t>
  </si>
  <si>
    <t>ACMB-129-RR01-BOA</t>
  </si>
  <si>
    <t>ACMB-129-R01-BOB</t>
  </si>
  <si>
    <t>ACMB-129-RR01-BOB</t>
  </si>
  <si>
    <t>ACMB-129-V02-MS</t>
  </si>
  <si>
    <t>ACMB-129-V03-MS</t>
  </si>
  <si>
    <t>ACMB-129-V02-MSA</t>
  </si>
  <si>
    <t>ACMB-129-V03-MSA</t>
  </si>
  <si>
    <t>ACMB-129-V02-MSB</t>
  </si>
  <si>
    <t>ACMB-129-V03-MSB</t>
  </si>
  <si>
    <t>ACMB-129-R02-BO</t>
  </si>
  <si>
    <t>ACMB-129-RR02-BO</t>
  </si>
  <si>
    <t>ACMB-129-R02-BOA</t>
  </si>
  <si>
    <t>ACMB-129-RR02-BOA</t>
  </si>
  <si>
    <t>ACMB-129-R02-BOB</t>
  </si>
  <si>
    <t>ACMB-129-RR02-BOB</t>
  </si>
  <si>
    <t>ACMB-129-V04-MS</t>
  </si>
  <si>
    <t>ACMB-129-V05-MS</t>
  </si>
  <si>
    <t>ACMB-129-V04-MSA</t>
  </si>
  <si>
    <t>ACMB-129-V05-MSA</t>
  </si>
  <si>
    <t>ACMB-129-V04-MSB</t>
  </si>
  <si>
    <t>ACMB-129-V05-MSB</t>
  </si>
  <si>
    <t>ACMB-129-R03-BO</t>
  </si>
  <si>
    <t>ACMB-129-RR03-BO</t>
  </si>
  <si>
    <t>ACMB-129-R03-BOA</t>
  </si>
  <si>
    <t>ACMB-129-RR03-BOA</t>
  </si>
  <si>
    <t>ACMB-129-R03-BOB</t>
  </si>
  <si>
    <t>ACMB-129-RR03-BOB</t>
  </si>
  <si>
    <t>ACMB-129-V06-MS</t>
  </si>
  <si>
    <t>ACMB-129-V07-MS</t>
  </si>
  <si>
    <t>ACMB-129-V06-MSA</t>
  </si>
  <si>
    <t>ACMB-129-V07-MSA</t>
  </si>
  <si>
    <t>ACMB-129-V06-MSB</t>
  </si>
  <si>
    <t>ACMB-129-V07-MSB</t>
  </si>
  <si>
    <t>ACMB-129-R04-BO</t>
  </si>
  <si>
    <t>ACMB-129-RR04-BO</t>
  </si>
  <si>
    <t>ACMB-129-R04-BOA</t>
  </si>
  <si>
    <t>ACMB-129-RR04-BOA</t>
  </si>
  <si>
    <t>ACMB-129-R04-BOB</t>
  </si>
  <si>
    <t>ACMB-129-RR04-BOB</t>
  </si>
  <si>
    <t>ACMB-129-V08-MS</t>
  </si>
  <si>
    <t>ACMB-129-V09-MS</t>
  </si>
  <si>
    <t>ACMB-129-V08-MSA</t>
  </si>
  <si>
    <t>ACMB-129-V09-MSA</t>
  </si>
  <si>
    <t>ACMB-129-V08-MSB</t>
  </si>
  <si>
    <t>ACMB-129-V09-MSB</t>
  </si>
  <si>
    <t>ACMB-129-R05-BO</t>
  </si>
  <si>
    <t>ACMB-129-RR05-BO</t>
  </si>
  <si>
    <t>ACMB-129-R05-BOA</t>
  </si>
  <si>
    <t>ACMB-129-RR05-BOA</t>
  </si>
  <si>
    <t>ACMB-129-R05-BOB</t>
  </si>
  <si>
    <t>ACMB-129-RR05-BOB</t>
  </si>
  <si>
    <t>ACMB-129-V10-MS</t>
  </si>
  <si>
    <t>ACMB-129-V11-MS</t>
  </si>
  <si>
    <t>ACMB-129-V10-MSA</t>
  </si>
  <si>
    <t>ACMB-129-V11-MSA</t>
  </si>
  <si>
    <t>ACMB-129-V10-MSB</t>
  </si>
  <si>
    <t>ACMB-129-V11-MSB</t>
  </si>
  <si>
    <t>ACMB-129-R06-BO</t>
  </si>
  <si>
    <t>ACMB-129-RR06-BO</t>
  </si>
  <si>
    <t>ACMB-129-R06-BOA</t>
  </si>
  <si>
    <t>ACMB-129-RR06-BOA</t>
  </si>
  <si>
    <t>ACMB-129-R06-BOB</t>
  </si>
  <si>
    <t>ACMB-129-RR06-BOB</t>
  </si>
  <si>
    <t>ACMB-129-V12-MS</t>
  </si>
  <si>
    <t>ACMB-129-V13-MS</t>
  </si>
  <si>
    <t>ACMB-129-V12-MSA</t>
  </si>
  <si>
    <t>ACMB-129-V13-MSA</t>
  </si>
  <si>
    <t>ACMB-129-V12-MSB</t>
  </si>
  <si>
    <t>ACMB-129-V13-MSB</t>
  </si>
  <si>
    <t>ACMB-129-R07-BO</t>
  </si>
  <si>
    <t>ACMB-129-RR07-BO</t>
  </si>
  <si>
    <t>ACMB-129-R07-BOA</t>
  </si>
  <si>
    <t>ACMB-129-RR07-BOA</t>
  </si>
  <si>
    <t>ACMB-129-R07-BOB</t>
  </si>
  <si>
    <t>ACMB-129-RR07-BOB</t>
  </si>
  <si>
    <t>ACMB-129-V14-MS</t>
  </si>
  <si>
    <t>ACMB-129-V15-MS</t>
  </si>
  <si>
    <t>ACMB-129-V14-MSA</t>
  </si>
  <si>
    <t>ACMB-129-V15-MSA</t>
  </si>
  <si>
    <t>ACMB-129-V14-MSB</t>
  </si>
  <si>
    <t>ACMB-129-V15-MSB</t>
  </si>
  <si>
    <t>ACMB-130-R01-BO</t>
  </si>
  <si>
    <t>ACMB-130-RR01-BO</t>
  </si>
  <si>
    <t>ACMB-130-R01-BOA</t>
  </si>
  <si>
    <t>ACMB-130-RR01-BOA</t>
  </si>
  <si>
    <t>ACMB-130-R01-BOB</t>
  </si>
  <si>
    <t>ACMB-130-RR01-BOB</t>
  </si>
  <si>
    <t>ACMB-130-V02-MS</t>
  </si>
  <si>
    <t>ACMB-130-V03-MS</t>
  </si>
  <si>
    <t>ACMB-130-V02-MSA</t>
  </si>
  <si>
    <t>ACMB-130-V03-MSA</t>
  </si>
  <si>
    <t>ACMB-130-V02-MSB</t>
  </si>
  <si>
    <t>ACMB-130-V03-MSB</t>
  </si>
  <si>
    <t>ACMB-130-R02-BO</t>
  </si>
  <si>
    <t>ACMB-130-RR02-BO</t>
  </si>
  <si>
    <t>ACMB-130-R02-BOA</t>
  </si>
  <si>
    <t>ACMB-130-RR02-BOA</t>
  </si>
  <si>
    <t>ACMB-130-R02-BOB</t>
  </si>
  <si>
    <t>ACMB-130-RR02-BOB</t>
  </si>
  <si>
    <t>ACMB-130-V04-MS</t>
  </si>
  <si>
    <t>ACMB-130-V05-MS</t>
  </si>
  <si>
    <t>ACMB-130-V04-MSA</t>
  </si>
  <si>
    <t>ACMB-130-V05-MSA</t>
  </si>
  <si>
    <t>ACMB-130-V04-MSB</t>
  </si>
  <si>
    <t>ACMB-130-V05-MSB</t>
  </si>
  <si>
    <t>ACMB-130-R03-BO</t>
  </si>
  <si>
    <t>ACMB-130-RR03-BO</t>
  </si>
  <si>
    <t>ACMB-130-R03-BOA</t>
  </si>
  <si>
    <t>ACMB-130-RR03-BOA</t>
  </si>
  <si>
    <t>ACMB-130-R03-BOB</t>
  </si>
  <si>
    <t>ACMB-130-RR03-BOB</t>
  </si>
  <si>
    <t>ACMB-130-V06-MS</t>
  </si>
  <si>
    <t>ACMB-130-V07-MS</t>
  </si>
  <si>
    <t>ACMB-130-V06-MSA</t>
  </si>
  <si>
    <t>ACMB-130-V07-MSA</t>
  </si>
  <si>
    <t>ACMB-130-V06-MSB</t>
  </si>
  <si>
    <t>ACMB-130-V07-MSB</t>
  </si>
  <si>
    <t>ACMB-130-R04-BO</t>
  </si>
  <si>
    <t>ACMB-130-RR04-BO</t>
  </si>
  <si>
    <t>ACMB-130-R04-BOA</t>
  </si>
  <si>
    <t>ACMB-130-RR04-BOA</t>
  </si>
  <si>
    <t>ACMB-130-R04-BOB</t>
  </si>
  <si>
    <t>ACMB-130-RR04-BOB</t>
  </si>
  <si>
    <t>ACMB-130-V08-MS</t>
  </si>
  <si>
    <t>ACMB-130-V09-MS</t>
  </si>
  <si>
    <t>ACMB-130-V08-MSA</t>
  </si>
  <si>
    <t>ACMB-130-V09-MSA</t>
  </si>
  <si>
    <t>ACMB-130-V08-MSB</t>
  </si>
  <si>
    <t>ACMB-130-V09-MSB</t>
  </si>
  <si>
    <t>ACMB-130-R05-BO</t>
  </si>
  <si>
    <t>ACMB-130-RR05-BO</t>
  </si>
  <si>
    <t>ACMB-130-R05-BOA</t>
  </si>
  <si>
    <t>ACMB-130-RR05-BOA</t>
  </si>
  <si>
    <t>ACMB-130-R05-BOB</t>
  </si>
  <si>
    <t>ACMB-130-RR05-BOB</t>
  </si>
  <si>
    <t>ACMB-130-V10-MS</t>
  </si>
  <si>
    <t>ACMB-130-V11-MS</t>
  </si>
  <si>
    <t>ACMB-130-V10-MSA</t>
  </si>
  <si>
    <t>ACMB-130-V11-MSA</t>
  </si>
  <si>
    <t>ACMB-130-V10-MSB</t>
  </si>
  <si>
    <t>ACMB-130-V11-MSB</t>
  </si>
  <si>
    <t>ACMB-130-R06-BO</t>
  </si>
  <si>
    <t>ACMB-130-RR06-BO</t>
  </si>
  <si>
    <t>ACMB-130-R06-BOA</t>
  </si>
  <si>
    <t>ACMB-130-RR06-BOA</t>
  </si>
  <si>
    <t>ACMB-130-R06-BOB</t>
  </si>
  <si>
    <t>ACMB-130-RR06-BOB</t>
  </si>
  <si>
    <t>ACMB-130-V12-MS</t>
  </si>
  <si>
    <t>ACMB-130-V13-MS</t>
  </si>
  <si>
    <t>ACMB-130-V12-MSA</t>
  </si>
  <si>
    <t>ACMB-130-V13-MSA</t>
  </si>
  <si>
    <t>ACMB-130-V12-MSB</t>
  </si>
  <si>
    <t>ACMB-130-V13-MSB</t>
  </si>
  <si>
    <t>ACMB-130-R07-BO</t>
  </si>
  <si>
    <t>ACMB-130-RR07-BO</t>
  </si>
  <si>
    <t>ACMB-130-R07-BOA</t>
  </si>
  <si>
    <t>ACMB-130-RR07-BOA</t>
  </si>
  <si>
    <t>ACMB-130-R07-BOB</t>
  </si>
  <si>
    <t>ACMB-130-RR07-BOB</t>
  </si>
  <si>
    <t>ACMB-130-V14-MS</t>
  </si>
  <si>
    <t>ACMB-130-V15-MS</t>
  </si>
  <si>
    <t>ACMB-130-V14-MSA</t>
  </si>
  <si>
    <t>ACMB-130-V15-MSA</t>
  </si>
  <si>
    <t>ACMB-130-V14-MSB</t>
  </si>
  <si>
    <t>ACMB-130-V15-MSB</t>
  </si>
  <si>
    <t>ACMB-131-R01-BO</t>
  </si>
  <si>
    <t>ACMB-131-RR01-BO</t>
  </si>
  <si>
    <t>ACMB-131-R01-BOA</t>
  </si>
  <si>
    <t>ACMB-131-RR01-BOA</t>
  </si>
  <si>
    <t>ACMB-131-R01-BOB</t>
  </si>
  <si>
    <t>ACMB-131-RR01-BOB</t>
  </si>
  <si>
    <t>ACMB-131-V02-MS</t>
  </si>
  <si>
    <t>ACMB-131-V03-MS</t>
  </si>
  <si>
    <t>ACMB-131-V02-MSA</t>
  </si>
  <si>
    <t>ACMB-131-V03-MSA</t>
  </si>
  <si>
    <t>ACMB-131-V02-MSB</t>
  </si>
  <si>
    <t>ACMB-131-V03-MSB</t>
  </si>
  <si>
    <t>ACMB-131-R02-BO</t>
  </si>
  <si>
    <t>ACMB-131-RR02-BO</t>
  </si>
  <si>
    <t>ACMB-131-R02-BOA</t>
  </si>
  <si>
    <t>ACMB-131-RR02-BOA</t>
  </si>
  <si>
    <t>ACMB-131-R02-BOB</t>
  </si>
  <si>
    <t>ACMB-131-RR02-BOB</t>
  </si>
  <si>
    <t>ACMB-131-V04-MS</t>
  </si>
  <si>
    <t>ACMB-131-V05-MS</t>
  </si>
  <si>
    <t>ACMB-131-V04-MSA</t>
  </si>
  <si>
    <t>ACMB-131-V05-MSA</t>
  </si>
  <si>
    <t>ACMB-131-V04-MSB</t>
  </si>
  <si>
    <t>ACMB-131-V05-MSB</t>
  </si>
  <si>
    <t>ACMB-131-R03-BO</t>
  </si>
  <si>
    <t>ACMB-131-RR03-BO</t>
  </si>
  <si>
    <t>ACMB-131-R03-BOA</t>
  </si>
  <si>
    <t>ACMB-131-RR03-BOA</t>
  </si>
  <si>
    <t>ACMB-131-R03-BOB</t>
  </si>
  <si>
    <t>ACMB-131-RR03-BOB</t>
  </si>
  <si>
    <t>ACMB-131-V06-MS</t>
  </si>
  <si>
    <t>ACMB-131-V07-MS</t>
  </si>
  <si>
    <t>ACMB-131-V06-MSA</t>
  </si>
  <si>
    <t>ACMB-131-V07-MSA</t>
  </si>
  <si>
    <t>ACMB-131-V06-MSB</t>
  </si>
  <si>
    <t>ACMB-131-V07-MSB</t>
  </si>
  <si>
    <t>ACMB-131-R04-BO</t>
  </si>
  <si>
    <t>ACMB-131-RR04-BO</t>
  </si>
  <si>
    <t>ACMB-131-R04-BOA</t>
  </si>
  <si>
    <t>ACMB-131-RR04-BOA</t>
  </si>
  <si>
    <t>ACMB-131-R04-BOB</t>
  </si>
  <si>
    <t>ACMB-131-RR04-BOB</t>
  </si>
  <si>
    <t>ACMB-131-V08-MS</t>
  </si>
  <si>
    <t>ACMB-131-V09-MS</t>
  </si>
  <si>
    <t>ACMB-131-V08-MSA</t>
  </si>
  <si>
    <t>ACMB-131-V09-MSA</t>
  </si>
  <si>
    <t>ACMB-131-V08-MSB</t>
  </si>
  <si>
    <t>ACMB-131-V09-MSB</t>
  </si>
  <si>
    <t>ACMB-131-R05-BO</t>
  </si>
  <si>
    <t>ACMB-131-RR05-BO</t>
  </si>
  <si>
    <t>ACMB-131-R05-BOA</t>
  </si>
  <si>
    <t>ACMB-131-RR05-BOA</t>
  </si>
  <si>
    <t>ACMB-131-R05-BOB</t>
  </si>
  <si>
    <t>ACMB-131-RR05-BOB</t>
  </si>
  <si>
    <t>ACMB-131-V10-MS</t>
  </si>
  <si>
    <t>ACMB-131-V11-MS</t>
  </si>
  <si>
    <t>ACMB-131-V10-MSA</t>
  </si>
  <si>
    <t>ACMB-131-V11-MSA</t>
  </si>
  <si>
    <t>ACMB-131-V10-MSB</t>
  </si>
  <si>
    <t>ACMB-131-V11-MSB</t>
  </si>
  <si>
    <t>ACMB-131-R06-BO</t>
  </si>
  <si>
    <t>ACMB-131-RR06-BO</t>
  </si>
  <si>
    <t>ACMB-131-R06-BOA</t>
  </si>
  <si>
    <t>ACMB-131-RR06-BOA</t>
  </si>
  <si>
    <t>ACMB-131-R06-BOB</t>
  </si>
  <si>
    <t>ACMB-131-RR06-BOB</t>
  </si>
  <si>
    <t>ACMB-131-V12-MS</t>
  </si>
  <si>
    <t>ACMB-131-V13-MS</t>
  </si>
  <si>
    <t>ACMB-131-V12-MSA</t>
  </si>
  <si>
    <t>ACMB-131-V13-MSA</t>
  </si>
  <si>
    <t>ACMB-131-V12-MSB</t>
  </si>
  <si>
    <t>ACMB-131-V13-MSB</t>
  </si>
  <si>
    <t>ACMB-131-R07-BO</t>
  </si>
  <si>
    <t>ACMB-131-RR07-BO</t>
  </si>
  <si>
    <t>ACMB-131-R07-BOA</t>
  </si>
  <si>
    <t>ACMB-131-RR07-BOA</t>
  </si>
  <si>
    <t>ACMB-131-R07-BOB</t>
  </si>
  <si>
    <t>ACMB-131-RR07-BOB</t>
  </si>
  <si>
    <t>ACMB-131-V14-MS</t>
  </si>
  <si>
    <t>ACMB-131-V15-MS</t>
  </si>
  <si>
    <t>ACMB-131-V14-MSA</t>
  </si>
  <si>
    <t>ACMB-131-V15-MSA</t>
  </si>
  <si>
    <t>ACMB-131-V14-MSB</t>
  </si>
  <si>
    <t>ACMB-131-V15-MSB</t>
  </si>
  <si>
    <t>ACMB-132-R01-BO</t>
  </si>
  <si>
    <t>ACMB-132-RR01-BO</t>
  </si>
  <si>
    <t>ACMB-132-R01-BOA</t>
  </si>
  <si>
    <t>ACMB-132-RR01-BOA</t>
  </si>
  <si>
    <t>ACMB-132-R01-BOB</t>
  </si>
  <si>
    <t>ACMB-132-RR01-BOB</t>
  </si>
  <si>
    <t>ACMB-132-V02-MS</t>
  </si>
  <si>
    <t>ACMB-132-V03-MS</t>
  </si>
  <si>
    <t>ACMB-132-V02-MSA</t>
  </si>
  <si>
    <t>ACMB-132-V03-MSA</t>
  </si>
  <si>
    <t>ACMB-132-V02-MSB</t>
  </si>
  <si>
    <t>ACMB-132-V03-MSB</t>
  </si>
  <si>
    <t>ACMB-132-R02-BO</t>
  </si>
  <si>
    <t>ACMB-132-RR02-BO</t>
  </si>
  <si>
    <t>ACMB-132-R02-BOA</t>
  </si>
  <si>
    <t>ACMB-132-RR02-BOA</t>
  </si>
  <si>
    <t>ACMB-132-R02-BOB</t>
  </si>
  <si>
    <t>ACMB-132-RR02-BOB</t>
  </si>
  <si>
    <t>ACMB-132-V04-MS</t>
  </si>
  <si>
    <t>ACMB-132-V05-MS</t>
  </si>
  <si>
    <t>ACMB-132-V04-MSA</t>
  </si>
  <si>
    <t>ACMB-132-V05-MSA</t>
  </si>
  <si>
    <t>ACMB-132-V04-MSB</t>
  </si>
  <si>
    <t>ACMB-132-V05-MSB</t>
  </si>
  <si>
    <t>ACMB-132-R03-BO</t>
  </si>
  <si>
    <t>ACMB-132-RR03-BO</t>
  </si>
  <si>
    <t>ACMB-132-R03-BOA</t>
  </si>
  <si>
    <t>ACMB-132-RR03-BOA</t>
  </si>
  <si>
    <t>ACMB-132-R03-BOB</t>
  </si>
  <si>
    <t>ACMB-132-RR03-BOB</t>
  </si>
  <si>
    <t>ACMB-132-V06-MS</t>
  </si>
  <si>
    <t>ACMB-132-V07-MS</t>
  </si>
  <si>
    <t>ACMB-132-V06-MSA</t>
  </si>
  <si>
    <t>ACMB-132-V07-MSA</t>
  </si>
  <si>
    <t>ACMB-132-V06-MSB</t>
  </si>
  <si>
    <t>ACMB-132-V07-MSB</t>
  </si>
  <si>
    <t>ACMB-132-R04-BO</t>
  </si>
  <si>
    <t>ACMB-132-RR04-BO</t>
  </si>
  <si>
    <t>ACMB-132-R04-BOA</t>
  </si>
  <si>
    <t>ACMB-132-RR04-BOA</t>
  </si>
  <si>
    <t>ACMB-132-R04-BOB</t>
  </si>
  <si>
    <t>ACMB-132-RR04-BOB</t>
  </si>
  <si>
    <t>ACMB-132-V08-MS</t>
  </si>
  <si>
    <t>ACMB-132-V09-MS</t>
  </si>
  <si>
    <t>ACMB-132-V08-MSA</t>
  </si>
  <si>
    <t>ACMB-132-V09-MSA</t>
  </si>
  <si>
    <t>ACMB-132-V08-MSB</t>
  </si>
  <si>
    <t>ACMB-132-V09-MSB</t>
  </si>
  <si>
    <t>ACMB-132-R05-BO</t>
  </si>
  <si>
    <t>ACMB-132-RR05-BO</t>
  </si>
  <si>
    <t>ACMB-132-R05-BOA</t>
  </si>
  <si>
    <t>ACMB-132-RR05-BOA</t>
  </si>
  <si>
    <t>ACMB-132-R05-BOB</t>
  </si>
  <si>
    <t>ACMB-132-RR05-BOB</t>
  </si>
  <si>
    <t>ACMB-132-V10-MS</t>
  </si>
  <si>
    <t>ACMB-132-V11-MS</t>
  </si>
  <si>
    <t>ACMB-132-V10-MSA</t>
  </si>
  <si>
    <t>ACMB-132-V11-MSA</t>
  </si>
  <si>
    <t>ACMB-132-V10-MSB</t>
  </si>
  <si>
    <t>ACMB-132-V11-MSB</t>
  </si>
  <si>
    <t>ACMB-132-R06-BO</t>
  </si>
  <si>
    <t>ACMB-132-RR06-BO</t>
  </si>
  <si>
    <t>ACMB-132-R06-BOA</t>
  </si>
  <si>
    <t>ACMB-132-RR06-BOA</t>
  </si>
  <si>
    <t>ACMB-132-R06-BOB</t>
  </si>
  <si>
    <t>ACMB-132-RR06-BOB</t>
  </si>
  <si>
    <t>ACMB-132-V12-MS</t>
  </si>
  <si>
    <t>ACMB-132-V13-MS</t>
  </si>
  <si>
    <t>ACMB-132-V12-MSA</t>
  </si>
  <si>
    <t>ACMB-132-V13-MSA</t>
  </si>
  <si>
    <t>ACMB-132-V12-MSB</t>
  </si>
  <si>
    <t>ACMB-132-V13-MSB</t>
  </si>
  <si>
    <t>ACMB-132-R07-BO</t>
  </si>
  <si>
    <t>ACMB-132-RR07-BO</t>
  </si>
  <si>
    <t>ACMB-132-R07-BOA</t>
  </si>
  <si>
    <t>ACMB-132-RR07-BOA</t>
  </si>
  <si>
    <t>ACMB-132-R07-BOB</t>
  </si>
  <si>
    <t>ACMB-132-RR07-BOB</t>
  </si>
  <si>
    <t>ACMB-132-V14-MS</t>
  </si>
  <si>
    <t>ACMB-132-V15-MS</t>
  </si>
  <si>
    <t>ACMB-132-V14-MSA</t>
  </si>
  <si>
    <t>ACMB-132-V15-MSA</t>
  </si>
  <si>
    <t>ACMB-132-V14-MSB</t>
  </si>
  <si>
    <t>ACMB-132-V15-MSB</t>
  </si>
  <si>
    <t>ACMB-133-R01-BO</t>
  </si>
  <si>
    <t>ACMB-133-RR01-BO</t>
  </si>
  <si>
    <t>ACMB-133-R01-BOA</t>
  </si>
  <si>
    <t>ACMB-133-RR01-BOA</t>
  </si>
  <si>
    <t>ACMB-133-R01-BOB</t>
  </si>
  <si>
    <t>ACMB-133-RR01-BOB</t>
  </si>
  <si>
    <t>ACMB-133-V02-MS</t>
  </si>
  <si>
    <t>ACMB-133-V03-MS</t>
  </si>
  <si>
    <t>ACMB-133-V02-MSA</t>
  </si>
  <si>
    <t>ACMB-133-V03-MSA</t>
  </si>
  <si>
    <t>ACMB-133-V02-MSB</t>
  </si>
  <si>
    <t>ACMB-133-V03-MSB</t>
  </si>
  <si>
    <t>ACMB-133-R02-BO</t>
  </si>
  <si>
    <t>ACMB-133-RR02-BO</t>
  </si>
  <si>
    <t>ACMB-133-R02-BOA</t>
  </si>
  <si>
    <t>ACMB-133-RR02-BOA</t>
  </si>
  <si>
    <t>ACMB-133-R02-BOB</t>
  </si>
  <si>
    <t>ACMB-133-RR02-BOB</t>
  </si>
  <si>
    <t>ACMB-133-V04-MS</t>
  </si>
  <si>
    <t>ACMB-133-V05-MS</t>
  </si>
  <si>
    <t>ACMB-133-V04-MSA</t>
  </si>
  <si>
    <t>ACMB-133-V05-MSA</t>
  </si>
  <si>
    <t>ACMB-133-V04-MSB</t>
  </si>
  <si>
    <t>ACMB-133-V05-MSB</t>
  </si>
  <si>
    <t>ACMB-133-R03-BO</t>
  </si>
  <si>
    <t>ACMB-133-RR03-BO</t>
  </si>
  <si>
    <t>ACMB-133-R03-BOA</t>
  </si>
  <si>
    <t>ACMB-133-RR03-BOA</t>
  </si>
  <si>
    <t>ACMB-133-R03-BOB</t>
  </si>
  <si>
    <t>ACMB-133-RR03-BOB</t>
  </si>
  <si>
    <t>ACMB-133-V06-MS</t>
  </si>
  <si>
    <t>ACMB-133-V07-MS</t>
  </si>
  <si>
    <t>ACMB-133-V06-MSA</t>
  </si>
  <si>
    <t>ACMB-133-V07-MSA</t>
  </si>
  <si>
    <t>ACMB-133-V06-MSB</t>
  </si>
  <si>
    <t>ACMB-133-V07-MSB</t>
  </si>
  <si>
    <t>ACMB-133-R04-BO</t>
  </si>
  <si>
    <t>ACMB-133-RR04-BO</t>
  </si>
  <si>
    <t>ACMB-133-R04-BOA</t>
  </si>
  <si>
    <t>ACMB-133-RR04-BOA</t>
  </si>
  <si>
    <t>ACMB-133-R04-BOB</t>
  </si>
  <si>
    <t>ACMB-133-RR04-BOB</t>
  </si>
  <si>
    <t>ACMB-133-V08-MS</t>
  </si>
  <si>
    <t>ACMB-133-V09-MS</t>
  </si>
  <si>
    <t>ACMB-133-V08-MSA</t>
  </si>
  <si>
    <t>ACMB-133-V09-MSA</t>
  </si>
  <si>
    <t>ACMB-133-V08-MSB</t>
  </si>
  <si>
    <t>ACMB-133-V09-MSB</t>
  </si>
  <si>
    <t>ACMB-133-R05-BO</t>
  </si>
  <si>
    <t>ACMB-133-RR05-BO</t>
  </si>
  <si>
    <t>ACMB-133-R05-BOA</t>
  </si>
  <si>
    <t>ACMB-133-RR05-BOA</t>
  </si>
  <si>
    <t>ACMB-133-R05-BOB</t>
  </si>
  <si>
    <t>ACMB-133-RR05-BOB</t>
  </si>
  <si>
    <t>ACMB-133-V10-MS</t>
  </si>
  <si>
    <t>ACMB-133-V11-MS</t>
  </si>
  <si>
    <t>ACMB-133-V10-MSA</t>
  </si>
  <si>
    <t>ACMB-133-V11-MSA</t>
  </si>
  <si>
    <t>ACMB-133-V10-MSB</t>
  </si>
  <si>
    <t>ACMB-133-V11-MSB</t>
  </si>
  <si>
    <t>ACMB-133-R06-BO</t>
  </si>
  <si>
    <t>ACMB-133-RR06-BO</t>
  </si>
  <si>
    <t>ACMB-133-R06-BOA</t>
  </si>
  <si>
    <t>ACMB-133-RR06-BOA</t>
  </si>
  <si>
    <t>ACMB-133-R06-BOB</t>
  </si>
  <si>
    <t>ACMB-133-RR06-BOB</t>
  </si>
  <si>
    <t>ACMB-133-V12-MS</t>
  </si>
  <si>
    <t>ACMB-133-V13-MS</t>
  </si>
  <si>
    <t>ACMB-133-V12-MSA</t>
  </si>
  <si>
    <t>ACMB-133-V13-MSA</t>
  </si>
  <si>
    <t>ACMB-133-V12-MSB</t>
  </si>
  <si>
    <t>ACMB-133-V13-MSB</t>
  </si>
  <si>
    <t>ACMB-133-R07-BO</t>
  </si>
  <si>
    <t>ACMB-133-RR07-BO</t>
  </si>
  <si>
    <t>ACMB-133-R07-BOA</t>
  </si>
  <si>
    <t>ACMB-133-RR07-BOA</t>
  </si>
  <si>
    <t>ACMB-133-R07-BOB</t>
  </si>
  <si>
    <t>ACMB-133-RR07-BOB</t>
  </si>
  <si>
    <t>ACMB-133-V14-MS</t>
  </si>
  <si>
    <t>ACMB-133-V15-MS</t>
  </si>
  <si>
    <t>ACMB-133-V14-MSA</t>
  </si>
  <si>
    <t>ACMB-133-V15-MSA</t>
  </si>
  <si>
    <t>ACMB-133-V14-MSB</t>
  </si>
  <si>
    <t>ACMB-133-V15-MSB</t>
  </si>
  <si>
    <t>ACMB-134-R01-BO</t>
  </si>
  <si>
    <t>ACMB-134-RR01-BO</t>
  </si>
  <si>
    <t>ACMB-134-R01-BOA</t>
  </si>
  <si>
    <t>ACMB-134-RR01-BOA</t>
  </si>
  <si>
    <t>ACMB-134-R01-BOB</t>
  </si>
  <si>
    <t>ACMB-134-RR01-BOB</t>
  </si>
  <si>
    <t>ACMB-134-V02-MS</t>
  </si>
  <si>
    <t>ACMB-134-V03-MS</t>
  </si>
  <si>
    <t>ACMB-134-V02-MSA</t>
  </si>
  <si>
    <t>ACMB-134-V03-MSA</t>
  </si>
  <si>
    <t>ACMB-134-V02-MSB</t>
  </si>
  <si>
    <t>ACMB-134-V03-MSB</t>
  </si>
  <si>
    <t>ACMB-134-R02-BO</t>
  </si>
  <si>
    <t>ACMB-134-RR02-BO</t>
  </si>
  <si>
    <t>ACMB-134-R02-BOA</t>
  </si>
  <si>
    <t>ACMB-134-RR02-BOA</t>
  </si>
  <si>
    <t>ACMB-134-R02-BOB</t>
  </si>
  <si>
    <t>ACMB-134-RR02-BOB</t>
  </si>
  <si>
    <t>ACMB-134-V04-MS</t>
  </si>
  <si>
    <t>ACMB-134-V05-MS</t>
  </si>
  <si>
    <t>ACMB-134-V04-MSA</t>
  </si>
  <si>
    <t>ACMB-134-V05-MSA</t>
  </si>
  <si>
    <t>ACMB-134-V04-MSB</t>
  </si>
  <si>
    <t>ACMB-134-V05-MSB</t>
  </si>
  <si>
    <t>ACMB-134-R03-BO</t>
  </si>
  <si>
    <t>ACMB-134-RR03-BO</t>
  </si>
  <si>
    <t>ACMB-134-R03-BOA</t>
  </si>
  <si>
    <t>ACMB-134-RR03-BOA</t>
  </si>
  <si>
    <t>ACMB-134-R03-BOB</t>
  </si>
  <si>
    <t>ACMB-134-RR03-BOB</t>
  </si>
  <si>
    <t>ACMB-134-V06-MS</t>
  </si>
  <si>
    <t>ACMB-134-V07-MS</t>
  </si>
  <si>
    <t>ACMB-134-V06-MSA</t>
  </si>
  <si>
    <t>ACMB-134-V07-MSA</t>
  </si>
  <si>
    <t>ACMB-134-V06-MSB</t>
  </si>
  <si>
    <t>ACMB-134-V07-MSB</t>
  </si>
  <si>
    <t>ACMB-134-R04-BO</t>
  </si>
  <si>
    <t>ACMB-134-RR04-BO</t>
  </si>
  <si>
    <t>ACMB-134-R04-BOA</t>
  </si>
  <si>
    <t>ACMB-134-RR04-BOA</t>
  </si>
  <si>
    <t>ACMB-134-R04-BOB</t>
  </si>
  <si>
    <t>ACMB-134-RR04-BOB</t>
  </si>
  <si>
    <t>ACMB-134-V08-MS</t>
  </si>
  <si>
    <t>ACMB-134-V09-MS</t>
  </si>
  <si>
    <t>ACMB-134-V08-MSA</t>
  </si>
  <si>
    <t>ACMB-134-V09-MSA</t>
  </si>
  <si>
    <t>ACMB-134-V08-MSB</t>
  </si>
  <si>
    <t>ACMB-134-V09-MSB</t>
  </si>
  <si>
    <t>ACMB-134-R05-BO</t>
  </si>
  <si>
    <t>ACMB-134-RR05-BO</t>
  </si>
  <si>
    <t>ACMB-134-R05-BOA</t>
  </si>
  <si>
    <t>ACMB-134-RR05-BOA</t>
  </si>
  <si>
    <t>ACMB-134-R05-BOB</t>
  </si>
  <si>
    <t>ACMB-134-RR05-BOB</t>
  </si>
  <si>
    <t>ACMB-134-V10-MS</t>
  </si>
  <si>
    <t>ACMB-134-V11-MS</t>
  </si>
  <si>
    <t>ACMB-134-V10-MSA</t>
  </si>
  <si>
    <t>ACMB-134-V11-MSA</t>
  </si>
  <si>
    <t>ACMB-134-V10-MSB</t>
  </si>
  <si>
    <t>ACMB-134-V11-MSB</t>
  </si>
  <si>
    <t>ACMB-134-R06-BO</t>
  </si>
  <si>
    <t>ACMB-134-RR06-BO</t>
  </si>
  <si>
    <t>ACMB-134-R06-BOA</t>
  </si>
  <si>
    <t>ACMB-134-RR06-BOA</t>
  </si>
  <si>
    <t>ACMB-134-R06-BOB</t>
  </si>
  <si>
    <t>ACMB-134-RR06-BOB</t>
  </si>
  <si>
    <t>ACMB-134-V12-MS</t>
  </si>
  <si>
    <t>ACMB-134-V13-MS</t>
  </si>
  <si>
    <t>ACMB-134-V12-MSA</t>
  </si>
  <si>
    <t>ACMB-134-V13-MSA</t>
  </si>
  <si>
    <t>ACMB-134-V12-MSB</t>
  </si>
  <si>
    <t>ACMB-134-V13-MSB</t>
  </si>
  <si>
    <t>ACMB-134-R07-BO</t>
  </si>
  <si>
    <t>ACMB-134-RR07-BO</t>
  </si>
  <si>
    <t>ACMB-134-R07-BOA</t>
  </si>
  <si>
    <t>ACMB-134-RR07-BOA</t>
  </si>
  <si>
    <t>ACMB-134-R07-BOB</t>
  </si>
  <si>
    <t>ACMB-134-RR07-BOB</t>
  </si>
  <si>
    <t>ACMB-134-V14-MS</t>
  </si>
  <si>
    <t>ACMB-134-V15-MS</t>
  </si>
  <si>
    <t>ACMB-134-V14-MSA</t>
  </si>
  <si>
    <t>ACMB-134-V15-MSA</t>
  </si>
  <si>
    <t>ACMB-134-V14-MSB</t>
  </si>
  <si>
    <t>ACMB-134-V15-MSB</t>
  </si>
  <si>
    <t>ACMB-135-R01-BO</t>
  </si>
  <si>
    <t>ACMB-135-RR01-BO</t>
  </si>
  <si>
    <t>ACMB-135-R01-BOA</t>
  </si>
  <si>
    <t>ACMB-135-RR01-BOA</t>
  </si>
  <si>
    <t>ACMB-135-R01-BOB</t>
  </si>
  <si>
    <t>ACMB-135-RR01-BOB</t>
  </si>
  <si>
    <t>ACMB-135-V02-MS</t>
  </si>
  <si>
    <t>ACMB-135-V03-MS</t>
  </si>
  <si>
    <t>ACMB-135-V02-MSA</t>
  </si>
  <si>
    <t>ACMB-135-V03-MSA</t>
  </si>
  <si>
    <t>ACMB-135-V02-MSB</t>
  </si>
  <si>
    <t>ACMB-135-V03-MSB</t>
  </si>
  <si>
    <t>ACMB-135-R02-BO</t>
  </si>
  <si>
    <t>ACMB-135-RR02-BO</t>
  </si>
  <si>
    <t>ACMB-135-R02-BOA</t>
  </si>
  <si>
    <t>ACMB-135-RR02-BOA</t>
  </si>
  <si>
    <t>ACMB-135-R02-BOB</t>
  </si>
  <si>
    <t>ACMB-135-RR02-BOB</t>
  </si>
  <si>
    <t>ACMB-135-V04-MS</t>
  </si>
  <si>
    <t>ACMB-135-V05-MS</t>
  </si>
  <si>
    <t>ACMB-135-V04-MSA</t>
  </si>
  <si>
    <t>ACMB-135-V05-MSA</t>
  </si>
  <si>
    <t>ACMB-135-V04-MSB</t>
  </si>
  <si>
    <t>ACMB-135-V05-MSB</t>
  </si>
  <si>
    <t>ACMB-135-R03-BO</t>
  </si>
  <si>
    <t>ACMB-135-RR03-BO</t>
  </si>
  <si>
    <t>ACMB-135-R03-BOA</t>
  </si>
  <si>
    <t>ACMB-135-RR03-BOA</t>
  </si>
  <si>
    <t>ACMB-135-R03-BOB</t>
  </si>
  <si>
    <t>ACMB-135-RR03-BOB</t>
  </si>
  <si>
    <t>ACMB-135-V06-MS</t>
  </si>
  <si>
    <t>ACMB-135-V07-MS</t>
  </si>
  <si>
    <t>ACMB-135-V06-MSA</t>
  </si>
  <si>
    <t>ACMB-135-V07-MSA</t>
  </si>
  <si>
    <t>ACMB-135-V06-MSB</t>
  </si>
  <si>
    <t>ACMB-135-V07-MSB</t>
  </si>
  <si>
    <t>ACMB-135-R04-BO</t>
  </si>
  <si>
    <t>ACMB-135-RR04-BO</t>
  </si>
  <si>
    <t>ACMB-135-R04-BOA</t>
  </si>
  <si>
    <t>ACMB-135-RR04-BOA</t>
  </si>
  <si>
    <t>ACMB-135-R04-BOB</t>
  </si>
  <si>
    <t>ACMB-135-RR04-BOB</t>
  </si>
  <si>
    <t>ACMB-135-V08-MS</t>
  </si>
  <si>
    <t>ACMB-135-V09-MS</t>
  </si>
  <si>
    <t>ACMB-135-V08-MSA</t>
  </si>
  <si>
    <t>ACMB-135-V09-MSA</t>
  </si>
  <si>
    <t>ACMB-135-V08-MSB</t>
  </si>
  <si>
    <t>ACMB-135-V09-MSB</t>
  </si>
  <si>
    <t>ACMB-135-R05-BO</t>
  </si>
  <si>
    <t>ACMB-135-RR05-BO</t>
  </si>
  <si>
    <t>ACMB-135-R05-BOA</t>
  </si>
  <si>
    <t>ACMB-135-RR05-BOA</t>
  </si>
  <si>
    <t>ACMB-135-R05-BOB</t>
  </si>
  <si>
    <t>ACMB-135-RR05-BOB</t>
  </si>
  <si>
    <t>ACMB-135-V10-MS</t>
  </si>
  <si>
    <t>ACMB-135-V11-MS</t>
  </si>
  <si>
    <t>ACMB-135-V10-MSA</t>
  </si>
  <si>
    <t>ACMB-135-V11-MSA</t>
  </si>
  <si>
    <t>ACMB-135-V10-MSB</t>
  </si>
  <si>
    <t>ACMB-135-V11-MSB</t>
  </si>
  <si>
    <t>ACMB-135-R06-BO</t>
  </si>
  <si>
    <t>ACMB-135-RR06-BO</t>
  </si>
  <si>
    <t>ACMB-135-R06-BOA</t>
  </si>
  <si>
    <t>ACMB-135-RR06-BOA</t>
  </si>
  <si>
    <t>ACMB-135-R06-BOB</t>
  </si>
  <si>
    <t>ACMB-135-RR06-BOB</t>
  </si>
  <si>
    <t>ACMB-135-V12-MS</t>
  </si>
  <si>
    <t>ACMB-135-V13-MS</t>
  </si>
  <si>
    <t>ACMB-135-V12-MSA</t>
  </si>
  <si>
    <t>ACMB-135-V13-MSA</t>
  </si>
  <si>
    <t>ACMB-135-V12-MSB</t>
  </si>
  <si>
    <t>ACMB-135-V13-MSB</t>
  </si>
  <si>
    <t>ACMB-135-R07-BO</t>
  </si>
  <si>
    <t>ACMB-135-RR07-BO</t>
  </si>
  <si>
    <t>ACMB-135-R07-BOA</t>
  </si>
  <si>
    <t>ACMB-135-RR07-BOA</t>
  </si>
  <si>
    <t>ACMB-135-R07-BOB</t>
  </si>
  <si>
    <t>ACMB-135-RR07-BOB</t>
  </si>
  <si>
    <t>ACMB-135-V14-MS</t>
  </si>
  <si>
    <t>ACMB-135-V15-MS</t>
  </si>
  <si>
    <t>ACMB-135-V14-MSA</t>
  </si>
  <si>
    <t>ACMB-135-V15-MSA</t>
  </si>
  <si>
    <t>ACMB-135-V14-MSB</t>
  </si>
  <si>
    <t>ACMB-135-V15-MSB</t>
  </si>
  <si>
    <t>ACMB-136-R01-BO</t>
  </si>
  <si>
    <t>ACMB-136-RR01-BO</t>
  </si>
  <si>
    <t>ACMB-136-R01-BOA</t>
  </si>
  <si>
    <t>ACMB-136-RR01-BOA</t>
  </si>
  <si>
    <t>ACMB-136-R01-BOB</t>
  </si>
  <si>
    <t>ACMB-136-RR01-BOB</t>
  </si>
  <si>
    <t>ACMB-136-V02-MS</t>
  </si>
  <si>
    <t>ACMB-136-V03-MS</t>
  </si>
  <si>
    <t>ACMB-136-V02-MSA</t>
  </si>
  <si>
    <t>ACMB-136-V03-MSA</t>
  </si>
  <si>
    <t>ACMB-136-V02-MSB</t>
  </si>
  <si>
    <t>ACMB-136-V03-MSB</t>
  </si>
  <si>
    <t>ACMB-136-R02-BO</t>
  </si>
  <si>
    <t>ACMB-136-RR02-BO</t>
  </si>
  <si>
    <t>ACMB-136-R02-BOA</t>
  </si>
  <si>
    <t>ACMB-136-RR02-BOA</t>
  </si>
  <si>
    <t>ACMB-136-R02-BOB</t>
  </si>
  <si>
    <t>ACMB-136-RR02-BOB</t>
  </si>
  <si>
    <t>ACMB-136-V04-MS</t>
  </si>
  <si>
    <t>ACMB-136-V05-MS</t>
  </si>
  <si>
    <t>ACMB-136-V04-MSA</t>
  </si>
  <si>
    <t>ACMB-136-V05-MSA</t>
  </si>
  <si>
    <t>ACMB-136-V04-MSB</t>
  </si>
  <si>
    <t>ACMB-136-V05-MSB</t>
  </si>
  <si>
    <t>ACMB-136-R03-BO</t>
  </si>
  <si>
    <t>ACMB-136-RR03-BO</t>
  </si>
  <si>
    <t>ACMB-136-R03-BOA</t>
  </si>
  <si>
    <t>ACMB-136-RR03-BOA</t>
  </si>
  <si>
    <t>ACMB-136-R03-BOB</t>
  </si>
  <si>
    <t>ACMB-136-RR03-BOB</t>
  </si>
  <si>
    <t>ACMB-136-V06-MS</t>
  </si>
  <si>
    <t>ACMB-136-V07-MS</t>
  </si>
  <si>
    <t>ACMB-136-V06-MSA</t>
  </si>
  <si>
    <t>ACMB-136-V07-MSA</t>
  </si>
  <si>
    <t>ACMB-136-V06-MSB</t>
  </si>
  <si>
    <t>ACMB-136-V07-MSB</t>
  </si>
  <si>
    <t>ACMB-136-R04-BO</t>
  </si>
  <si>
    <t>ACMB-136-RR04-BO</t>
  </si>
  <si>
    <t>ACMB-136-R04-BOA</t>
  </si>
  <si>
    <t>ACMB-136-RR04-BOA</t>
  </si>
  <si>
    <t>ACMB-136-R04-BOB</t>
  </si>
  <si>
    <t>ACMB-136-RR04-BOB</t>
  </si>
  <si>
    <t>ACMB-136-V08-MS</t>
  </si>
  <si>
    <t>ACMB-136-V09-MS</t>
  </si>
  <si>
    <t>ACMB-136-V08-MSA</t>
  </si>
  <si>
    <t>ACMB-136-V09-MSA</t>
  </si>
  <si>
    <t>ACMB-136-V08-MSB</t>
  </si>
  <si>
    <t>ACMB-136-V09-MSB</t>
  </si>
  <si>
    <t>ACMB-136-R05-BO</t>
  </si>
  <si>
    <t>ACMB-136-RR05-BO</t>
  </si>
  <si>
    <t>ACMB-136-R05-BOA</t>
  </si>
  <si>
    <t>ACMB-136-RR05-BOA</t>
  </si>
  <si>
    <t>ACMB-136-R05-BOB</t>
  </si>
  <si>
    <t>ACMB-136-RR05-BOB</t>
  </si>
  <si>
    <t>ACMB-136-V10-MS</t>
  </si>
  <si>
    <t>ACMB-136-V11-MS</t>
  </si>
  <si>
    <t>ACMB-136-V10-MSA</t>
  </si>
  <si>
    <t>ACMB-136-V11-MSA</t>
  </si>
  <si>
    <t>ACMB-136-V10-MSB</t>
  </si>
  <si>
    <t>ACMB-136-V11-MSB</t>
  </si>
  <si>
    <t>ACMB-136-R06-BO</t>
  </si>
  <si>
    <t>ACMB-136-RR06-BO</t>
  </si>
  <si>
    <t>ACMB-136-R06-BOA</t>
  </si>
  <si>
    <t>ACMB-136-RR06-BOA</t>
  </si>
  <si>
    <t>ACMB-136-R06-BOB</t>
  </si>
  <si>
    <t>ACMB-136-RR06-BOB</t>
  </si>
  <si>
    <t>ACMB-136-V12-MS</t>
  </si>
  <si>
    <t>ACMB-136-V13-MS</t>
  </si>
  <si>
    <t>ACMB-136-V12-MSA</t>
  </si>
  <si>
    <t>ACMB-136-V13-MSA</t>
  </si>
  <si>
    <t>ACMB-136-V12-MSB</t>
  </si>
  <si>
    <t>ACMB-136-V13-MSB</t>
  </si>
  <si>
    <t>ACMB-136-R07-BO</t>
  </si>
  <si>
    <t>ACMB-136-RR07-BO</t>
  </si>
  <si>
    <t>ACMB-136-R07-BOA</t>
  </si>
  <si>
    <t>ACMB-136-RR07-BOA</t>
  </si>
  <si>
    <t>ACMB-136-R07-BOB</t>
  </si>
  <si>
    <t>ACMB-136-RR07-BOB</t>
  </si>
  <si>
    <t>ACMB-136-V14-MS</t>
  </si>
  <si>
    <t>ACMB-136-V15-MS</t>
  </si>
  <si>
    <t>ACMB-136-V14-MSA</t>
  </si>
  <si>
    <t>ACMB-136-V15-MSA</t>
  </si>
  <si>
    <t>ACMB-136-V14-MSB</t>
  </si>
  <si>
    <t>ACMB-136-V15-MSB</t>
  </si>
  <si>
    <t>ACMB-137-R01-BO</t>
  </si>
  <si>
    <t>ACMB-137-RR01-BO</t>
  </si>
  <si>
    <t>ACMB-137-R01-BOA</t>
  </si>
  <si>
    <t>ACMB-137-RR01-BOA</t>
  </si>
  <si>
    <t>ACMB-137-R01-BOB</t>
  </si>
  <si>
    <t>ACMB-137-RR01-BOB</t>
  </si>
  <si>
    <t>ACMB-137-V02-MS</t>
  </si>
  <si>
    <t>ACMB-137-V03-MS</t>
  </si>
  <si>
    <t>ACMB-137-V02-MSA</t>
  </si>
  <si>
    <t>ACMB-137-V03-MSA</t>
  </si>
  <si>
    <t>ACMB-137-V02-MSB</t>
  </si>
  <si>
    <t>ACMB-137-V03-MSB</t>
  </si>
  <si>
    <t>ACMB-137-R02-BO</t>
  </si>
  <si>
    <t>ACMB-137-RR02-BO</t>
  </si>
  <si>
    <t>ACMB-137-R02-BOA</t>
  </si>
  <si>
    <t>ACMB-137-RR02-BOA</t>
  </si>
  <si>
    <t>ACMB-137-R02-BOB</t>
  </si>
  <si>
    <t>ACMB-137-RR02-BOB</t>
  </si>
  <si>
    <t>ACMB-137-V04-MS</t>
  </si>
  <si>
    <t>ACMB-137-V05-MS</t>
  </si>
  <si>
    <t>ACMB-137-V04-MSA</t>
  </si>
  <si>
    <t>ACMB-137-V05-MSA</t>
  </si>
  <si>
    <t>ACMB-137-V04-MSB</t>
  </si>
  <si>
    <t>ACMB-137-V05-MSB</t>
  </si>
  <si>
    <t>ACMB-137-R03-BO</t>
  </si>
  <si>
    <t>ACMB-137-RR03-BO</t>
  </si>
  <si>
    <t>ACMB-137-R03-BOA</t>
  </si>
  <si>
    <t>ACMB-137-RR03-BOA</t>
  </si>
  <si>
    <t>ACMB-137-R03-BOB</t>
  </si>
  <si>
    <t>ACMB-137-RR03-BOB</t>
  </si>
  <si>
    <t>ACMB-137-V06-MS</t>
  </si>
  <si>
    <t>ACMB-137-V07-MS</t>
  </si>
  <si>
    <t>ACMB-137-V06-MSA</t>
  </si>
  <si>
    <t>ACMB-137-V07-MSA</t>
  </si>
  <si>
    <t>ACMB-137-V06-MSB</t>
  </si>
  <si>
    <t>ACMB-137-V07-MSB</t>
  </si>
  <si>
    <t>ACMB-137-R04-BO</t>
  </si>
  <si>
    <t>ACMB-137-RR04-BO</t>
  </si>
  <si>
    <t>ACMB-137-R04-BOA</t>
  </si>
  <si>
    <t>ACMB-137-RR04-BOA</t>
  </si>
  <si>
    <t>ACMB-137-R04-BOB</t>
  </si>
  <si>
    <t>ACMB-137-RR04-BOB</t>
  </si>
  <si>
    <t>ACMB-137-V08-MS</t>
  </si>
  <si>
    <t>ACMB-137-V09-MS</t>
  </si>
  <si>
    <t>ACMB-137-V08-MSA</t>
  </si>
  <si>
    <t>ACMB-137-V09-MSA</t>
  </si>
  <si>
    <t>ACMB-137-V08-MSB</t>
  </si>
  <si>
    <t>ACMB-137-V09-MSB</t>
  </si>
  <si>
    <t>ACMB-137-R05-BO</t>
  </si>
  <si>
    <t>ACMB-137-RR05-BO</t>
  </si>
  <si>
    <t>ACMB-137-R05-BOA</t>
  </si>
  <si>
    <t>ACMB-137-RR05-BOA</t>
  </si>
  <si>
    <t>ACMB-137-R05-BOB</t>
  </si>
  <si>
    <t>ACMB-137-RR05-BOB</t>
  </si>
  <si>
    <t>ACMB-137-V10-MS</t>
  </si>
  <si>
    <t>ACMB-137-V11-MS</t>
  </si>
  <si>
    <t>ACMB-137-V10-MSA</t>
  </si>
  <si>
    <t>ACMB-137-V11-MSA</t>
  </si>
  <si>
    <t>ACMB-137-V10-MSB</t>
  </si>
  <si>
    <t>ACMB-137-V11-MSB</t>
  </si>
  <si>
    <t>ACMB-137-R06-BO</t>
  </si>
  <si>
    <t>ACMB-137-RR06-BO</t>
  </si>
  <si>
    <t>ACMB-137-R06-BOA</t>
  </si>
  <si>
    <t>ACMB-137-RR06-BOA</t>
  </si>
  <si>
    <t>ACMB-137-R06-BOB</t>
  </si>
  <si>
    <t>ACMB-137-RR06-BOB</t>
  </si>
  <si>
    <t>ACMB-137-V12-MS</t>
  </si>
  <si>
    <t>ACMB-137-V13-MS</t>
  </si>
  <si>
    <t>ACMB-137-V12-MSA</t>
  </si>
  <si>
    <t>ACMB-137-V13-MSA</t>
  </si>
  <si>
    <t>ACMB-137-V12-MSB</t>
  </si>
  <si>
    <t>ACMB-137-V13-MSB</t>
  </si>
  <si>
    <t>ACMB-137-R07-BO</t>
  </si>
  <si>
    <t>ACMB-137-RR07-BO</t>
  </si>
  <si>
    <t>ACMB-137-R07-BOA</t>
  </si>
  <si>
    <t>ACMB-137-RR07-BOA</t>
  </si>
  <si>
    <t>ACMB-137-R07-BOB</t>
  </si>
  <si>
    <t>ACMB-137-RR07-BOB</t>
  </si>
  <si>
    <t>ACMB-137-V14-MS</t>
  </si>
  <si>
    <t>ACMB-137-V15-MS</t>
  </si>
  <si>
    <t>ACMB-137-V14-MSA</t>
  </si>
  <si>
    <t>ACMB-137-V15-MSA</t>
  </si>
  <si>
    <t>ACMB-137-V14-MSB</t>
  </si>
  <si>
    <t>ACMB-137-V15-MSB</t>
  </si>
  <si>
    <t>ACMB-138-R01-BO</t>
  </si>
  <si>
    <t>ACMB-138-RR01-BO</t>
  </si>
  <si>
    <t>ACMB-138-R01-BOA</t>
  </si>
  <si>
    <t>ACMB-138-RR01-BOA</t>
  </si>
  <si>
    <t>ACMB-138-R01-BOB</t>
  </si>
  <si>
    <t>ACMB-138-RR01-BOB</t>
  </si>
  <si>
    <t>ACMB-138-V02-MS</t>
  </si>
  <si>
    <t>ACMB-138-V03-MS</t>
  </si>
  <si>
    <t>ACMB-138-V02-MSA</t>
  </si>
  <si>
    <t>ACMB-138-V03-MSA</t>
  </si>
  <si>
    <t>ACMB-138-V02-MSB</t>
  </si>
  <si>
    <t>ACMB-138-V03-MSB</t>
  </si>
  <si>
    <t>ACMB-138-R02-BO</t>
  </si>
  <si>
    <t>ACMB-138-RR02-BO</t>
  </si>
  <si>
    <t>ACMB-138-R02-BOA</t>
  </si>
  <si>
    <t>ACMB-138-RR02-BOA</t>
  </si>
  <si>
    <t>ACMB-138-R02-BOB</t>
  </si>
  <si>
    <t>ACMB-138-RR02-BOB</t>
  </si>
  <si>
    <t>ACMB-138-V04-MS</t>
  </si>
  <si>
    <t>ACMB-138-V05-MS</t>
  </si>
  <si>
    <t>ACMB-138-V04-MSA</t>
  </si>
  <si>
    <t>ACMB-138-V05-MSA</t>
  </si>
  <si>
    <t>ACMB-138-V04-MSB</t>
  </si>
  <si>
    <t>ACMB-138-V05-MSB</t>
  </si>
  <si>
    <t>ACMB-138-R03-BO</t>
  </si>
  <si>
    <t>ACMB-138-RR03-BO</t>
  </si>
  <si>
    <t>ACMB-138-R03-BOA</t>
  </si>
  <si>
    <t>ACMB-138-RR03-BOA</t>
  </si>
  <si>
    <t>ACMB-138-R03-BOB</t>
  </si>
  <si>
    <t>ACMB-138-RR03-BOB</t>
  </si>
  <si>
    <t>ACMB-138-V06-MS</t>
  </si>
  <si>
    <t>ACMB-138-V07-MS</t>
  </si>
  <si>
    <t>ACMB-138-V06-MSA</t>
  </si>
  <si>
    <t>ACMB-138-V07-MSA</t>
  </si>
  <si>
    <t>ACMB-138-V06-MSB</t>
  </si>
  <si>
    <t>ACMB-138-V07-MSB</t>
  </si>
  <si>
    <t>ACMB-138-R04-BO</t>
  </si>
  <si>
    <t>ACMB-138-RR04-BO</t>
  </si>
  <si>
    <t>ACMB-138-R04-BOA</t>
  </si>
  <si>
    <t>ACMB-138-RR04-BOA</t>
  </si>
  <si>
    <t>ACMB-138-R04-BOB</t>
  </si>
  <si>
    <t>ACMB-138-RR04-BOB</t>
  </si>
  <si>
    <t>ACMB-138-V08-MS</t>
  </si>
  <si>
    <t>ACMB-138-V09-MS</t>
  </si>
  <si>
    <t>ACMB-138-V08-MSA</t>
  </si>
  <si>
    <t>ACMB-138-V09-MSA</t>
  </si>
  <si>
    <t>ACMB-138-V08-MSB</t>
  </si>
  <si>
    <t>ACMB-138-V09-MSB</t>
  </si>
  <si>
    <t>ACMB-138-R05-BO</t>
  </si>
  <si>
    <t>ACMB-138-RR05-BO</t>
  </si>
  <si>
    <t>ACMB-138-R05-BOA</t>
  </si>
  <si>
    <t>ACMB-138-RR05-BOA</t>
  </si>
  <si>
    <t>ACMB-138-R05-BOB</t>
  </si>
  <si>
    <t>ACMB-138-RR05-BOB</t>
  </si>
  <si>
    <t>ACMB-138-V10-MS</t>
  </si>
  <si>
    <t>ACMB-138-V11-MS</t>
  </si>
  <si>
    <t>ACMB-138-V10-MSA</t>
  </si>
  <si>
    <t>ACMB-138-V11-MSA</t>
  </si>
  <si>
    <t>ACMB-138-V10-MSB</t>
  </si>
  <si>
    <t>ACMB-138-V11-MSB</t>
  </si>
  <si>
    <t>ACMB-138-R06-BO</t>
  </si>
  <si>
    <t>ACMB-138-RR06-BO</t>
  </si>
  <si>
    <t>ACMB-138-R06-BOA</t>
  </si>
  <si>
    <t>ACMB-138-RR06-BOA</t>
  </si>
  <si>
    <t>ACMB-138-R06-BOB</t>
  </si>
  <si>
    <t>ACMB-138-RR06-BOB</t>
  </si>
  <si>
    <t>ACMB-138-V12-MS</t>
  </si>
  <si>
    <t>ACMB-138-V13-MS</t>
  </si>
  <si>
    <t>ACMB-138-V12-MSA</t>
  </si>
  <si>
    <t>ACMB-138-V13-MSA</t>
  </si>
  <si>
    <t>ACMB-138-V12-MSB</t>
  </si>
  <si>
    <t>ACMB-138-V13-MSB</t>
  </si>
  <si>
    <t>ACMB-138-R07-BO</t>
  </si>
  <si>
    <t>ACMB-138-RR07-BO</t>
  </si>
  <si>
    <t>ACMB-138-R07-BOA</t>
  </si>
  <si>
    <t>ACMB-138-RR07-BOA</t>
  </si>
  <si>
    <t>ACMB-138-R07-BOB</t>
  </si>
  <si>
    <t>ACMB-138-RR07-BOB</t>
  </si>
  <si>
    <t>ACMB-138-V14-MS</t>
  </si>
  <si>
    <t>ACMB-138-V15-MS</t>
  </si>
  <si>
    <t>ACMB-138-V14-MSA</t>
  </si>
  <si>
    <t>ACMB-138-V15-MSA</t>
  </si>
  <si>
    <t>ACMB-138-V14-MSB</t>
  </si>
  <si>
    <t>ACMB-138-V15-MSB</t>
  </si>
  <si>
    <t>ACMB-139-R01-BO</t>
  </si>
  <si>
    <t>ACMB-139-RR01-BO</t>
  </si>
  <si>
    <t>ACMB-139-R01-BOA</t>
  </si>
  <si>
    <t>ACMB-139-RR01-BOA</t>
  </si>
  <si>
    <t>ACMB-139-R01-BOB</t>
  </si>
  <si>
    <t>ACMB-139-RR01-BOB</t>
  </si>
  <si>
    <t>ACMB-139-V02-MS</t>
  </si>
  <si>
    <t>ACMB-139-V03-MS</t>
  </si>
  <si>
    <t>ACMB-139-V02-MSA</t>
  </si>
  <si>
    <t>ACMB-139-V03-MSA</t>
  </si>
  <si>
    <t>ACMB-139-V02-MSB</t>
  </si>
  <si>
    <t>ACMB-139-V03-MSB</t>
  </si>
  <si>
    <t>ACMB-139-R02-BO</t>
  </si>
  <si>
    <t>ACMB-139-RR02-BO</t>
  </si>
  <si>
    <t>ACMB-139-R02-BOA</t>
  </si>
  <si>
    <t>ACMB-139-RR02-BOA</t>
  </si>
  <si>
    <t>ACMB-139-R02-BOB</t>
  </si>
  <si>
    <t>ACMB-139-RR02-BOB</t>
  </si>
  <si>
    <t>ACMB-139-V04-MS</t>
  </si>
  <si>
    <t>ACMB-139-V05-MS</t>
  </si>
  <si>
    <t>ACMB-139-V04-MSA</t>
  </si>
  <si>
    <t>ACMB-139-V05-MSA</t>
  </si>
  <si>
    <t>ACMB-139-V04-MSB</t>
  </si>
  <si>
    <t>ACMB-139-V05-MSB</t>
  </si>
  <si>
    <t>ACMB-139-R03-BO</t>
  </si>
  <si>
    <t>ACMB-139-RR03-BO</t>
  </si>
  <si>
    <t>ACMB-139-R03-BOA</t>
  </si>
  <si>
    <t>ACMB-139-RR03-BOA</t>
  </si>
  <si>
    <t>ACMB-139-R03-BOB</t>
  </si>
  <si>
    <t>ACMB-139-RR03-BOB</t>
  </si>
  <si>
    <t>ACMB-139-V06-MS</t>
  </si>
  <si>
    <t>ACMB-139-V07-MS</t>
  </si>
  <si>
    <t>ACMB-139-V06-MSA</t>
  </si>
  <si>
    <t>ACMB-139-V07-MSA</t>
  </si>
  <si>
    <t>ACMB-139-V06-MSB</t>
  </si>
  <si>
    <t>ACMB-139-V07-MSB</t>
  </si>
  <si>
    <t>ACMB-139-R04-BO</t>
  </si>
  <si>
    <t>ACMB-139-RR04-BO</t>
  </si>
  <si>
    <t>ACMB-139-R04-BOA</t>
  </si>
  <si>
    <t>ACMB-139-RR04-BOA</t>
  </si>
  <si>
    <t>ACMB-139-R04-BOB</t>
  </si>
  <si>
    <t>ACMB-139-RR04-BOB</t>
  </si>
  <si>
    <t>ACMB-139-V08-MS</t>
  </si>
  <si>
    <t>ACMB-139-V09-MS</t>
  </si>
  <si>
    <t>ACMB-139-V08-MSA</t>
  </si>
  <si>
    <t>ACMB-139-V09-MSA</t>
  </si>
  <si>
    <t>ACMB-139-V08-MSB</t>
  </si>
  <si>
    <t>ACMB-139-V09-MSB</t>
  </si>
  <si>
    <t>ACMB-139-R05-BO</t>
  </si>
  <si>
    <t>ACMB-139-RR05-BO</t>
  </si>
  <si>
    <t>ACMB-139-R05-BOA</t>
  </si>
  <si>
    <t>ACMB-139-RR05-BOA</t>
  </si>
  <si>
    <t>ACMB-139-R05-BOB</t>
  </si>
  <si>
    <t>ACMB-139-RR05-BOB</t>
  </si>
  <si>
    <t>ACMB-139-V10-MS</t>
  </si>
  <si>
    <t>ACMB-139-V11-MS</t>
  </si>
  <si>
    <t>ACMB-139-V10-MSA</t>
  </si>
  <si>
    <t>ACMB-139-V11-MSA</t>
  </si>
  <si>
    <t>ACMB-139-V10-MSB</t>
  </si>
  <si>
    <t>ACMB-139-V11-MSB</t>
  </si>
  <si>
    <t>ACMB-139-R06-BO</t>
  </si>
  <si>
    <t>ACMB-139-RR06-BO</t>
  </si>
  <si>
    <t>ACMB-139-R06-BOA</t>
  </si>
  <si>
    <t>ACMB-139-RR06-BOA</t>
  </si>
  <si>
    <t>ACMB-139-R06-BOB</t>
  </si>
  <si>
    <t>ACMB-139-RR06-BOB</t>
  </si>
  <si>
    <t>ACMB-139-V12-MS</t>
  </si>
  <si>
    <t>ACMB-139-V13-MS</t>
  </si>
  <si>
    <t>ACMB-139-V12-MSA</t>
  </si>
  <si>
    <t>ACMB-139-V13-MSA</t>
  </si>
  <si>
    <t>ACMB-139-V12-MSB</t>
  </si>
  <si>
    <t>ACMB-139-V13-MSB</t>
  </si>
  <si>
    <t>ACMB-139-R07-BO</t>
  </si>
  <si>
    <t>ACMB-139-RR07-BO</t>
  </si>
  <si>
    <t>ACMB-139-R07-BOA</t>
  </si>
  <si>
    <t>ACMB-139-RR07-BOA</t>
  </si>
  <si>
    <t>ACMB-139-R07-BOB</t>
  </si>
  <si>
    <t>ACMB-139-RR07-BOB</t>
  </si>
  <si>
    <t>ACMB-139-V14-MS</t>
  </si>
  <si>
    <t>ACMB-139-V15-MS</t>
  </si>
  <si>
    <t>ACMB-139-V14-MSA</t>
  </si>
  <si>
    <t>ACMB-139-V15-MSA</t>
  </si>
  <si>
    <t>ACMB-139-V14-MSB</t>
  </si>
  <si>
    <t>ACMB-139-V15-MSB</t>
  </si>
  <si>
    <t>ACMB-140-R01-BO</t>
  </si>
  <si>
    <t>ACMB-140-RR01-BO</t>
  </si>
  <si>
    <t>ACMB-140-R01-BOA</t>
  </si>
  <si>
    <t>ACMB-140-RR01-BOA</t>
  </si>
  <si>
    <t>ACMB-140-R01-BOB</t>
  </si>
  <si>
    <t>ACMB-140-RR01-BOB</t>
  </si>
  <si>
    <t>ACMB-140-V02-MS</t>
  </si>
  <si>
    <t>ACMB-140-V03-MS</t>
  </si>
  <si>
    <t>ACMB-140-V02-MSA</t>
  </si>
  <si>
    <t>ACMB-140-V03-MSA</t>
  </si>
  <si>
    <t>ACMB-140-V02-MSB</t>
  </si>
  <si>
    <t>ACMB-140-V03-MSB</t>
  </si>
  <si>
    <t>ACMB-140-R02-BO</t>
  </si>
  <si>
    <t>ACMB-140-RR02-BO</t>
  </si>
  <si>
    <t>ACMB-140-R02-BOA</t>
  </si>
  <si>
    <t>ACMB-140-RR02-BOA</t>
  </si>
  <si>
    <t>ACMB-140-R02-BOB</t>
  </si>
  <si>
    <t>ACMB-140-RR02-BOB</t>
  </si>
  <si>
    <t>ACMB-140-V04-MS</t>
  </si>
  <si>
    <t>ACMB-140-V05-MS</t>
  </si>
  <si>
    <t>ACMB-140-V04-MSA</t>
  </si>
  <si>
    <t>ACMB-140-V05-MSA</t>
  </si>
  <si>
    <t>ACMB-140-V04-MSB</t>
  </si>
  <si>
    <t>ACMB-140-V05-MSB</t>
  </si>
  <si>
    <t>ACMB-140-R03-BO</t>
  </si>
  <si>
    <t>ACMB-140-RR03-BO</t>
  </si>
  <si>
    <t>ACMB-140-R03-BOA</t>
  </si>
  <si>
    <t>ACMB-140-RR03-BOA</t>
  </si>
  <si>
    <t>ACMB-140-R03-BOB</t>
  </si>
  <si>
    <t>ACMB-140-RR03-BOB</t>
  </si>
  <si>
    <t>ACMB-140-V06-MS</t>
  </si>
  <si>
    <t>ACMB-140-V07-MS</t>
  </si>
  <si>
    <t>ACMB-140-V06-MSA</t>
  </si>
  <si>
    <t>ACMB-140-V07-MSA</t>
  </si>
  <si>
    <t>ACMB-140-V06-MSB</t>
  </si>
  <si>
    <t>ACMB-140-V07-MSB</t>
  </si>
  <si>
    <t>ACMB-140-R04-BO</t>
  </si>
  <si>
    <t>ACMB-140-RR04-BO</t>
  </si>
  <si>
    <t>ACMB-140-R04-BOA</t>
  </si>
  <si>
    <t>ACMB-140-RR04-BOA</t>
  </si>
  <si>
    <t>ACMB-140-R04-BOB</t>
  </si>
  <si>
    <t>ACMB-140-RR04-BOB</t>
  </si>
  <si>
    <t>ACMB-140-V08-MS</t>
  </si>
  <si>
    <t>ACMB-140-V09-MS</t>
  </si>
  <si>
    <t>ACMB-140-V08-MSA</t>
  </si>
  <si>
    <t>ACMB-140-V09-MSA</t>
  </si>
  <si>
    <t>ACMB-140-V08-MSB</t>
  </si>
  <si>
    <t>ACMB-140-V09-MSB</t>
  </si>
  <si>
    <t>ACMB-140-R05-BO</t>
  </si>
  <si>
    <t>ACMB-140-RR05-BO</t>
  </si>
  <si>
    <t>ACMB-140-R05-BOA</t>
  </si>
  <si>
    <t>ACMB-140-RR05-BOA</t>
  </si>
  <si>
    <t>ACMB-140-R05-BOB</t>
  </si>
  <si>
    <t>ACMB-140-RR05-BOB</t>
  </si>
  <si>
    <t>ACMB-140-V10-MS</t>
  </si>
  <si>
    <t>ACMB-140-V11-MS</t>
  </si>
  <si>
    <t>ACMB-140-V10-MSA</t>
  </si>
  <si>
    <t>ACMB-140-V11-MSA</t>
  </si>
  <si>
    <t>ACMB-140-V10-MSB</t>
  </si>
  <si>
    <t>ACMB-140-V11-MSB</t>
  </si>
  <si>
    <t>ACMB-140-R06-BO</t>
  </si>
  <si>
    <t>ACMB-140-RR06-BO</t>
  </si>
  <si>
    <t>ACMB-140-R06-BOA</t>
  </si>
  <si>
    <t>ACMB-140-RR06-BOA</t>
  </si>
  <si>
    <t>ACMB-140-R06-BOB</t>
  </si>
  <si>
    <t>ACMB-140-RR06-BOB</t>
  </si>
  <si>
    <t>ACMB-140-V12-MS</t>
  </si>
  <si>
    <t>ACMB-140-V13-MS</t>
  </si>
  <si>
    <t>ACMB-140-V12-MSA</t>
  </si>
  <si>
    <t>ACMB-140-V13-MSA</t>
  </si>
  <si>
    <t>ACMB-140-V12-MSB</t>
  </si>
  <si>
    <t>ACMB-140-V13-MSB</t>
  </si>
  <si>
    <t>ACMB-140-R07-BO</t>
  </si>
  <si>
    <t>ACMB-140-RR07-BO</t>
  </si>
  <si>
    <t>ACMB-140-R07-BOA</t>
  </si>
  <si>
    <t>ACMB-140-RR07-BOA</t>
  </si>
  <si>
    <t>ACMB-140-R07-BOB</t>
  </si>
  <si>
    <t>ACMB-140-RR07-BOB</t>
  </si>
  <si>
    <t>ACMB-140-V14-MS</t>
  </si>
  <si>
    <t>ACMB-140-V15-MS</t>
  </si>
  <si>
    <t>ACMB-140-V14-MSA</t>
  </si>
  <si>
    <t>ACMB-140-V15-MSA</t>
  </si>
  <si>
    <t>ACMB-140-V14-MSB</t>
  </si>
  <si>
    <t>ACMB-140-V15-MSB</t>
  </si>
  <si>
    <t>ACMB-141-R01-BO</t>
  </si>
  <si>
    <t>ACMB-141-RR01-BO</t>
  </si>
  <si>
    <t>ACMB-141-R01-BOA</t>
  </si>
  <si>
    <t>ACMB-141-RR01-BOA</t>
  </si>
  <si>
    <t>ACMB-141-R01-BOB</t>
  </si>
  <si>
    <t>ACMB-141-RR01-BOB</t>
  </si>
  <si>
    <t>ACMB-141-V02-MS</t>
  </si>
  <si>
    <t>ACMB-141-V03-MS</t>
  </si>
  <si>
    <t>ACMB-141-V02-MSA</t>
  </si>
  <si>
    <t>ACMB-141-V03-MSA</t>
  </si>
  <si>
    <t>ACMB-141-V02-MSB</t>
  </si>
  <si>
    <t>ACMB-141-V03-MSB</t>
  </si>
  <si>
    <t>ACMB-141-R02-BO</t>
  </si>
  <si>
    <t>ACMB-141-RR02-BO</t>
  </si>
  <si>
    <t>ACMB-141-R02-BOA</t>
  </si>
  <si>
    <t>ACMB-141-RR02-BOA</t>
  </si>
  <si>
    <t>ACMB-141-R02-BOB</t>
  </si>
  <si>
    <t>ACMB-141-RR02-BOB</t>
  </si>
  <si>
    <t>ACMB-141-V04-MS</t>
  </si>
  <si>
    <t>ACMB-141-V05-MS</t>
  </si>
  <si>
    <t>ACMB-141-V04-MSA</t>
  </si>
  <si>
    <t>ACMB-141-V05-MSA</t>
  </si>
  <si>
    <t>ACMB-141-V04-MSB</t>
  </si>
  <si>
    <t>ACMB-141-V05-MSB</t>
  </si>
  <si>
    <t>ACMB-141-R03-BO</t>
  </si>
  <si>
    <t>ACMB-141-RR03-BO</t>
  </si>
  <si>
    <t>ACMB-141-R03-BOA</t>
  </si>
  <si>
    <t>ACMB-141-RR03-BOA</t>
  </si>
  <si>
    <t>ACMB-141-R03-BOB</t>
  </si>
  <si>
    <t>ACMB-141-RR03-BOB</t>
  </si>
  <si>
    <t>ACMB-141-V06-MS</t>
  </si>
  <si>
    <t>ACMB-141-V07-MS</t>
  </si>
  <si>
    <t>ACMB-141-V06-MSA</t>
  </si>
  <si>
    <t>ACMB-141-V07-MSA</t>
  </si>
  <si>
    <t>ACMB-141-V06-MSB</t>
  </si>
  <si>
    <t>ACMB-141-V07-MSB</t>
  </si>
  <si>
    <t>ACMB-141-R04-BO</t>
  </si>
  <si>
    <t>ACMB-141-RR04-BO</t>
  </si>
  <si>
    <t>ACMB-141-R04-BOA</t>
  </si>
  <si>
    <t>ACMB-141-RR04-BOA</t>
  </si>
  <si>
    <t>ACMB-141-R04-BOB</t>
  </si>
  <si>
    <t>ACMB-141-RR04-BOB</t>
  </si>
  <si>
    <t>ACMB-141-V08-MS</t>
  </si>
  <si>
    <t>ACMB-141-V09-MS</t>
  </si>
  <si>
    <t>ACMB-141-V08-MSA</t>
  </si>
  <si>
    <t>ACMB-141-V09-MSA</t>
  </si>
  <si>
    <t>ACMB-141-V08-MSB</t>
  </si>
  <si>
    <t>ACMB-141-V09-MSB</t>
  </si>
  <si>
    <t>ACMB-141-R05-BO</t>
  </si>
  <si>
    <t>ACMB-141-RR05-BO</t>
  </si>
  <si>
    <t>ACMB-141-R05-BOA</t>
  </si>
  <si>
    <t>ACMB-141-RR05-BOA</t>
  </si>
  <si>
    <t>ACMB-141-R05-BOB</t>
  </si>
  <si>
    <t>ACMB-141-RR05-BOB</t>
  </si>
  <si>
    <t>ACMB-141-V10-MS</t>
  </si>
  <si>
    <t>ACMB-141-V11-MS</t>
  </si>
  <si>
    <t>ACMB-141-V10-MSA</t>
  </si>
  <si>
    <t>ACMB-141-V11-MSA</t>
  </si>
  <si>
    <t>ACMB-141-V10-MSB</t>
  </si>
  <si>
    <t>ACMB-141-V11-MSB</t>
  </si>
  <si>
    <t>ACMB-141-R06-BO</t>
  </si>
  <si>
    <t>ACMB-141-RR06-BO</t>
  </si>
  <si>
    <t>ACMB-141-R06-BOA</t>
  </si>
  <si>
    <t>ACMB-141-RR06-BOA</t>
  </si>
  <si>
    <t>ACMB-141-R06-BOB</t>
  </si>
  <si>
    <t>ACMB-141-RR06-BOB</t>
  </si>
  <si>
    <t>ACMB-141-V12-MS</t>
  </si>
  <si>
    <t>ACMB-141-V13-MS</t>
  </si>
  <si>
    <t>ACMB-141-V12-MSA</t>
  </si>
  <si>
    <t>ACMB-141-V13-MSA</t>
  </si>
  <si>
    <t>ACMB-141-V12-MSB</t>
  </si>
  <si>
    <t>ACMB-141-V13-MSB</t>
  </si>
  <si>
    <t>ACMB-141-R07-BO</t>
  </si>
  <si>
    <t>ACMB-141-RR07-BO</t>
  </si>
  <si>
    <t>ACMB-141-R07-BOA</t>
  </si>
  <si>
    <t>ACMB-141-RR07-BOA</t>
  </si>
  <si>
    <t>ACMB-141-R07-BOB</t>
  </si>
  <si>
    <t>ACMB-141-RR07-BOB</t>
  </si>
  <si>
    <t>ACMB-141-V14-MS</t>
  </si>
  <si>
    <t>ACMB-141-V15-MS</t>
  </si>
  <si>
    <t>ACMB-141-V14-MSA</t>
  </si>
  <si>
    <t>ACMB-141-V15-MSA</t>
  </si>
  <si>
    <t>ACMB-141-V14-MSB</t>
  </si>
  <si>
    <t>ACMB-141-V15-MSB</t>
  </si>
  <si>
    <t>ACMB-142-R01-BO</t>
  </si>
  <si>
    <t>ACMB-142-RR01-BO</t>
  </si>
  <si>
    <t>ACMB-142-R01-BOA</t>
  </si>
  <si>
    <t>ACMB-142-RR01-BOA</t>
  </si>
  <si>
    <t>ACMB-142-R01-BOB</t>
  </si>
  <si>
    <t>ACMB-142-RR01-BOB</t>
  </si>
  <si>
    <t>ACMB-142-V02-MS</t>
  </si>
  <si>
    <t>ACMB-142-V03-MS</t>
  </si>
  <si>
    <t>ACMB-142-V02-MSA</t>
  </si>
  <si>
    <t>ACMB-142-V03-MSA</t>
  </si>
  <si>
    <t>ACMB-142-V02-MSB</t>
  </si>
  <si>
    <t>ACMB-142-V03-MSB</t>
  </si>
  <si>
    <t>ACMB-142-R02-BO</t>
  </si>
  <si>
    <t>ACMB-142-RR02-BO</t>
  </si>
  <si>
    <t>ACMB-142-R02-BOA</t>
  </si>
  <si>
    <t>ACMB-142-RR02-BOA</t>
  </si>
  <si>
    <t>ACMB-142-R02-BOB</t>
  </si>
  <si>
    <t>ACMB-142-RR02-BOB</t>
  </si>
  <si>
    <t>ACMB-142-V04-MS</t>
  </si>
  <si>
    <t>ACMB-142-V05-MS</t>
  </si>
  <si>
    <t>ACMB-142-V04-MSA</t>
  </si>
  <si>
    <t>ACMB-142-V05-MSA</t>
  </si>
  <si>
    <t>ACMB-142-V04-MSB</t>
  </si>
  <si>
    <t>ACMB-142-V05-MSB</t>
  </si>
  <si>
    <t>ACMB-142-R03-BO</t>
  </si>
  <si>
    <t>ACMB-142-RR03-BO</t>
  </si>
  <si>
    <t>ACMB-142-R03-BOA</t>
  </si>
  <si>
    <t>ACMB-142-RR03-BOA</t>
  </si>
  <si>
    <t>ACMB-142-R03-BOB</t>
  </si>
  <si>
    <t>ACMB-142-RR03-BOB</t>
  </si>
  <si>
    <t>ACMB-142-V06-MS</t>
  </si>
  <si>
    <t>ACMB-142-V07-MS</t>
  </si>
  <si>
    <t>ACMB-142-V06-MSA</t>
  </si>
  <si>
    <t>ACMB-142-V07-MSA</t>
  </si>
  <si>
    <t>ACMB-142-V06-MSB</t>
  </si>
  <si>
    <t>ACMB-142-V07-MSB</t>
  </si>
  <si>
    <t>ACMB-142-R04-BO</t>
  </si>
  <si>
    <t>ACMB-142-RR04-BO</t>
  </si>
  <si>
    <t>ACMB-142-R04-BOA</t>
  </si>
  <si>
    <t>ACMB-142-RR04-BOA</t>
  </si>
  <si>
    <t>ACMB-142-R04-BOB</t>
  </si>
  <si>
    <t>ACMB-142-RR04-BOB</t>
  </si>
  <si>
    <t>ACMB-142-V08-MS</t>
  </si>
  <si>
    <t>ACMB-142-V09-MS</t>
  </si>
  <si>
    <t>ACMB-142-V08-MSA</t>
  </si>
  <si>
    <t>ACMB-142-V09-MSA</t>
  </si>
  <si>
    <t>ACMB-142-V08-MSB</t>
  </si>
  <si>
    <t>ACMB-142-V09-MSB</t>
  </si>
  <si>
    <t>ACMB-142-R05-BO</t>
  </si>
  <si>
    <t>ACMB-142-RR05-BO</t>
  </si>
  <si>
    <t>ACMB-142-R05-BOA</t>
  </si>
  <si>
    <t>ACMB-142-RR05-BOA</t>
  </si>
  <si>
    <t>ACMB-142-R05-BOB</t>
  </si>
  <si>
    <t>ACMB-142-RR05-BOB</t>
  </si>
  <si>
    <t>ACMB-142-V10-MS</t>
  </si>
  <si>
    <t>ACMB-142-V11-MS</t>
  </si>
  <si>
    <t>ACMB-142-V10-MSA</t>
  </si>
  <si>
    <t>ACMB-142-V11-MSA</t>
  </si>
  <si>
    <t>ACMB-142-V10-MSB</t>
  </si>
  <si>
    <t>ACMB-142-V11-MSB</t>
  </si>
  <si>
    <t>ACMB-142-R06-BO</t>
  </si>
  <si>
    <t>ACMB-142-RR06-BO</t>
  </si>
  <si>
    <t>ACMB-142-R06-BOA</t>
  </si>
  <si>
    <t>ACMB-142-RR06-BOA</t>
  </si>
  <si>
    <t>ACMB-142-R06-BOB</t>
  </si>
  <si>
    <t>ACMB-142-RR06-BOB</t>
  </si>
  <si>
    <t>ACMB-142-V12-MS</t>
  </si>
  <si>
    <t>ACMB-142-V13-MS</t>
  </si>
  <si>
    <t>ACMB-142-V12-MSA</t>
  </si>
  <si>
    <t>ACMB-142-V13-MSA</t>
  </si>
  <si>
    <t>ACMB-142-V12-MSB</t>
  </si>
  <si>
    <t>ACMB-142-V13-MSB</t>
  </si>
  <si>
    <t>ACMB-142-R07-BO</t>
  </si>
  <si>
    <t>ACMB-142-RR07-BO</t>
  </si>
  <si>
    <t>ACMB-142-R07-BOA</t>
  </si>
  <si>
    <t>ACMB-142-RR07-BOA</t>
  </si>
  <si>
    <t>ACMB-142-R07-BOB</t>
  </si>
  <si>
    <t>ACMB-142-RR07-BOB</t>
  </si>
  <si>
    <t>ACMB-142-V14-MS</t>
  </si>
  <si>
    <t>ACMB-142-V15-MS</t>
  </si>
  <si>
    <t>ACMB-142-V14-MSA</t>
  </si>
  <si>
    <t>ACMB-142-V15-MSA</t>
  </si>
  <si>
    <t>ACMB-142-V14-MSB</t>
  </si>
  <si>
    <t>ACMB-142-V15-MSB</t>
  </si>
  <si>
    <t>ACMB-143-R01-BO</t>
  </si>
  <si>
    <t>ACMB-143-RR01-BO</t>
  </si>
  <si>
    <t>ACMB-143-R01-BOA</t>
  </si>
  <si>
    <t>ACMB-143-RR01-BOA</t>
  </si>
  <si>
    <t>ACMB-143-R01-BOB</t>
  </si>
  <si>
    <t>ACMB-143-RR01-BOB</t>
  </si>
  <si>
    <t>ACMB-143-V02-MS</t>
  </si>
  <si>
    <t>ACMB-143-V03-MS</t>
  </si>
  <si>
    <t>ACMB-143-V02-MSA</t>
  </si>
  <si>
    <t>ACMB-143-V03-MSA</t>
  </si>
  <si>
    <t>ACMB-143-V02-MSB</t>
  </si>
  <si>
    <t>ACMB-143-V03-MSB</t>
  </si>
  <si>
    <t>ACMB-143-R02-BO</t>
  </si>
  <si>
    <t>ACMB-143-RR02-BO</t>
  </si>
  <si>
    <t>ACMB-143-R02-BOA</t>
  </si>
  <si>
    <t>ACMB-143-RR02-BOA</t>
  </si>
  <si>
    <t>ACMB-143-R02-BOB</t>
  </si>
  <si>
    <t>ACMB-143-RR02-BOB</t>
  </si>
  <si>
    <t>ACMB-143-V04-MS</t>
  </si>
  <si>
    <t>ACMB-143-V05-MS</t>
  </si>
  <si>
    <t>ACMB-143-V04-MSA</t>
  </si>
  <si>
    <t>ACMB-143-V05-MSA</t>
  </si>
  <si>
    <t>ACMB-143-V04-MSB</t>
  </si>
  <si>
    <t>ACMB-143-V05-MSB</t>
  </si>
  <si>
    <t>ACMB-143-R03-BO</t>
  </si>
  <si>
    <t>ACMB-143-RR03-BO</t>
  </si>
  <si>
    <t>ACMB-143-R03-BOA</t>
  </si>
  <si>
    <t>ACMB-143-RR03-BOA</t>
  </si>
  <si>
    <t>ACMB-143-R03-BOB</t>
  </si>
  <si>
    <t>ACMB-143-RR03-BOB</t>
  </si>
  <si>
    <t>ACMB-143-V06-MS</t>
  </si>
  <si>
    <t>ACMB-143-V07-MS</t>
  </si>
  <si>
    <t>ACMB-143-V06-MSA</t>
  </si>
  <si>
    <t>ACMB-143-V07-MSA</t>
  </si>
  <si>
    <t>ACMB-143-V06-MSB</t>
  </si>
  <si>
    <t>ACMB-143-V07-MSB</t>
  </si>
  <si>
    <t>ACMB-143-R04-BO</t>
  </si>
  <si>
    <t>ACMB-143-RR04-BO</t>
  </si>
  <si>
    <t>ACMB-143-R04-BOA</t>
  </si>
  <si>
    <t>ACMB-143-RR04-BOA</t>
  </si>
  <si>
    <t>ACMB-143-R04-BOB</t>
  </si>
  <si>
    <t>ACMB-143-RR04-BOB</t>
  </si>
  <si>
    <t>ACMB-143-V08-MS</t>
  </si>
  <si>
    <t>ACMB-143-V09-MS</t>
  </si>
  <si>
    <t>ACMB-143-V08-MSA</t>
  </si>
  <si>
    <t>ACMB-143-V09-MSA</t>
  </si>
  <si>
    <t>ACMB-143-V08-MSB</t>
  </si>
  <si>
    <t>ACMB-143-V09-MSB</t>
  </si>
  <si>
    <t>ACMB-143-R05-BO</t>
  </si>
  <si>
    <t>ACMB-143-RR05-BO</t>
  </si>
  <si>
    <t>ACMB-143-R05-BOA</t>
  </si>
  <si>
    <t>ACMB-143-RR05-BOA</t>
  </si>
  <si>
    <t>ACMB-143-R05-BOB</t>
  </si>
  <si>
    <t>ACMB-143-RR05-BOB</t>
  </si>
  <si>
    <t>ACMB-143-V10-MS</t>
  </si>
  <si>
    <t>ACMB-143-V11-MS</t>
  </si>
  <si>
    <t>ACMB-143-V10-MSA</t>
  </si>
  <si>
    <t>ACMB-143-V11-MSA</t>
  </si>
  <si>
    <t>ACMB-143-V10-MSB</t>
  </si>
  <si>
    <t>ACMB-143-V11-MSB</t>
  </si>
  <si>
    <t>ACMB-143-R06-BO</t>
  </si>
  <si>
    <t>ACMB-143-RR06-BO</t>
  </si>
  <si>
    <t>ACMB-143-R06-BOA</t>
  </si>
  <si>
    <t>ACMB-143-RR06-BOA</t>
  </si>
  <si>
    <t>ACMB-143-R06-BOB</t>
  </si>
  <si>
    <t>ACMB-143-RR06-BOB</t>
  </si>
  <si>
    <t>ACMB-143-V12-MS</t>
  </si>
  <si>
    <t>ACMB-143-V13-MS</t>
  </si>
  <si>
    <t>ACMB-143-V12-MSA</t>
  </si>
  <si>
    <t>ACMB-143-V13-MSA</t>
  </si>
  <si>
    <t>ACMB-143-V12-MSB</t>
  </si>
  <si>
    <t>ACMB-143-V13-MSB</t>
  </si>
  <si>
    <t>ACMB-143-R07-BO</t>
  </si>
  <si>
    <t>ACMB-143-RR07-BO</t>
  </si>
  <si>
    <t>ACMB-143-R07-BOA</t>
  </si>
  <si>
    <t>ACMB-143-RR07-BOA</t>
  </si>
  <si>
    <t>ACMB-143-R07-BOB</t>
  </si>
  <si>
    <t>ACMB-143-RR07-BOB</t>
  </si>
  <si>
    <t>ACMB-143-V14-MS</t>
  </si>
  <si>
    <t>ACMB-143-V15-MS</t>
  </si>
  <si>
    <t>ACMB-143-V14-MSA</t>
  </si>
  <si>
    <t>ACMB-143-V15-MSA</t>
  </si>
  <si>
    <t>ACMB-143-V14-MSB</t>
  </si>
  <si>
    <t>ACMB-143-V15-MSB</t>
  </si>
  <si>
    <t>ACMB-144-R01-BO</t>
  </si>
  <si>
    <t>ACMB-144-RR01-BO</t>
  </si>
  <si>
    <t>ACMB-144-R01-BOA</t>
  </si>
  <si>
    <t>ACMB-144-RR01-BOA</t>
  </si>
  <si>
    <t>ACMB-144-R01-BOB</t>
  </si>
  <si>
    <t>ACMB-144-RR01-BOB</t>
  </si>
  <si>
    <t>ACMB-144-V02-MS</t>
  </si>
  <si>
    <t>ACMB-144-V03-MS</t>
  </si>
  <si>
    <t>ACMB-144-V02-MSA</t>
  </si>
  <si>
    <t>ACMB-144-V03-MSA</t>
  </si>
  <si>
    <t>ACMB-144-V02-MSB</t>
  </si>
  <si>
    <t>ACMB-144-V03-MSB</t>
  </si>
  <si>
    <t>ACMB-144-R02-BO</t>
  </si>
  <si>
    <t>ACMB-144-RR02-BO</t>
  </si>
  <si>
    <t>ACMB-144-R02-BOA</t>
  </si>
  <si>
    <t>ACMB-144-RR02-BOA</t>
  </si>
  <si>
    <t>ACMB-144-R02-BOB</t>
  </si>
  <si>
    <t>ACMB-144-RR02-BOB</t>
  </si>
  <si>
    <t>ACMB-144-V04-MS</t>
  </si>
  <si>
    <t>ACMB-144-V05-MS</t>
  </si>
  <si>
    <t>ACMB-144-V04-MSA</t>
  </si>
  <si>
    <t>ACMB-144-V05-MSA</t>
  </si>
  <si>
    <t>ACMB-144-V04-MSB</t>
  </si>
  <si>
    <t>ACMB-144-V05-MSB</t>
  </si>
  <si>
    <t>ACMB-144-R03-BO</t>
  </si>
  <si>
    <t>ACMB-144-RR03-BO</t>
  </si>
  <si>
    <t>ACMB-144-R03-BOA</t>
  </si>
  <si>
    <t>ACMB-144-RR03-BOA</t>
  </si>
  <si>
    <t>ACMB-144-R03-BOB</t>
  </si>
  <si>
    <t>ACMB-144-RR03-BOB</t>
  </si>
  <si>
    <t>ACMB-144-V06-MS</t>
  </si>
  <si>
    <t>ACMB-144-V07-MS</t>
  </si>
  <si>
    <t>ACMB-144-V06-MSA</t>
  </si>
  <si>
    <t>ACMB-144-V07-MSA</t>
  </si>
  <si>
    <t>ACMB-144-V06-MSB</t>
  </si>
  <si>
    <t>ACMB-144-V07-MSB</t>
  </si>
  <si>
    <t>ACMB-144-R04-BO</t>
  </si>
  <si>
    <t>ACMB-144-RR04-BO</t>
  </si>
  <si>
    <t>ACMB-144-R04-BOA</t>
  </si>
  <si>
    <t>ACMB-144-RR04-BOA</t>
  </si>
  <si>
    <t>ACMB-144-R04-BOB</t>
  </si>
  <si>
    <t>ACMB-144-RR04-BOB</t>
  </si>
  <si>
    <t>ACMB-144-V08-MS</t>
  </si>
  <si>
    <t>ACMB-144-V09-MS</t>
  </si>
  <si>
    <t>ACMB-144-V08-MSA</t>
  </si>
  <si>
    <t>ACMB-144-V09-MSA</t>
  </si>
  <si>
    <t>ACMB-144-V08-MSB</t>
  </si>
  <si>
    <t>ACMB-144-V09-MSB</t>
  </si>
  <si>
    <t>ACMB-144-R05-BO</t>
  </si>
  <si>
    <t>ACMB-144-RR05-BO</t>
  </si>
  <si>
    <t>ACMB-144-R05-BOA</t>
  </si>
  <si>
    <t>ACMB-144-RR05-BOA</t>
  </si>
  <si>
    <t>ACMB-144-R05-BOB</t>
  </si>
  <si>
    <t>ACMB-144-RR05-BOB</t>
  </si>
  <si>
    <t>ACMB-144-V10-MS</t>
  </si>
  <si>
    <t>ACMB-144-V11-MS</t>
  </si>
  <si>
    <t>ACMB-144-V10-MSA</t>
  </si>
  <si>
    <t>ACMB-144-V11-MSA</t>
  </si>
  <si>
    <t>ACMB-144-V10-MSB</t>
  </si>
  <si>
    <t>ACMB-144-V11-MSB</t>
  </si>
  <si>
    <t>ACMB-144-R06-BO</t>
  </si>
  <si>
    <t>ACMB-144-RR06-BO</t>
  </si>
  <si>
    <t>ACMB-144-R06-BOA</t>
  </si>
  <si>
    <t>ACMB-144-RR06-BOA</t>
  </si>
  <si>
    <t>ACMB-144-R06-BOB</t>
  </si>
  <si>
    <t>ACMB-144-RR06-BOB</t>
  </si>
  <si>
    <t>ACMB-144-V12-MS</t>
  </si>
  <si>
    <t>ACMB-144-V13-MS</t>
  </si>
  <si>
    <t>ACMB-144-V12-MSA</t>
  </si>
  <si>
    <t>ACMB-144-V13-MSA</t>
  </si>
  <si>
    <t>ACMB-144-V12-MSB</t>
  </si>
  <si>
    <t>ACMB-144-V13-MSB</t>
  </si>
  <si>
    <t>ACMB-144-R07-BO</t>
  </si>
  <si>
    <t>ACMB-144-RR07-BO</t>
  </si>
  <si>
    <t>ACMB-144-R07-BOA</t>
  </si>
  <si>
    <t>ACMB-144-RR07-BOA</t>
  </si>
  <si>
    <t>ACMB-144-R07-BOB</t>
  </si>
  <si>
    <t>ACMB-144-RR07-BOB</t>
  </si>
  <si>
    <t>ACMB-144-V14-MS</t>
  </si>
  <si>
    <t>ACMB-144-V15-MS</t>
  </si>
  <si>
    <t>ACMB-144-V14-MSA</t>
  </si>
  <si>
    <t>ACMB-144-V15-MSA</t>
  </si>
  <si>
    <t>ACMB-144-V14-MSB</t>
  </si>
  <si>
    <t>ACMB-144-V15-MSB</t>
  </si>
  <si>
    <t>ACMB-145-R01-BO</t>
  </si>
  <si>
    <t>ACMB-145-RR01-BO</t>
  </si>
  <si>
    <t>ACMB-145-R01-BOA</t>
  </si>
  <si>
    <t>ACMB-145-RR01-BOA</t>
  </si>
  <si>
    <t>ACMB-145-R01-BOB</t>
  </si>
  <si>
    <t>ACMB-145-RR01-BOB</t>
  </si>
  <si>
    <t>ACMB-145-V02-MS</t>
  </si>
  <si>
    <t>ACMB-145-V03-MS</t>
  </si>
  <si>
    <t>ACMB-145-V02-MSA</t>
  </si>
  <si>
    <t>ACMB-145-V03-MSA</t>
  </si>
  <si>
    <t>ACMB-145-V02-MSB</t>
  </si>
  <si>
    <t>ACMB-145-V03-MSB</t>
  </si>
  <si>
    <t>ACMB-145-R02-BO</t>
  </si>
  <si>
    <t>ACMB-145-RR02-BO</t>
  </si>
  <si>
    <t>ACMB-145-R02-BOA</t>
  </si>
  <si>
    <t>ACMB-145-RR02-BOA</t>
  </si>
  <si>
    <t>ACMB-145-R02-BOB</t>
  </si>
  <si>
    <t>ACMB-145-RR02-BOB</t>
  </si>
  <si>
    <t>ACMB-145-V04-MS</t>
  </si>
  <si>
    <t>ACMB-145-V05-MS</t>
  </si>
  <si>
    <t>ACMB-145-V04-MSA</t>
  </si>
  <si>
    <t>ACMB-145-V05-MSA</t>
  </si>
  <si>
    <t>ACMB-145-V04-MSB</t>
  </si>
  <si>
    <t>ACMB-145-V05-MSB</t>
  </si>
  <si>
    <t>ACMB-145-R03-BO</t>
  </si>
  <si>
    <t>ACMB-145-RR03-BO</t>
  </si>
  <si>
    <t>ACMB-145-R03-BOA</t>
  </si>
  <si>
    <t>ACMB-145-RR03-BOA</t>
  </si>
  <si>
    <t>ACMB-145-R03-BOB</t>
  </si>
  <si>
    <t>ACMB-145-RR03-BOB</t>
  </si>
  <si>
    <t>ACMB-145-V06-MS</t>
  </si>
  <si>
    <t>ACMB-145-V07-MS</t>
  </si>
  <si>
    <t>ACMB-145-V06-MSA</t>
  </si>
  <si>
    <t>ACMB-145-V07-MSA</t>
  </si>
  <si>
    <t>ACMB-145-V06-MSB</t>
  </si>
  <si>
    <t>ACMB-145-V07-MSB</t>
  </si>
  <si>
    <t>ACMB-145-R04-BO</t>
  </si>
  <si>
    <t>ACMB-145-RR04-BO</t>
  </si>
  <si>
    <t>ACMB-145-R04-BOA</t>
  </si>
  <si>
    <t>ACMB-145-RR04-BOA</t>
  </si>
  <si>
    <t>ACMB-145-R04-BOB</t>
  </si>
  <si>
    <t>ACMB-145-RR04-BOB</t>
  </si>
  <si>
    <t>ACMB-145-V08-MS</t>
  </si>
  <si>
    <t>ACMB-145-V09-MS</t>
  </si>
  <si>
    <t>ACMB-145-V08-MSA</t>
  </si>
  <si>
    <t>ACMB-145-V09-MSA</t>
  </si>
  <si>
    <t>ACMB-145-V08-MSB</t>
  </si>
  <si>
    <t>ACMB-145-V09-MSB</t>
  </si>
  <si>
    <t>ACMB-145-R05-BO</t>
  </si>
  <si>
    <t>ACMB-145-RR05-BO</t>
  </si>
  <si>
    <t>ACMB-145-R05-BOA</t>
  </si>
  <si>
    <t>ACMB-145-RR05-BOA</t>
  </si>
  <si>
    <t>ACMB-145-R05-BOB</t>
  </si>
  <si>
    <t>ACMB-145-RR05-BOB</t>
  </si>
  <si>
    <t>ACMB-145-V10-MS</t>
  </si>
  <si>
    <t>ACMB-145-V11-MS</t>
  </si>
  <si>
    <t>ACMB-145-V10-MSA</t>
  </si>
  <si>
    <t>ACMB-145-V11-MSA</t>
  </si>
  <si>
    <t>ACMB-145-V10-MSB</t>
  </si>
  <si>
    <t>ACMB-145-V11-MSB</t>
  </si>
  <si>
    <t>ACMB-145-R06-BO</t>
  </si>
  <si>
    <t>ACMB-145-RR06-BO</t>
  </si>
  <si>
    <t>ACMB-145-R06-BOA</t>
  </si>
  <si>
    <t>ACMB-145-RR06-BOA</t>
  </si>
  <si>
    <t>ACMB-145-R06-BOB</t>
  </si>
  <si>
    <t>ACMB-145-RR06-BOB</t>
  </si>
  <si>
    <t>ACMB-145-V12-MS</t>
  </si>
  <si>
    <t>ACMB-145-V13-MS</t>
  </si>
  <si>
    <t>ACMB-145-V12-MSA</t>
  </si>
  <si>
    <t>ACMB-145-V13-MSA</t>
  </si>
  <si>
    <t>ACMB-145-V12-MSB</t>
  </si>
  <si>
    <t>ACMB-145-V13-MSB</t>
  </si>
  <si>
    <t>ACMB-145-R07-BO</t>
  </si>
  <si>
    <t>ACMB-145-RR07-BO</t>
  </si>
  <si>
    <t>ACMB-145-R07-BOA</t>
  </si>
  <si>
    <t>ACMB-145-RR07-BOA</t>
  </si>
  <si>
    <t>ACMB-145-R07-BOB</t>
  </si>
  <si>
    <t>ACMB-145-RR07-BOB</t>
  </si>
  <si>
    <t>ACMB-145-V14-MS</t>
  </si>
  <si>
    <t>ACMB-145-V15-MS</t>
  </si>
  <si>
    <t>ACMB-145-V14-MSA</t>
  </si>
  <si>
    <t>ACMB-145-V15-MSA</t>
  </si>
  <si>
    <t>ACMB-145-V14-MSB</t>
  </si>
  <si>
    <t>ACMB-145-V15-MSB</t>
  </si>
  <si>
    <t>ACMB-146-R01-BO</t>
  </si>
  <si>
    <t>ACMB-146-RR01-BO</t>
  </si>
  <si>
    <t>ACMB-146-R01-BOA</t>
  </si>
  <si>
    <t>ACMB-146-RR01-BOA</t>
  </si>
  <si>
    <t>ACMB-146-R01-BOB</t>
  </si>
  <si>
    <t>ACMB-146-RR01-BOB</t>
  </si>
  <si>
    <t>ACMB-146-V02-MS</t>
  </si>
  <si>
    <t>ACMB-146-V03-MS</t>
  </si>
  <si>
    <t>ACMB-146-V02-MSA</t>
  </si>
  <si>
    <t>ACMB-146-V03-MSA</t>
  </si>
  <si>
    <t>ACMB-146-V02-MSB</t>
  </si>
  <si>
    <t>ACMB-146-V03-MSB</t>
  </si>
  <si>
    <t>ACMB-146-R02-BO</t>
  </si>
  <si>
    <t>ACMB-146-RR02-BO</t>
  </si>
  <si>
    <t>ACMB-146-R02-BOA</t>
  </si>
  <si>
    <t>ACMB-146-RR02-BOA</t>
  </si>
  <si>
    <t>ACMB-146-R02-BOB</t>
  </si>
  <si>
    <t>ACMB-146-RR02-BOB</t>
  </si>
  <si>
    <t>ACMB-146-V04-MS</t>
  </si>
  <si>
    <t>ACMB-146-V05-MS</t>
  </si>
  <si>
    <t>ACMB-146-V04-MSA</t>
  </si>
  <si>
    <t>ACMB-146-V05-MSA</t>
  </si>
  <si>
    <t>ACMB-146-V04-MSB</t>
  </si>
  <si>
    <t>ACMB-146-V05-MSB</t>
  </si>
  <si>
    <t>ACMB-146-R03-BO</t>
  </si>
  <si>
    <t>ACMB-146-RR03-BO</t>
  </si>
  <si>
    <t>ACMB-146-R03-BOA</t>
  </si>
  <si>
    <t>ACMB-146-RR03-BOA</t>
  </si>
  <si>
    <t>ACMB-146-R03-BOB</t>
  </si>
  <si>
    <t>ACMB-146-RR03-BOB</t>
  </si>
  <si>
    <t>ACMB-146-V06-MS</t>
  </si>
  <si>
    <t>ACMB-146-V07-MS</t>
  </si>
  <si>
    <t>ACMB-146-V06-MSA</t>
  </si>
  <si>
    <t>ACMB-146-V07-MSA</t>
  </si>
  <si>
    <t>ACMB-146-V06-MSB</t>
  </si>
  <si>
    <t>ACMB-146-V07-MSB</t>
  </si>
  <si>
    <t>ACMB-146-R04-BO</t>
  </si>
  <si>
    <t>ACMB-146-RR04-BO</t>
  </si>
  <si>
    <t>ACMB-146-R04-BOA</t>
  </si>
  <si>
    <t>ACMB-146-RR04-BOA</t>
  </si>
  <si>
    <t>ACMB-146-R04-BOB</t>
  </si>
  <si>
    <t>ACMB-146-RR04-BOB</t>
  </si>
  <si>
    <t>ACMB-146-V08-MS</t>
  </si>
  <si>
    <t>ACMB-146-V09-MS</t>
  </si>
  <si>
    <t>ACMB-146-V08-MSA</t>
  </si>
  <si>
    <t>ACMB-146-V09-MSA</t>
  </si>
  <si>
    <t>ACMB-146-V08-MSB</t>
  </si>
  <si>
    <t>ACMB-146-V09-MSB</t>
  </si>
  <si>
    <t>ACMB-146-R05-BO</t>
  </si>
  <si>
    <t>ACMB-146-RR05-BO</t>
  </si>
  <si>
    <t>ACMB-146-R05-BOA</t>
  </si>
  <si>
    <t>ACMB-146-RR05-BOA</t>
  </si>
  <si>
    <t>ACMB-146-R05-BOB</t>
  </si>
  <si>
    <t>ACMB-146-RR05-BOB</t>
  </si>
  <si>
    <t>ACMB-146-V10-MS</t>
  </si>
  <si>
    <t>ACMB-146-V11-MS</t>
  </si>
  <si>
    <t>ACMB-146-V10-MSA</t>
  </si>
  <si>
    <t>ACMB-146-V11-MSA</t>
  </si>
  <si>
    <t>ACMB-146-V10-MSB</t>
  </si>
  <si>
    <t>ACMB-146-V11-MSB</t>
  </si>
  <si>
    <t>ACMB-146-R06-BO</t>
  </si>
  <si>
    <t>ACMB-146-RR06-BO</t>
  </si>
  <si>
    <t>ACMB-146-R06-BOA</t>
  </si>
  <si>
    <t>ACMB-146-RR06-BOA</t>
  </si>
  <si>
    <t>ACMB-146-R06-BOB</t>
  </si>
  <si>
    <t>ACMB-146-RR06-BOB</t>
  </si>
  <si>
    <t>ACMB-146-V12-MS</t>
  </si>
  <si>
    <t>ACMB-146-V13-MS</t>
  </si>
  <si>
    <t>ACMB-146-V12-MSA</t>
  </si>
  <si>
    <t>ACMB-146-V13-MSA</t>
  </si>
  <si>
    <t>ACMB-146-V12-MSB</t>
  </si>
  <si>
    <t>ACMB-146-V13-MSB</t>
  </si>
  <si>
    <t>ACMB-146-R07-BO</t>
  </si>
  <si>
    <t>ACMB-146-RR07-BO</t>
  </si>
  <si>
    <t>ACMB-146-R07-BOA</t>
  </si>
  <si>
    <t>ACMB-146-RR07-BOA</t>
  </si>
  <si>
    <t>ACMB-146-R07-BOB</t>
  </si>
  <si>
    <t>ACMB-146-RR07-BOB</t>
  </si>
  <si>
    <t>ACMB-146-V14-MS</t>
  </si>
  <si>
    <t>ACMB-146-V15-MS</t>
  </si>
  <si>
    <t>ACMB-146-V14-MSA</t>
  </si>
  <si>
    <t>ACMB-146-V15-MSA</t>
  </si>
  <si>
    <t>ACMB-146-V14-MSB</t>
  </si>
  <si>
    <t>ACMB-146-V15-MSB</t>
  </si>
  <si>
    <t>ACMB-147-R01-BO</t>
  </si>
  <si>
    <t>ACMB-147-RR01-BO</t>
  </si>
  <si>
    <t>ACMB-147-R01-BOA</t>
  </si>
  <si>
    <t>ACMB-147-RR01-BOA</t>
  </si>
  <si>
    <t>ACMB-147-R01-BOB</t>
  </si>
  <si>
    <t>ACMB-147-RR01-BOB</t>
  </si>
  <si>
    <t>ACMB-147-V02-MS</t>
  </si>
  <si>
    <t>ACMB-147-V03-MS</t>
  </si>
  <si>
    <t>ACMB-147-V02-MSA</t>
  </si>
  <si>
    <t>ACMB-147-V03-MSA</t>
  </si>
  <si>
    <t>ACMB-147-V02-MSB</t>
  </si>
  <si>
    <t>ACMB-147-V03-MSB</t>
  </si>
  <si>
    <t>ACMB-147-R02-BO</t>
  </si>
  <si>
    <t>ACMB-147-RR02-BO</t>
  </si>
  <si>
    <t>ACMB-147-R02-BOA</t>
  </si>
  <si>
    <t>ACMB-147-RR02-BOA</t>
  </si>
  <si>
    <t>ACMB-147-R02-BOB</t>
  </si>
  <si>
    <t>ACMB-147-RR02-BOB</t>
  </si>
  <si>
    <t>ACMB-147-V04-MS</t>
  </si>
  <si>
    <t>ACMB-147-V05-MS</t>
  </si>
  <si>
    <t>ACMB-147-V04-MSA</t>
  </si>
  <si>
    <t>ACMB-147-V05-MSA</t>
  </si>
  <si>
    <t>ACMB-147-V04-MSB</t>
  </si>
  <si>
    <t>ACMB-147-V05-MSB</t>
  </si>
  <si>
    <t>ACMB-147-R03-BO</t>
  </si>
  <si>
    <t>ACMB-147-RR03-BO</t>
  </si>
  <si>
    <t>ACMB-147-R03-BOA</t>
  </si>
  <si>
    <t>ACMB-147-RR03-BOA</t>
  </si>
  <si>
    <t>ACMB-147-R03-BOB</t>
  </si>
  <si>
    <t>ACMB-147-RR03-BOB</t>
  </si>
  <si>
    <t>ACMB-147-V06-MS</t>
  </si>
  <si>
    <t>ACMB-147-V07-MS</t>
  </si>
  <si>
    <t>ACMB-147-V06-MSA</t>
  </si>
  <si>
    <t>ACMB-147-V07-MSA</t>
  </si>
  <si>
    <t>ACMB-147-V06-MSB</t>
  </si>
  <si>
    <t>ACMB-147-V07-MSB</t>
  </si>
  <si>
    <t>ACMB-147-R04-BO</t>
  </si>
  <si>
    <t>ACMB-147-RR04-BO</t>
  </si>
  <si>
    <t>ACMB-147-R04-BOA</t>
  </si>
  <si>
    <t>ACMB-147-RR04-BOA</t>
  </si>
  <si>
    <t>ACMB-147-R04-BOB</t>
  </si>
  <si>
    <t>ACMB-147-RR04-BOB</t>
  </si>
  <si>
    <t>ACMB-147-V08-MS</t>
  </si>
  <si>
    <t>ACMB-147-V09-MS</t>
  </si>
  <si>
    <t>ACMB-147-V08-MSA</t>
  </si>
  <si>
    <t>ACMB-147-V09-MSA</t>
  </si>
  <si>
    <t>ACMB-147-V08-MSB</t>
  </si>
  <si>
    <t>ACMB-147-V09-MSB</t>
  </si>
  <si>
    <t>ACMB-147-R05-BO</t>
  </si>
  <si>
    <t>ACMB-147-RR05-BO</t>
  </si>
  <si>
    <t>ACMB-147-R05-BOA</t>
  </si>
  <si>
    <t>ACMB-147-RR05-BOA</t>
  </si>
  <si>
    <t>ACMB-147-R05-BOB</t>
  </si>
  <si>
    <t>ACMB-147-RR05-BOB</t>
  </si>
  <si>
    <t>ACMB-147-V10-MS</t>
  </si>
  <si>
    <t>ACMB-147-V11-MS</t>
  </si>
  <si>
    <t>ACMB-147-V10-MSA</t>
  </si>
  <si>
    <t>ACMB-147-V11-MSA</t>
  </si>
  <si>
    <t>ACMB-147-V10-MSB</t>
  </si>
  <si>
    <t>ACMB-147-V11-MSB</t>
  </si>
  <si>
    <t>ACMB-147-R06-BO</t>
  </si>
  <si>
    <t>ACMB-147-RR06-BO</t>
  </si>
  <si>
    <t>ACMB-147-R06-BOA</t>
  </si>
  <si>
    <t>ACMB-147-RR06-BOA</t>
  </si>
  <si>
    <t>ACMB-147-R06-BOB</t>
  </si>
  <si>
    <t>ACMB-147-RR06-BOB</t>
  </si>
  <si>
    <t>ACMB-147-V12-MS</t>
  </si>
  <si>
    <t>ACMB-147-V13-MS</t>
  </si>
  <si>
    <t>ACMB-147-V12-MSA</t>
  </si>
  <si>
    <t>ACMB-147-V13-MSA</t>
  </si>
  <si>
    <t>ACMB-147-V12-MSB</t>
  </si>
  <si>
    <t>ACMB-147-V13-MSB</t>
  </si>
  <si>
    <t>ACMB-147-R07-BO</t>
  </si>
  <si>
    <t>ACMB-147-RR07-BO</t>
  </si>
  <si>
    <t>ACMB-147-R07-BOA</t>
  </si>
  <si>
    <t>ACMB-147-RR07-BOA</t>
  </si>
  <si>
    <t>ACMB-147-R07-BOB</t>
  </si>
  <si>
    <t>ACMB-147-RR07-BOB</t>
  </si>
  <si>
    <t>ACMB-147-V14-MS</t>
  </si>
  <si>
    <t>ACMB-147-V15-MS</t>
  </si>
  <si>
    <t>ACMB-147-V14-MSA</t>
  </si>
  <si>
    <t>ACMB-147-V15-MSA</t>
  </si>
  <si>
    <t>ACMB-147-V14-MSB</t>
  </si>
  <si>
    <t>ACMB-147-V15-MSB</t>
  </si>
  <si>
    <t>ACMB-148-R01-BO</t>
  </si>
  <si>
    <t>ACMB-148-RR01-BO</t>
  </si>
  <si>
    <t>ACMB-148-R01-BOA</t>
  </si>
  <si>
    <t>ACMB-148-RR01-BOA</t>
  </si>
  <si>
    <t>ACMB-148-R01-BOB</t>
  </si>
  <si>
    <t>ACMB-148-RR01-BOB</t>
  </si>
  <si>
    <t>ACMB-148-V02-MS</t>
  </si>
  <si>
    <t>ACMB-148-V03-MS</t>
  </si>
  <si>
    <t>ACMB-148-V02-MSA</t>
  </si>
  <si>
    <t>ACMB-148-V03-MSA</t>
  </si>
  <si>
    <t>ACMB-148-V02-MSB</t>
  </si>
  <si>
    <t>ACMB-148-V03-MSB</t>
  </si>
  <si>
    <t>ACMB-148-R02-BO</t>
  </si>
  <si>
    <t>ACMB-148-RR02-BO</t>
  </si>
  <si>
    <t>ACMB-148-R02-BOA</t>
  </si>
  <si>
    <t>ACMB-148-RR02-BOA</t>
  </si>
  <si>
    <t>ACMB-148-R02-BOB</t>
  </si>
  <si>
    <t>ACMB-148-RR02-BOB</t>
  </si>
  <si>
    <t>ACMB-148-V04-MS</t>
  </si>
  <si>
    <t>ACMB-148-V05-MS</t>
  </si>
  <si>
    <t>ACMB-148-V04-MSA</t>
  </si>
  <si>
    <t>ACMB-148-V05-MSA</t>
  </si>
  <si>
    <t>ACMB-148-V04-MSB</t>
  </si>
  <si>
    <t>ACMB-148-V05-MSB</t>
  </si>
  <si>
    <t>ACMB-148-R03-BO</t>
  </si>
  <si>
    <t>ACMB-148-RR03-BO</t>
  </si>
  <si>
    <t>ACMB-148-R03-BOA</t>
  </si>
  <si>
    <t>ACMB-148-RR03-BOA</t>
  </si>
  <si>
    <t>ACMB-148-R03-BOB</t>
  </si>
  <si>
    <t>ACMB-148-RR03-BOB</t>
  </si>
  <si>
    <t>ACMB-148-V06-MS</t>
  </si>
  <si>
    <t>ACMB-148-V07-MS</t>
  </si>
  <si>
    <t>ACMB-148-V06-MSA</t>
  </si>
  <si>
    <t>ACMB-148-V07-MSA</t>
  </si>
  <si>
    <t>ACMB-148-V06-MSB</t>
  </si>
  <si>
    <t>ACMB-148-V07-MSB</t>
  </si>
  <si>
    <t>ACMB-148-R04-BO</t>
  </si>
  <si>
    <t>ACMB-148-RR04-BO</t>
  </si>
  <si>
    <t>ACMB-148-R04-BOA</t>
  </si>
  <si>
    <t>ACMB-148-RR04-BOA</t>
  </si>
  <si>
    <t>ACMB-148-R04-BOB</t>
  </si>
  <si>
    <t>ACMB-148-RR04-BOB</t>
  </si>
  <si>
    <t>ACMB-148-V08-MS</t>
  </si>
  <si>
    <t>ACMB-148-V09-MS</t>
  </si>
  <si>
    <t>ACMB-148-V08-MSA</t>
  </si>
  <si>
    <t>ACMB-148-V09-MSA</t>
  </si>
  <si>
    <t>ACMB-148-V08-MSB</t>
  </si>
  <si>
    <t>ACMB-148-V09-MSB</t>
  </si>
  <si>
    <t>ACMB-148-R05-BO</t>
  </si>
  <si>
    <t>ACMB-148-RR05-BO</t>
  </si>
  <si>
    <t>ACMB-148-R05-BOA</t>
  </si>
  <si>
    <t>ACMB-148-RR05-BOA</t>
  </si>
  <si>
    <t>ACMB-148-R05-BOB</t>
  </si>
  <si>
    <t>ACMB-148-RR05-BOB</t>
  </si>
  <si>
    <t>ACMB-148-V10-MS</t>
  </si>
  <si>
    <t>ACMB-148-V11-MS</t>
  </si>
  <si>
    <t>ACMB-148-V10-MSA</t>
  </si>
  <si>
    <t>ACMB-148-V11-MSA</t>
  </si>
  <si>
    <t>ACMB-148-V10-MSB</t>
  </si>
  <si>
    <t>ACMB-148-V11-MSB</t>
  </si>
  <si>
    <t>ACMB-148-R06-BO</t>
  </si>
  <si>
    <t>ACMB-148-RR06-BO</t>
  </si>
  <si>
    <t>ACMB-148-R06-BOA</t>
  </si>
  <si>
    <t>ACMB-148-RR06-BOA</t>
  </si>
  <si>
    <t>ACMB-148-R06-BOB</t>
  </si>
  <si>
    <t>ACMB-148-RR06-BOB</t>
  </si>
  <si>
    <t>ACMB-148-V12-MS</t>
  </si>
  <si>
    <t>ACMB-148-V13-MS</t>
  </si>
  <si>
    <t>ACMB-148-V12-MSA</t>
  </si>
  <si>
    <t>ACMB-148-V13-MSA</t>
  </si>
  <si>
    <t>ACMB-148-V12-MSB</t>
  </si>
  <si>
    <t>ACMB-148-V13-MSB</t>
  </si>
  <si>
    <t>ACMB-148-R07-BO</t>
  </si>
  <si>
    <t>ACMB-148-RR07-BO</t>
  </si>
  <si>
    <t>ACMB-148-R07-BOA</t>
  </si>
  <si>
    <t>ACMB-148-RR07-BOA</t>
  </si>
  <si>
    <t>ACMB-148-R07-BOB</t>
  </si>
  <si>
    <t>ACMB-148-RR07-BOB</t>
  </si>
  <si>
    <t>ACMB-148-V14-MS</t>
  </si>
  <si>
    <t>ACMB-148-V15-MS</t>
  </si>
  <si>
    <t>ACMB-148-V14-MSA</t>
  </si>
  <si>
    <t>ACMB-148-V15-MSA</t>
  </si>
  <si>
    <t>ACMB-148-V14-MSB</t>
  </si>
  <si>
    <t>ACMB-148-V15-MSB</t>
  </si>
  <si>
    <t>ACMB-149-R01-BO</t>
  </si>
  <si>
    <t>ACMB-149-RR01-BO</t>
  </si>
  <si>
    <t>ACMB-149-R01-BOA</t>
  </si>
  <si>
    <t>ACMB-149-RR01-BOA</t>
  </si>
  <si>
    <t>ACMB-149-R01-BOB</t>
  </si>
  <si>
    <t>ACMB-149-RR01-BOB</t>
  </si>
  <si>
    <t>ACMB-149-V02-MS</t>
  </si>
  <si>
    <t>ACMB-149-V03-MS</t>
  </si>
  <si>
    <t>ACMB-149-V02-MSA</t>
  </si>
  <si>
    <t>ACMB-149-V03-MSA</t>
  </si>
  <si>
    <t>ACMB-149-V02-MSB</t>
  </si>
  <si>
    <t>ACMB-149-V03-MSB</t>
  </si>
  <si>
    <t>ACMB-149-R02-BO</t>
  </si>
  <si>
    <t>ACMB-149-RR02-BO</t>
  </si>
  <si>
    <t>ACMB-149-R02-BOA</t>
  </si>
  <si>
    <t>ACMB-149-RR02-BOA</t>
  </si>
  <si>
    <t>ACMB-149-R02-BOB</t>
  </si>
  <si>
    <t>ACMB-149-RR02-BOB</t>
  </si>
  <si>
    <t>ACMB-149-V04-MS</t>
  </si>
  <si>
    <t>ACMB-149-V05-MS</t>
  </si>
  <si>
    <t>ACMB-149-V04-MSA</t>
  </si>
  <si>
    <t>ACMB-149-V05-MSA</t>
  </si>
  <si>
    <t>ACMB-149-V04-MSB</t>
  </si>
  <si>
    <t>ACMB-149-V05-MSB</t>
  </si>
  <si>
    <t>ACMB-149-R03-BO</t>
  </si>
  <si>
    <t>ACMB-149-RR03-BO</t>
  </si>
  <si>
    <t>ACMB-149-R03-BOA</t>
  </si>
  <si>
    <t>ACMB-149-RR03-BOA</t>
  </si>
  <si>
    <t>ACMB-149-R03-BOB</t>
  </si>
  <si>
    <t>ACMB-149-RR03-BOB</t>
  </si>
  <si>
    <t>ACMB-149-V06-MS</t>
  </si>
  <si>
    <t>ACMB-149-V07-MS</t>
  </si>
  <si>
    <t>ACMB-149-V06-MSA</t>
  </si>
  <si>
    <t>ACMB-149-V07-MSA</t>
  </si>
  <si>
    <t>ACMB-149-V06-MSB</t>
  </si>
  <si>
    <t>ACMB-149-V07-MSB</t>
  </si>
  <si>
    <t>ACMB-149-R04-BO</t>
  </si>
  <si>
    <t>ACMB-149-RR04-BO</t>
  </si>
  <si>
    <t>ACMB-149-R04-BOA</t>
  </si>
  <si>
    <t>ACMB-149-RR04-BOA</t>
  </si>
  <si>
    <t>ACMB-149-R04-BOB</t>
  </si>
  <si>
    <t>ACMB-149-RR04-BOB</t>
  </si>
  <si>
    <t>ACMB-149-V08-MS</t>
  </si>
  <si>
    <t>ACMB-149-V09-MS</t>
  </si>
  <si>
    <t>ACMB-149-V08-MSA</t>
  </si>
  <si>
    <t>ACMB-149-V09-MSA</t>
  </si>
  <si>
    <t>ACMB-149-V08-MSB</t>
  </si>
  <si>
    <t>ACMB-149-V09-MSB</t>
  </si>
  <si>
    <t>ACMB-149-R05-BO</t>
  </si>
  <si>
    <t>ACMB-149-RR05-BO</t>
  </si>
  <si>
    <t>ACMB-149-R05-BOA</t>
  </si>
  <si>
    <t>ACMB-149-RR05-BOA</t>
  </si>
  <si>
    <t>ACMB-149-R05-BOB</t>
  </si>
  <si>
    <t>ACMB-149-RR05-BOB</t>
  </si>
  <si>
    <t>ACMB-149-V10-MS</t>
  </si>
  <si>
    <t>ACMB-149-V11-MS</t>
  </si>
  <si>
    <t>ACMB-149-V10-MSA</t>
  </si>
  <si>
    <t>ACMB-149-V11-MSA</t>
  </si>
  <si>
    <t>ACMB-149-V10-MSB</t>
  </si>
  <si>
    <t>ACMB-149-V11-MSB</t>
  </si>
  <si>
    <t>ACMB-149-R06-BO</t>
  </si>
  <si>
    <t>ACMB-149-RR06-BO</t>
  </si>
  <si>
    <t>ACMB-149-R06-BOA</t>
  </si>
  <si>
    <t>ACMB-149-RR06-BOA</t>
  </si>
  <si>
    <t>ACMB-149-R06-BOB</t>
  </si>
  <si>
    <t>ACMB-149-RR06-BOB</t>
  </si>
  <si>
    <t>ACMB-149-V12-MS</t>
  </si>
  <si>
    <t>ACMB-149-V13-MS</t>
  </si>
  <si>
    <t>ACMB-149-V12-MSA</t>
  </si>
  <si>
    <t>ACMB-149-V13-MSA</t>
  </si>
  <si>
    <t>ACMB-149-V12-MSB</t>
  </si>
  <si>
    <t>ACMB-149-V13-MSB</t>
  </si>
  <si>
    <t>ACMB-149-R07-BO</t>
  </si>
  <si>
    <t>ACMB-149-RR07-BO</t>
  </si>
  <si>
    <t>ACMB-149-R07-BOA</t>
  </si>
  <si>
    <t>ACMB-149-RR07-BOA</t>
  </si>
  <si>
    <t>ACMB-149-R07-BOB</t>
  </si>
  <si>
    <t>ACMB-149-RR07-BOB</t>
  </si>
  <si>
    <t>ACMB-149-V14-MS</t>
  </si>
  <si>
    <t>ACMB-149-V15-MS</t>
  </si>
  <si>
    <t>ACMB-149-V14-MSA</t>
  </si>
  <si>
    <t>ACMB-149-V15-MSA</t>
  </si>
  <si>
    <t>ACMB-149-V14-MSB</t>
  </si>
  <si>
    <t>ACMB-149-V15-MSB</t>
  </si>
  <si>
    <t>ACMB-150-R01-BO</t>
  </si>
  <si>
    <t>ACMB-150-RR01-BO</t>
  </si>
  <si>
    <t>ACMB-150-R01-BOA</t>
  </si>
  <si>
    <t>ACMB-150-RR01-BOA</t>
  </si>
  <si>
    <t>ACMB-150-R01-BOB</t>
  </si>
  <si>
    <t>ACMB-150-RR01-BOB</t>
  </si>
  <si>
    <t>ACMB-150-V02-MS</t>
  </si>
  <si>
    <t>ACMB-150-V03-MS</t>
  </si>
  <si>
    <t>ACMB-150-V02-MSA</t>
  </si>
  <si>
    <t>ACMB-150-V03-MSA</t>
  </si>
  <si>
    <t>ACMB-150-V02-MSB</t>
  </si>
  <si>
    <t>ACMB-150-V03-MSB</t>
  </si>
  <si>
    <t>ACMB-150-R02-BO</t>
  </si>
  <si>
    <t>ACMB-150-RR02-BO</t>
  </si>
  <si>
    <t>ACMB-150-R02-BOA</t>
  </si>
  <si>
    <t>ACMB-150-RR02-BOA</t>
  </si>
  <si>
    <t>ACMB-150-R02-BOB</t>
  </si>
  <si>
    <t>ACMB-150-RR02-BOB</t>
  </si>
  <si>
    <t>ACMB-150-V04-MS</t>
  </si>
  <si>
    <t>ACMB-150-V05-MS</t>
  </si>
  <si>
    <t>ACMB-150-V04-MSA</t>
  </si>
  <si>
    <t>ACMB-150-V05-MSA</t>
  </si>
  <si>
    <t>ACMB-150-V04-MSB</t>
  </si>
  <si>
    <t>ACMB-150-V05-MSB</t>
  </si>
  <si>
    <t>ACMB-150-R03-BO</t>
  </si>
  <si>
    <t>ACMB-150-RR03-BO</t>
  </si>
  <si>
    <t>ACMB-150-R03-BOA</t>
  </si>
  <si>
    <t>ACMB-150-RR03-BOA</t>
  </si>
  <si>
    <t>ACMB-150-R03-BOB</t>
  </si>
  <si>
    <t>ACMB-150-RR03-BOB</t>
  </si>
  <si>
    <t>ACMB-150-V06-MS</t>
  </si>
  <si>
    <t>ACMB-150-V07-MS</t>
  </si>
  <si>
    <t>ACMB-150-V06-MSA</t>
  </si>
  <si>
    <t>ACMB-150-V07-MSA</t>
  </si>
  <si>
    <t>ACMB-150-V06-MSB</t>
  </si>
  <si>
    <t>ACMB-150-V07-MSB</t>
  </si>
  <si>
    <t>ACMB-150-R04-BO</t>
  </si>
  <si>
    <t>ACMB-150-RR04-BO</t>
  </si>
  <si>
    <t>ACMB-150-R04-BOA</t>
  </si>
  <si>
    <t>ACMB-150-RR04-BOA</t>
  </si>
  <si>
    <t>ACMB-150-R04-BOB</t>
  </si>
  <si>
    <t>ACMB-150-RR04-BOB</t>
  </si>
  <si>
    <t>ACMB-150-V08-MS</t>
  </si>
  <si>
    <t>ACMB-150-V09-MS</t>
  </si>
  <si>
    <t>ACMB-150-V08-MSA</t>
  </si>
  <si>
    <t>ACMB-150-V09-MSA</t>
  </si>
  <si>
    <t>ACMB-150-V08-MSB</t>
  </si>
  <si>
    <t>ACMB-150-V09-MSB</t>
  </si>
  <si>
    <t>ACMB-150-R05-BO</t>
  </si>
  <si>
    <t>ACMB-150-RR05-BO</t>
  </si>
  <si>
    <t>ACMB-150-R05-BOA</t>
  </si>
  <si>
    <t>ACMB-150-RR05-BOA</t>
  </si>
  <si>
    <t>ACMB-150-R05-BOB</t>
  </si>
  <si>
    <t>ACMB-150-RR05-BOB</t>
  </si>
  <si>
    <t>ACMB-150-V10-MS</t>
  </si>
  <si>
    <t>ACMB-150-V11-MS</t>
  </si>
  <si>
    <t>ACMB-150-V10-MSA</t>
  </si>
  <si>
    <t>ACMB-150-V11-MSA</t>
  </si>
  <si>
    <t>ACMB-150-V10-MSB</t>
  </si>
  <si>
    <t>ACMB-150-V11-MSB</t>
  </si>
  <si>
    <t>ACMB-150-R06-BO</t>
  </si>
  <si>
    <t>ACMB-150-RR06-BO</t>
  </si>
  <si>
    <t>ACMB-150-R06-BOA</t>
  </si>
  <si>
    <t>ACMB-150-RR06-BOA</t>
  </si>
  <si>
    <t>ACMB-150-R06-BOB</t>
  </si>
  <si>
    <t>ACMB-150-RR06-BOB</t>
  </si>
  <si>
    <t>ACMB-150-V12-MS</t>
  </si>
  <si>
    <t>ACMB-150-V13-MS</t>
  </si>
  <si>
    <t>ACMB-150-V12-MSA</t>
  </si>
  <si>
    <t>ACMB-150-V13-MSA</t>
  </si>
  <si>
    <t>ACMB-150-V12-MSB</t>
  </si>
  <si>
    <t>ACMB-150-V13-MSB</t>
  </si>
  <si>
    <t>ACMB-150-R07-BO</t>
  </si>
  <si>
    <t>ACMB-150-RR07-BO</t>
  </si>
  <si>
    <t>ACMB-150-R07-BOA</t>
  </si>
  <si>
    <t>ACMB-150-RR07-BOA</t>
  </si>
  <si>
    <t>ACMB-150-R07-BOB</t>
  </si>
  <si>
    <t>ACMB-150-RR07-BOB</t>
  </si>
  <si>
    <t>ACMB-150-V14-MS</t>
  </si>
  <si>
    <t>ACMB-150-V15-MS</t>
  </si>
  <si>
    <t>ACMB-150-V14-MSA</t>
  </si>
  <si>
    <t>ACMB-150-V15-MSA</t>
  </si>
  <si>
    <t>ACMB-150-V14-MSB</t>
  </si>
  <si>
    <t>ACMB-150-V15-MSB</t>
  </si>
  <si>
    <t>ACMB-151-R01-BO</t>
  </si>
  <si>
    <t>ACMB-151-RR01-BO</t>
  </si>
  <si>
    <t>ACMB-151-R01-BOA</t>
  </si>
  <si>
    <t>ACMB-151-RR01-BOA</t>
  </si>
  <si>
    <t>ACMB-151-R01-BOB</t>
  </si>
  <si>
    <t>ACMB-151-RR01-BOB</t>
  </si>
  <si>
    <t>ACMB-151-V02-MS</t>
  </si>
  <si>
    <t>ACMB-151-V03-MS</t>
  </si>
  <si>
    <t>ACMB-151-V02-MSA</t>
  </si>
  <si>
    <t>ACMB-151-V03-MSA</t>
  </si>
  <si>
    <t>ACMB-151-V02-MSB</t>
  </si>
  <si>
    <t>ACMB-151-V03-MSB</t>
  </si>
  <si>
    <t>ACMB-151-R02-BO</t>
  </si>
  <si>
    <t>ACMB-151-RR02-BO</t>
  </si>
  <si>
    <t>ACMB-151-R02-BOA</t>
  </si>
  <si>
    <t>ACMB-151-RR02-BOA</t>
  </si>
  <si>
    <t>ACMB-151-R02-BOB</t>
  </si>
  <si>
    <t>ACMB-151-RR02-BOB</t>
  </si>
  <si>
    <t>ACMB-151-V04-MS</t>
  </si>
  <si>
    <t>ACMB-151-V05-MS</t>
  </si>
  <si>
    <t>ACMB-151-V04-MSA</t>
  </si>
  <si>
    <t>ACMB-151-V05-MSA</t>
  </si>
  <si>
    <t>ACMB-151-V04-MSB</t>
  </si>
  <si>
    <t>ACMB-151-V05-MSB</t>
  </si>
  <si>
    <t>ACMB-151-R03-BO</t>
  </si>
  <si>
    <t>ACMB-151-RR03-BO</t>
  </si>
  <si>
    <t>ACMB-151-R03-BOA</t>
  </si>
  <si>
    <t>ACMB-151-RR03-BOA</t>
  </si>
  <si>
    <t>ACMB-151-R03-BOB</t>
  </si>
  <si>
    <t>ACMB-151-RR03-BOB</t>
  </si>
  <si>
    <t>ACMB-151-V06-MS</t>
  </si>
  <si>
    <t>ACMB-151-V07-MS</t>
  </si>
  <si>
    <t>ACMB-151-V06-MSA</t>
  </si>
  <si>
    <t>ACMB-151-V07-MSA</t>
  </si>
  <si>
    <t>ACMB-151-V06-MSB</t>
  </si>
  <si>
    <t>ACMB-151-V07-MSB</t>
  </si>
  <si>
    <t>ACMB-151-R04-BO</t>
  </si>
  <si>
    <t>ACMB-151-RR04-BO</t>
  </si>
  <si>
    <t>ACMB-151-R04-BOA</t>
  </si>
  <si>
    <t>ACMB-151-RR04-BOA</t>
  </si>
  <si>
    <t>ACMB-151-R04-BOB</t>
  </si>
  <si>
    <t>ACMB-151-RR04-BOB</t>
  </si>
  <si>
    <t>ACMB-151-V08-MS</t>
  </si>
  <si>
    <t>ACMB-151-V09-MS</t>
  </si>
  <si>
    <t>ACMB-151-V08-MSA</t>
  </si>
  <si>
    <t>ACMB-151-V09-MSA</t>
  </si>
  <si>
    <t>ACMB-151-V08-MSB</t>
  </si>
  <si>
    <t>ACMB-151-V09-MSB</t>
  </si>
  <si>
    <t>ACMB-151-R05-BO</t>
  </si>
  <si>
    <t>ACMB-151-RR05-BO</t>
  </si>
  <si>
    <t>ACMB-151-R05-BOA</t>
  </si>
  <si>
    <t>ACMB-151-RR05-BOA</t>
  </si>
  <si>
    <t>ACMB-151-R05-BOB</t>
  </si>
  <si>
    <t>ACMB-151-RR05-BOB</t>
  </si>
  <si>
    <t>ACMB-151-V10-MS</t>
  </si>
  <si>
    <t>ACMB-151-V11-MS</t>
  </si>
  <si>
    <t>ACMB-151-V10-MSA</t>
  </si>
  <si>
    <t>ACMB-151-V11-MSA</t>
  </si>
  <si>
    <t>ACMB-151-V10-MSB</t>
  </si>
  <si>
    <t>ACMB-151-V11-MSB</t>
  </si>
  <si>
    <t>ACMB-151-R06-BO</t>
  </si>
  <si>
    <t>ACMB-151-RR06-BO</t>
  </si>
  <si>
    <t>ACMB-151-R06-BOA</t>
  </si>
  <si>
    <t>ACMB-151-RR06-BOA</t>
  </si>
  <si>
    <t>ACMB-151-R06-BOB</t>
  </si>
  <si>
    <t>ACMB-151-RR06-BOB</t>
  </si>
  <si>
    <t>ACMB-151-V12-MS</t>
  </si>
  <si>
    <t>ACMB-151-V13-MS</t>
  </si>
  <si>
    <t>ACMB-151-V12-MSA</t>
  </si>
  <si>
    <t>ACMB-151-V13-MSA</t>
  </si>
  <si>
    <t>ACMB-151-V12-MSB</t>
  </si>
  <si>
    <t>ACMB-151-V13-MSB</t>
  </si>
  <si>
    <t>ACMB-151-R07-BO</t>
  </si>
  <si>
    <t>ACMB-151-RR07-BO</t>
  </si>
  <si>
    <t>ACMB-151-R07-BOA</t>
  </si>
  <si>
    <t>ACMB-151-RR07-BOA</t>
  </si>
  <si>
    <t>ACMB-151-R07-BOB</t>
  </si>
  <si>
    <t>ACMB-151-RR07-BOB</t>
  </si>
  <si>
    <t>ACMB-151-V14-MS</t>
  </si>
  <si>
    <t>ACMB-151-V15-MS</t>
  </si>
  <si>
    <t>ACMB-151-V14-MSA</t>
  </si>
  <si>
    <t>ACMB-151-V15-MSA</t>
  </si>
  <si>
    <t>ACMB-151-V14-MSB</t>
  </si>
  <si>
    <t>ACMB-151-V15-MSB</t>
  </si>
  <si>
    <t>ACMB-152-R01-BO</t>
  </si>
  <si>
    <t>ACMB-152-RR01-BO</t>
  </si>
  <si>
    <t>ACMB-152-R01-BOA</t>
  </si>
  <si>
    <t>ACMB-152-RR01-BOA</t>
  </si>
  <si>
    <t>ACMB-152-R01-BOB</t>
  </si>
  <si>
    <t>ACMB-152-RR01-BOB</t>
  </si>
  <si>
    <t>ACMB-152-V02-MS</t>
  </si>
  <si>
    <t>ACMB-152-V03-MS</t>
  </si>
  <si>
    <t>ACMB-152-V02-MSA</t>
  </si>
  <si>
    <t>ACMB-152-V03-MSA</t>
  </si>
  <si>
    <t>ACMB-152-V02-MSB</t>
  </si>
  <si>
    <t>ACMB-152-V03-MSB</t>
  </si>
  <si>
    <t>ACMB-152-R02-BO</t>
  </si>
  <si>
    <t>ACMB-152-RR02-BO</t>
  </si>
  <si>
    <t>ACMB-152-R02-BOA</t>
  </si>
  <si>
    <t>ACMB-152-RR02-BOA</t>
  </si>
  <si>
    <t>ACMB-152-R02-BOB</t>
  </si>
  <si>
    <t>ACMB-152-RR02-BOB</t>
  </si>
  <si>
    <t>ACMB-152-V04-MS</t>
  </si>
  <si>
    <t>ACMB-152-V05-MS</t>
  </si>
  <si>
    <t>ACMB-152-V04-MSA</t>
  </si>
  <si>
    <t>ACMB-152-V05-MSA</t>
  </si>
  <si>
    <t>ACMB-152-V04-MSB</t>
  </si>
  <si>
    <t>ACMB-152-V05-MSB</t>
  </si>
  <si>
    <t>ACMB-152-R03-BO</t>
  </si>
  <si>
    <t>ACMB-152-RR03-BO</t>
  </si>
  <si>
    <t>ACMB-152-R03-BOA</t>
  </si>
  <si>
    <t>ACMB-152-RR03-BOA</t>
  </si>
  <si>
    <t>ACMB-152-R03-BOB</t>
  </si>
  <si>
    <t>ACMB-152-RR03-BOB</t>
  </si>
  <si>
    <t>ACMB-152-V06-MS</t>
  </si>
  <si>
    <t>ACMB-152-V07-MS</t>
  </si>
  <si>
    <t>ACMB-152-V06-MSA</t>
  </si>
  <si>
    <t>ACMB-152-V07-MSA</t>
  </si>
  <si>
    <t>ACMB-152-V06-MSB</t>
  </si>
  <si>
    <t>ACMB-152-V07-MSB</t>
  </si>
  <si>
    <t>ACMB-152-R04-BO</t>
  </si>
  <si>
    <t>ACMB-152-RR04-BO</t>
  </si>
  <si>
    <t>ACMB-152-R04-BOA</t>
  </si>
  <si>
    <t>ACMB-152-RR04-BOA</t>
  </si>
  <si>
    <t>ACMB-152-R04-BOB</t>
  </si>
  <si>
    <t>ACMB-152-RR04-BOB</t>
  </si>
  <si>
    <t>ACMB-152-V08-MS</t>
  </si>
  <si>
    <t>ACMB-152-V09-MS</t>
  </si>
  <si>
    <t>ACMB-152-V08-MSA</t>
  </si>
  <si>
    <t>ACMB-152-V09-MSA</t>
  </si>
  <si>
    <t>ACMB-152-V08-MSB</t>
  </si>
  <si>
    <t>ACMB-152-V09-MSB</t>
  </si>
  <si>
    <t>ACMB-152-R05-BO</t>
  </si>
  <si>
    <t>ACMB-152-RR05-BO</t>
  </si>
  <si>
    <t>ACMB-152-R05-BOA</t>
  </si>
  <si>
    <t>ACMB-152-RR05-BOA</t>
  </si>
  <si>
    <t>ACMB-152-R05-BOB</t>
  </si>
  <si>
    <t>ACMB-152-RR05-BOB</t>
  </si>
  <si>
    <t>ACMB-152-V10-MS</t>
  </si>
  <si>
    <t>ACMB-152-V11-MS</t>
  </si>
  <si>
    <t>ACMB-152-V10-MSA</t>
  </si>
  <si>
    <t>ACMB-152-V11-MSA</t>
  </si>
  <si>
    <t>ACMB-152-V10-MSB</t>
  </si>
  <si>
    <t>ACMB-152-V11-MSB</t>
  </si>
  <si>
    <t>ACMB-152-R06-BO</t>
  </si>
  <si>
    <t>ACMB-152-RR06-BO</t>
  </si>
  <si>
    <t>ACMB-152-R06-BOA</t>
  </si>
  <si>
    <t>ACMB-152-RR06-BOA</t>
  </si>
  <si>
    <t>ACMB-152-R06-BOB</t>
  </si>
  <si>
    <t>ACMB-152-RR06-BOB</t>
  </si>
  <si>
    <t>ACMB-152-V12-MS</t>
  </si>
  <si>
    <t>ACMB-152-V13-MS</t>
  </si>
  <si>
    <t>ACMB-152-V12-MSA</t>
  </si>
  <si>
    <t>ACMB-152-V13-MSA</t>
  </si>
  <si>
    <t>ACMB-152-V12-MSB</t>
  </si>
  <si>
    <t>ACMB-152-V13-MSB</t>
  </si>
  <si>
    <t>ACMB-152-R07-BO</t>
  </si>
  <si>
    <t>ACMB-152-RR07-BO</t>
  </si>
  <si>
    <t>ACMB-152-R07-BOA</t>
  </si>
  <si>
    <t>ACMB-152-RR07-BOA</t>
  </si>
  <si>
    <t>ACMB-152-R07-BOB</t>
  </si>
  <si>
    <t>ACMB-152-RR07-BOB</t>
  </si>
  <si>
    <t>ACMB-152-V14-MS</t>
  </si>
  <si>
    <t>ACMB-152-V15-MS</t>
  </si>
  <si>
    <t>ACMB-152-V14-MSA</t>
  </si>
  <si>
    <t>ACMB-152-V15-MSA</t>
  </si>
  <si>
    <t>ACMB-152-V14-MSB</t>
  </si>
  <si>
    <t>ACMB-152-V15-MSB</t>
  </si>
  <si>
    <t>ACMB-153-R01-BO</t>
  </si>
  <si>
    <t>ACMB-153-RR01-BO</t>
  </si>
  <si>
    <t>ACMB-153-R01-BOA</t>
  </si>
  <si>
    <t>ACMB-153-RR01-BOA</t>
  </si>
  <si>
    <t>ACMB-153-R01-BOB</t>
  </si>
  <si>
    <t>ACMB-153-RR01-BOB</t>
  </si>
  <si>
    <t>ACMB-153-V02-MS</t>
  </si>
  <si>
    <t>ACMB-153-V03-MS</t>
  </si>
  <si>
    <t>ACMB-153-V02-MSA</t>
  </si>
  <si>
    <t>ACMB-153-V03-MSA</t>
  </si>
  <si>
    <t>ACMB-153-V02-MSB</t>
  </si>
  <si>
    <t>ACMB-153-V03-MSB</t>
  </si>
  <si>
    <t>ACMB-153-R02-BO</t>
  </si>
  <si>
    <t>ACMB-153-RR02-BO</t>
  </si>
  <si>
    <t>ACMB-153-R02-BOA</t>
  </si>
  <si>
    <t>ACMB-153-RR02-BOA</t>
  </si>
  <si>
    <t>ACMB-153-R02-BOB</t>
  </si>
  <si>
    <t>ACMB-153-RR02-BOB</t>
  </si>
  <si>
    <t>ACMB-153-V04-MS</t>
  </si>
  <si>
    <t>ACMB-153-V05-MS</t>
  </si>
  <si>
    <t>ACMB-153-V04-MSA</t>
  </si>
  <si>
    <t>ACMB-153-V05-MSA</t>
  </si>
  <si>
    <t>ACMB-153-V04-MSB</t>
  </si>
  <si>
    <t>ACMB-153-V05-MSB</t>
  </si>
  <si>
    <t>ACMB-153-R03-BO</t>
  </si>
  <si>
    <t>ACMB-153-RR03-BO</t>
  </si>
  <si>
    <t>ACMB-153-R03-BOA</t>
  </si>
  <si>
    <t>ACMB-153-RR03-BOA</t>
  </si>
  <si>
    <t>ACMB-153-R03-BOB</t>
  </si>
  <si>
    <t>ACMB-153-RR03-BOB</t>
  </si>
  <si>
    <t>ACMB-153-V06-MS</t>
  </si>
  <si>
    <t>ACMB-153-V07-MS</t>
  </si>
  <si>
    <t>ACMB-153-V06-MSA</t>
  </si>
  <si>
    <t>ACMB-153-V07-MSA</t>
  </si>
  <si>
    <t>ACMB-153-V06-MSB</t>
  </si>
  <si>
    <t>ACMB-153-V07-MSB</t>
  </si>
  <si>
    <t>ACMB-153-R04-BO</t>
  </si>
  <si>
    <t>ACMB-153-RR04-BO</t>
  </si>
  <si>
    <t>ACMB-153-R04-BOA</t>
  </si>
  <si>
    <t>ACMB-153-RR04-BOA</t>
  </si>
  <si>
    <t>ACMB-153-R04-BOB</t>
  </si>
  <si>
    <t>ACMB-153-RR04-BOB</t>
  </si>
  <si>
    <t>ACMB-153-V08-MS</t>
  </si>
  <si>
    <t>ACMB-153-V09-MS</t>
  </si>
  <si>
    <t>ACMB-153-V08-MSA</t>
  </si>
  <si>
    <t>ACMB-153-V09-MSA</t>
  </si>
  <si>
    <t>ACMB-153-V08-MSB</t>
  </si>
  <si>
    <t>ACMB-153-V09-MSB</t>
  </si>
  <si>
    <t>ACMB-153-R05-BO</t>
  </si>
  <si>
    <t>ACMB-153-RR05-BO</t>
  </si>
  <si>
    <t>ACMB-153-R05-BOA</t>
  </si>
  <si>
    <t>ACMB-153-RR05-BOA</t>
  </si>
  <si>
    <t>ACMB-153-R05-BOB</t>
  </si>
  <si>
    <t>ACMB-153-RR05-BOB</t>
  </si>
  <si>
    <t>ACMB-153-V10-MS</t>
  </si>
  <si>
    <t>ACMB-153-V11-MS</t>
  </si>
  <si>
    <t>ACMB-153-V10-MSA</t>
  </si>
  <si>
    <t>ACMB-153-V11-MSA</t>
  </si>
  <si>
    <t>ACMB-153-V10-MSB</t>
  </si>
  <si>
    <t>ACMB-153-V11-MSB</t>
  </si>
  <si>
    <t>ACMB-153-R06-BO</t>
  </si>
  <si>
    <t>ACMB-153-RR06-BO</t>
  </si>
  <si>
    <t>ACMB-153-R06-BOA</t>
  </si>
  <si>
    <t>ACMB-153-RR06-BOA</t>
  </si>
  <si>
    <t>ACMB-153-R06-BOB</t>
  </si>
  <si>
    <t>ACMB-153-RR06-BOB</t>
  </si>
  <si>
    <t>ACMB-153-V12-MS</t>
  </si>
  <si>
    <t>ACMB-153-V13-MS</t>
  </si>
  <si>
    <t>ACMB-153-V12-MSA</t>
  </si>
  <si>
    <t>ACMB-153-V13-MSA</t>
  </si>
  <si>
    <t>ACMB-153-V12-MSB</t>
  </si>
  <si>
    <t>ACMB-153-V13-MSB</t>
  </si>
  <si>
    <t>ACMB-153-R07-BO</t>
  </si>
  <si>
    <t>ACMB-153-RR07-BO</t>
  </si>
  <si>
    <t>ACMB-153-R07-BOA</t>
  </si>
  <si>
    <t>ACMB-153-RR07-BOA</t>
  </si>
  <si>
    <t>ACMB-153-R07-BOB</t>
  </si>
  <si>
    <t>ACMB-153-RR07-BOB</t>
  </si>
  <si>
    <t>ACMB-153-V14-MS</t>
  </si>
  <si>
    <t>ACMB-153-V15-MS</t>
  </si>
  <si>
    <t>ACMB-153-V14-MSA</t>
  </si>
  <si>
    <t>ACMB-153-V15-MSA</t>
  </si>
  <si>
    <t>ACMB-153-V14-MSB</t>
  </si>
  <si>
    <t>ACMB-153-V15-MSB</t>
  </si>
  <si>
    <t>ACMB-154-R01-BO</t>
  </si>
  <si>
    <t>ACMB-154-RR01-BO</t>
  </si>
  <si>
    <t>ACMB-154-R01-BOA</t>
  </si>
  <si>
    <t>ACMB-154-RR01-BOA</t>
  </si>
  <si>
    <t>ACMB-154-R01-BOB</t>
  </si>
  <si>
    <t>ACMB-154-RR01-BOB</t>
  </si>
  <si>
    <t>ACMB-154-V02-MS</t>
  </si>
  <si>
    <t>ACMB-154-V03-MS</t>
  </si>
  <si>
    <t>ACMB-154-V02-MSA</t>
  </si>
  <si>
    <t>ACMB-154-V03-MSA</t>
  </si>
  <si>
    <t>ACMB-154-V02-MSB</t>
  </si>
  <si>
    <t>ACMB-154-V03-MSB</t>
  </si>
  <si>
    <t>ACMB-154-R02-BO</t>
  </si>
  <si>
    <t>ACMB-154-RR02-BO</t>
  </si>
  <si>
    <t>ACMB-154-R02-BOA</t>
  </si>
  <si>
    <t>ACMB-154-RR02-BOA</t>
  </si>
  <si>
    <t>ACMB-154-R02-BOB</t>
  </si>
  <si>
    <t>ACMB-154-RR02-BOB</t>
  </si>
  <si>
    <t>ACMB-154-V04-MS</t>
  </si>
  <si>
    <t>ACMB-154-V05-MS</t>
  </si>
  <si>
    <t>ACMB-154-V04-MSA</t>
  </si>
  <si>
    <t>ACMB-154-V05-MSA</t>
  </si>
  <si>
    <t>ACMB-154-V04-MSB</t>
  </si>
  <si>
    <t>ACMB-154-V05-MSB</t>
  </si>
  <si>
    <t>ACMB-154-R03-BO</t>
  </si>
  <si>
    <t>ACMB-154-RR03-BO</t>
  </si>
  <si>
    <t>ACMB-154-R03-BOA</t>
  </si>
  <si>
    <t>ACMB-154-RR03-BOA</t>
  </si>
  <si>
    <t>ACMB-154-R03-BOB</t>
  </si>
  <si>
    <t>ACMB-154-RR03-BOB</t>
  </si>
  <si>
    <t>ACMB-154-V06-MS</t>
  </si>
  <si>
    <t>ACMB-154-V07-MS</t>
  </si>
  <si>
    <t>ACMB-154-V06-MSA</t>
  </si>
  <si>
    <t>ACMB-154-V07-MSA</t>
  </si>
  <si>
    <t>ACMB-154-V06-MSB</t>
  </si>
  <si>
    <t>ACMB-154-V07-MSB</t>
  </si>
  <si>
    <t>ACMB-154-R04-BO</t>
  </si>
  <si>
    <t>ACMB-154-RR04-BO</t>
  </si>
  <si>
    <t>ACMB-154-R04-BOA</t>
  </si>
  <si>
    <t>ACMB-154-RR04-BOA</t>
  </si>
  <si>
    <t>ACMB-154-R04-BOB</t>
  </si>
  <si>
    <t>ACMB-154-RR04-BOB</t>
  </si>
  <si>
    <t>ACMB-154-V08-MS</t>
  </si>
  <si>
    <t>ACMB-154-V09-MS</t>
  </si>
  <si>
    <t>ACMB-154-V08-MSA</t>
  </si>
  <si>
    <t>ACMB-154-V09-MSA</t>
  </si>
  <si>
    <t>ACMB-154-V08-MSB</t>
  </si>
  <si>
    <t>ACMB-154-V09-MSB</t>
  </si>
  <si>
    <t>ACMB-154-R05-BO</t>
  </si>
  <si>
    <t>ACMB-154-RR05-BO</t>
  </si>
  <si>
    <t>ACMB-154-R05-BOA</t>
  </si>
  <si>
    <t>ACMB-154-RR05-BOA</t>
  </si>
  <si>
    <t>ACMB-154-R05-BOB</t>
  </si>
  <si>
    <t>ACMB-154-RR05-BOB</t>
  </si>
  <si>
    <t>ACMB-154-V10-MS</t>
  </si>
  <si>
    <t>ACMB-154-V11-MS</t>
  </si>
  <si>
    <t>ACMB-154-V10-MSA</t>
  </si>
  <si>
    <t>ACMB-154-V11-MSA</t>
  </si>
  <si>
    <t>ACMB-154-V10-MSB</t>
  </si>
  <si>
    <t>ACMB-154-V11-MSB</t>
  </si>
  <si>
    <t>ACMB-154-R06-BO</t>
  </si>
  <si>
    <t>ACMB-154-RR06-BO</t>
  </si>
  <si>
    <t>ACMB-154-R06-BOA</t>
  </si>
  <si>
    <t>ACMB-154-RR06-BOA</t>
  </si>
  <si>
    <t>ACMB-154-R06-BOB</t>
  </si>
  <si>
    <t>ACMB-154-RR06-BOB</t>
  </si>
  <si>
    <t>ACMB-154-V12-MS</t>
  </si>
  <si>
    <t>ACMB-154-V13-MS</t>
  </si>
  <si>
    <t>ACMB-154-V12-MSA</t>
  </si>
  <si>
    <t>ACMB-154-V13-MSA</t>
  </si>
  <si>
    <t>ACMB-154-V12-MSB</t>
  </si>
  <si>
    <t>ACMB-154-V13-MSB</t>
  </si>
  <si>
    <t>ACMB-154-R07-BO</t>
  </si>
  <si>
    <t>ACMB-154-RR07-BO</t>
  </si>
  <si>
    <t>ACMB-154-R07-BOA</t>
  </si>
  <si>
    <t>ACMB-154-RR07-BOA</t>
  </si>
  <si>
    <t>ACMB-154-R07-BOB</t>
  </si>
  <si>
    <t>ACMB-154-RR07-BOB</t>
  </si>
  <si>
    <t>ACMB-154-V14-MS</t>
  </si>
  <si>
    <t>ACMB-154-V15-MS</t>
  </si>
  <si>
    <t>ACMB-154-V14-MSA</t>
  </si>
  <si>
    <t>ACMB-154-V15-MSA</t>
  </si>
  <si>
    <t>ACMB-154-V14-MSB</t>
  </si>
  <si>
    <t>ACMB-154-V15-MSB</t>
  </si>
  <si>
    <t>ACMB-155-R01-BO</t>
  </si>
  <si>
    <t>ACMB-155-RR01-BO</t>
  </si>
  <si>
    <t>ACMB-155-R01-BOA</t>
  </si>
  <si>
    <t>ACMB-155-RR01-BOA</t>
  </si>
  <si>
    <t>ACMB-155-R01-BOB</t>
  </si>
  <si>
    <t>ACMB-155-RR01-BOB</t>
  </si>
  <si>
    <t>ACMB-155-V02-MS</t>
  </si>
  <si>
    <t>ACMB-155-V03-MS</t>
  </si>
  <si>
    <t>ACMB-155-V02-MSA</t>
  </si>
  <si>
    <t>ACMB-155-V03-MSA</t>
  </si>
  <si>
    <t>ACMB-155-V02-MSB</t>
  </si>
  <si>
    <t>ACMB-155-V03-MSB</t>
  </si>
  <si>
    <t>ACMB-155-R02-BO</t>
  </si>
  <si>
    <t>ACMB-155-RR02-BO</t>
  </si>
  <si>
    <t>ACMB-155-R02-BOA</t>
  </si>
  <si>
    <t>ACMB-155-RR02-BOA</t>
  </si>
  <si>
    <t>ACMB-155-R02-BOB</t>
  </si>
  <si>
    <t>ACMB-155-RR02-BOB</t>
  </si>
  <si>
    <t>ACMB-155-V04-MS</t>
  </si>
  <si>
    <t>ACMB-155-V05-MS</t>
  </si>
  <si>
    <t>ACMB-155-V04-MSA</t>
  </si>
  <si>
    <t>ACMB-155-V05-MSA</t>
  </si>
  <si>
    <t>ACMB-155-V04-MSB</t>
  </si>
  <si>
    <t>ACMB-155-V05-MSB</t>
  </si>
  <si>
    <t>ACMB-155-R03-BO</t>
  </si>
  <si>
    <t>ACMB-155-RR03-BO</t>
  </si>
  <si>
    <t>ACMB-155-R03-BOA</t>
  </si>
  <si>
    <t>ACMB-155-RR03-BOA</t>
  </si>
  <si>
    <t>ACMB-155-R03-BOB</t>
  </si>
  <si>
    <t>ACMB-155-RR03-BOB</t>
  </si>
  <si>
    <t>ACMB-155-V06-MS</t>
  </si>
  <si>
    <t>ACMB-155-V07-MS</t>
  </si>
  <si>
    <t>ACMB-155-V06-MSA</t>
  </si>
  <si>
    <t>ACMB-155-V07-MSA</t>
  </si>
  <si>
    <t>ACMB-155-V06-MSB</t>
  </si>
  <si>
    <t>ACMB-155-V07-MSB</t>
  </si>
  <si>
    <t>ACMB-155-R04-BO</t>
  </si>
  <si>
    <t>ACMB-155-RR04-BO</t>
  </si>
  <si>
    <t>ACMB-155-R04-BOA</t>
  </si>
  <si>
    <t>ACMB-155-RR04-BOA</t>
  </si>
  <si>
    <t>ACMB-155-R04-BOB</t>
  </si>
  <si>
    <t>ACMB-155-RR04-BOB</t>
  </si>
  <si>
    <t>ACMB-155-V08-MS</t>
  </si>
  <si>
    <t>ACMB-155-V09-MS</t>
  </si>
  <si>
    <t>ACMB-155-V08-MSA</t>
  </si>
  <si>
    <t>ACMB-155-V09-MSA</t>
  </si>
  <si>
    <t>ACMB-155-V08-MSB</t>
  </si>
  <si>
    <t>ACMB-155-V09-MSB</t>
  </si>
  <si>
    <t>ACMB-155-R05-BO</t>
  </si>
  <si>
    <t>ACMB-155-RR05-BO</t>
  </si>
  <si>
    <t>ACMB-155-R05-BOA</t>
  </si>
  <si>
    <t>ACMB-155-RR05-BOA</t>
  </si>
  <si>
    <t>ACMB-155-R05-BOB</t>
  </si>
  <si>
    <t>ACMB-155-RR05-BOB</t>
  </si>
  <si>
    <t>ACMB-155-V10-MS</t>
  </si>
  <si>
    <t>ACMB-155-V11-MS</t>
  </si>
  <si>
    <t>ACMB-155-V10-MSA</t>
  </si>
  <si>
    <t>ACMB-155-V11-MSA</t>
  </si>
  <si>
    <t>ACMB-155-V10-MSB</t>
  </si>
  <si>
    <t>ACMB-155-V11-MSB</t>
  </si>
  <si>
    <t>ACMB-155-R06-BO</t>
  </si>
  <si>
    <t>ACMB-155-RR06-BO</t>
  </si>
  <si>
    <t>ACMB-155-R06-BOA</t>
  </si>
  <si>
    <t>ACMB-155-RR06-BOA</t>
  </si>
  <si>
    <t>ACMB-155-R06-BOB</t>
  </si>
  <si>
    <t>ACMB-155-RR06-BOB</t>
  </si>
  <si>
    <t>ACMB-155-V12-MS</t>
  </si>
  <si>
    <t>ACMB-155-V13-MS</t>
  </si>
  <si>
    <t>ACMB-155-V12-MSA</t>
  </si>
  <si>
    <t>ACMB-155-V13-MSA</t>
  </si>
  <si>
    <t>ACMB-155-V12-MSB</t>
  </si>
  <si>
    <t>ACMB-155-V13-MSB</t>
  </si>
  <si>
    <t>ACMB-155-R07-BO</t>
  </si>
  <si>
    <t>ACMB-155-RR07-BO</t>
  </si>
  <si>
    <t>ACMB-155-R07-BOA</t>
  </si>
  <si>
    <t>ACMB-155-RR07-BOA</t>
  </si>
  <si>
    <t>ACMB-155-R07-BOB</t>
  </si>
  <si>
    <t>ACMB-155-RR07-BOB</t>
  </si>
  <si>
    <t>ACMB-155-V14-MS</t>
  </si>
  <si>
    <t>ACMB-155-V15-MS</t>
  </si>
  <si>
    <t>ACMB-155-V14-MSA</t>
  </si>
  <si>
    <t>ACMB-155-V15-MSA</t>
  </si>
  <si>
    <t>ACMB-155-V14-MSB</t>
  </si>
  <si>
    <t>ACMB-155-V15-MSB</t>
  </si>
  <si>
    <t>ACMB-156-R01-BO</t>
  </si>
  <si>
    <t>ACMB-156-RR01-BO</t>
  </si>
  <si>
    <t>ACMB-156-R01-BOA</t>
  </si>
  <si>
    <t>ACMB-156-RR01-BOA</t>
  </si>
  <si>
    <t>ACMB-156-R01-BOB</t>
  </si>
  <si>
    <t>ACMB-156-RR01-BOB</t>
  </si>
  <si>
    <t>ACMB-156-V02-MS</t>
  </si>
  <si>
    <t>ACMB-156-V03-MS</t>
  </si>
  <si>
    <t>ACMB-156-V02-MSA</t>
  </si>
  <si>
    <t>ACMB-156-V03-MSA</t>
  </si>
  <si>
    <t>ACMB-156-V02-MSB</t>
  </si>
  <si>
    <t>ACMB-156-V03-MSB</t>
  </si>
  <si>
    <t>ACMB-156-R02-BO</t>
  </si>
  <si>
    <t>ACMB-156-RR02-BO</t>
  </si>
  <si>
    <t>ACMB-156-R02-BOA</t>
  </si>
  <si>
    <t>ACMB-156-RR02-BOA</t>
  </si>
  <si>
    <t>ACMB-156-R02-BOB</t>
  </si>
  <si>
    <t>ACMB-156-RR02-BOB</t>
  </si>
  <si>
    <t>ACMB-156-V04-MS</t>
  </si>
  <si>
    <t>ACMB-156-V05-MS</t>
  </si>
  <si>
    <t>ACMB-156-V04-MSA</t>
  </si>
  <si>
    <t>ACMB-156-V05-MSA</t>
  </si>
  <si>
    <t>ACMB-156-V04-MSB</t>
  </si>
  <si>
    <t>ACMB-156-V05-MSB</t>
  </si>
  <si>
    <t>ACMB-156-R03-BO</t>
  </si>
  <si>
    <t>ACMB-156-RR03-BO</t>
  </si>
  <si>
    <t>ACMB-156-R03-BOA</t>
  </si>
  <si>
    <t>ACMB-156-RR03-BOA</t>
  </si>
  <si>
    <t>ACMB-156-R03-BOB</t>
  </si>
  <si>
    <t>ACMB-156-RR03-BOB</t>
  </si>
  <si>
    <t>ACMB-156-V06-MS</t>
  </si>
  <si>
    <t>ACMB-156-V07-MS</t>
  </si>
  <si>
    <t>ACMB-156-V06-MSA</t>
  </si>
  <si>
    <t>ACMB-156-V07-MSA</t>
  </si>
  <si>
    <t>ACMB-156-V06-MSB</t>
  </si>
  <si>
    <t>ACMB-156-V07-MSB</t>
  </si>
  <si>
    <t>ACMB-156-R04-BO</t>
  </si>
  <si>
    <t>ACMB-156-RR04-BO</t>
  </si>
  <si>
    <t>ACMB-156-R04-BOA</t>
  </si>
  <si>
    <t>ACMB-156-RR04-BOA</t>
  </si>
  <si>
    <t>ACMB-156-R04-BOB</t>
  </si>
  <si>
    <t>ACMB-156-RR04-BOB</t>
  </si>
  <si>
    <t>ACMB-156-V08-MS</t>
  </si>
  <si>
    <t>ACMB-156-V09-MS</t>
  </si>
  <si>
    <t>ACMB-156-V08-MSA</t>
  </si>
  <si>
    <t>ACMB-156-V09-MSA</t>
  </si>
  <si>
    <t>ACMB-156-V08-MSB</t>
  </si>
  <si>
    <t>ACMB-156-V09-MSB</t>
  </si>
  <si>
    <t>ACMB-156-R05-BO</t>
  </si>
  <si>
    <t>ACMB-156-RR05-BO</t>
  </si>
  <si>
    <t>ACMB-156-R05-BOA</t>
  </si>
  <si>
    <t>ACMB-156-RR05-BOA</t>
  </si>
  <si>
    <t>ACMB-156-R05-BOB</t>
  </si>
  <si>
    <t>ACMB-156-RR05-BOB</t>
  </si>
  <si>
    <t>ACMB-156-V10-MS</t>
  </si>
  <si>
    <t>ACMB-156-V11-MS</t>
  </si>
  <si>
    <t>ACMB-156-V10-MSA</t>
  </si>
  <si>
    <t>ACMB-156-V11-MSA</t>
  </si>
  <si>
    <t>ACMB-156-V10-MSB</t>
  </si>
  <si>
    <t>ACMB-156-V11-MSB</t>
  </si>
  <si>
    <t>ACMB-156-R06-BO</t>
  </si>
  <si>
    <t>ACMB-156-RR06-BO</t>
  </si>
  <si>
    <t>ACMB-156-R06-BOA</t>
  </si>
  <si>
    <t>ACMB-156-RR06-BOA</t>
  </si>
  <si>
    <t>ACMB-156-R06-BOB</t>
  </si>
  <si>
    <t>ACMB-156-RR06-BOB</t>
  </si>
  <si>
    <t>ACMB-156-V12-MS</t>
  </si>
  <si>
    <t>ACMB-156-V13-MS</t>
  </si>
  <si>
    <t>ACMB-156-V12-MSA</t>
  </si>
  <si>
    <t>ACMB-156-V13-MSA</t>
  </si>
  <si>
    <t>ACMB-156-V12-MSB</t>
  </si>
  <si>
    <t>ACMB-156-V13-MSB</t>
  </si>
  <si>
    <t>ACMB-156-R07-BO</t>
  </si>
  <si>
    <t>ACMB-156-RR07-BO</t>
  </si>
  <si>
    <t>ACMB-156-R07-BOA</t>
  </si>
  <si>
    <t>ACMB-156-RR07-BOA</t>
  </si>
  <si>
    <t>ACMB-156-R07-BOB</t>
  </si>
  <si>
    <t>ACMB-156-RR07-BOB</t>
  </si>
  <si>
    <t>ACMB-156-V14-MS</t>
  </si>
  <si>
    <t>ACMB-156-V15-MS</t>
  </si>
  <si>
    <t>ACMB-156-V14-MSA</t>
  </si>
  <si>
    <t>ACMB-156-V15-MSA</t>
  </si>
  <si>
    <t>ACMB-156-V14-MSB</t>
  </si>
  <si>
    <t>ACMB-156-V15-MSB</t>
  </si>
  <si>
    <t>ACMB-157-R01-BO</t>
  </si>
  <si>
    <t>ACMB-157-RR01-BO</t>
  </si>
  <si>
    <t>ACMB-157-R01-BOA</t>
  </si>
  <si>
    <t>ACMB-157-RR01-BOA</t>
  </si>
  <si>
    <t>ACMB-157-R01-BOB</t>
  </si>
  <si>
    <t>ACMB-157-RR01-BOB</t>
  </si>
  <si>
    <t>ACMB-157-V02-MS</t>
  </si>
  <si>
    <t>ACMB-157-V03-MS</t>
  </si>
  <si>
    <t>ACMB-157-V02-MSA</t>
  </si>
  <si>
    <t>ACMB-157-V03-MSA</t>
  </si>
  <si>
    <t>ACMB-157-V02-MSB</t>
  </si>
  <si>
    <t>ACMB-157-V03-MSB</t>
  </si>
  <si>
    <t>ACMB-157-R02-BO</t>
  </si>
  <si>
    <t>ACMB-157-RR02-BO</t>
  </si>
  <si>
    <t>ACMB-157-R02-BOA</t>
  </si>
  <si>
    <t>ACMB-157-RR02-BOA</t>
  </si>
  <si>
    <t>ACMB-157-R02-BOB</t>
  </si>
  <si>
    <t>ACMB-157-RR02-BOB</t>
  </si>
  <si>
    <t>ACMB-157-V04-MS</t>
  </si>
  <si>
    <t>ACMB-157-V05-MS</t>
  </si>
  <si>
    <t>ACMB-157-V04-MSA</t>
  </si>
  <si>
    <t>ACMB-157-V05-MSA</t>
  </si>
  <si>
    <t>ACMB-157-V04-MSB</t>
  </si>
  <si>
    <t>ACMB-157-V05-MSB</t>
  </si>
  <si>
    <t>ACMB-157-R03-BO</t>
  </si>
  <si>
    <t>ACMB-157-RR03-BO</t>
  </si>
  <si>
    <t>ACMB-157-R03-BOA</t>
  </si>
  <si>
    <t>ACMB-157-RR03-BOA</t>
  </si>
  <si>
    <t>ACMB-157-R03-BOB</t>
  </si>
  <si>
    <t>ACMB-157-RR03-BOB</t>
  </si>
  <si>
    <t>ACMB-157-V06-MS</t>
  </si>
  <si>
    <t>ACMB-157-V07-MS</t>
  </si>
  <si>
    <t>ACMB-157-V06-MSA</t>
  </si>
  <si>
    <t>ACMB-157-V07-MSA</t>
  </si>
  <si>
    <t>ACMB-157-V06-MSB</t>
  </si>
  <si>
    <t>ACMB-157-V07-MSB</t>
  </si>
  <si>
    <t>ACMB-157-R04-BO</t>
  </si>
  <si>
    <t>ACMB-157-RR04-BO</t>
  </si>
  <si>
    <t>ACMB-157-R04-BOA</t>
  </si>
  <si>
    <t>ACMB-157-RR04-BOA</t>
  </si>
  <si>
    <t>ACMB-157-R04-BOB</t>
  </si>
  <si>
    <t>ACMB-157-RR04-BOB</t>
  </si>
  <si>
    <t>ACMB-157-V08-MS</t>
  </si>
  <si>
    <t>ACMB-157-V09-MS</t>
  </si>
  <si>
    <t>ACMB-157-V08-MSA</t>
  </si>
  <si>
    <t>ACMB-157-V09-MSA</t>
  </si>
  <si>
    <t>ACMB-157-V08-MSB</t>
  </si>
  <si>
    <t>ACMB-157-V09-MSB</t>
  </si>
  <si>
    <t>ACMB-157-R05-BO</t>
  </si>
  <si>
    <t>ACMB-157-RR05-BO</t>
  </si>
  <si>
    <t>ACMB-157-R05-BOA</t>
  </si>
  <si>
    <t>ACMB-157-RR05-BOA</t>
  </si>
  <si>
    <t>ACMB-157-R05-BOB</t>
  </si>
  <si>
    <t>ACMB-157-RR05-BOB</t>
  </si>
  <si>
    <t>ACMB-157-V10-MS</t>
  </si>
  <si>
    <t>ACMB-157-V11-MS</t>
  </si>
  <si>
    <t>ACMB-157-V10-MSA</t>
  </si>
  <si>
    <t>ACMB-157-V11-MSA</t>
  </si>
  <si>
    <t>ACMB-157-V10-MSB</t>
  </si>
  <si>
    <t>ACMB-157-V11-MSB</t>
  </si>
  <si>
    <t>ACMB-157-R06-BO</t>
  </si>
  <si>
    <t>ACMB-157-RR06-BO</t>
  </si>
  <si>
    <t>ACMB-157-R06-BOA</t>
  </si>
  <si>
    <t>ACMB-157-RR06-BOA</t>
  </si>
  <si>
    <t>ACMB-157-R06-BOB</t>
  </si>
  <si>
    <t>ACMB-157-RR06-BOB</t>
  </si>
  <si>
    <t>ACMB-157-V12-MS</t>
  </si>
  <si>
    <t>ACMB-157-V13-MS</t>
  </si>
  <si>
    <t>ACMB-157-V12-MSA</t>
  </si>
  <si>
    <t>ACMB-157-V13-MSA</t>
  </si>
  <si>
    <t>ACMB-157-V12-MSB</t>
  </si>
  <si>
    <t>ACMB-157-V13-MSB</t>
  </si>
  <si>
    <t>ACMB-157-R07-BO</t>
  </si>
  <si>
    <t>ACMB-157-RR07-BO</t>
  </si>
  <si>
    <t>ACMB-157-R07-BOA</t>
  </si>
  <si>
    <t>ACMB-157-RR07-BOA</t>
  </si>
  <si>
    <t>ACMB-157-R07-BOB</t>
  </si>
  <si>
    <t>ACMB-157-RR07-BOB</t>
  </si>
  <si>
    <t>ACMB-157-V14-MS</t>
  </si>
  <si>
    <t>ACMB-157-V15-MS</t>
  </si>
  <si>
    <t>ACMB-157-V14-MSA</t>
  </si>
  <si>
    <t>ACMB-157-V15-MSA</t>
  </si>
  <si>
    <t>ACMB-157-V14-MSB</t>
  </si>
  <si>
    <t>ACMB-157-V15-MSB</t>
  </si>
  <si>
    <t>ACMB-158-R01-BO</t>
  </si>
  <si>
    <t>ACMB-158-RR01-BO</t>
  </si>
  <si>
    <t>ACMB-158-R01-BOA</t>
  </si>
  <si>
    <t>ACMB-158-RR01-BOA</t>
  </si>
  <si>
    <t>ACMB-158-R01-BOB</t>
  </si>
  <si>
    <t>ACMB-158-RR01-BOB</t>
  </si>
  <si>
    <t>ACMB-158-V02-MS</t>
  </si>
  <si>
    <t>ACMB-158-V03-MS</t>
  </si>
  <si>
    <t>ACMB-158-V02-MSA</t>
  </si>
  <si>
    <t>ACMB-158-V03-MSA</t>
  </si>
  <si>
    <t>ACMB-158-V02-MSB</t>
  </si>
  <si>
    <t>ACMB-158-V03-MSB</t>
  </si>
  <si>
    <t>ACMB-158-R02-BO</t>
  </si>
  <si>
    <t>ACMB-158-RR02-BO</t>
  </si>
  <si>
    <t>ACMB-158-R02-BOA</t>
  </si>
  <si>
    <t>ACMB-158-RR02-BOA</t>
  </si>
  <si>
    <t>ACMB-158-R02-BOB</t>
  </si>
  <si>
    <t>ACMB-158-RR02-BOB</t>
  </si>
  <si>
    <t>ACMB-158-V04-MS</t>
  </si>
  <si>
    <t>ACMB-158-V05-MS</t>
  </si>
  <si>
    <t>ACMB-158-V04-MSA</t>
  </si>
  <si>
    <t>ACMB-158-V05-MSA</t>
  </si>
  <si>
    <t>ACMB-158-V04-MSB</t>
  </si>
  <si>
    <t>ACMB-158-V05-MSB</t>
  </si>
  <si>
    <t>ACMB-158-R03-BO</t>
  </si>
  <si>
    <t>ACMB-158-RR03-BO</t>
  </si>
  <si>
    <t>ACMB-158-R03-BOA</t>
  </si>
  <si>
    <t>ACMB-158-RR03-BOA</t>
  </si>
  <si>
    <t>ACMB-158-R03-BOB</t>
  </si>
  <si>
    <t>ACMB-158-RR03-BOB</t>
  </si>
  <si>
    <t>ACMB-158-V06-MS</t>
  </si>
  <si>
    <t>ACMB-158-V07-MS</t>
  </si>
  <si>
    <t>ACMB-158-V06-MSA</t>
  </si>
  <si>
    <t>ACMB-158-V07-MSA</t>
  </si>
  <si>
    <t>ACMB-158-V06-MSB</t>
  </si>
  <si>
    <t>ACMB-158-V07-MSB</t>
  </si>
  <si>
    <t>ACMB-158-R04-BO</t>
  </si>
  <si>
    <t>ACMB-158-RR04-BO</t>
  </si>
  <si>
    <t>ACMB-158-R04-BOA</t>
  </si>
  <si>
    <t>ACMB-158-RR04-BOA</t>
  </si>
  <si>
    <t>ACMB-158-R04-BOB</t>
  </si>
  <si>
    <t>ACMB-158-RR04-BOB</t>
  </si>
  <si>
    <t>ACMB-158-V08-MS</t>
  </si>
  <si>
    <t>ACMB-158-V09-MS</t>
  </si>
  <si>
    <t>ACMB-158-V08-MSA</t>
  </si>
  <si>
    <t>ACMB-158-V09-MSA</t>
  </si>
  <si>
    <t>ACMB-158-V08-MSB</t>
  </si>
  <si>
    <t>ACMB-158-V09-MSB</t>
  </si>
  <si>
    <t>ACMB-158-R05-BO</t>
  </si>
  <si>
    <t>ACMB-158-RR05-BO</t>
  </si>
  <si>
    <t>ACMB-158-R05-BOA</t>
  </si>
  <si>
    <t>ACMB-158-RR05-BOA</t>
  </si>
  <si>
    <t>ACMB-158-R05-BOB</t>
  </si>
  <si>
    <t>ACMB-158-RR05-BOB</t>
  </si>
  <si>
    <t>ACMB-158-V10-MS</t>
  </si>
  <si>
    <t>ACMB-158-V11-MS</t>
  </si>
  <si>
    <t>ACMB-158-V10-MSA</t>
  </si>
  <si>
    <t>ACMB-158-V11-MSA</t>
  </si>
  <si>
    <t>ACMB-158-V10-MSB</t>
  </si>
  <si>
    <t>ACMB-158-V11-MSB</t>
  </si>
  <si>
    <t>ACMB-158-R06-BO</t>
  </si>
  <si>
    <t>ACMB-158-RR06-BO</t>
  </si>
  <si>
    <t>ACMB-158-R06-BOA</t>
  </si>
  <si>
    <t>ACMB-158-RR06-BOA</t>
  </si>
  <si>
    <t>ACMB-158-R06-BOB</t>
  </si>
  <si>
    <t>ACMB-158-RR06-BOB</t>
  </si>
  <si>
    <t>ACMB-158-V12-MS</t>
  </si>
  <si>
    <t>ACMB-158-V13-MS</t>
  </si>
  <si>
    <t>ACMB-158-V12-MSA</t>
  </si>
  <si>
    <t>ACMB-158-V13-MSA</t>
  </si>
  <si>
    <t>ACMB-158-V12-MSB</t>
  </si>
  <si>
    <t>ACMB-158-V13-MSB</t>
  </si>
  <si>
    <t>ACMB-158-R07-BO</t>
  </si>
  <si>
    <t>ACMB-158-RR07-BO</t>
  </si>
  <si>
    <t>ACMB-158-R07-BOA</t>
  </si>
  <si>
    <t>ACMB-158-RR07-BOA</t>
  </si>
  <si>
    <t>ACMB-158-R07-BOB</t>
  </si>
  <si>
    <t>ACMB-158-RR07-BOB</t>
  </si>
  <si>
    <t>ACMB-158-V14-MS</t>
  </si>
  <si>
    <t>ACMB-158-V15-MS</t>
  </si>
  <si>
    <t>ACMB-158-V14-MSA</t>
  </si>
  <si>
    <t>ACMB-158-V15-MSA</t>
  </si>
  <si>
    <t>ACMB-158-V14-MSB</t>
  </si>
  <si>
    <t>ACMB-158-V15-MSB</t>
  </si>
  <si>
    <t>ACMB-159-R01-BO</t>
  </si>
  <si>
    <t>ACMB-159-RR01-BO</t>
  </si>
  <si>
    <t>ACMB-159-R01-BOA</t>
  </si>
  <si>
    <t>ACMB-159-RR01-BOA</t>
  </si>
  <si>
    <t>ACMB-159-R01-BOB</t>
  </si>
  <si>
    <t>ACMB-159-RR01-BOB</t>
  </si>
  <si>
    <t>ACMB-159-V02-MS</t>
  </si>
  <si>
    <t>ACMB-159-V03-MS</t>
  </si>
  <si>
    <t>ACMB-159-V02-MSA</t>
  </si>
  <si>
    <t>ACMB-159-V03-MSA</t>
  </si>
  <si>
    <t>ACMB-159-V02-MSB</t>
  </si>
  <si>
    <t>ACMB-159-V03-MSB</t>
  </si>
  <si>
    <t>ACMB-159-R02-BO</t>
  </si>
  <si>
    <t>ACMB-159-RR02-BO</t>
  </si>
  <si>
    <t>ACMB-159-R02-BOA</t>
  </si>
  <si>
    <t>ACMB-159-RR02-BOA</t>
  </si>
  <si>
    <t>ACMB-159-R02-BOB</t>
  </si>
  <si>
    <t>ACMB-159-RR02-BOB</t>
  </si>
  <si>
    <t>ACMB-159-V04-MS</t>
  </si>
  <si>
    <t>ACMB-159-V05-MS</t>
  </si>
  <si>
    <t>ACMB-159-V04-MSA</t>
  </si>
  <si>
    <t>ACMB-159-V05-MSA</t>
  </si>
  <si>
    <t>ACMB-159-V04-MSB</t>
  </si>
  <si>
    <t>ACMB-159-V05-MSB</t>
  </si>
  <si>
    <t>ACMB-159-R03-BO</t>
  </si>
  <si>
    <t>ACMB-159-RR03-BO</t>
  </si>
  <si>
    <t>ACMB-159-R03-BOA</t>
  </si>
  <si>
    <t>ACMB-159-RR03-BOA</t>
  </si>
  <si>
    <t>ACMB-159-R03-BOB</t>
  </si>
  <si>
    <t>ACMB-159-RR03-BOB</t>
  </si>
  <si>
    <t>ACMB-159-V06-MS</t>
  </si>
  <si>
    <t>ACMB-159-V07-MS</t>
  </si>
  <si>
    <t>ACMB-159-V06-MSA</t>
  </si>
  <si>
    <t>ACMB-159-V07-MSA</t>
  </si>
  <si>
    <t>ACMB-159-V06-MSB</t>
  </si>
  <si>
    <t>ACMB-159-V07-MSB</t>
  </si>
  <si>
    <t>ACMB-159-R04-BO</t>
  </si>
  <si>
    <t>ACMB-159-RR04-BO</t>
  </si>
  <si>
    <t>ACMB-159-R04-BOA</t>
  </si>
  <si>
    <t>ACMB-159-RR04-BOA</t>
  </si>
  <si>
    <t>ACMB-159-R04-BOB</t>
  </si>
  <si>
    <t>ACMB-159-RR04-BOB</t>
  </si>
  <si>
    <t>ACMB-159-V08-MS</t>
  </si>
  <si>
    <t>ACMB-159-V09-MS</t>
  </si>
  <si>
    <t>ACMB-159-V08-MSA</t>
  </si>
  <si>
    <t>ACMB-159-V09-MSA</t>
  </si>
  <si>
    <t>ACMB-159-V08-MSB</t>
  </si>
  <si>
    <t>ACMB-159-V09-MSB</t>
  </si>
  <si>
    <t>ACMB-159-R05-BO</t>
  </si>
  <si>
    <t>ACMB-159-RR05-BO</t>
  </si>
  <si>
    <t>ACMB-159-R05-BOA</t>
  </si>
  <si>
    <t>ACMB-159-RR05-BOA</t>
  </si>
  <si>
    <t>ACMB-159-R05-BOB</t>
  </si>
  <si>
    <t>ACMB-159-RR05-BOB</t>
  </si>
  <si>
    <t>ACMB-159-V10-MS</t>
  </si>
  <si>
    <t>ACMB-159-V11-MS</t>
  </si>
  <si>
    <t>ACMB-159-V10-MSA</t>
  </si>
  <si>
    <t>ACMB-159-V11-MSA</t>
  </si>
  <si>
    <t>ACMB-159-V10-MSB</t>
  </si>
  <si>
    <t>ACMB-159-V11-MSB</t>
  </si>
  <si>
    <t>ACMB-159-R06-BO</t>
  </si>
  <si>
    <t>ACMB-159-RR06-BO</t>
  </si>
  <si>
    <t>ACMB-159-R06-BOA</t>
  </si>
  <si>
    <t>ACMB-159-RR06-BOA</t>
  </si>
  <si>
    <t>ACMB-159-R06-BOB</t>
  </si>
  <si>
    <t>ACMB-159-RR06-BOB</t>
  </si>
  <si>
    <t>ACMB-159-V12-MS</t>
  </si>
  <si>
    <t>ACMB-159-V13-MS</t>
  </si>
  <si>
    <t>ACMB-159-V12-MSA</t>
  </si>
  <si>
    <t>ACMB-159-V13-MSA</t>
  </si>
  <si>
    <t>ACMB-159-V12-MSB</t>
  </si>
  <si>
    <t>ACMB-159-V13-MSB</t>
  </si>
  <si>
    <t>ACMB-159-R07-BO</t>
  </si>
  <si>
    <t>ACMB-159-RR07-BO</t>
  </si>
  <si>
    <t>ACMB-159-R07-BOA</t>
  </si>
  <si>
    <t>ACMB-159-RR07-BOA</t>
  </si>
  <si>
    <t>ACMB-159-R07-BOB</t>
  </si>
  <si>
    <t>ACMB-159-RR07-BOB</t>
  </si>
  <si>
    <t>ACMB-159-V14-MS</t>
  </si>
  <si>
    <t>ACMB-159-V15-MS</t>
  </si>
  <si>
    <t>ACMB-159-V14-MSA</t>
  </si>
  <si>
    <t>ACMB-159-V15-MSA</t>
  </si>
  <si>
    <t>ACMB-159-V14-MSB</t>
  </si>
  <si>
    <t>ACMB-159-V15-MSB</t>
  </si>
  <si>
    <t>ACMB-160-R01-BO</t>
  </si>
  <si>
    <t>ACMB-160-RR01-BO</t>
  </si>
  <si>
    <t>ACMB-160-R01-BOA</t>
  </si>
  <si>
    <t>ACMB-160-RR01-BOA</t>
  </si>
  <si>
    <t>ACMB-160-R01-BOB</t>
  </si>
  <si>
    <t>ACMB-160-RR01-BOB</t>
  </si>
  <si>
    <t>ACMB-160-V02-MS</t>
  </si>
  <si>
    <t>ACMB-160-V03-MS</t>
  </si>
  <si>
    <t>ACMB-160-V02-MSA</t>
  </si>
  <si>
    <t>ACMB-160-V03-MSA</t>
  </si>
  <si>
    <t>ACMB-160-V02-MSB</t>
  </si>
  <si>
    <t>ACMB-160-V03-MSB</t>
  </si>
  <si>
    <t>ACMB-160-R02-BO</t>
  </si>
  <si>
    <t>ACMB-160-RR02-BO</t>
  </si>
  <si>
    <t>ACMB-160-R02-BOA</t>
  </si>
  <si>
    <t>ACMB-160-RR02-BOA</t>
  </si>
  <si>
    <t>ACMB-160-R02-BOB</t>
  </si>
  <si>
    <t>ACMB-160-RR02-BOB</t>
  </si>
  <si>
    <t>ACMB-160-V04-MS</t>
  </si>
  <si>
    <t>ACMB-160-V05-MS</t>
  </si>
  <si>
    <t>ACMB-160-V04-MSA</t>
  </si>
  <si>
    <t>ACMB-160-V05-MSA</t>
  </si>
  <si>
    <t>ACMB-160-V04-MSB</t>
  </si>
  <si>
    <t>ACMB-160-V05-MSB</t>
  </si>
  <si>
    <t>ACMB-160-R03-BO</t>
  </si>
  <si>
    <t>ACMB-160-RR03-BO</t>
  </si>
  <si>
    <t>ACMB-160-R03-BOA</t>
  </si>
  <si>
    <t>ACMB-160-RR03-BOA</t>
  </si>
  <si>
    <t>ACMB-160-R03-BOB</t>
  </si>
  <si>
    <t>ACMB-160-RR03-BOB</t>
  </si>
  <si>
    <t>ACMB-160-V06-MS</t>
  </si>
  <si>
    <t>ACMB-160-V07-MS</t>
  </si>
  <si>
    <t>ACMB-160-V06-MSA</t>
  </si>
  <si>
    <t>ACMB-160-V07-MSA</t>
  </si>
  <si>
    <t>ACMB-160-V06-MSB</t>
  </si>
  <si>
    <t>ACMB-160-V07-MSB</t>
  </si>
  <si>
    <t>ACMB-160-R04-BO</t>
  </si>
  <si>
    <t>ACMB-160-RR04-BO</t>
  </si>
  <si>
    <t>ACMB-160-R04-BOA</t>
  </si>
  <si>
    <t>ACMB-160-RR04-BOA</t>
  </si>
  <si>
    <t>ACMB-160-R04-BOB</t>
  </si>
  <si>
    <t>ACMB-160-RR04-BOB</t>
  </si>
  <si>
    <t>ACMB-160-V08-MS</t>
  </si>
  <si>
    <t>ACMB-160-V09-MS</t>
  </si>
  <si>
    <t>ACMB-160-V08-MSA</t>
  </si>
  <si>
    <t>ACMB-160-V09-MSA</t>
  </si>
  <si>
    <t>ACMB-160-V08-MSB</t>
  </si>
  <si>
    <t>ACMB-160-V09-MSB</t>
  </si>
  <si>
    <t>ACMB-160-R05-BO</t>
  </si>
  <si>
    <t>ACMB-160-RR05-BO</t>
  </si>
  <si>
    <t>ACMB-160-R05-BOA</t>
  </si>
  <si>
    <t>ACMB-160-RR05-BOA</t>
  </si>
  <si>
    <t>ACMB-160-R05-BOB</t>
  </si>
  <si>
    <t>ACMB-160-RR05-BOB</t>
  </si>
  <si>
    <t>ACMB-160-V10-MS</t>
  </si>
  <si>
    <t>ACMB-160-V11-MS</t>
  </si>
  <si>
    <t>ACMB-160-V10-MSA</t>
  </si>
  <si>
    <t>ACMB-160-V11-MSA</t>
  </si>
  <si>
    <t>ACMB-160-V10-MSB</t>
  </si>
  <si>
    <t>ACMB-160-V11-MSB</t>
  </si>
  <si>
    <t>ACMB-160-R06-BO</t>
  </si>
  <si>
    <t>ACMB-160-RR06-BO</t>
  </si>
  <si>
    <t>ACMB-160-R06-BOA</t>
  </si>
  <si>
    <t>ACMB-160-RR06-BOA</t>
  </si>
  <si>
    <t>ACMB-160-R06-BOB</t>
  </si>
  <si>
    <t>ACMB-160-RR06-BOB</t>
  </si>
  <si>
    <t>ACMB-160-V12-MS</t>
  </si>
  <si>
    <t>ACMB-160-V13-MS</t>
  </si>
  <si>
    <t>ACMB-160-V12-MSA</t>
  </si>
  <si>
    <t>ACMB-160-V13-MSA</t>
  </si>
  <si>
    <t>ACMB-160-V12-MSB</t>
  </si>
  <si>
    <t>ACMB-160-V13-MSB</t>
  </si>
  <si>
    <t>ACMB-160-R07-BO</t>
  </si>
  <si>
    <t>ACMB-160-RR07-BO</t>
  </si>
  <si>
    <t>ACMB-160-R07-BOA</t>
  </si>
  <si>
    <t>ACMB-160-RR07-BOA</t>
  </si>
  <si>
    <t>ACMB-160-R07-BOB</t>
  </si>
  <si>
    <t>ACMB-160-RR07-BOB</t>
  </si>
  <si>
    <t>ACMB-160-V14-MS</t>
  </si>
  <si>
    <t>ACMB-160-V15-MS</t>
  </si>
  <si>
    <t>ACMB-160-V14-MSA</t>
  </si>
  <si>
    <t>ACMB-160-V15-MSA</t>
  </si>
  <si>
    <t>ACMB-160-V14-MSB</t>
  </si>
  <si>
    <t>ACMB-160-V15-MSB</t>
  </si>
  <si>
    <t>ACMB-161-R01-BO</t>
  </si>
  <si>
    <t>ACMB-161-RR01-BO</t>
  </si>
  <si>
    <t>ACMB-161-R01-BOA</t>
  </si>
  <si>
    <t>ACMB-161-RR01-BOA</t>
  </si>
  <si>
    <t>ACMB-161-R01-BOB</t>
  </si>
  <si>
    <t>ACMB-161-RR01-BOB</t>
  </si>
  <si>
    <t>ACMB-161-V02-MS</t>
  </si>
  <si>
    <t>ACMB-161-V03-MS</t>
  </si>
  <si>
    <t>ACMB-161-V02-MSA</t>
  </si>
  <si>
    <t>ACMB-161-V03-MSA</t>
  </si>
  <si>
    <t>ACMB-161-V02-MSB</t>
  </si>
  <si>
    <t>ACMB-161-V03-MSB</t>
  </si>
  <si>
    <t>ACMB-161-R02-BO</t>
  </si>
  <si>
    <t>ACMB-161-RR02-BO</t>
  </si>
  <si>
    <t>ACMB-161-R02-BOA</t>
  </si>
  <si>
    <t>ACMB-161-RR02-BOA</t>
  </si>
  <si>
    <t>ACMB-161-R02-BOB</t>
  </si>
  <si>
    <t>ACMB-161-RR02-BOB</t>
  </si>
  <si>
    <t>ACMB-161-V04-MS</t>
  </si>
  <si>
    <t>ACMB-161-V05-MS</t>
  </si>
  <si>
    <t>ACMB-161-V04-MSA</t>
  </si>
  <si>
    <t>ACMB-161-V05-MSA</t>
  </si>
  <si>
    <t>ACMB-161-V04-MSB</t>
  </si>
  <si>
    <t>ACMB-161-V05-MSB</t>
  </si>
  <si>
    <t>ACMB-161-R03-BO</t>
  </si>
  <si>
    <t>ACMB-161-RR03-BO</t>
  </si>
  <si>
    <t>ACMB-161-R03-BOA</t>
  </si>
  <si>
    <t>ACMB-161-RR03-BOA</t>
  </si>
  <si>
    <t>ACMB-161-R03-BOB</t>
  </si>
  <si>
    <t>ACMB-161-RR03-BOB</t>
  </si>
  <si>
    <t>ACMB-161-V06-MS</t>
  </si>
  <si>
    <t>ACMB-161-V07-MS</t>
  </si>
  <si>
    <t>ACMB-161-V06-MSA</t>
  </si>
  <si>
    <t>ACMB-161-V07-MSA</t>
  </si>
  <si>
    <t>ACMB-161-V06-MSB</t>
  </si>
  <si>
    <t>ACMB-161-V07-MSB</t>
  </si>
  <si>
    <t>ACMB-161-R04-BO</t>
  </si>
  <si>
    <t>ACMB-161-RR04-BO</t>
  </si>
  <si>
    <t>ACMB-161-R04-BOA</t>
  </si>
  <si>
    <t>ACMB-161-RR04-BOA</t>
  </si>
  <si>
    <t>ACMB-161-R04-BOB</t>
  </si>
  <si>
    <t>ACMB-161-RR04-BOB</t>
  </si>
  <si>
    <t>ACMB-161-V08-MS</t>
  </si>
  <si>
    <t>ACMB-161-V09-MS</t>
  </si>
  <si>
    <t>ACMB-161-V08-MSA</t>
  </si>
  <si>
    <t>ACMB-161-V09-MSA</t>
  </si>
  <si>
    <t>ACMB-161-V08-MSB</t>
  </si>
  <si>
    <t>ACMB-161-V09-MSB</t>
  </si>
  <si>
    <t>ACMB-161-R05-BO</t>
  </si>
  <si>
    <t>ACMB-161-RR05-BO</t>
  </si>
  <si>
    <t>ACMB-161-R05-BOA</t>
  </si>
  <si>
    <t>ACMB-161-RR05-BOA</t>
  </si>
  <si>
    <t>ACMB-161-R05-BOB</t>
  </si>
  <si>
    <t>ACMB-161-RR05-BOB</t>
  </si>
  <si>
    <t>ACMB-161-V10-MS</t>
  </si>
  <si>
    <t>ACMB-161-V11-MS</t>
  </si>
  <si>
    <t>ACMB-161-V10-MSA</t>
  </si>
  <si>
    <t>ACMB-161-V11-MSA</t>
  </si>
  <si>
    <t>ACMB-161-V10-MSB</t>
  </si>
  <si>
    <t>ACMB-161-V11-MSB</t>
  </si>
  <si>
    <t>ACMB-161-R06-BO</t>
  </si>
  <si>
    <t>ACMB-161-RR06-BO</t>
  </si>
  <si>
    <t>ACMB-161-R06-BOA</t>
  </si>
  <si>
    <t>ACMB-161-RR06-BOA</t>
  </si>
  <si>
    <t>ACMB-161-R06-BOB</t>
  </si>
  <si>
    <t>ACMB-161-RR06-BOB</t>
  </si>
  <si>
    <t>ACMB-161-V12-MS</t>
  </si>
  <si>
    <t>ACMB-161-V13-MS</t>
  </si>
  <si>
    <t>ACMB-161-V12-MSA</t>
  </si>
  <si>
    <t>ACMB-161-V13-MSA</t>
  </si>
  <si>
    <t>ACMB-161-V12-MSB</t>
  </si>
  <si>
    <t>ACMB-161-V13-MSB</t>
  </si>
  <si>
    <t>ACMB-161-R07-BO</t>
  </si>
  <si>
    <t>ACMB-161-RR07-BO</t>
  </si>
  <si>
    <t>ACMB-161-R07-BOA</t>
  </si>
  <si>
    <t>ACMB-161-RR07-BOA</t>
  </si>
  <si>
    <t>ACMB-161-R07-BOB</t>
  </si>
  <si>
    <t>ACMB-161-RR07-BOB</t>
  </si>
  <si>
    <t>ACMB-161-V14-MS</t>
  </si>
  <si>
    <t>ACMB-161-V15-MS</t>
  </si>
  <si>
    <t>ACMB-161-V14-MSA</t>
  </si>
  <si>
    <t>ACMB-161-V15-MSA</t>
  </si>
  <si>
    <t>ACMB-161-V14-MSB</t>
  </si>
  <si>
    <t>ACMB-161-V15-MSB</t>
  </si>
  <si>
    <t>ACMB-162-R01-BO</t>
  </si>
  <si>
    <t>ACMB-162-RR01-BO</t>
  </si>
  <si>
    <t>ACMB-162-R01-BOA</t>
  </si>
  <si>
    <t>ACMB-162-RR01-BOA</t>
  </si>
  <si>
    <t>ACMB-162-R01-BOB</t>
  </si>
  <si>
    <t>ACMB-162-RR01-BOB</t>
  </si>
  <si>
    <t>ACMB-162-V02-MS</t>
  </si>
  <si>
    <t>ACMB-162-V03-MS</t>
  </si>
  <si>
    <t>ACMB-162-V02-MSA</t>
  </si>
  <si>
    <t>ACMB-162-V03-MSA</t>
  </si>
  <si>
    <t>ACMB-162-V02-MSB</t>
  </si>
  <si>
    <t>ACMB-162-V03-MSB</t>
  </si>
  <si>
    <t>ACMB-162-R02-BO</t>
  </si>
  <si>
    <t>ACMB-162-RR02-BO</t>
  </si>
  <si>
    <t>ACMB-162-R02-BOA</t>
  </si>
  <si>
    <t>ACMB-162-RR02-BOA</t>
  </si>
  <si>
    <t>ACMB-162-R02-BOB</t>
  </si>
  <si>
    <t>ACMB-162-RR02-BOB</t>
  </si>
  <si>
    <t>ACMB-162-V04-MS</t>
  </si>
  <si>
    <t>ACMB-162-V05-MS</t>
  </si>
  <si>
    <t>ACMB-162-V04-MSA</t>
  </si>
  <si>
    <t>ACMB-162-V05-MSA</t>
  </si>
  <si>
    <t>ACMB-162-V04-MSB</t>
  </si>
  <si>
    <t>ACMB-162-V05-MSB</t>
  </si>
  <si>
    <t>ACMB-162-R03-BO</t>
  </si>
  <si>
    <t>ACMB-162-RR03-BO</t>
  </si>
  <si>
    <t>ACMB-162-R03-BOA</t>
  </si>
  <si>
    <t>ACMB-162-RR03-BOA</t>
  </si>
  <si>
    <t>ACMB-162-R03-BOB</t>
  </si>
  <si>
    <t>ACMB-162-RR03-BOB</t>
  </si>
  <si>
    <t>ACMB-162-V06-MS</t>
  </si>
  <si>
    <t>ACMB-162-V07-MS</t>
  </si>
  <si>
    <t>ACMB-162-V06-MSA</t>
  </si>
  <si>
    <t>ACMB-162-V07-MSA</t>
  </si>
  <si>
    <t>ACMB-162-V06-MSB</t>
  </si>
  <si>
    <t>ACMB-162-V07-MSB</t>
  </si>
  <si>
    <t>ACMB-162-R04-BO</t>
  </si>
  <si>
    <t>ACMB-162-RR04-BO</t>
  </si>
  <si>
    <t>ACMB-162-R04-BOA</t>
  </si>
  <si>
    <t>ACMB-162-RR04-BOA</t>
  </si>
  <si>
    <t>ACMB-162-R04-BOB</t>
  </si>
  <si>
    <t>ACMB-162-RR04-BOB</t>
  </si>
  <si>
    <t>ACMB-162-V08-MS</t>
  </si>
  <si>
    <t>ACMB-162-V09-MS</t>
  </si>
  <si>
    <t>ACMB-162-V08-MSA</t>
  </si>
  <si>
    <t>ACMB-162-V09-MSA</t>
  </si>
  <si>
    <t>ACMB-162-V08-MSB</t>
  </si>
  <si>
    <t>ACMB-162-V09-MSB</t>
  </si>
  <si>
    <t>ACMB-162-R05-BO</t>
  </si>
  <si>
    <t>ACMB-162-RR05-BO</t>
  </si>
  <si>
    <t>ACMB-162-R05-BOA</t>
  </si>
  <si>
    <t>ACMB-162-RR05-BOA</t>
  </si>
  <si>
    <t>ACMB-162-R05-BOB</t>
  </si>
  <si>
    <t>ACMB-162-RR05-BOB</t>
  </si>
  <si>
    <t>ACMB-162-V10-MS</t>
  </si>
  <si>
    <t>ACMB-162-V11-MS</t>
  </si>
  <si>
    <t>ACMB-162-V10-MSA</t>
  </si>
  <si>
    <t>ACMB-162-V11-MSA</t>
  </si>
  <si>
    <t>ACMB-162-V10-MSB</t>
  </si>
  <si>
    <t>ACMB-162-V11-MSB</t>
  </si>
  <si>
    <t>ACMB-162-R06-BO</t>
  </si>
  <si>
    <t>ACMB-162-RR06-BO</t>
  </si>
  <si>
    <t>ACMB-162-R06-BOA</t>
  </si>
  <si>
    <t>ACMB-162-RR06-BOA</t>
  </si>
  <si>
    <t>ACMB-162-R06-BOB</t>
  </si>
  <si>
    <t>ACMB-162-RR06-BOB</t>
  </si>
  <si>
    <t>ACMB-162-V12-MS</t>
  </si>
  <si>
    <t>ACMB-162-V13-MS</t>
  </si>
  <si>
    <t>ACMB-162-V12-MSA</t>
  </si>
  <si>
    <t>ACMB-162-V13-MSA</t>
  </si>
  <si>
    <t>ACMB-162-V12-MSB</t>
  </si>
  <si>
    <t>ACMB-162-V13-MSB</t>
  </si>
  <si>
    <t>ACMB-162-R07-BO</t>
  </si>
  <si>
    <t>ACMB-162-RR07-BO</t>
  </si>
  <si>
    <t>ACMB-162-R07-BOA</t>
  </si>
  <si>
    <t>ACMB-162-RR07-BOA</t>
  </si>
  <si>
    <t>ACMB-162-R07-BOB</t>
  </si>
  <si>
    <t>ACMB-162-RR07-BOB</t>
  </si>
  <si>
    <t>ACMB-162-V14-MS</t>
  </si>
  <si>
    <t>ACMB-162-V15-MS</t>
  </si>
  <si>
    <t>ACMB-162-V14-MSA</t>
  </si>
  <si>
    <t>ACMB-162-V15-MSA</t>
  </si>
  <si>
    <t>ACMB-162-V14-MSB</t>
  </si>
  <si>
    <t>ACMB-162-V15-MSB</t>
  </si>
  <si>
    <t>ACMB-163-R01-BO</t>
  </si>
  <si>
    <t>ACMB-163-RR01-BO</t>
  </si>
  <si>
    <t>ACMB-163-R01-BOA</t>
  </si>
  <si>
    <t>ACMB-163-RR01-BOA</t>
  </si>
  <si>
    <t>ACMB-163-R01-BOB</t>
  </si>
  <si>
    <t>ACMB-163-RR01-BOB</t>
  </si>
  <si>
    <t>ACMB-163-V02-MS</t>
  </si>
  <si>
    <t>ACMB-163-V03-MS</t>
  </si>
  <si>
    <t>ACMB-163-V02-MSA</t>
  </si>
  <si>
    <t>ACMB-163-V03-MSA</t>
  </si>
  <si>
    <t>ACMB-163-V02-MSB</t>
  </si>
  <si>
    <t>ACMB-163-V03-MSB</t>
  </si>
  <si>
    <t>ACMB-163-R02-BO</t>
  </si>
  <si>
    <t>ACMB-163-RR02-BO</t>
  </si>
  <si>
    <t>ACMB-163-R02-BOA</t>
  </si>
  <si>
    <t>ACMB-163-RR02-BOA</t>
  </si>
  <si>
    <t>ACMB-163-R02-BOB</t>
  </si>
  <si>
    <t>ACMB-163-RR02-BOB</t>
  </si>
  <si>
    <t>ACMB-163-V04-MS</t>
  </si>
  <si>
    <t>ACMB-163-V05-MS</t>
  </si>
  <si>
    <t>ACMB-163-V04-MSA</t>
  </si>
  <si>
    <t>ACMB-163-V05-MSA</t>
  </si>
  <si>
    <t>ACMB-163-V04-MSB</t>
  </si>
  <si>
    <t>ACMB-163-V05-MSB</t>
  </si>
  <si>
    <t>ACMB-163-R03-BO</t>
  </si>
  <si>
    <t>ACMB-163-RR03-BO</t>
  </si>
  <si>
    <t>ACMB-163-R03-BOA</t>
  </si>
  <si>
    <t>ACMB-163-RR03-BOA</t>
  </si>
  <si>
    <t>ACMB-163-R03-BOB</t>
  </si>
  <si>
    <t>ACMB-163-RR03-BOB</t>
  </si>
  <si>
    <t>ACMB-163-V06-MS</t>
  </si>
  <si>
    <t>ACMB-163-V07-MS</t>
  </si>
  <si>
    <t>ACMB-163-V06-MSA</t>
  </si>
  <si>
    <t>ACMB-163-V07-MSA</t>
  </si>
  <si>
    <t>ACMB-163-V06-MSB</t>
  </si>
  <si>
    <t>ACMB-163-V07-MSB</t>
  </si>
  <si>
    <t>ACMB-163-R04-BO</t>
  </si>
  <si>
    <t>ACMB-163-RR04-BO</t>
  </si>
  <si>
    <t>ACMB-163-R04-BOA</t>
  </si>
  <si>
    <t>ACMB-163-RR04-BOA</t>
  </si>
  <si>
    <t>ACMB-163-R04-BOB</t>
  </si>
  <si>
    <t>ACMB-163-RR04-BOB</t>
  </si>
  <si>
    <t>ACMB-163-V08-MS</t>
  </si>
  <si>
    <t>ACMB-163-V09-MS</t>
  </si>
  <si>
    <t>ACMB-163-V08-MSA</t>
  </si>
  <si>
    <t>ACMB-163-V09-MSA</t>
  </si>
  <si>
    <t>ACMB-163-V08-MSB</t>
  </si>
  <si>
    <t>ACMB-163-V09-MSB</t>
  </si>
  <si>
    <t>ACMB-163-R05-BO</t>
  </si>
  <si>
    <t>ACMB-163-RR05-BO</t>
  </si>
  <si>
    <t>ACMB-163-R05-BOA</t>
  </si>
  <si>
    <t>ACMB-163-RR05-BOA</t>
  </si>
  <si>
    <t>ACMB-163-R05-BOB</t>
  </si>
  <si>
    <t>ACMB-163-RR05-BOB</t>
  </si>
  <si>
    <t>ACMB-163-V10-MS</t>
  </si>
  <si>
    <t>ACMB-163-V11-MS</t>
  </si>
  <si>
    <t>ACMB-163-V10-MSA</t>
  </si>
  <si>
    <t>ACMB-163-V11-MSA</t>
  </si>
  <si>
    <t>ACMB-163-V10-MSB</t>
  </si>
  <si>
    <t>ACMB-163-V11-MSB</t>
  </si>
  <si>
    <t>ACMB-163-R06-BO</t>
  </si>
  <si>
    <t>ACMB-163-RR06-BO</t>
  </si>
  <si>
    <t>ACMB-163-R06-BOA</t>
  </si>
  <si>
    <t>ACMB-163-RR06-BOA</t>
  </si>
  <si>
    <t>ACMB-163-R06-BOB</t>
  </si>
  <si>
    <t>ACMB-163-RR06-BOB</t>
  </si>
  <si>
    <t>ACMB-163-V12-MS</t>
  </si>
  <si>
    <t>ACMB-163-V13-MS</t>
  </si>
  <si>
    <t>ACMB-163-V12-MSA</t>
  </si>
  <si>
    <t>ACMB-163-V13-MSA</t>
  </si>
  <si>
    <t>ACMB-163-V12-MSB</t>
  </si>
  <si>
    <t>ACMB-163-V13-MSB</t>
  </si>
  <si>
    <t>ACMB-163-R07-BO</t>
  </si>
  <si>
    <t>ACMB-163-RR07-BO</t>
  </si>
  <si>
    <t>ACMB-163-R07-BOA</t>
  </si>
  <si>
    <t>ACMB-163-RR07-BOA</t>
  </si>
  <si>
    <t>ACMB-163-R07-BOB</t>
  </si>
  <si>
    <t>ACMB-163-RR07-BOB</t>
  </si>
  <si>
    <t>ACMB-163-V14-MS</t>
  </si>
  <si>
    <t>ACMB-163-V15-MS</t>
  </si>
  <si>
    <t>ACMB-163-V14-MSA</t>
  </si>
  <si>
    <t>ACMB-163-V15-MSA</t>
  </si>
  <si>
    <t>ACMB-163-V14-MSB</t>
  </si>
  <si>
    <t>ACMB-163-V15-MSB</t>
  </si>
  <si>
    <t>ACMB-164-R01-BO</t>
  </si>
  <si>
    <t>ACMB-164-RR01-BO</t>
  </si>
  <si>
    <t>ACMB-164-R01-BOA</t>
  </si>
  <si>
    <t>ACMB-164-RR01-BOA</t>
  </si>
  <si>
    <t>ACMB-164-R01-BOB</t>
  </si>
  <si>
    <t>ACMB-164-RR01-BOB</t>
  </si>
  <si>
    <t>ACMB-164-V02-MS</t>
  </si>
  <si>
    <t>ACMB-164-V03-MS</t>
  </si>
  <si>
    <t>ACMB-164-V02-MSA</t>
  </si>
  <si>
    <t>ACMB-164-V03-MSA</t>
  </si>
  <si>
    <t>ACMB-164-V02-MSB</t>
  </si>
  <si>
    <t>ACMB-164-V03-MSB</t>
  </si>
  <si>
    <t>ACMB-164-R02-BO</t>
  </si>
  <si>
    <t>ACMB-164-RR02-BO</t>
  </si>
  <si>
    <t>ACMB-164-R02-BOA</t>
  </si>
  <si>
    <t>ACMB-164-RR02-BOA</t>
  </si>
  <si>
    <t>ACMB-164-R02-BOB</t>
  </si>
  <si>
    <t>ACMB-164-RR02-BOB</t>
  </si>
  <si>
    <t>ACMB-164-V04-MS</t>
  </si>
  <si>
    <t>ACMB-164-V05-MS</t>
  </si>
  <si>
    <t>ACMB-164-V04-MSA</t>
  </si>
  <si>
    <t>ACMB-164-V05-MSA</t>
  </si>
  <si>
    <t>ACMB-164-V04-MSB</t>
  </si>
  <si>
    <t>ACMB-164-V05-MSB</t>
  </si>
  <si>
    <t>ACMB-164-R03-BO</t>
  </si>
  <si>
    <t>ACMB-164-RR03-BO</t>
  </si>
  <si>
    <t>ACMB-164-R03-BOA</t>
  </si>
  <si>
    <t>ACMB-164-RR03-BOA</t>
  </si>
  <si>
    <t>ACMB-164-R03-BOB</t>
  </si>
  <si>
    <t>ACMB-164-RR03-BOB</t>
  </si>
  <si>
    <t>ACMB-164-V06-MS</t>
  </si>
  <si>
    <t>ACMB-164-V07-MS</t>
  </si>
  <si>
    <t>ACMB-164-V06-MSA</t>
  </si>
  <si>
    <t>ACMB-164-V07-MSA</t>
  </si>
  <si>
    <t>ACMB-164-V06-MSB</t>
  </si>
  <si>
    <t>ACMB-164-V07-MSB</t>
  </si>
  <si>
    <t>ACMB-164-R04-BO</t>
  </si>
  <si>
    <t>ACMB-164-RR04-BO</t>
  </si>
  <si>
    <t>ACMB-164-R04-BOA</t>
  </si>
  <si>
    <t>ACMB-164-RR04-BOA</t>
  </si>
  <si>
    <t>ACMB-164-R04-BOB</t>
  </si>
  <si>
    <t>ACMB-164-RR04-BOB</t>
  </si>
  <si>
    <t>ACMB-164-V08-MS</t>
  </si>
  <si>
    <t>ACMB-164-V09-MS</t>
  </si>
  <si>
    <t>ACMB-164-V08-MSA</t>
  </si>
  <si>
    <t>ACMB-164-V09-MSA</t>
  </si>
  <si>
    <t>ACMB-164-V08-MSB</t>
  </si>
  <si>
    <t>ACMB-164-V09-MSB</t>
  </si>
  <si>
    <t>ACMB-164-R05-BO</t>
  </si>
  <si>
    <t>ACMB-164-RR05-BO</t>
  </si>
  <si>
    <t>ACMB-164-R05-BOA</t>
  </si>
  <si>
    <t>ACMB-164-RR05-BOA</t>
  </si>
  <si>
    <t>ACMB-164-R05-BOB</t>
  </si>
  <si>
    <t>ACMB-164-RR05-BOB</t>
  </si>
  <si>
    <t>ACMB-164-V10-MS</t>
  </si>
  <si>
    <t>ACMB-164-V11-MS</t>
  </si>
  <si>
    <t>ACMB-164-V10-MSA</t>
  </si>
  <si>
    <t>ACMB-164-V11-MSA</t>
  </si>
  <si>
    <t>ACMB-164-V10-MSB</t>
  </si>
  <si>
    <t>ACMB-164-V11-MSB</t>
  </si>
  <si>
    <t>ACMB-164-R06-BO</t>
  </si>
  <si>
    <t>ACMB-164-RR06-BO</t>
  </si>
  <si>
    <t>ACMB-164-R06-BOA</t>
  </si>
  <si>
    <t>ACMB-164-RR06-BOA</t>
  </si>
  <si>
    <t>ACMB-164-R06-BOB</t>
  </si>
  <si>
    <t>ACMB-164-RR06-BOB</t>
  </si>
  <si>
    <t>ACMB-164-V12-MS</t>
  </si>
  <si>
    <t>ACMB-164-V13-MS</t>
  </si>
  <si>
    <t>ACMB-164-V12-MSA</t>
  </si>
  <si>
    <t>ACMB-164-V13-MSA</t>
  </si>
  <si>
    <t>ACMB-164-V12-MSB</t>
  </si>
  <si>
    <t>ACMB-164-V13-MSB</t>
  </si>
  <si>
    <t>ACMB-164-R07-BO</t>
  </si>
  <si>
    <t>ACMB-164-RR07-BO</t>
  </si>
  <si>
    <t>ACMB-164-R07-BOA</t>
  </si>
  <si>
    <t>ACMB-164-RR07-BOA</t>
  </si>
  <si>
    <t>ACMB-164-R07-BOB</t>
  </si>
  <si>
    <t>ACMB-164-RR07-BOB</t>
  </si>
  <si>
    <t>ACMB-164-V14-MS</t>
  </si>
  <si>
    <t>ACMB-164-V15-MS</t>
  </si>
  <si>
    <t>ACMB-164-V14-MSA</t>
  </si>
  <si>
    <t>ACMB-164-V15-MSA</t>
  </si>
  <si>
    <t>ACMB-164-V14-MSB</t>
  </si>
  <si>
    <t>ACMB-164-V15-MSB</t>
  </si>
  <si>
    <t>ACMB-165-R01-BO</t>
  </si>
  <si>
    <t>ACMB-165-RR01-BO</t>
  </si>
  <si>
    <t>ACMB-165-R01-BOA</t>
  </si>
  <si>
    <t>ACMB-165-RR01-BOA</t>
  </si>
  <si>
    <t>ACMB-165-R01-BOB</t>
  </si>
  <si>
    <t>ACMB-165-RR01-BOB</t>
  </si>
  <si>
    <t>ACMB-165-V02-MS</t>
  </si>
  <si>
    <t>ACMB-165-V03-MS</t>
  </si>
  <si>
    <t>ACMB-165-V02-MSA</t>
  </si>
  <si>
    <t>ACMB-165-V03-MSA</t>
  </si>
  <si>
    <t>ACMB-165-V02-MSB</t>
  </si>
  <si>
    <t>ACMB-165-V03-MSB</t>
  </si>
  <si>
    <t>ACMB-165-R02-BO</t>
  </si>
  <si>
    <t>ACMB-165-RR02-BO</t>
  </si>
  <si>
    <t>ACMB-165-R02-BOA</t>
  </si>
  <si>
    <t>ACMB-165-RR02-BOA</t>
  </si>
  <si>
    <t>ACMB-165-R02-BOB</t>
  </si>
  <si>
    <t>ACMB-165-RR02-BOB</t>
  </si>
  <si>
    <t>ACMB-165-V04-MS</t>
  </si>
  <si>
    <t>ACMB-165-V05-MS</t>
  </si>
  <si>
    <t>ACMB-165-V04-MSA</t>
  </si>
  <si>
    <t>ACMB-165-V05-MSA</t>
  </si>
  <si>
    <t>ACMB-165-V04-MSB</t>
  </si>
  <si>
    <t>ACMB-165-V05-MSB</t>
  </si>
  <si>
    <t>ACMB-165-R03-BO</t>
  </si>
  <si>
    <t>ACMB-165-RR03-BO</t>
  </si>
  <si>
    <t>ACMB-165-R03-BOA</t>
  </si>
  <si>
    <t>ACMB-165-RR03-BOA</t>
  </si>
  <si>
    <t>ACMB-165-R03-BOB</t>
  </si>
  <si>
    <t>ACMB-165-RR03-BOB</t>
  </si>
  <si>
    <t>ACMB-165-V06-MS</t>
  </si>
  <si>
    <t>ACMB-165-V07-MS</t>
  </si>
  <si>
    <t>ACMB-165-V06-MSA</t>
  </si>
  <si>
    <t>ACMB-165-V07-MSA</t>
  </si>
  <si>
    <t>ACMB-165-V06-MSB</t>
  </si>
  <si>
    <t>ACMB-165-V07-MSB</t>
  </si>
  <si>
    <t>ACMB-165-R04-BO</t>
  </si>
  <si>
    <t>ACMB-165-RR04-BO</t>
  </si>
  <si>
    <t>ACMB-165-R04-BOA</t>
  </si>
  <si>
    <t>ACMB-165-RR04-BOA</t>
  </si>
  <si>
    <t>ACMB-165-R04-BOB</t>
  </si>
  <si>
    <t>ACMB-165-RR04-BOB</t>
  </si>
  <si>
    <t>ACMB-165-V08-MS</t>
  </si>
  <si>
    <t>ACMB-165-V09-MS</t>
  </si>
  <si>
    <t>ACMB-165-V08-MSA</t>
  </si>
  <si>
    <t>ACMB-165-V09-MSA</t>
  </si>
  <si>
    <t>ACMB-165-V08-MSB</t>
  </si>
  <si>
    <t>ACMB-165-V09-MSB</t>
  </si>
  <si>
    <t>ACMB-165-R05-BO</t>
  </si>
  <si>
    <t>ACMB-165-RR05-BO</t>
  </si>
  <si>
    <t>ACMB-165-R05-BOA</t>
  </si>
  <si>
    <t>ACMB-165-RR05-BOA</t>
  </si>
  <si>
    <t>ACMB-165-R05-BOB</t>
  </si>
  <si>
    <t>ACMB-165-RR05-BOB</t>
  </si>
  <si>
    <t>ACMB-165-V10-MS</t>
  </si>
  <si>
    <t>ACMB-165-V11-MS</t>
  </si>
  <si>
    <t>ACMB-165-V10-MSA</t>
  </si>
  <si>
    <t>ACMB-165-V11-MSA</t>
  </si>
  <si>
    <t>ACMB-165-V10-MSB</t>
  </si>
  <si>
    <t>ACMB-165-V11-MSB</t>
  </si>
  <si>
    <t>ACMB-165-R06-BO</t>
  </si>
  <si>
    <t>ACMB-165-RR06-BO</t>
  </si>
  <si>
    <t>ACMB-165-R06-BOA</t>
  </si>
  <si>
    <t>ACMB-165-RR06-BOA</t>
  </si>
  <si>
    <t>ACMB-165-R06-BOB</t>
  </si>
  <si>
    <t>ACMB-165-RR06-BOB</t>
  </si>
  <si>
    <t>ACMB-165-V12-MS</t>
  </si>
  <si>
    <t>ACMB-165-V13-MS</t>
  </si>
  <si>
    <t>ACMB-165-V12-MSA</t>
  </si>
  <si>
    <t>ACMB-165-V13-MSA</t>
  </si>
  <si>
    <t>ACMB-165-V12-MSB</t>
  </si>
  <si>
    <t>ACMB-165-V13-MSB</t>
  </si>
  <si>
    <t>ACMB-165-R07-BO</t>
  </si>
  <si>
    <t>ACMB-165-RR07-BO</t>
  </si>
  <si>
    <t>ACMB-165-R07-BOA</t>
  </si>
  <si>
    <t>ACMB-165-RR07-BOA</t>
  </si>
  <si>
    <t>ACMB-165-R07-BOB</t>
  </si>
  <si>
    <t>ACMB-165-RR07-BOB</t>
  </si>
  <si>
    <t>ACMB-165-V14-MS</t>
  </si>
  <si>
    <t>ACMB-165-V15-MS</t>
  </si>
  <si>
    <t>ACMB-165-V14-MSA</t>
  </si>
  <si>
    <t>ACMB-165-V15-MSA</t>
  </si>
  <si>
    <t>ACMB-165-V14-MSB</t>
  </si>
  <si>
    <t>ACMB-165-V15-MSB</t>
  </si>
  <si>
    <t>ACMB-166-R01-BO</t>
  </si>
  <si>
    <t>ACMB-166-RR01-BO</t>
  </si>
  <si>
    <t>ACMB-166-R01-BOA</t>
  </si>
  <si>
    <t>ACMB-166-RR01-BOA</t>
  </si>
  <si>
    <t>ACMB-166-R01-BOB</t>
  </si>
  <si>
    <t>ACMB-166-RR01-BOB</t>
  </si>
  <si>
    <t>ACMB-166-V02-MS</t>
  </si>
  <si>
    <t>ACMB-166-V03-MS</t>
  </si>
  <si>
    <t>ACMB-166-V02-MSA</t>
  </si>
  <si>
    <t>ACMB-166-V03-MSA</t>
  </si>
  <si>
    <t>ACMB-166-V02-MSB</t>
  </si>
  <si>
    <t>ACMB-166-V03-MSB</t>
  </si>
  <si>
    <t>ACMB-166-R02-BO</t>
  </si>
  <si>
    <t>ACMB-166-RR02-BO</t>
  </si>
  <si>
    <t>ACMB-166-R02-BOA</t>
  </si>
  <si>
    <t>ACMB-166-RR02-BOA</t>
  </si>
  <si>
    <t>ACMB-166-R02-BOB</t>
  </si>
  <si>
    <t>ACMB-166-RR02-BOB</t>
  </si>
  <si>
    <t>ACMB-166-V04-MS</t>
  </si>
  <si>
    <t>ACMB-166-V05-MS</t>
  </si>
  <si>
    <t>ACMB-166-V04-MSA</t>
  </si>
  <si>
    <t>ACMB-166-V05-MSA</t>
  </si>
  <si>
    <t>ACMB-166-V04-MSB</t>
  </si>
  <si>
    <t>ACMB-166-V05-MSB</t>
  </si>
  <si>
    <t>ACMB-166-R03-BO</t>
  </si>
  <si>
    <t>ACMB-166-RR03-BO</t>
  </si>
  <si>
    <t>ACMB-166-R03-BOA</t>
  </si>
  <si>
    <t>ACMB-166-RR03-BOA</t>
  </si>
  <si>
    <t>ACMB-166-R03-BOB</t>
  </si>
  <si>
    <t>ACMB-166-RR03-BOB</t>
  </si>
  <si>
    <t>ACMB-166-V06-MS</t>
  </si>
  <si>
    <t>ACMB-166-V07-MS</t>
  </si>
  <si>
    <t>ACMB-166-V06-MSA</t>
  </si>
  <si>
    <t>ACMB-166-V07-MSA</t>
  </si>
  <si>
    <t>ACMB-166-V06-MSB</t>
  </si>
  <si>
    <t>ACMB-166-V07-MSB</t>
  </si>
  <si>
    <t>ACMB-166-R04-BO</t>
  </si>
  <si>
    <t>ACMB-166-RR04-BO</t>
  </si>
  <si>
    <t>ACMB-166-R04-BOA</t>
  </si>
  <si>
    <t>ACMB-166-RR04-BOA</t>
  </si>
  <si>
    <t>ACMB-166-R04-BOB</t>
  </si>
  <si>
    <t>ACMB-166-RR04-BOB</t>
  </si>
  <si>
    <t>ACMB-166-V08-MS</t>
  </si>
  <si>
    <t>ACMB-166-V09-MS</t>
  </si>
  <si>
    <t>ACMB-166-V08-MSA</t>
  </si>
  <si>
    <t>ACMB-166-V09-MSA</t>
  </si>
  <si>
    <t>ACMB-166-V08-MSB</t>
  </si>
  <si>
    <t>ACMB-166-V09-MSB</t>
  </si>
  <si>
    <t>ACMB-166-R05-BO</t>
  </si>
  <si>
    <t>ACMB-166-RR05-BO</t>
  </si>
  <si>
    <t>ACMB-166-R05-BOA</t>
  </si>
  <si>
    <t>ACMB-166-RR05-BOA</t>
  </si>
  <si>
    <t>ACMB-166-R05-BOB</t>
  </si>
  <si>
    <t>ACMB-166-RR05-BOB</t>
  </si>
  <si>
    <t>ACMB-166-V10-MS</t>
  </si>
  <si>
    <t>ACMB-166-V11-MS</t>
  </si>
  <si>
    <t>ACMB-166-V10-MSA</t>
  </si>
  <si>
    <t>ACMB-166-V11-MSA</t>
  </si>
  <si>
    <t>ACMB-166-V10-MSB</t>
  </si>
  <si>
    <t>ACMB-166-V11-MSB</t>
  </si>
  <si>
    <t>ACMB-166-R06-BO</t>
  </si>
  <si>
    <t>ACMB-166-RR06-BO</t>
  </si>
  <si>
    <t>ACMB-166-R06-BOA</t>
  </si>
  <si>
    <t>ACMB-166-RR06-BOA</t>
  </si>
  <si>
    <t>ACMB-166-R06-BOB</t>
  </si>
  <si>
    <t>ACMB-166-RR06-BOB</t>
  </si>
  <si>
    <t>ACMB-166-V12-MS</t>
  </si>
  <si>
    <t>ACMB-166-V13-MS</t>
  </si>
  <si>
    <t>ACMB-166-V12-MSA</t>
  </si>
  <si>
    <t>ACMB-166-V13-MSA</t>
  </si>
  <si>
    <t>ACMB-166-V12-MSB</t>
  </si>
  <si>
    <t>ACMB-166-V13-MSB</t>
  </si>
  <si>
    <t>ACMB-166-R07-BO</t>
  </si>
  <si>
    <t>ACMB-166-RR07-BO</t>
  </si>
  <si>
    <t>ACMB-166-R07-BOA</t>
  </si>
  <si>
    <t>ACMB-166-RR07-BOA</t>
  </si>
  <si>
    <t>ACMB-166-R07-BOB</t>
  </si>
  <si>
    <t>ACMB-166-RR07-BOB</t>
  </si>
  <si>
    <t>ACMB-166-V14-MS</t>
  </si>
  <si>
    <t>ACMB-166-V15-MS</t>
  </si>
  <si>
    <t>ACMB-166-V14-MSA</t>
  </si>
  <si>
    <t>ACMB-166-V15-MSA</t>
  </si>
  <si>
    <t>ACMB-166-V14-MSB</t>
  </si>
  <si>
    <t>ACMB-166-V15-MSB</t>
  </si>
  <si>
    <t>ACMB-167-R01-BO</t>
  </si>
  <si>
    <t>ACMB-167-RR01-BO</t>
  </si>
  <si>
    <t>ACMB-167-R01-BOA</t>
  </si>
  <si>
    <t>ACMB-167-RR01-BOA</t>
  </si>
  <si>
    <t>ACMB-167-R01-BOB</t>
  </si>
  <si>
    <t>ACMB-167-RR01-BOB</t>
  </si>
  <si>
    <t>ACMB-167-V02-MS</t>
  </si>
  <si>
    <t>ACMB-167-V03-MS</t>
  </si>
  <si>
    <t>ACMB-167-V02-MSA</t>
  </si>
  <si>
    <t>ACMB-167-V03-MSA</t>
  </si>
  <si>
    <t>ACMB-167-V02-MSB</t>
  </si>
  <si>
    <t>ACMB-167-V03-MSB</t>
  </si>
  <si>
    <t>ACMB-167-R02-BO</t>
  </si>
  <si>
    <t>ACMB-167-RR02-BO</t>
  </si>
  <si>
    <t>ACMB-167-R02-BOA</t>
  </si>
  <si>
    <t>ACMB-167-RR02-BOA</t>
  </si>
  <si>
    <t>ACMB-167-R02-BOB</t>
  </si>
  <si>
    <t>ACMB-167-RR02-BOB</t>
  </si>
  <si>
    <t>ACMB-167-V04-MS</t>
  </si>
  <si>
    <t>ACMB-167-V05-MS</t>
  </si>
  <si>
    <t>ACMB-167-V04-MSA</t>
  </si>
  <si>
    <t>ACMB-167-V05-MSA</t>
  </si>
  <si>
    <t>ACMB-167-V04-MSB</t>
  </si>
  <si>
    <t>ACMB-167-V05-MSB</t>
  </si>
  <si>
    <t>ACMB-167-R03-BO</t>
  </si>
  <si>
    <t>ACMB-167-RR03-BO</t>
  </si>
  <si>
    <t>ACMB-167-R03-BOA</t>
  </si>
  <si>
    <t>ACMB-167-RR03-BOA</t>
  </si>
  <si>
    <t>ACMB-167-R03-BOB</t>
  </si>
  <si>
    <t>ACMB-167-RR03-BOB</t>
  </si>
  <si>
    <t>ACMB-167-V06-MS</t>
  </si>
  <si>
    <t>ACMB-167-V07-MS</t>
  </si>
  <si>
    <t>ACMB-167-V06-MSA</t>
  </si>
  <si>
    <t>ACMB-167-V07-MSA</t>
  </si>
  <si>
    <t>ACMB-167-V06-MSB</t>
  </si>
  <si>
    <t>ACMB-167-V07-MSB</t>
  </si>
  <si>
    <t>ACMB-167-R04-BO</t>
  </si>
  <si>
    <t>ACMB-167-RR04-BO</t>
  </si>
  <si>
    <t>ACMB-167-R04-BOA</t>
  </si>
  <si>
    <t>ACMB-167-RR04-BOA</t>
  </si>
  <si>
    <t>ACMB-167-R04-BOB</t>
  </si>
  <si>
    <t>ACMB-167-RR04-BOB</t>
  </si>
  <si>
    <t>ACMB-167-V08-MS</t>
  </si>
  <si>
    <t>ACMB-167-V09-MS</t>
  </si>
  <si>
    <t>ACMB-167-V08-MSA</t>
  </si>
  <si>
    <t>ACMB-167-V09-MSA</t>
  </si>
  <si>
    <t>ACMB-167-V08-MSB</t>
  </si>
  <si>
    <t>ACMB-167-V09-MSB</t>
  </si>
  <si>
    <t>ACMB-167-R05-BO</t>
  </si>
  <si>
    <t>ACMB-167-RR05-BO</t>
  </si>
  <si>
    <t>ACMB-167-R05-BOA</t>
  </si>
  <si>
    <t>ACMB-167-RR05-BOA</t>
  </si>
  <si>
    <t>ACMB-167-R05-BOB</t>
  </si>
  <si>
    <t>ACMB-167-RR05-BOB</t>
  </si>
  <si>
    <t>ACMB-167-V10-MS</t>
  </si>
  <si>
    <t>ACMB-167-V11-MS</t>
  </si>
  <si>
    <t>ACMB-167-V10-MSA</t>
  </si>
  <si>
    <t>ACMB-167-V11-MSA</t>
  </si>
  <si>
    <t>ACMB-167-V10-MSB</t>
  </si>
  <si>
    <t>ACMB-167-V11-MSB</t>
  </si>
  <si>
    <t>ACMB-167-R06-BO</t>
  </si>
  <si>
    <t>ACMB-167-RR06-BO</t>
  </si>
  <si>
    <t>ACMB-167-R06-BOA</t>
  </si>
  <si>
    <t>ACMB-167-RR06-BOA</t>
  </si>
  <si>
    <t>ACMB-167-R06-BOB</t>
  </si>
  <si>
    <t>ACMB-167-RR06-BOB</t>
  </si>
  <si>
    <t>ACMB-167-V12-MS</t>
  </si>
  <si>
    <t>ACMB-167-V13-MS</t>
  </si>
  <si>
    <t>ACMB-167-V12-MSA</t>
  </si>
  <si>
    <t>ACMB-167-V13-MSA</t>
  </si>
  <si>
    <t>ACMB-167-V12-MSB</t>
  </si>
  <si>
    <t>ACMB-167-V13-MSB</t>
  </si>
  <si>
    <t>ACMB-167-R07-BO</t>
  </si>
  <si>
    <t>ACMB-167-RR07-BO</t>
  </si>
  <si>
    <t>ACMB-167-R07-BOA</t>
  </si>
  <si>
    <t>ACMB-167-RR07-BOA</t>
  </si>
  <si>
    <t>ACMB-167-R07-BOB</t>
  </si>
  <si>
    <t>ACMB-167-RR07-BOB</t>
  </si>
  <si>
    <t>ACMB-167-V14-MS</t>
  </si>
  <si>
    <t>ACMB-167-V15-MS</t>
  </si>
  <si>
    <t>ACMB-167-V14-MSA</t>
  </si>
  <si>
    <t>ACMB-167-V15-MSA</t>
  </si>
  <si>
    <t>ACMB-167-V14-MSB</t>
  </si>
  <si>
    <t>ACMB-167-V15-MSB</t>
  </si>
  <si>
    <t>ACMB-168-R01-BO</t>
  </si>
  <si>
    <t>ACMB-168-RR01-BO</t>
  </si>
  <si>
    <t>ACMB-168-R01-BOA</t>
  </si>
  <si>
    <t>ACMB-168-RR01-BOA</t>
  </si>
  <si>
    <t>ACMB-168-R01-BOB</t>
  </si>
  <si>
    <t>ACMB-168-RR01-BOB</t>
  </si>
  <si>
    <t>ACMB-168-V02-MS</t>
  </si>
  <si>
    <t>ACMB-168-V03-MS</t>
  </si>
  <si>
    <t>ACMB-168-V02-MSA</t>
  </si>
  <si>
    <t>ACMB-168-V03-MSA</t>
  </si>
  <si>
    <t>ACMB-168-V02-MSB</t>
  </si>
  <si>
    <t>ACMB-168-V03-MSB</t>
  </si>
  <si>
    <t>ACMB-168-R02-BO</t>
  </si>
  <si>
    <t>ACMB-168-RR02-BO</t>
  </si>
  <si>
    <t>ACMB-168-R02-BOA</t>
  </si>
  <si>
    <t>ACMB-168-RR02-BOA</t>
  </si>
  <si>
    <t>ACMB-168-R02-BOB</t>
  </si>
  <si>
    <t>ACMB-168-RR02-BOB</t>
  </si>
  <si>
    <t>ACMB-168-V04-MS</t>
  </si>
  <si>
    <t>ACMB-168-V05-MS</t>
  </si>
  <si>
    <t>ACMB-168-V04-MSA</t>
  </si>
  <si>
    <t>ACMB-168-V05-MSA</t>
  </si>
  <si>
    <t>ACMB-168-V04-MSB</t>
  </si>
  <si>
    <t>ACMB-168-V05-MSB</t>
  </si>
  <si>
    <t>ACMB-168-R03-BO</t>
  </si>
  <si>
    <t>ACMB-168-RR03-BO</t>
  </si>
  <si>
    <t>ACMB-168-R03-BOA</t>
  </si>
  <si>
    <t>ACMB-168-RR03-BOA</t>
  </si>
  <si>
    <t>ACMB-168-R03-BOB</t>
  </si>
  <si>
    <t>ACMB-168-RR03-BOB</t>
  </si>
  <si>
    <t>ACMB-168-V06-MS</t>
  </si>
  <si>
    <t>ACMB-168-V07-MS</t>
  </si>
  <si>
    <t>ACMB-168-V06-MSA</t>
  </si>
  <si>
    <t>ACMB-168-V07-MSA</t>
  </si>
  <si>
    <t>ACMB-168-V06-MSB</t>
  </si>
  <si>
    <t>ACMB-168-V07-MSB</t>
  </si>
  <si>
    <t>ACMB-168-R04-BO</t>
  </si>
  <si>
    <t>ACMB-168-RR04-BO</t>
  </si>
  <si>
    <t>ACMB-168-R04-BOA</t>
  </si>
  <si>
    <t>ACMB-168-RR04-BOA</t>
  </si>
  <si>
    <t>ACMB-168-R04-BOB</t>
  </si>
  <si>
    <t>ACMB-168-RR04-BOB</t>
  </si>
  <si>
    <t>ACMB-168-V08-MS</t>
  </si>
  <si>
    <t>ACMB-168-V09-MS</t>
  </si>
  <si>
    <t>ACMB-168-V08-MSA</t>
  </si>
  <si>
    <t>ACMB-168-V09-MSA</t>
  </si>
  <si>
    <t>ACMB-168-V08-MSB</t>
  </si>
  <si>
    <t>ACMB-168-V09-MSB</t>
  </si>
  <si>
    <t>ACMB-168-R05-BO</t>
  </si>
  <si>
    <t>ACMB-168-RR05-BO</t>
  </si>
  <si>
    <t>ACMB-168-R05-BOA</t>
  </si>
  <si>
    <t>ACMB-168-RR05-BOA</t>
  </si>
  <si>
    <t>ACMB-168-R05-BOB</t>
  </si>
  <si>
    <t>ACMB-168-RR05-BOB</t>
  </si>
  <si>
    <t>ACMB-168-V10-MS</t>
  </si>
  <si>
    <t>ACMB-168-V11-MS</t>
  </si>
  <si>
    <t>ACMB-168-V10-MSA</t>
  </si>
  <si>
    <t>ACMB-168-V11-MSA</t>
  </si>
  <si>
    <t>ACMB-168-V10-MSB</t>
  </si>
  <si>
    <t>ACMB-168-V11-MSB</t>
  </si>
  <si>
    <t>ACMB-168-R06-BO</t>
  </si>
  <si>
    <t>ACMB-168-RR06-BO</t>
  </si>
  <si>
    <t>ACMB-168-R06-BOA</t>
  </si>
  <si>
    <t>ACMB-168-RR06-BOA</t>
  </si>
  <si>
    <t>ACMB-168-R06-BOB</t>
  </si>
  <si>
    <t>ACMB-168-RR06-BOB</t>
  </si>
  <si>
    <t>ACMB-168-V12-MS</t>
  </si>
  <si>
    <t>ACMB-168-V13-MS</t>
  </si>
  <si>
    <t>ACMB-168-V12-MSA</t>
  </si>
  <si>
    <t>ACMB-168-V13-MSA</t>
  </si>
  <si>
    <t>ACMB-168-V12-MSB</t>
  </si>
  <si>
    <t>ACMB-168-V13-MSB</t>
  </si>
  <si>
    <t>ACMB-168-R07-BO</t>
  </si>
  <si>
    <t>ACMB-168-RR07-BO</t>
  </si>
  <si>
    <t>ACMB-168-R07-BOA</t>
  </si>
  <si>
    <t>ACMB-168-RR07-BOA</t>
  </si>
  <si>
    <t>ACMB-168-R07-BOB</t>
  </si>
  <si>
    <t>ACMB-168-RR07-BOB</t>
  </si>
  <si>
    <t>ACMB-168-V14-MS</t>
  </si>
  <si>
    <t>ACMB-168-V15-MS</t>
  </si>
  <si>
    <t>ACMB-168-V14-MSA</t>
  </si>
  <si>
    <t>ACMB-168-V15-MSA</t>
  </si>
  <si>
    <t>ACMB-168-V14-MSB</t>
  </si>
  <si>
    <t>ACMB-168-V15-MSB</t>
  </si>
  <si>
    <t>ACMB-169-R01-BO</t>
  </si>
  <si>
    <t>ACMB-169-RR01-BO</t>
  </si>
  <si>
    <t>ACMB-169-R01-BOA</t>
  </si>
  <si>
    <t>ACMB-169-RR01-BOA</t>
  </si>
  <si>
    <t>ACMB-169-R01-BOB</t>
  </si>
  <si>
    <t>ACMB-169-RR01-BOB</t>
  </si>
  <si>
    <t>ACMB-169-V02-MS</t>
  </si>
  <si>
    <t>ACMB-169-V03-MS</t>
  </si>
  <si>
    <t>ACMB-169-V02-MSA</t>
  </si>
  <si>
    <t>ACMB-169-V03-MSA</t>
  </si>
  <si>
    <t>ACMB-169-V02-MSB</t>
  </si>
  <si>
    <t>ACMB-169-V03-MSB</t>
  </si>
  <si>
    <t>ACMB-169-R02-BO</t>
  </si>
  <si>
    <t>ACMB-169-RR02-BO</t>
  </si>
  <si>
    <t>ACMB-169-R02-BOA</t>
  </si>
  <si>
    <t>ACMB-169-RR02-BOA</t>
  </si>
  <si>
    <t>ACMB-169-R02-BOB</t>
  </si>
  <si>
    <t>ACMB-169-RR02-BOB</t>
  </si>
  <si>
    <t>ACMB-169-V04-MS</t>
  </si>
  <si>
    <t>ACMB-169-V05-MS</t>
  </si>
  <si>
    <t>ACMB-169-V04-MSA</t>
  </si>
  <si>
    <t>ACMB-169-V05-MSA</t>
  </si>
  <si>
    <t>ACMB-169-V04-MSB</t>
  </si>
  <si>
    <t>ACMB-169-V05-MSB</t>
  </si>
  <si>
    <t>ACMB-169-R03-BO</t>
  </si>
  <si>
    <t>ACMB-169-RR03-BO</t>
  </si>
  <si>
    <t>ACMB-169-R03-BOA</t>
  </si>
  <si>
    <t>ACMB-169-RR03-BOA</t>
  </si>
  <si>
    <t>ACMB-169-R03-BOB</t>
  </si>
  <si>
    <t>ACMB-169-RR03-BOB</t>
  </si>
  <si>
    <t>ACMB-169-V06-MS</t>
  </si>
  <si>
    <t>ACMB-169-V07-MS</t>
  </si>
  <si>
    <t>ACMB-169-V06-MSA</t>
  </si>
  <si>
    <t>ACMB-169-V07-MSA</t>
  </si>
  <si>
    <t>ACMB-169-V06-MSB</t>
  </si>
  <si>
    <t>ACMB-169-V07-MSB</t>
  </si>
  <si>
    <t>ACMB-169-R04-BO</t>
  </si>
  <si>
    <t>ACMB-169-RR04-BO</t>
  </si>
  <si>
    <t>ACMB-169-R04-BOA</t>
  </si>
  <si>
    <t>ACMB-169-RR04-BOA</t>
  </si>
  <si>
    <t>ACMB-169-R04-BOB</t>
  </si>
  <si>
    <t>ACMB-169-RR04-BOB</t>
  </si>
  <si>
    <t>ACMB-169-V08-MS</t>
  </si>
  <si>
    <t>ACMB-169-V09-MS</t>
  </si>
  <si>
    <t>ACMB-169-V08-MSA</t>
  </si>
  <si>
    <t>ACMB-169-V09-MSA</t>
  </si>
  <si>
    <t>ACMB-169-V08-MSB</t>
  </si>
  <si>
    <t>ACMB-169-V09-MSB</t>
  </si>
  <si>
    <t>ACMB-169-R05-BO</t>
  </si>
  <si>
    <t>ACMB-169-RR05-BO</t>
  </si>
  <si>
    <t>ACMB-169-R05-BOA</t>
  </si>
  <si>
    <t>ACMB-169-RR05-BOA</t>
  </si>
  <si>
    <t>ACMB-169-R05-BOB</t>
  </si>
  <si>
    <t>ACMB-169-RR05-BOB</t>
  </si>
  <si>
    <t>ACMB-169-V10-MS</t>
  </si>
  <si>
    <t>ACMB-169-V11-MS</t>
  </si>
  <si>
    <t>ACMB-169-V10-MSA</t>
  </si>
  <si>
    <t>ACMB-169-V11-MSA</t>
  </si>
  <si>
    <t>ACMB-169-V10-MSB</t>
  </si>
  <si>
    <t>ACMB-169-V11-MSB</t>
  </si>
  <si>
    <t>ACMB-169-R06-BO</t>
  </si>
  <si>
    <t>ACMB-169-RR06-BO</t>
  </si>
  <si>
    <t>ACMB-169-R06-BOA</t>
  </si>
  <si>
    <t>ACMB-169-RR06-BOA</t>
  </si>
  <si>
    <t>ACMB-169-R06-BOB</t>
  </si>
  <si>
    <t>ACMB-169-RR06-BOB</t>
  </si>
  <si>
    <t>ACMB-169-V12-MS</t>
  </si>
  <si>
    <t>ACMB-169-V13-MS</t>
  </si>
  <si>
    <t>ACMB-169-V12-MSA</t>
  </si>
  <si>
    <t>ACMB-169-V13-MSA</t>
  </si>
  <si>
    <t>ACMB-169-V12-MSB</t>
  </si>
  <si>
    <t>ACMB-169-V13-MSB</t>
  </si>
  <si>
    <t>ACMB-169-R07-BO</t>
  </si>
  <si>
    <t>ACMB-169-RR07-BO</t>
  </si>
  <si>
    <t>ACMB-169-R07-BOA</t>
  </si>
  <si>
    <t>ACMB-169-RR07-BOA</t>
  </si>
  <si>
    <t>ACMB-169-R07-BOB</t>
  </si>
  <si>
    <t>ACMB-169-RR07-BOB</t>
  </si>
  <si>
    <t>ACMB-169-V14-MS</t>
  </si>
  <si>
    <t>ACMB-169-V15-MS</t>
  </si>
  <si>
    <t>ACMB-169-V14-MSA</t>
  </si>
  <si>
    <t>ACMB-169-V15-MSA</t>
  </si>
  <si>
    <t>ACMB-169-V14-MSB</t>
  </si>
  <si>
    <t>ACMB-169-V15-MSB</t>
  </si>
  <si>
    <t>ACMB-170-R01-BO</t>
  </si>
  <si>
    <t>ACMB-170-RR01-BO</t>
  </si>
  <si>
    <t>ACMB-170-R01-BOA</t>
  </si>
  <si>
    <t>ACMB-170-RR01-BOA</t>
  </si>
  <si>
    <t>ACMB-170-R01-BOB</t>
  </si>
  <si>
    <t>ACMB-170-RR01-BOB</t>
  </si>
  <si>
    <t>ACMB-170-V02-MS</t>
  </si>
  <si>
    <t>ACMB-170-V03-MS</t>
  </si>
  <si>
    <t>ACMB-170-V02-MSA</t>
  </si>
  <si>
    <t>ACMB-170-V03-MSA</t>
  </si>
  <si>
    <t>ACMB-170-V02-MSB</t>
  </si>
  <si>
    <t>ACMB-170-V03-MSB</t>
  </si>
  <si>
    <t>ACMB-170-R02-BO</t>
  </si>
  <si>
    <t>ACMB-170-RR02-BO</t>
  </si>
  <si>
    <t>ACMB-170-R02-BOA</t>
  </si>
  <si>
    <t>ACMB-170-RR02-BOA</t>
  </si>
  <si>
    <t>ACMB-170-R02-BOB</t>
  </si>
  <si>
    <t>ACMB-170-RR02-BOB</t>
  </si>
  <si>
    <t>ACMB-170-V04-MS</t>
  </si>
  <si>
    <t>ACMB-170-V05-MS</t>
  </si>
  <si>
    <t>ACMB-170-V04-MSA</t>
  </si>
  <si>
    <t>ACMB-170-V05-MSA</t>
  </si>
  <si>
    <t>ACMB-170-V04-MSB</t>
  </si>
  <si>
    <t>ACMB-170-V05-MSB</t>
  </si>
  <si>
    <t>ACMB-170-R03-BO</t>
  </si>
  <si>
    <t>ACMB-170-RR03-BO</t>
  </si>
  <si>
    <t>ACMB-170-R03-BOA</t>
  </si>
  <si>
    <t>ACMB-170-RR03-BOA</t>
  </si>
  <si>
    <t>ACMB-170-R03-BOB</t>
  </si>
  <si>
    <t>ACMB-170-RR03-BOB</t>
  </si>
  <si>
    <t>ACMB-170-V06-MS</t>
  </si>
  <si>
    <t>ACMB-170-V07-MS</t>
  </si>
  <si>
    <t>ACMB-170-V06-MSA</t>
  </si>
  <si>
    <t>ACMB-170-V07-MSA</t>
  </si>
  <si>
    <t>ACMB-170-V06-MSB</t>
  </si>
  <si>
    <t>ACMB-170-V07-MSB</t>
  </si>
  <si>
    <t>ACMB-170-R04-BO</t>
  </si>
  <si>
    <t>ACMB-170-RR04-BO</t>
  </si>
  <si>
    <t>ACMB-170-R04-BOA</t>
  </si>
  <si>
    <t>ACMB-170-RR04-BOA</t>
  </si>
  <si>
    <t>ACMB-170-R04-BOB</t>
  </si>
  <si>
    <t>ACMB-170-RR04-BOB</t>
  </si>
  <si>
    <t>ACMB-170-V08-MS</t>
  </si>
  <si>
    <t>ACMB-170-V09-MS</t>
  </si>
  <si>
    <t>ACMB-170-V08-MSA</t>
  </si>
  <si>
    <t>ACMB-170-V09-MSA</t>
  </si>
  <si>
    <t>ACMB-170-V08-MSB</t>
  </si>
  <si>
    <t>ACMB-170-V09-MSB</t>
  </si>
  <si>
    <t>ACMB-170-R05-BO</t>
  </si>
  <si>
    <t>ACMB-170-RR05-BO</t>
  </si>
  <si>
    <t>ACMB-170-R05-BOA</t>
  </si>
  <si>
    <t>ACMB-170-RR05-BOA</t>
  </si>
  <si>
    <t>ACMB-170-R05-BOB</t>
  </si>
  <si>
    <t>ACMB-170-RR05-BOB</t>
  </si>
  <si>
    <t>ACMB-170-V10-MS</t>
  </si>
  <si>
    <t>ACMB-170-V11-MS</t>
  </si>
  <si>
    <t>ACMB-170-V10-MSA</t>
  </si>
  <si>
    <t>ACMB-170-V11-MSA</t>
  </si>
  <si>
    <t>ACMB-170-V10-MSB</t>
  </si>
  <si>
    <t>ACMB-170-V11-MSB</t>
  </si>
  <si>
    <t>ACMB-170-R06-BO</t>
  </si>
  <si>
    <t>ACMB-170-RR06-BO</t>
  </si>
  <si>
    <t>ACMB-170-R06-BOA</t>
  </si>
  <si>
    <t>ACMB-170-RR06-BOA</t>
  </si>
  <si>
    <t>ACMB-170-R06-BOB</t>
  </si>
  <si>
    <t>ACMB-170-RR06-BOB</t>
  </si>
  <si>
    <t>ACMB-170-V12-MS</t>
  </si>
  <si>
    <t>ACMB-170-V13-MS</t>
  </si>
  <si>
    <t>ACMB-170-V12-MSA</t>
  </si>
  <si>
    <t>ACMB-170-V13-MSA</t>
  </si>
  <si>
    <t>ACMB-170-V12-MSB</t>
  </si>
  <si>
    <t>ACMB-170-V13-MSB</t>
  </si>
  <si>
    <t>ACMB-170-R07-BO</t>
  </si>
  <si>
    <t>ACMB-170-RR07-BO</t>
  </si>
  <si>
    <t>ACMB-170-R07-BOA</t>
  </si>
  <si>
    <t>ACMB-170-RR07-BOA</t>
  </si>
  <si>
    <t>ACMB-170-R07-BOB</t>
  </si>
  <si>
    <t>ACMB-170-RR07-BOB</t>
  </si>
  <si>
    <t>ACMB-170-V14-MS</t>
  </si>
  <si>
    <t>ACMB-170-V15-MS</t>
  </si>
  <si>
    <t>ACMB-170-V14-MSA</t>
  </si>
  <si>
    <t>ACMB-170-V15-MSA</t>
  </si>
  <si>
    <t>ACMB-170-V14-MSB</t>
  </si>
  <si>
    <t>ACMB-170-V15-MSB</t>
  </si>
  <si>
    <t>ACMB-171-R01-BO</t>
  </si>
  <si>
    <t>ACMB-171-RR01-BO</t>
  </si>
  <si>
    <t>ACMB-171-R01-BOA</t>
  </si>
  <si>
    <t>ACMB-171-RR01-BOA</t>
  </si>
  <si>
    <t>ACMB-171-R01-BOB</t>
  </si>
  <si>
    <t>ACMB-171-RR01-BOB</t>
  </si>
  <si>
    <t>ACMB-171-V02-MS</t>
  </si>
  <si>
    <t>ACMB-171-V03-MS</t>
  </si>
  <si>
    <t>ACMB-171-V02-MSA</t>
  </si>
  <si>
    <t>ACMB-171-V03-MSA</t>
  </si>
  <si>
    <t>ACMB-171-V02-MSB</t>
  </si>
  <si>
    <t>ACMB-171-V03-MSB</t>
  </si>
  <si>
    <t>ACMB-171-R02-BO</t>
  </si>
  <si>
    <t>ACMB-171-RR02-BO</t>
  </si>
  <si>
    <t>ACMB-171-R02-BOA</t>
  </si>
  <si>
    <t>ACMB-171-RR02-BOA</t>
  </si>
  <si>
    <t>ACMB-171-R02-BOB</t>
  </si>
  <si>
    <t>ACMB-171-RR02-BOB</t>
  </si>
  <si>
    <t>ACMB-171-V04-MS</t>
  </si>
  <si>
    <t>ACMB-171-V05-MS</t>
  </si>
  <si>
    <t>ACMB-171-V04-MSA</t>
  </si>
  <si>
    <t>ACMB-171-V05-MSA</t>
  </si>
  <si>
    <t>ACMB-171-V04-MSB</t>
  </si>
  <si>
    <t>ACMB-171-V05-MSB</t>
  </si>
  <si>
    <t>ACMB-171-R03-BO</t>
  </si>
  <si>
    <t>ACMB-171-RR03-BO</t>
  </si>
  <si>
    <t>ACMB-171-R03-BOA</t>
  </si>
  <si>
    <t>ACMB-171-RR03-BOA</t>
  </si>
  <si>
    <t>ACMB-171-R03-BOB</t>
  </si>
  <si>
    <t>ACMB-171-RR03-BOB</t>
  </si>
  <si>
    <t>ACMB-171-V06-MS</t>
  </si>
  <si>
    <t>ACMB-171-V07-MS</t>
  </si>
  <si>
    <t>ACMB-171-V06-MSA</t>
  </si>
  <si>
    <t>ACMB-171-V07-MSA</t>
  </si>
  <si>
    <t>ACMB-171-V06-MSB</t>
  </si>
  <si>
    <t>ACMB-171-V07-MSB</t>
  </si>
  <si>
    <t>ACMB-171-R04-BO</t>
  </si>
  <si>
    <t>ACMB-171-RR04-BO</t>
  </si>
  <si>
    <t>ACMB-171-R04-BOA</t>
  </si>
  <si>
    <t>ACMB-171-RR04-BOA</t>
  </si>
  <si>
    <t>ACMB-171-R04-BOB</t>
  </si>
  <si>
    <t>ACMB-171-RR04-BOB</t>
  </si>
  <si>
    <t>ACMB-171-V08-MS</t>
  </si>
  <si>
    <t>ACMB-171-V09-MS</t>
  </si>
  <si>
    <t>ACMB-171-V08-MSA</t>
  </si>
  <si>
    <t>ACMB-171-V09-MSA</t>
  </si>
  <si>
    <t>ACMB-171-V08-MSB</t>
  </si>
  <si>
    <t>ACMB-171-V09-MSB</t>
  </si>
  <si>
    <t>ACMB-171-R05-BO</t>
  </si>
  <si>
    <t>ACMB-171-RR05-BO</t>
  </si>
  <si>
    <t>ACMB-171-R05-BOA</t>
  </si>
  <si>
    <t>ACMB-171-RR05-BOA</t>
  </si>
  <si>
    <t>ACMB-171-R05-BOB</t>
  </si>
  <si>
    <t>ACMB-171-RR05-BOB</t>
  </si>
  <si>
    <t>ACMB-171-V10-MS</t>
  </si>
  <si>
    <t>ACMB-171-V11-MS</t>
  </si>
  <si>
    <t>ACMB-171-V10-MSA</t>
  </si>
  <si>
    <t>ACMB-171-V11-MSA</t>
  </si>
  <si>
    <t>ACMB-171-V10-MSB</t>
  </si>
  <si>
    <t>ACMB-171-V11-MSB</t>
  </si>
  <si>
    <t>ACMB-171-R06-BO</t>
  </si>
  <si>
    <t>ACMB-171-RR06-BO</t>
  </si>
  <si>
    <t>ACMB-171-R06-BOA</t>
  </si>
  <si>
    <t>ACMB-171-RR06-BOA</t>
  </si>
  <si>
    <t>ACMB-171-R06-BOB</t>
  </si>
  <si>
    <t>ACMB-171-RR06-BOB</t>
  </si>
  <si>
    <t>ACMB-171-V12-MS</t>
  </si>
  <si>
    <t>ACMB-171-V13-MS</t>
  </si>
  <si>
    <t>ACMB-171-V12-MSA</t>
  </si>
  <si>
    <t>ACMB-171-V13-MSA</t>
  </si>
  <si>
    <t>ACMB-171-V12-MSB</t>
  </si>
  <si>
    <t>ACMB-171-V13-MSB</t>
  </si>
  <si>
    <t>ACMB-171-R07-BO</t>
  </si>
  <si>
    <t>ACMB-171-RR07-BO</t>
  </si>
  <si>
    <t>ACMB-171-R07-BOA</t>
  </si>
  <si>
    <t>ACMB-171-RR07-BOA</t>
  </si>
  <si>
    <t>ACMB-171-R07-BOB</t>
  </si>
  <si>
    <t>ACMB-171-RR07-BOB</t>
  </si>
  <si>
    <t>ACMB-171-V14-MS</t>
  </si>
  <si>
    <t>ACMB-171-V15-MS</t>
  </si>
  <si>
    <t>ACMB-171-V14-MSA</t>
  </si>
  <si>
    <t>ACMB-171-V15-MSA</t>
  </si>
  <si>
    <t>ACMB-171-V14-MSB</t>
  </si>
  <si>
    <t>ACMB-171-V15-MSB</t>
  </si>
  <si>
    <t>ACMB-172-R01-BO</t>
  </si>
  <si>
    <t>ACMB-172-RR01-BO</t>
  </si>
  <si>
    <t>ACMB-172-R01-BOA</t>
  </si>
  <si>
    <t>ACMB-172-RR01-BOA</t>
  </si>
  <si>
    <t>ACMB-172-R01-BOB</t>
  </si>
  <si>
    <t>ACMB-172-RR01-BOB</t>
  </si>
  <si>
    <t>ACMB-172-V02-MS</t>
  </si>
  <si>
    <t>ACMB-172-V03-MS</t>
  </si>
  <si>
    <t>ACMB-172-V02-MSA</t>
  </si>
  <si>
    <t>ACMB-172-V03-MSA</t>
  </si>
  <si>
    <t>ACMB-172-V02-MSB</t>
  </si>
  <si>
    <t>ACMB-172-V03-MSB</t>
  </si>
  <si>
    <t>ACMB-172-R02-BO</t>
  </si>
  <si>
    <t>ACMB-172-RR02-BO</t>
  </si>
  <si>
    <t>ACMB-172-R02-BOA</t>
  </si>
  <si>
    <t>ACMB-172-RR02-BOA</t>
  </si>
  <si>
    <t>ACMB-172-R02-BOB</t>
  </si>
  <si>
    <t>ACMB-172-RR02-BOB</t>
  </si>
  <si>
    <t>ACMB-172-V04-MS</t>
  </si>
  <si>
    <t>ACMB-172-V05-MS</t>
  </si>
  <si>
    <t>ACMB-172-V04-MSA</t>
  </si>
  <si>
    <t>ACMB-172-V05-MSA</t>
  </si>
  <si>
    <t>ACMB-172-V04-MSB</t>
  </si>
  <si>
    <t>ACMB-172-V05-MSB</t>
  </si>
  <si>
    <t>ACMB-172-R03-BO</t>
  </si>
  <si>
    <t>ACMB-172-RR03-BO</t>
  </si>
  <si>
    <t>ACMB-172-R03-BOA</t>
  </si>
  <si>
    <t>ACMB-172-RR03-BOA</t>
  </si>
  <si>
    <t>ACMB-172-R03-BOB</t>
  </si>
  <si>
    <t>ACMB-172-RR03-BOB</t>
  </si>
  <si>
    <t>ACMB-172-V06-MS</t>
  </si>
  <si>
    <t>ACMB-172-V07-MS</t>
  </si>
  <si>
    <t>ACMB-172-V06-MSA</t>
  </si>
  <si>
    <t>ACMB-172-V07-MSA</t>
  </si>
  <si>
    <t>ACMB-172-V06-MSB</t>
  </si>
  <si>
    <t>ACMB-172-V07-MSB</t>
  </si>
  <si>
    <t>ACMB-172-R04-BO</t>
  </si>
  <si>
    <t>ACMB-172-RR04-BO</t>
  </si>
  <si>
    <t>ACMB-172-R04-BOA</t>
  </si>
  <si>
    <t>ACMB-172-RR04-BOA</t>
  </si>
  <si>
    <t>ACMB-172-R04-BOB</t>
  </si>
  <si>
    <t>ACMB-172-RR04-BOB</t>
  </si>
  <si>
    <t>ACMB-172-V08-MS</t>
  </si>
  <si>
    <t>ACMB-172-V09-MS</t>
  </si>
  <si>
    <t>ACMB-172-V08-MSA</t>
  </si>
  <si>
    <t>ACMB-172-V09-MSA</t>
  </si>
  <si>
    <t>ACMB-172-V08-MSB</t>
  </si>
  <si>
    <t>ACMB-172-V09-MSB</t>
  </si>
  <si>
    <t>ACMB-172-R05-BO</t>
  </si>
  <si>
    <t>ACMB-172-RR05-BO</t>
  </si>
  <si>
    <t>ACMB-172-R05-BOA</t>
  </si>
  <si>
    <t>ACMB-172-RR05-BOA</t>
  </si>
  <si>
    <t>ACMB-172-R05-BOB</t>
  </si>
  <si>
    <t>ACMB-172-RR05-BOB</t>
  </si>
  <si>
    <t>ACMB-172-V10-MS</t>
  </si>
  <si>
    <t>ACMB-172-V11-MS</t>
  </si>
  <si>
    <t>ACMB-172-V10-MSA</t>
  </si>
  <si>
    <t>ACMB-172-V11-MSA</t>
  </si>
  <si>
    <t>ACMB-172-V10-MSB</t>
  </si>
  <si>
    <t>ACMB-172-V11-MSB</t>
  </si>
  <si>
    <t>ACMB-172-R06-BO</t>
  </si>
  <si>
    <t>ACMB-172-RR06-BO</t>
  </si>
  <si>
    <t>ACMB-172-R06-BOA</t>
  </si>
  <si>
    <t>ACMB-172-RR06-BOA</t>
  </si>
  <si>
    <t>ACMB-172-R06-BOB</t>
  </si>
  <si>
    <t>ACMB-172-RR06-BOB</t>
  </si>
  <si>
    <t>ACMB-172-V12-MS</t>
  </si>
  <si>
    <t>ACMB-172-V13-MS</t>
  </si>
  <si>
    <t>ACMB-172-V12-MSA</t>
  </si>
  <si>
    <t>ACMB-172-V13-MSA</t>
  </si>
  <si>
    <t>ACMB-172-V12-MSB</t>
  </si>
  <si>
    <t>ACMB-172-V13-MSB</t>
  </si>
  <si>
    <t>ACMB-172-R07-BO</t>
  </si>
  <si>
    <t>ACMB-172-RR07-BO</t>
  </si>
  <si>
    <t>ACMB-172-R07-BOA</t>
  </si>
  <si>
    <t>ACMB-172-RR07-BOA</t>
  </si>
  <si>
    <t>ACMB-172-R07-BOB</t>
  </si>
  <si>
    <t>ACMB-172-RR07-BOB</t>
  </si>
  <si>
    <t>ACMB-172-V14-MS</t>
  </si>
  <si>
    <t>ACMB-172-V15-MS</t>
  </si>
  <si>
    <t>ACMB-172-V14-MSA</t>
  </si>
  <si>
    <t>ACMB-172-V15-MSA</t>
  </si>
  <si>
    <t>ACMB-172-V14-MSB</t>
  </si>
  <si>
    <t>ACMB-172-V15-MSB</t>
  </si>
  <si>
    <t>ACMB-173-R01-BO</t>
  </si>
  <si>
    <t>ACMB-173-RR01-BO</t>
  </si>
  <si>
    <t>ACMB-173-R01-BOA</t>
  </si>
  <si>
    <t>ACMB-173-RR01-BOA</t>
  </si>
  <si>
    <t>ACMB-173-R01-BOB</t>
  </si>
  <si>
    <t>ACMB-173-RR01-BOB</t>
  </si>
  <si>
    <t>ACMB-173-V02-MS</t>
  </si>
  <si>
    <t>ACMB-173-V03-MS</t>
  </si>
  <si>
    <t>ACMB-173-V02-MSA</t>
  </si>
  <si>
    <t>ACMB-173-V03-MSA</t>
  </si>
  <si>
    <t>ACMB-173-V02-MSB</t>
  </si>
  <si>
    <t>ACMB-173-V03-MSB</t>
  </si>
  <si>
    <t>ACMB-173-R02-BO</t>
  </si>
  <si>
    <t>ACMB-173-RR02-BO</t>
  </si>
  <si>
    <t>ACMB-173-R02-BOA</t>
  </si>
  <si>
    <t>ACMB-173-RR02-BOA</t>
  </si>
  <si>
    <t>ACMB-173-R02-BOB</t>
  </si>
  <si>
    <t>ACMB-173-RR02-BOB</t>
  </si>
  <si>
    <t>ACMB-173-V04-MS</t>
  </si>
  <si>
    <t>ACMB-173-V05-MS</t>
  </si>
  <si>
    <t>ACMB-173-V04-MSA</t>
  </si>
  <si>
    <t>ACMB-173-V05-MSA</t>
  </si>
  <si>
    <t>ACMB-173-V04-MSB</t>
  </si>
  <si>
    <t>ACMB-173-V05-MSB</t>
  </si>
  <si>
    <t>ACMB-173-R03-BO</t>
  </si>
  <si>
    <t>ACMB-173-RR03-BO</t>
  </si>
  <si>
    <t>ACMB-173-R03-BOA</t>
  </si>
  <si>
    <t>ACMB-173-RR03-BOA</t>
  </si>
  <si>
    <t>ACMB-173-R03-BOB</t>
  </si>
  <si>
    <t>ACMB-173-RR03-BOB</t>
  </si>
  <si>
    <t>ACMB-173-V06-MS</t>
  </si>
  <si>
    <t>ACMB-173-V07-MS</t>
  </si>
  <si>
    <t>ACMB-173-V06-MSA</t>
  </si>
  <si>
    <t>ACMB-173-V07-MSA</t>
  </si>
  <si>
    <t>ACMB-173-V06-MSB</t>
  </si>
  <si>
    <t>ACMB-173-V07-MSB</t>
  </si>
  <si>
    <t>ACMB-173-R04-BO</t>
  </si>
  <si>
    <t>ACMB-173-RR04-BO</t>
  </si>
  <si>
    <t>ACMB-173-R04-BOA</t>
  </si>
  <si>
    <t>ACMB-173-RR04-BOA</t>
  </si>
  <si>
    <t>ACMB-173-R04-BOB</t>
  </si>
  <si>
    <t>ACMB-173-RR04-BOB</t>
  </si>
  <si>
    <t>ACMB-173-V08-MS</t>
  </si>
  <si>
    <t>ACMB-173-V09-MS</t>
  </si>
  <si>
    <t>ACMB-173-V08-MSA</t>
  </si>
  <si>
    <t>ACMB-173-V09-MSA</t>
  </si>
  <si>
    <t>ACMB-173-V08-MSB</t>
  </si>
  <si>
    <t>ACMB-173-V09-MSB</t>
  </si>
  <si>
    <t>ACMB-173-R05-BO</t>
  </si>
  <si>
    <t>ACMB-173-RR05-BO</t>
  </si>
  <si>
    <t>ACMB-173-R05-BOA</t>
  </si>
  <si>
    <t>ACMB-173-RR05-BOA</t>
  </si>
  <si>
    <t>ACMB-173-R05-BOB</t>
  </si>
  <si>
    <t>ACMB-173-RR05-BOB</t>
  </si>
  <si>
    <t>ACMB-173-V10-MS</t>
  </si>
  <si>
    <t>ACMB-173-V11-MS</t>
  </si>
  <si>
    <t>ACMB-173-V10-MSA</t>
  </si>
  <si>
    <t>ACMB-173-V11-MSA</t>
  </si>
  <si>
    <t>ACMB-173-V10-MSB</t>
  </si>
  <si>
    <t>ACMB-173-V11-MSB</t>
  </si>
  <si>
    <t>ACMB-173-R06-BO</t>
  </si>
  <si>
    <t>ACMB-173-RR06-BO</t>
  </si>
  <si>
    <t>ACMB-173-R06-BOA</t>
  </si>
  <si>
    <t>ACMB-173-RR06-BOA</t>
  </si>
  <si>
    <t>ACMB-173-R06-BOB</t>
  </si>
  <si>
    <t>ACMB-173-RR06-BOB</t>
  </si>
  <si>
    <t>ACMB-173-V12-MS</t>
  </si>
  <si>
    <t>ACMB-173-V13-MS</t>
  </si>
  <si>
    <t>ACMB-173-V12-MSA</t>
  </si>
  <si>
    <t>ACMB-173-V13-MSA</t>
  </si>
  <si>
    <t>ACMB-173-V12-MSB</t>
  </si>
  <si>
    <t>ACMB-173-V13-MSB</t>
  </si>
  <si>
    <t>ACMB-173-R07-BO</t>
  </si>
  <si>
    <t>ACMB-173-RR07-BO</t>
  </si>
  <si>
    <t>ACMB-173-R07-BOA</t>
  </si>
  <si>
    <t>ACMB-173-RR07-BOA</t>
  </si>
  <si>
    <t>ACMB-173-R07-BOB</t>
  </si>
  <si>
    <t>ACMB-173-RR07-BOB</t>
  </si>
  <si>
    <t>ACMB-173-V14-MS</t>
  </si>
  <si>
    <t>ACMB-173-V15-MS</t>
  </si>
  <si>
    <t>ACMB-173-V14-MSA</t>
  </si>
  <si>
    <t>ACMB-173-V15-MSA</t>
  </si>
  <si>
    <t>ACMB-173-V14-MSB</t>
  </si>
  <si>
    <t>ACMB-173-V15-MSB</t>
  </si>
  <si>
    <t>ACMB-174-R01-BO</t>
  </si>
  <si>
    <t>ACMB-174-RR01-BO</t>
  </si>
  <si>
    <t>ACMB-174-R01-BOA</t>
  </si>
  <si>
    <t>ACMB-174-RR01-BOA</t>
  </si>
  <si>
    <t>ACMB-174-R01-BOB</t>
  </si>
  <si>
    <t>ACMB-174-RR01-BOB</t>
  </si>
  <si>
    <t>ACMB-174-V02-MS</t>
  </si>
  <si>
    <t>ACMB-174-V03-MS</t>
  </si>
  <si>
    <t>ACMB-174-V02-MSA</t>
  </si>
  <si>
    <t>ACMB-174-V03-MSA</t>
  </si>
  <si>
    <t>ACMB-174-V02-MSB</t>
  </si>
  <si>
    <t>ACMB-174-V03-MSB</t>
  </si>
  <si>
    <t>ACMB-174-R02-BO</t>
  </si>
  <si>
    <t>ACMB-174-RR02-BO</t>
  </si>
  <si>
    <t>ACMB-174-R02-BOA</t>
  </si>
  <si>
    <t>ACMB-174-RR02-BOA</t>
  </si>
  <si>
    <t>ACMB-174-R02-BOB</t>
  </si>
  <si>
    <t>ACMB-174-RR02-BOB</t>
  </si>
  <si>
    <t>ACMB-174-V04-MS</t>
  </si>
  <si>
    <t>ACMB-174-V05-MS</t>
  </si>
  <si>
    <t>ACMB-174-V04-MSA</t>
  </si>
  <si>
    <t>ACMB-174-V05-MSA</t>
  </si>
  <si>
    <t>ACMB-174-V04-MSB</t>
  </si>
  <si>
    <t>ACMB-174-V05-MSB</t>
  </si>
  <si>
    <t>ACMB-174-R03-BO</t>
  </si>
  <si>
    <t>ACMB-174-RR03-BO</t>
  </si>
  <si>
    <t>ACMB-174-R03-BOA</t>
  </si>
  <si>
    <t>ACMB-174-RR03-BOA</t>
  </si>
  <si>
    <t>ACMB-174-R03-BOB</t>
  </si>
  <si>
    <t>ACMB-174-RR03-BOB</t>
  </si>
  <si>
    <t>ACMB-174-V06-MS</t>
  </si>
  <si>
    <t>ACMB-174-V07-MS</t>
  </si>
  <si>
    <t>ACMB-174-V06-MSA</t>
  </si>
  <si>
    <t>ACMB-174-V07-MSA</t>
  </si>
  <si>
    <t>ACMB-174-V06-MSB</t>
  </si>
  <si>
    <t>ACMB-174-V07-MSB</t>
  </si>
  <si>
    <t>ACMB-174-R04-BO</t>
  </si>
  <si>
    <t>ACMB-174-RR04-BO</t>
  </si>
  <si>
    <t>ACMB-174-R04-BOA</t>
  </si>
  <si>
    <t>ACMB-174-RR04-BOA</t>
  </si>
  <si>
    <t>ACMB-174-R04-BOB</t>
  </si>
  <si>
    <t>ACMB-174-RR04-BOB</t>
  </si>
  <si>
    <t>ACMB-174-V08-MS</t>
  </si>
  <si>
    <t>ACMB-174-V09-MS</t>
  </si>
  <si>
    <t>ACMB-174-V08-MSA</t>
  </si>
  <si>
    <t>ACMB-174-V09-MSA</t>
  </si>
  <si>
    <t>ACMB-174-V08-MSB</t>
  </si>
  <si>
    <t>ACMB-174-V09-MSB</t>
  </si>
  <si>
    <t>ACMB-174-R05-BO</t>
  </si>
  <si>
    <t>ACMB-174-RR05-BO</t>
  </si>
  <si>
    <t>ACMB-174-R05-BOA</t>
  </si>
  <si>
    <t>ACMB-174-RR05-BOA</t>
  </si>
  <si>
    <t>ACMB-174-R05-BOB</t>
  </si>
  <si>
    <t>ACMB-174-RR05-BOB</t>
  </si>
  <si>
    <t>ACMB-174-V10-MS</t>
  </si>
  <si>
    <t>ACMB-174-V11-MS</t>
  </si>
  <si>
    <t>ACMB-174-V10-MSA</t>
  </si>
  <si>
    <t>ACMB-174-V11-MSA</t>
  </si>
  <si>
    <t>ACMB-174-V10-MSB</t>
  </si>
  <si>
    <t>ACMB-174-V11-MSB</t>
  </si>
  <si>
    <t>ACMB-174-R06-BO</t>
  </si>
  <si>
    <t>ACMB-174-RR06-BO</t>
  </si>
  <si>
    <t>ACMB-174-R06-BOA</t>
  </si>
  <si>
    <t>ACMB-174-RR06-BOA</t>
  </si>
  <si>
    <t>ACMB-174-R06-BOB</t>
  </si>
  <si>
    <t>ACMB-174-RR06-BOB</t>
  </si>
  <si>
    <t>ACMB-174-V12-MS</t>
  </si>
  <si>
    <t>ACMB-174-V13-MS</t>
  </si>
  <si>
    <t>ACMB-174-V12-MSA</t>
  </si>
  <si>
    <t>ACMB-174-V13-MSA</t>
  </si>
  <si>
    <t>ACMB-174-V12-MSB</t>
  </si>
  <si>
    <t>ACMB-174-V13-MSB</t>
  </si>
  <si>
    <t>ACMB-174-R07-BO</t>
  </si>
  <si>
    <t>ACMB-174-RR07-BO</t>
  </si>
  <si>
    <t>ACMB-174-R07-BOA</t>
  </si>
  <si>
    <t>ACMB-174-RR07-BOA</t>
  </si>
  <si>
    <t>ACMB-174-R07-BOB</t>
  </si>
  <si>
    <t>ACMB-174-RR07-BOB</t>
  </si>
  <si>
    <t>ACMB-174-V14-MS</t>
  </si>
  <si>
    <t>ACMB-174-V15-MS</t>
  </si>
  <si>
    <t>ACMB-174-V14-MSA</t>
  </si>
  <si>
    <t>ACMB-174-V15-MSA</t>
  </si>
  <si>
    <t>ACMB-174-V14-MSB</t>
  </si>
  <si>
    <t>ACMB-174-V15-MSB</t>
  </si>
  <si>
    <t>ACMB-175-R01-BO</t>
  </si>
  <si>
    <t>ACMB-175-RR01-BO</t>
  </si>
  <si>
    <t>ACMB-175-R01-BOA</t>
  </si>
  <si>
    <t>ACMB-175-RR01-BOA</t>
  </si>
  <si>
    <t>ACMB-175-R01-BOB</t>
  </si>
  <si>
    <t>ACMB-175-RR01-BOB</t>
  </si>
  <si>
    <t>ACMB-175-V02-MS</t>
  </si>
  <si>
    <t>ACMB-175-V03-MS</t>
  </si>
  <si>
    <t>ACMB-175-V02-MSA</t>
  </si>
  <si>
    <t>ACMB-175-V03-MSA</t>
  </si>
  <si>
    <t>ACMB-175-V02-MSB</t>
  </si>
  <si>
    <t>ACMB-175-V03-MSB</t>
  </si>
  <si>
    <t>ACMB-175-R02-BO</t>
  </si>
  <si>
    <t>ACMB-175-RR02-BO</t>
  </si>
  <si>
    <t>ACMB-175-R02-BOA</t>
  </si>
  <si>
    <t>ACMB-175-RR02-BOA</t>
  </si>
  <si>
    <t>ACMB-175-R02-BOB</t>
  </si>
  <si>
    <t>ACMB-175-RR02-BOB</t>
  </si>
  <si>
    <t>ACMB-175-V04-MS</t>
  </si>
  <si>
    <t>ACMB-175-V05-MS</t>
  </si>
  <si>
    <t>ACMB-175-V04-MSA</t>
  </si>
  <si>
    <t>ACMB-175-V05-MSA</t>
  </si>
  <si>
    <t>ACMB-175-V04-MSB</t>
  </si>
  <si>
    <t>ACMB-175-V05-MSB</t>
  </si>
  <si>
    <t>ACMB-175-R03-BO</t>
  </si>
  <si>
    <t>ACMB-175-RR03-BO</t>
  </si>
  <si>
    <t>ACMB-175-R03-BOA</t>
  </si>
  <si>
    <t>ACMB-175-RR03-BOA</t>
  </si>
  <si>
    <t>ACMB-175-R03-BOB</t>
  </si>
  <si>
    <t>ACMB-175-RR03-BOB</t>
  </si>
  <si>
    <t>ACMB-175-V06-MS</t>
  </si>
  <si>
    <t>ACMB-175-V07-MS</t>
  </si>
  <si>
    <t>ACMB-175-V06-MSA</t>
  </si>
  <si>
    <t>ACMB-175-V07-MSA</t>
  </si>
  <si>
    <t>ACMB-175-V06-MSB</t>
  </si>
  <si>
    <t>ACMB-175-V07-MSB</t>
  </si>
  <si>
    <t>ACMB-175-R04-BO</t>
  </si>
  <si>
    <t>ACMB-175-RR04-BO</t>
  </si>
  <si>
    <t>ACMB-175-R04-BOA</t>
  </si>
  <si>
    <t>ACMB-175-RR04-BOA</t>
  </si>
  <si>
    <t>ACMB-175-R04-BOB</t>
  </si>
  <si>
    <t>ACMB-175-RR04-BOB</t>
  </si>
  <si>
    <t>ACMB-175-V08-MS</t>
  </si>
  <si>
    <t>ACMB-175-V09-MS</t>
  </si>
  <si>
    <t>ACMB-175-V08-MSA</t>
  </si>
  <si>
    <t>ACMB-175-V09-MSA</t>
  </si>
  <si>
    <t>ACMB-175-V08-MSB</t>
  </si>
  <si>
    <t>ACMB-175-V09-MSB</t>
  </si>
  <si>
    <t>ACMB-175-R05-BO</t>
  </si>
  <si>
    <t>ACMB-175-RR05-BO</t>
  </si>
  <si>
    <t>ACMB-175-R05-BOA</t>
  </si>
  <si>
    <t>ACMB-175-RR05-BOA</t>
  </si>
  <si>
    <t>ACMB-175-R05-BOB</t>
  </si>
  <si>
    <t>ACMB-175-RR05-BOB</t>
  </si>
  <si>
    <t>ACMB-175-V10-MS</t>
  </si>
  <si>
    <t>ACMB-175-V11-MS</t>
  </si>
  <si>
    <t>ACMB-175-V10-MSA</t>
  </si>
  <si>
    <t>ACMB-175-V11-MSA</t>
  </si>
  <si>
    <t>ACMB-175-V10-MSB</t>
  </si>
  <si>
    <t>ACMB-175-V11-MSB</t>
  </si>
  <si>
    <t>ACMB-175-R06-BO</t>
  </si>
  <si>
    <t>ACMB-175-RR06-BO</t>
  </si>
  <si>
    <t>ACMB-175-R06-BOA</t>
  </si>
  <si>
    <t>ACMB-175-RR06-BOA</t>
  </si>
  <si>
    <t>ACMB-175-R06-BOB</t>
  </si>
  <si>
    <t>ACMB-175-RR06-BOB</t>
  </si>
  <si>
    <t>ACMB-175-V12-MS</t>
  </si>
  <si>
    <t>ACMB-175-V13-MS</t>
  </si>
  <si>
    <t>ACMB-175-V12-MSA</t>
  </si>
  <si>
    <t>ACMB-175-V13-MSA</t>
  </si>
  <si>
    <t>ACMB-175-V12-MSB</t>
  </si>
  <si>
    <t>ACMB-175-V13-MSB</t>
  </si>
  <si>
    <t>ACMB-175-R07-BO</t>
  </si>
  <si>
    <t>ACMB-175-RR07-BO</t>
  </si>
  <si>
    <t>ACMB-175-R07-BOA</t>
  </si>
  <si>
    <t>ACMB-175-RR07-BOA</t>
  </si>
  <si>
    <t>ACMB-175-R07-BOB</t>
  </si>
  <si>
    <t>ACMB-175-RR07-BOB</t>
  </si>
  <si>
    <t>ACMB-175-V14-MS</t>
  </si>
  <si>
    <t>ACMB-175-V15-MS</t>
  </si>
  <si>
    <t>ACMB-175-V14-MSA</t>
  </si>
  <si>
    <t>ACMB-175-V15-MSA</t>
  </si>
  <si>
    <t>ACMB-175-V14-MSB</t>
  </si>
  <si>
    <t>ACMB-175-V15-MSB</t>
  </si>
  <si>
    <t>ACMB-176-R01-BO</t>
  </si>
  <si>
    <t>ACMB-176-RR01-BO</t>
  </si>
  <si>
    <t>ACMB-176-R01-BOA</t>
  </si>
  <si>
    <t>ACMB-176-RR01-BOA</t>
  </si>
  <si>
    <t>ACMB-176-R01-BOB</t>
  </si>
  <si>
    <t>ACMB-176-RR01-BOB</t>
  </si>
  <si>
    <t>ACMB-176-V02-MS</t>
  </si>
  <si>
    <t>ACMB-176-V03-MS</t>
  </si>
  <si>
    <t>ACMB-176-V02-MSA</t>
  </si>
  <si>
    <t>ACMB-176-V03-MSA</t>
  </si>
  <si>
    <t>ACMB-176-V02-MSB</t>
  </si>
  <si>
    <t>ACMB-176-V03-MSB</t>
  </si>
  <si>
    <t>ACMB-176-R02-BO</t>
  </si>
  <si>
    <t>ACMB-176-RR02-BO</t>
  </si>
  <si>
    <t>ACMB-176-R02-BOA</t>
  </si>
  <si>
    <t>ACMB-176-RR02-BOA</t>
  </si>
  <si>
    <t>ACMB-176-R02-BOB</t>
  </si>
  <si>
    <t>ACMB-176-RR02-BOB</t>
  </si>
  <si>
    <t>ACMB-176-V04-MS</t>
  </si>
  <si>
    <t>ACMB-176-V05-MS</t>
  </si>
  <si>
    <t>ACMB-176-V04-MSA</t>
  </si>
  <si>
    <t>ACMB-176-V05-MSA</t>
  </si>
  <si>
    <t>ACMB-176-V04-MSB</t>
  </si>
  <si>
    <t>ACMB-176-V05-MSB</t>
  </si>
  <si>
    <t>ACMB-176-R03-BO</t>
  </si>
  <si>
    <t>ACMB-176-RR03-BO</t>
  </si>
  <si>
    <t>ACMB-176-R03-BOA</t>
  </si>
  <si>
    <t>ACMB-176-RR03-BOA</t>
  </si>
  <si>
    <t>ACMB-176-R03-BOB</t>
  </si>
  <si>
    <t>ACMB-176-RR03-BOB</t>
  </si>
  <si>
    <t>ACMB-176-V06-MS</t>
  </si>
  <si>
    <t>ACMB-176-V07-MS</t>
  </si>
  <si>
    <t>ACMB-176-V06-MSA</t>
  </si>
  <si>
    <t>ACMB-176-V07-MSA</t>
  </si>
  <si>
    <t>ACMB-176-V06-MSB</t>
  </si>
  <si>
    <t>ACMB-176-V07-MSB</t>
  </si>
  <si>
    <t>ACMB-176-R04-BO</t>
  </si>
  <si>
    <t>ACMB-176-RR04-BO</t>
  </si>
  <si>
    <t>ACMB-176-R04-BOA</t>
  </si>
  <si>
    <t>ACMB-176-RR04-BOA</t>
  </si>
  <si>
    <t>ACMB-176-R04-BOB</t>
  </si>
  <si>
    <t>ACMB-176-RR04-BOB</t>
  </si>
  <si>
    <t>ACMB-176-V08-MS</t>
  </si>
  <si>
    <t>ACMB-176-V09-MS</t>
  </si>
  <si>
    <t>ACMB-176-V08-MSA</t>
  </si>
  <si>
    <t>ACMB-176-V09-MSA</t>
  </si>
  <si>
    <t>ACMB-176-V08-MSB</t>
  </si>
  <si>
    <t>ACMB-176-V09-MSB</t>
  </si>
  <si>
    <t>ACMB-176-R05-BO</t>
  </si>
  <si>
    <t>ACMB-176-RR05-BO</t>
  </si>
  <si>
    <t>ACMB-176-R05-BOA</t>
  </si>
  <si>
    <t>ACMB-176-RR05-BOA</t>
  </si>
  <si>
    <t>ACMB-176-R05-BOB</t>
  </si>
  <si>
    <t>ACMB-176-RR05-BOB</t>
  </si>
  <si>
    <t>ACMB-176-V10-MS</t>
  </si>
  <si>
    <t>ACMB-176-V11-MS</t>
  </si>
  <si>
    <t>ACMB-176-V10-MSA</t>
  </si>
  <si>
    <t>ACMB-176-V11-MSA</t>
  </si>
  <si>
    <t>ACMB-176-V10-MSB</t>
  </si>
  <si>
    <t>ACMB-176-V11-MSB</t>
  </si>
  <si>
    <t>ACMB-176-R06-BO</t>
  </si>
  <si>
    <t>ACMB-176-RR06-BO</t>
  </si>
  <si>
    <t>ACMB-176-R06-BOA</t>
  </si>
  <si>
    <t>ACMB-176-RR06-BOA</t>
  </si>
  <si>
    <t>ACMB-176-R06-BOB</t>
  </si>
  <si>
    <t>ACMB-176-RR06-BOB</t>
  </si>
  <si>
    <t>ACMB-176-V12-MS</t>
  </si>
  <si>
    <t>ACMB-176-V13-MS</t>
  </si>
  <si>
    <t>ACMB-176-V12-MSA</t>
  </si>
  <si>
    <t>ACMB-176-V13-MSA</t>
  </si>
  <si>
    <t>ACMB-176-V12-MSB</t>
  </si>
  <si>
    <t>ACMB-176-V13-MSB</t>
  </si>
  <si>
    <t>ACMB-176-R07-BO</t>
  </si>
  <si>
    <t>ACMB-176-RR07-BO</t>
  </si>
  <si>
    <t>ACMB-176-R07-BOA</t>
  </si>
  <si>
    <t>ACMB-176-RR07-BOA</t>
  </si>
  <si>
    <t>ACMB-176-R07-BOB</t>
  </si>
  <si>
    <t>ACMB-176-RR07-BOB</t>
  </si>
  <si>
    <t>ACMB-176-V14-MS</t>
  </si>
  <si>
    <t>ACMB-176-V15-MS</t>
  </si>
  <si>
    <t>ACMB-176-V14-MSA</t>
  </si>
  <si>
    <t>ACMB-176-V15-MSA</t>
  </si>
  <si>
    <t>ACMB-176-V14-MSB</t>
  </si>
  <si>
    <t>ACMB-176-V15-MSB</t>
  </si>
  <si>
    <t>ACMB-177-R01-BO</t>
  </si>
  <si>
    <t>ACMB-177-RR01-BO</t>
  </si>
  <si>
    <t>ACMB-177-R01-BOA</t>
  </si>
  <si>
    <t>ACMB-177-RR01-BOA</t>
  </si>
  <si>
    <t>ACMB-177-R01-BOB</t>
  </si>
  <si>
    <t>ACMB-177-RR01-BOB</t>
  </si>
  <si>
    <t>ACMB-177-V02-MS</t>
  </si>
  <si>
    <t>ACMB-177-V03-MS</t>
  </si>
  <si>
    <t>ACMB-177-V02-MSA</t>
  </si>
  <si>
    <t>ACMB-177-V03-MSA</t>
  </si>
  <si>
    <t>ACMB-177-V02-MSB</t>
  </si>
  <si>
    <t>ACMB-177-V03-MSB</t>
  </si>
  <si>
    <t>ACMB-177-R02-BO</t>
  </si>
  <si>
    <t>ACMB-177-RR02-BO</t>
  </si>
  <si>
    <t>ACMB-177-R02-BOA</t>
  </si>
  <si>
    <t>ACMB-177-RR02-BOA</t>
  </si>
  <si>
    <t>ACMB-177-R02-BOB</t>
  </si>
  <si>
    <t>ACMB-177-RR02-BOB</t>
  </si>
  <si>
    <t>ACMB-177-V04-MS</t>
  </si>
  <si>
    <t>ACMB-177-V05-MS</t>
  </si>
  <si>
    <t>ACMB-177-V04-MSA</t>
  </si>
  <si>
    <t>ACMB-177-V05-MSA</t>
  </si>
  <si>
    <t>ACMB-177-V04-MSB</t>
  </si>
  <si>
    <t>ACMB-177-V05-MSB</t>
  </si>
  <si>
    <t>ACMB-177-R03-BO</t>
  </si>
  <si>
    <t>ACMB-177-RR03-BO</t>
  </si>
  <si>
    <t>ACMB-177-R03-BOA</t>
  </si>
  <si>
    <t>ACMB-177-RR03-BOA</t>
  </si>
  <si>
    <t>ACMB-177-R03-BOB</t>
  </si>
  <si>
    <t>ACMB-177-RR03-BOB</t>
  </si>
  <si>
    <t>ACMB-177-V06-MS</t>
  </si>
  <si>
    <t>ACMB-177-V07-MS</t>
  </si>
  <si>
    <t>ACMB-177-V06-MSA</t>
  </si>
  <si>
    <t>ACMB-177-V07-MSA</t>
  </si>
  <si>
    <t>ACMB-177-V06-MSB</t>
  </si>
  <si>
    <t>ACMB-177-V07-MSB</t>
  </si>
  <si>
    <t>ACMB-177-R04-BO</t>
  </si>
  <si>
    <t>ACMB-177-RR04-BO</t>
  </si>
  <si>
    <t>ACMB-177-R04-BOA</t>
  </si>
  <si>
    <t>ACMB-177-RR04-BOA</t>
  </si>
  <si>
    <t>ACMB-177-R04-BOB</t>
  </si>
  <si>
    <t>ACMB-177-RR04-BOB</t>
  </si>
  <si>
    <t>ACMB-177-V08-MS</t>
  </si>
  <si>
    <t>ACMB-177-V09-MS</t>
  </si>
  <si>
    <t>ACMB-177-V08-MSA</t>
  </si>
  <si>
    <t>ACMB-177-V09-MSA</t>
  </si>
  <si>
    <t>ACMB-177-V08-MSB</t>
  </si>
  <si>
    <t>ACMB-177-V09-MSB</t>
  </si>
  <si>
    <t>ACMB-177-R05-BO</t>
  </si>
  <si>
    <t>ACMB-177-RR05-BO</t>
  </si>
  <si>
    <t>ACMB-177-R05-BOA</t>
  </si>
  <si>
    <t>ACMB-177-RR05-BOA</t>
  </si>
  <si>
    <t>ACMB-177-R05-BOB</t>
  </si>
  <si>
    <t>ACMB-177-RR05-BOB</t>
  </si>
  <si>
    <t>ACMB-177-V10-MS</t>
  </si>
  <si>
    <t>ACMB-177-V11-MS</t>
  </si>
  <si>
    <t>ACMB-177-V10-MSA</t>
  </si>
  <si>
    <t>ACMB-177-V11-MSA</t>
  </si>
  <si>
    <t>ACMB-177-V10-MSB</t>
  </si>
  <si>
    <t>ACMB-177-V11-MSB</t>
  </si>
  <si>
    <t>ACMB-177-R06-BO</t>
  </si>
  <si>
    <t>ACMB-177-RR06-BO</t>
  </si>
  <si>
    <t>ACMB-177-R06-BOA</t>
  </si>
  <si>
    <t>ACMB-177-RR06-BOA</t>
  </si>
  <si>
    <t>ACMB-177-R06-BOB</t>
  </si>
  <si>
    <t>ACMB-177-RR06-BOB</t>
  </si>
  <si>
    <t>ACMB-177-V12-MS</t>
  </si>
  <si>
    <t>ACMB-177-V13-MS</t>
  </si>
  <si>
    <t>ACMB-177-V12-MSA</t>
  </si>
  <si>
    <t>ACMB-177-V13-MSA</t>
  </si>
  <si>
    <t>ACMB-177-V12-MSB</t>
  </si>
  <si>
    <t>ACMB-177-V13-MSB</t>
  </si>
  <si>
    <t>ACMB-177-R07-BO</t>
  </si>
  <si>
    <t>ACMB-177-RR07-BO</t>
  </si>
  <si>
    <t>ACMB-177-R07-BOA</t>
  </si>
  <si>
    <t>ACMB-177-RR07-BOA</t>
  </si>
  <si>
    <t>ACMB-177-R07-BOB</t>
  </si>
  <si>
    <t>ACMB-177-RR07-BOB</t>
  </si>
  <si>
    <t>ACMB-177-V14-MS</t>
  </si>
  <si>
    <t>ACMB-177-V15-MS</t>
  </si>
  <si>
    <t>ACMB-177-V14-MSA</t>
  </si>
  <si>
    <t>ACMB-177-V15-MSA</t>
  </si>
  <si>
    <t>ACMB-177-V14-MSB</t>
  </si>
  <si>
    <t>ACMB-177-V15-MSB</t>
  </si>
  <si>
    <t>ACMB-178-R01-BO</t>
  </si>
  <si>
    <t>ACMB-178-RR01-BO</t>
  </si>
  <si>
    <t>ACMB-178-R01-BOA</t>
  </si>
  <si>
    <t>ACMB-178-RR01-BOA</t>
  </si>
  <si>
    <t>ACMB-178-R01-BOB</t>
  </si>
  <si>
    <t>ACMB-178-RR01-BOB</t>
  </si>
  <si>
    <t>ACMB-178-V02-MS</t>
  </si>
  <si>
    <t>ACMB-178-V03-MS</t>
  </si>
  <si>
    <t>ACMB-178-V02-MSA</t>
  </si>
  <si>
    <t>ACMB-178-V03-MSA</t>
  </si>
  <si>
    <t>ACMB-178-V02-MSB</t>
  </si>
  <si>
    <t>ACMB-178-V03-MSB</t>
  </si>
  <si>
    <t>ACMB-178-R02-BO</t>
  </si>
  <si>
    <t>ACMB-178-RR02-BO</t>
  </si>
  <si>
    <t>ACMB-178-R02-BOA</t>
  </si>
  <si>
    <t>ACMB-178-RR02-BOA</t>
  </si>
  <si>
    <t>ACMB-178-R02-BOB</t>
  </si>
  <si>
    <t>ACMB-178-RR02-BOB</t>
  </si>
  <si>
    <t>ACMB-178-V04-MS</t>
  </si>
  <si>
    <t>ACMB-178-V05-MS</t>
  </si>
  <si>
    <t>ACMB-178-V04-MSA</t>
  </si>
  <si>
    <t>ACMB-178-V05-MSA</t>
  </si>
  <si>
    <t>ACMB-178-V04-MSB</t>
  </si>
  <si>
    <t>ACMB-178-V05-MSB</t>
  </si>
  <si>
    <t>ACMB-178-R03-BO</t>
  </si>
  <si>
    <t>ACMB-178-RR03-BO</t>
  </si>
  <si>
    <t>ACMB-178-R03-BOA</t>
  </si>
  <si>
    <t>ACMB-178-RR03-BOA</t>
  </si>
  <si>
    <t>ACMB-178-R03-BOB</t>
  </si>
  <si>
    <t>ACMB-178-RR03-BOB</t>
  </si>
  <si>
    <t>ACMB-178-V06-MS</t>
  </si>
  <si>
    <t>ACMB-178-V07-MS</t>
  </si>
  <si>
    <t>ACMB-178-V06-MSA</t>
  </si>
  <si>
    <t>ACMB-178-V07-MSA</t>
  </si>
  <si>
    <t>ACMB-178-V06-MSB</t>
  </si>
  <si>
    <t>ACMB-178-V07-MSB</t>
  </si>
  <si>
    <t>ACMB-178-R04-BO</t>
  </si>
  <si>
    <t>ACMB-178-RR04-BO</t>
  </si>
  <si>
    <t>ACMB-178-R04-BOA</t>
  </si>
  <si>
    <t>ACMB-178-RR04-BOA</t>
  </si>
  <si>
    <t>ACMB-178-R04-BOB</t>
  </si>
  <si>
    <t>ACMB-178-RR04-BOB</t>
  </si>
  <si>
    <t>ACMB-178-V08-MS</t>
  </si>
  <si>
    <t>ACMB-178-V09-MS</t>
  </si>
  <si>
    <t>ACMB-178-V08-MSA</t>
  </si>
  <si>
    <t>ACMB-178-V09-MSA</t>
  </si>
  <si>
    <t>ACMB-178-V08-MSB</t>
  </si>
  <si>
    <t>ACMB-178-V09-MSB</t>
  </si>
  <si>
    <t>ACMB-178-R05-BO</t>
  </si>
  <si>
    <t>ACMB-178-RR05-BO</t>
  </si>
  <si>
    <t>ACMB-178-R05-BOA</t>
  </si>
  <si>
    <t>ACMB-178-RR05-BOA</t>
  </si>
  <si>
    <t>ACMB-178-R05-BOB</t>
  </si>
  <si>
    <t>ACMB-178-RR05-BOB</t>
  </si>
  <si>
    <t>ACMB-178-V10-MS</t>
  </si>
  <si>
    <t>ACMB-178-V11-MS</t>
  </si>
  <si>
    <t>ACMB-178-V10-MSA</t>
  </si>
  <si>
    <t>ACMB-178-V11-MSA</t>
  </si>
  <si>
    <t>ACMB-178-V10-MSB</t>
  </si>
  <si>
    <t>ACMB-178-V11-MSB</t>
  </si>
  <si>
    <t>ACMB-178-R06-BO</t>
  </si>
  <si>
    <t>ACMB-178-RR06-BO</t>
  </si>
  <si>
    <t>ACMB-178-R06-BOA</t>
  </si>
  <si>
    <t>ACMB-178-RR06-BOA</t>
  </si>
  <si>
    <t>ACMB-178-R06-BOB</t>
  </si>
  <si>
    <t>ACMB-178-RR06-BOB</t>
  </si>
  <si>
    <t>ACMB-178-V12-MS</t>
  </si>
  <si>
    <t>ACMB-178-V13-MS</t>
  </si>
  <si>
    <t>ACMB-178-V12-MSA</t>
  </si>
  <si>
    <t>ACMB-178-V13-MSA</t>
  </si>
  <si>
    <t>ACMB-178-V12-MSB</t>
  </si>
  <si>
    <t>ACMB-178-V13-MSB</t>
  </si>
  <si>
    <t>ACMB-178-R07-BO</t>
  </si>
  <si>
    <t>ACMB-178-RR07-BO</t>
  </si>
  <si>
    <t>ACMB-178-R07-BOA</t>
  </si>
  <si>
    <t>ACMB-178-RR07-BOA</t>
  </si>
  <si>
    <t>ACMB-178-R07-BOB</t>
  </si>
  <si>
    <t>ACMB-178-RR07-BOB</t>
  </si>
  <si>
    <t>ACMB-178-V14-MS</t>
  </si>
  <si>
    <t>ACMB-178-V15-MS</t>
  </si>
  <si>
    <t>ACMB-178-V14-MSA</t>
  </si>
  <si>
    <t>ACMB-178-V15-MSA</t>
  </si>
  <si>
    <t>ACMB-178-V14-MSB</t>
  </si>
  <si>
    <t>ACMB-178-V15-MSB</t>
  </si>
  <si>
    <t>ACMB-179-R01-BO</t>
  </si>
  <si>
    <t>ACMB-179-RR01-BO</t>
  </si>
  <si>
    <t>ACMB-179-R01-BOA</t>
  </si>
  <si>
    <t>ACMB-179-RR01-BOA</t>
  </si>
  <si>
    <t>ACMB-179-R01-BOB</t>
  </si>
  <si>
    <t>ACMB-179-RR01-BOB</t>
  </si>
  <si>
    <t>ACMB-179-V02-MS</t>
  </si>
  <si>
    <t>ACMB-179-V03-MS</t>
  </si>
  <si>
    <t>ACMB-179-V02-MSA</t>
  </si>
  <si>
    <t>ACMB-179-V03-MSA</t>
  </si>
  <si>
    <t>ACMB-179-V02-MSB</t>
  </si>
  <si>
    <t>ACMB-179-V03-MSB</t>
  </si>
  <si>
    <t>ACMB-179-R02-BO</t>
  </si>
  <si>
    <t>ACMB-179-RR02-BO</t>
  </si>
  <si>
    <t>ACMB-179-R02-BOA</t>
  </si>
  <si>
    <t>ACMB-179-RR02-BOA</t>
  </si>
  <si>
    <t>ACMB-179-R02-BOB</t>
  </si>
  <si>
    <t>ACMB-179-RR02-BOB</t>
  </si>
  <si>
    <t>ACMB-179-V04-MS</t>
  </si>
  <si>
    <t>ACMB-179-V05-MS</t>
  </si>
  <si>
    <t>ACMB-179-V04-MSA</t>
  </si>
  <si>
    <t>ACMB-179-V05-MSA</t>
  </si>
  <si>
    <t>ACMB-179-V04-MSB</t>
  </si>
  <si>
    <t>ACMB-179-V05-MSB</t>
  </si>
  <si>
    <t>ACMB-179-R03-BO</t>
  </si>
  <si>
    <t>ACMB-179-RR03-BO</t>
  </si>
  <si>
    <t>ACMB-179-R03-BOA</t>
  </si>
  <si>
    <t>ACMB-179-RR03-BOA</t>
  </si>
  <si>
    <t>ACMB-179-R03-BOB</t>
  </si>
  <si>
    <t>ACMB-179-RR03-BOB</t>
  </si>
  <si>
    <t>ACMB-179-V06-MS</t>
  </si>
  <si>
    <t>ACMB-179-V07-MS</t>
  </si>
  <si>
    <t>ACMB-179-V06-MSA</t>
  </si>
  <si>
    <t>ACMB-179-V07-MSA</t>
  </si>
  <si>
    <t>ACMB-179-V06-MSB</t>
  </si>
  <si>
    <t>ACMB-179-V07-MSB</t>
  </si>
  <si>
    <t>ACMB-179-R04-BO</t>
  </si>
  <si>
    <t>ACMB-179-RR04-BO</t>
  </si>
  <si>
    <t>ACMB-179-R04-BOA</t>
  </si>
  <si>
    <t>ACMB-179-RR04-BOA</t>
  </si>
  <si>
    <t>ACMB-179-R04-BOB</t>
  </si>
  <si>
    <t>ACMB-179-RR04-BOB</t>
  </si>
  <si>
    <t>ACMB-179-V08-MS</t>
  </si>
  <si>
    <t>ACMB-179-V09-MS</t>
  </si>
  <si>
    <t>ACMB-179-V08-MSA</t>
  </si>
  <si>
    <t>ACMB-179-V09-MSA</t>
  </si>
  <si>
    <t>ACMB-179-V08-MSB</t>
  </si>
  <si>
    <t>ACMB-179-V09-MSB</t>
  </si>
  <si>
    <t>ACMB-179-R05-BO</t>
  </si>
  <si>
    <t>ACMB-179-RR05-BO</t>
  </si>
  <si>
    <t>ACMB-179-R05-BOA</t>
  </si>
  <si>
    <t>ACMB-179-RR05-BOA</t>
  </si>
  <si>
    <t>ACMB-179-R05-BOB</t>
  </si>
  <si>
    <t>ACMB-179-RR05-BOB</t>
  </si>
  <si>
    <t>ACMB-179-V10-MS</t>
  </si>
  <si>
    <t>ACMB-179-V11-MS</t>
  </si>
  <si>
    <t>ACMB-179-V10-MSA</t>
  </si>
  <si>
    <t>ACMB-179-V11-MSA</t>
  </si>
  <si>
    <t>ACMB-179-V10-MSB</t>
  </si>
  <si>
    <t>ACMB-179-V11-MSB</t>
  </si>
  <si>
    <t>ACMB-179-R06-BO</t>
  </si>
  <si>
    <t>ACMB-179-RR06-BO</t>
  </si>
  <si>
    <t>ACMB-179-R06-BOA</t>
  </si>
  <si>
    <t>ACMB-179-RR06-BOA</t>
  </si>
  <si>
    <t>ACMB-179-R06-BOB</t>
  </si>
  <si>
    <t>ACMB-179-RR06-BOB</t>
  </si>
  <si>
    <t>ACMB-179-V12-MS</t>
  </si>
  <si>
    <t>ACMB-179-V13-MS</t>
  </si>
  <si>
    <t>ACMB-179-V12-MSA</t>
  </si>
  <si>
    <t>ACMB-179-V13-MSA</t>
  </si>
  <si>
    <t>ACMB-179-V12-MSB</t>
  </si>
  <si>
    <t>ACMB-179-V13-MSB</t>
  </si>
  <si>
    <t>ACMB-179-R07-BO</t>
  </si>
  <si>
    <t>ACMB-179-RR07-BO</t>
  </si>
  <si>
    <t>ACMB-179-R07-BOA</t>
  </si>
  <si>
    <t>ACMB-179-RR07-BOA</t>
  </si>
  <si>
    <t>ACMB-179-R07-BOB</t>
  </si>
  <si>
    <t>ACMB-179-RR07-BOB</t>
  </si>
  <si>
    <t>ACMB-179-V14-MS</t>
  </si>
  <si>
    <t>ACMB-179-V15-MS</t>
  </si>
  <si>
    <t>ACMB-179-V14-MSA</t>
  </si>
  <si>
    <t>ACMB-179-V15-MSA</t>
  </si>
  <si>
    <t>ACMB-179-V14-MSB</t>
  </si>
  <si>
    <t>ACMB-179-V15-MSB</t>
  </si>
  <si>
    <t>ACMB-180-R01-BO</t>
  </si>
  <si>
    <t>ACMB-180-RR01-BO</t>
  </si>
  <si>
    <t>ACMB-180-R01-BOA</t>
  </si>
  <si>
    <t>ACMB-180-RR01-BOA</t>
  </si>
  <si>
    <t>ACMB-180-R01-BOB</t>
  </si>
  <si>
    <t>ACMB-180-RR01-BOB</t>
  </si>
  <si>
    <t>ACMB-180-V02-MS</t>
  </si>
  <si>
    <t>ACMB-180-V03-MS</t>
  </si>
  <si>
    <t>ACMB-180-V02-MSA</t>
  </si>
  <si>
    <t>ACMB-180-V03-MSA</t>
  </si>
  <si>
    <t>ACMB-180-V02-MSB</t>
  </si>
  <si>
    <t>ACMB-180-V03-MSB</t>
  </si>
  <si>
    <t>ACMB-180-R02-BO</t>
  </si>
  <si>
    <t>ACMB-180-RR02-BO</t>
  </si>
  <si>
    <t>ACMB-180-R02-BOA</t>
  </si>
  <si>
    <t>ACMB-180-RR02-BOA</t>
  </si>
  <si>
    <t>ACMB-180-R02-BOB</t>
  </si>
  <si>
    <t>ACMB-180-RR02-BOB</t>
  </si>
  <si>
    <t>ACMB-180-V04-MS</t>
  </si>
  <si>
    <t>ACMB-180-V05-MS</t>
  </si>
  <si>
    <t>ACMB-180-V04-MSA</t>
  </si>
  <si>
    <t>ACMB-180-V05-MSA</t>
  </si>
  <si>
    <t>ACMB-180-V04-MSB</t>
  </si>
  <si>
    <t>ACMB-180-V05-MSB</t>
  </si>
  <si>
    <t>ACMB-180-R03-BO</t>
  </si>
  <si>
    <t>ACMB-180-RR03-BO</t>
  </si>
  <si>
    <t>ACMB-180-R03-BOA</t>
  </si>
  <si>
    <t>ACMB-180-RR03-BOA</t>
  </si>
  <si>
    <t>ACMB-180-R03-BOB</t>
  </si>
  <si>
    <t>ACMB-180-RR03-BOB</t>
  </si>
  <si>
    <t>ACMB-180-V06-MS</t>
  </si>
  <si>
    <t>ACMB-180-V07-MS</t>
  </si>
  <si>
    <t>ACMB-180-V06-MSA</t>
  </si>
  <si>
    <t>ACMB-180-V07-MSA</t>
  </si>
  <si>
    <t>ACMB-180-V06-MSB</t>
  </si>
  <si>
    <t>ACMB-180-V07-MSB</t>
  </si>
  <si>
    <t>ACMB-180-R04-BO</t>
  </si>
  <si>
    <t>ACMB-180-RR04-BO</t>
  </si>
  <si>
    <t>ACMB-180-R04-BOA</t>
  </si>
  <si>
    <t>ACMB-180-RR04-BOA</t>
  </si>
  <si>
    <t>ACMB-180-R04-BOB</t>
  </si>
  <si>
    <t>ACMB-180-RR04-BOB</t>
  </si>
  <si>
    <t>ACMB-180-V08-MS</t>
  </si>
  <si>
    <t>ACMB-180-V09-MS</t>
  </si>
  <si>
    <t>ACMB-180-V08-MSA</t>
  </si>
  <si>
    <t>ACMB-180-V09-MSA</t>
  </si>
  <si>
    <t>ACMB-180-V08-MSB</t>
  </si>
  <si>
    <t>ACMB-180-V09-MSB</t>
  </si>
  <si>
    <t>ACMB-180-R05-BO</t>
  </si>
  <si>
    <t>ACMB-180-RR05-BO</t>
  </si>
  <si>
    <t>ACMB-180-R05-BOA</t>
  </si>
  <si>
    <t>ACMB-180-RR05-BOA</t>
  </si>
  <si>
    <t>ACMB-180-R05-BOB</t>
  </si>
  <si>
    <t>ACMB-180-RR05-BOB</t>
  </si>
  <si>
    <t>ACMB-180-V10-MS</t>
  </si>
  <si>
    <t>ACMB-180-V11-MS</t>
  </si>
  <si>
    <t>ACMB-180-V10-MSA</t>
  </si>
  <si>
    <t>ACMB-180-V11-MSA</t>
  </si>
  <si>
    <t>ACMB-180-V10-MSB</t>
  </si>
  <si>
    <t>ACMB-180-V11-MSB</t>
  </si>
  <si>
    <t>ACMB-180-R06-BO</t>
  </si>
  <si>
    <t>ACMB-180-RR06-BO</t>
  </si>
  <si>
    <t>ACMB-180-R06-BOA</t>
  </si>
  <si>
    <t>ACMB-180-RR06-BOA</t>
  </si>
  <si>
    <t>ACMB-180-R06-BOB</t>
  </si>
  <si>
    <t>ACMB-180-RR06-BOB</t>
  </si>
  <si>
    <t>ACMB-180-V12-MS</t>
  </si>
  <si>
    <t>ACMB-180-V13-MS</t>
  </si>
  <si>
    <t>ACMB-180-V12-MSA</t>
  </si>
  <si>
    <t>ACMB-180-V13-MSA</t>
  </si>
  <si>
    <t>ACMB-180-V12-MSB</t>
  </si>
  <si>
    <t>ACMB-180-V13-MSB</t>
  </si>
  <si>
    <t>ACMB-180-R07-BO</t>
  </si>
  <si>
    <t>ACMB-180-RR07-BO</t>
  </si>
  <si>
    <t>ACMB-180-R07-BOA</t>
  </si>
  <si>
    <t>ACMB-180-RR07-BOA</t>
  </si>
  <si>
    <t>ACMB-180-R07-BOB</t>
  </si>
  <si>
    <t>ACMB-180-RR07-BOB</t>
  </si>
  <si>
    <t>ACMB-180-V14-MS</t>
  </si>
  <si>
    <t>ACMB-180-V15-MS</t>
  </si>
  <si>
    <t>ACMB-180-V14-MSA</t>
  </si>
  <si>
    <t>ACMB-180-V15-MSA</t>
  </si>
  <si>
    <t>ACMB-180-V14-MSB</t>
  </si>
  <si>
    <t>ACMB-180-V15-MSB</t>
  </si>
  <si>
    <t>ACMB-181-R01-BO</t>
  </si>
  <si>
    <t>ACMB-181-RR01-BO</t>
  </si>
  <si>
    <t>ACMB-181-R01-BOA</t>
  </si>
  <si>
    <t>ACMB-181-RR01-BOA</t>
  </si>
  <si>
    <t>ACMB-181-R01-BOB</t>
  </si>
  <si>
    <t>ACMB-181-RR01-BOB</t>
  </si>
  <si>
    <t>ACMB-181-V02-MS</t>
  </si>
  <si>
    <t>ACMB-181-V03-MS</t>
  </si>
  <si>
    <t>ACMB-181-V02-MSA</t>
  </si>
  <si>
    <t>ACMB-181-V03-MSA</t>
  </si>
  <si>
    <t>ACMB-181-V02-MSB</t>
  </si>
  <si>
    <t>ACMB-181-V03-MSB</t>
  </si>
  <si>
    <t>ACMB-181-R02-BO</t>
  </si>
  <si>
    <t>ACMB-181-RR02-BO</t>
  </si>
  <si>
    <t>ACMB-181-R02-BOA</t>
  </si>
  <si>
    <t>ACMB-181-RR02-BOA</t>
  </si>
  <si>
    <t>ACMB-181-R02-BOB</t>
  </si>
  <si>
    <t>ACMB-181-RR02-BOB</t>
  </si>
  <si>
    <t>ACMB-181-V04-MS</t>
  </si>
  <si>
    <t>ACMB-181-V05-MS</t>
  </si>
  <si>
    <t>ACMB-181-V04-MSA</t>
  </si>
  <si>
    <t>ACMB-181-V05-MSA</t>
  </si>
  <si>
    <t>ACMB-181-V04-MSB</t>
  </si>
  <si>
    <t>ACMB-181-V05-MSB</t>
  </si>
  <si>
    <t>ACMB-181-R03-BO</t>
  </si>
  <si>
    <t>ACMB-181-RR03-BO</t>
  </si>
  <si>
    <t>ACMB-181-R03-BOA</t>
  </si>
  <si>
    <t>ACMB-181-RR03-BOA</t>
  </si>
  <si>
    <t>ACMB-181-R03-BOB</t>
  </si>
  <si>
    <t>ACMB-181-RR03-BOB</t>
  </si>
  <si>
    <t>ACMB-181-V06-MS</t>
  </si>
  <si>
    <t>ACMB-181-V07-MS</t>
  </si>
  <si>
    <t>ACMB-181-V06-MSA</t>
  </si>
  <si>
    <t>ACMB-181-V07-MSA</t>
  </si>
  <si>
    <t>ACMB-181-V06-MSB</t>
  </si>
  <si>
    <t>ACMB-181-V07-MSB</t>
  </si>
  <si>
    <t>ACMB-181-R04-BO</t>
  </si>
  <si>
    <t>ACMB-181-RR04-BO</t>
  </si>
  <si>
    <t>ACMB-181-R04-BOA</t>
  </si>
  <si>
    <t>ACMB-181-RR04-BOA</t>
  </si>
  <si>
    <t>ACMB-181-R04-BOB</t>
  </si>
  <si>
    <t>ACMB-181-RR04-BOB</t>
  </si>
  <si>
    <t>ACMB-181-V08-MS</t>
  </si>
  <si>
    <t>ACMB-181-V09-MS</t>
  </si>
  <si>
    <t>ACMB-181-V08-MSA</t>
  </si>
  <si>
    <t>ACMB-181-V09-MSA</t>
  </si>
  <si>
    <t>ACMB-181-V08-MSB</t>
  </si>
  <si>
    <t>ACMB-181-V09-MSB</t>
  </si>
  <si>
    <t>ACMB-181-R05-BO</t>
  </si>
  <si>
    <t>ACMB-181-RR05-BO</t>
  </si>
  <si>
    <t>ACMB-181-R05-BOA</t>
  </si>
  <si>
    <t>ACMB-181-RR05-BOA</t>
  </si>
  <si>
    <t>ACMB-181-R05-BOB</t>
  </si>
  <si>
    <t>ACMB-181-RR05-BOB</t>
  </si>
  <si>
    <t>ACMB-181-V10-MS</t>
  </si>
  <si>
    <t>ACMB-181-V11-MS</t>
  </si>
  <si>
    <t>ACMB-181-V10-MSA</t>
  </si>
  <si>
    <t>ACMB-181-V11-MSA</t>
  </si>
  <si>
    <t>ACMB-181-V10-MSB</t>
  </si>
  <si>
    <t>ACMB-181-V11-MSB</t>
  </si>
  <si>
    <t>ACMB-181-R06-BO</t>
  </si>
  <si>
    <t>ACMB-181-RR06-BO</t>
  </si>
  <si>
    <t>ACMB-181-R06-BOA</t>
  </si>
  <si>
    <t>ACMB-181-RR06-BOA</t>
  </si>
  <si>
    <t>ACMB-181-R06-BOB</t>
  </si>
  <si>
    <t>ACMB-181-RR06-BOB</t>
  </si>
  <si>
    <t>ACMB-181-V12-MS</t>
  </si>
  <si>
    <t>ACMB-181-V13-MS</t>
  </si>
  <si>
    <t>ACMB-181-V12-MSA</t>
  </si>
  <si>
    <t>ACMB-181-V13-MSA</t>
  </si>
  <si>
    <t>ACMB-181-V12-MSB</t>
  </si>
  <si>
    <t>ACMB-181-V13-MSB</t>
  </si>
  <si>
    <t>ACMB-181-R07-BO</t>
  </si>
  <si>
    <t>ACMB-181-RR07-BO</t>
  </si>
  <si>
    <t>ACMB-181-R07-BOA</t>
  </si>
  <si>
    <t>ACMB-181-RR07-BOA</t>
  </si>
  <si>
    <t>ACMB-181-R07-BOB</t>
  </si>
  <si>
    <t>ACMB-181-RR07-BOB</t>
  </si>
  <si>
    <t>ACMB-181-V14-MS</t>
  </si>
  <si>
    <t>ACMB-181-V15-MS</t>
  </si>
  <si>
    <t>ACMB-181-V14-MSA</t>
  </si>
  <si>
    <t>ACMB-181-V15-MSA</t>
  </si>
  <si>
    <t>ACMB-181-V14-MSB</t>
  </si>
  <si>
    <t>ACMB-181-V15-MSB</t>
  </si>
  <si>
    <t>ACMB-182-R01-BO</t>
  </si>
  <si>
    <t>ACMB-182-RR01-BO</t>
  </si>
  <si>
    <t>ACMB-182-R01-BOA</t>
  </si>
  <si>
    <t>ACMB-182-RR01-BOA</t>
  </si>
  <si>
    <t>ACMB-182-R01-BOB</t>
  </si>
  <si>
    <t>ACMB-182-RR01-BOB</t>
  </si>
  <si>
    <t>ACMB-182-V02-MS</t>
  </si>
  <si>
    <t>ACMB-182-V03-MS</t>
  </si>
  <si>
    <t>ACMB-182-V02-MSA</t>
  </si>
  <si>
    <t>ACMB-182-V03-MSA</t>
  </si>
  <si>
    <t>ACMB-182-V02-MSB</t>
  </si>
  <si>
    <t>ACMB-182-V03-MSB</t>
  </si>
  <si>
    <t>ACMB-182-R02-BO</t>
  </si>
  <si>
    <t>ACMB-182-RR02-BO</t>
  </si>
  <si>
    <t>ACMB-182-R02-BOA</t>
  </si>
  <si>
    <t>ACMB-182-RR02-BOA</t>
  </si>
  <si>
    <t>ACMB-182-R02-BOB</t>
  </si>
  <si>
    <t>ACMB-182-RR02-BOB</t>
  </si>
  <si>
    <t>ACMB-182-V04-MS</t>
  </si>
  <si>
    <t>ACMB-182-V05-MS</t>
  </si>
  <si>
    <t>ACMB-182-V04-MSA</t>
  </si>
  <si>
    <t>ACMB-182-V05-MSA</t>
  </si>
  <si>
    <t>ACMB-182-V04-MSB</t>
  </si>
  <si>
    <t>ACMB-182-V05-MSB</t>
  </si>
  <si>
    <t>ACMB-182-R03-BO</t>
  </si>
  <si>
    <t>ACMB-182-RR03-BO</t>
  </si>
  <si>
    <t>ACMB-182-R03-BOA</t>
  </si>
  <si>
    <t>ACMB-182-RR03-BOA</t>
  </si>
  <si>
    <t>ACMB-182-R03-BOB</t>
  </si>
  <si>
    <t>ACMB-182-RR03-BOB</t>
  </si>
  <si>
    <t>ACMB-182-V06-MS</t>
  </si>
  <si>
    <t>ACMB-182-V07-MS</t>
  </si>
  <si>
    <t>ACMB-182-V06-MSA</t>
  </si>
  <si>
    <t>ACMB-182-V07-MSA</t>
  </si>
  <si>
    <t>ACMB-182-V06-MSB</t>
  </si>
  <si>
    <t>ACMB-182-V07-MSB</t>
  </si>
  <si>
    <t>ACMB-182-R04-BO</t>
  </si>
  <si>
    <t>ACMB-182-RR04-BO</t>
  </si>
  <si>
    <t>ACMB-182-R04-BOA</t>
  </si>
  <si>
    <t>ACMB-182-RR04-BOA</t>
  </si>
  <si>
    <t>ACMB-182-R04-BOB</t>
  </si>
  <si>
    <t>ACMB-182-RR04-BOB</t>
  </si>
  <si>
    <t>ACMB-182-V08-MS</t>
  </si>
  <si>
    <t>ACMB-182-V09-MS</t>
  </si>
  <si>
    <t>ACMB-182-V08-MSA</t>
  </si>
  <si>
    <t>ACMB-182-V09-MSA</t>
  </si>
  <si>
    <t>ACMB-182-V08-MSB</t>
  </si>
  <si>
    <t>ACMB-182-V09-MSB</t>
  </si>
  <si>
    <t>ACMB-182-R05-BO</t>
  </si>
  <si>
    <t>ACMB-182-RR05-BO</t>
  </si>
  <si>
    <t>ACMB-182-R05-BOA</t>
  </si>
  <si>
    <t>ACMB-182-RR05-BOA</t>
  </si>
  <si>
    <t>ACMB-182-R05-BOB</t>
  </si>
  <si>
    <t>ACMB-182-RR05-BOB</t>
  </si>
  <si>
    <t>ACMB-182-V10-MS</t>
  </si>
  <si>
    <t>ACMB-182-V11-MS</t>
  </si>
  <si>
    <t>ACMB-182-V10-MSA</t>
  </si>
  <si>
    <t>ACMB-182-V11-MSA</t>
  </si>
  <si>
    <t>ACMB-182-V10-MSB</t>
  </si>
  <si>
    <t>ACMB-182-V11-MSB</t>
  </si>
  <si>
    <t>ACMB-182-R06-BO</t>
  </si>
  <si>
    <t>ACMB-182-RR06-BO</t>
  </si>
  <si>
    <t>ACMB-182-R06-BOA</t>
  </si>
  <si>
    <t>ACMB-182-RR06-BOA</t>
  </si>
  <si>
    <t>ACMB-182-R06-BOB</t>
  </si>
  <si>
    <t>ACMB-182-RR06-BOB</t>
  </si>
  <si>
    <t>ACMB-182-V12-MS</t>
  </si>
  <si>
    <t>ACMB-182-V13-MS</t>
  </si>
  <si>
    <t>ACMB-182-V12-MSA</t>
  </si>
  <si>
    <t>ACMB-182-V13-MSA</t>
  </si>
  <si>
    <t>ACMB-182-V12-MSB</t>
  </si>
  <si>
    <t>ACMB-182-V13-MSB</t>
  </si>
  <si>
    <t>ACMB-182-R07-BO</t>
  </si>
  <si>
    <t>ACMB-182-RR07-BO</t>
  </si>
  <si>
    <t>ACMB-182-R07-BOA</t>
  </si>
  <si>
    <t>ACMB-182-RR07-BOA</t>
  </si>
  <si>
    <t>ACMB-182-R07-BOB</t>
  </si>
  <si>
    <t>ACMB-182-RR07-BOB</t>
  </si>
  <si>
    <t>ACMB-182-V14-MS</t>
  </si>
  <si>
    <t>ACMB-182-V15-MS</t>
  </si>
  <si>
    <t>ACMB-182-V14-MSA</t>
  </si>
  <si>
    <t>ACMB-182-V15-MSA</t>
  </si>
  <si>
    <t>ACMB-182-V14-MSB</t>
  </si>
  <si>
    <t>ACMB-182-V15-MSB</t>
  </si>
  <si>
    <t>ACMB-183-R01-BO</t>
  </si>
  <si>
    <t>ACMB-183-RR01-BO</t>
  </si>
  <si>
    <t>ACMB-183-R01-BOA</t>
  </si>
  <si>
    <t>ACMB-183-RR01-BOA</t>
  </si>
  <si>
    <t>ACMB-183-R01-BOB</t>
  </si>
  <si>
    <t>ACMB-183-RR01-BOB</t>
  </si>
  <si>
    <t>ACMB-183-V02-MS</t>
  </si>
  <si>
    <t>ACMB-183-V03-MS</t>
  </si>
  <si>
    <t>ACMB-183-V02-MSA</t>
  </si>
  <si>
    <t>ACMB-183-V03-MSA</t>
  </si>
  <si>
    <t>ACMB-183-V02-MSB</t>
  </si>
  <si>
    <t>ACMB-183-V03-MSB</t>
  </si>
  <si>
    <t>ACMB-183-R02-BO</t>
  </si>
  <si>
    <t>ACMB-183-RR02-BO</t>
  </si>
  <si>
    <t>ACMB-183-R02-BOA</t>
  </si>
  <si>
    <t>ACMB-183-RR02-BOA</t>
  </si>
  <si>
    <t>ACMB-183-R02-BOB</t>
  </si>
  <si>
    <t>ACMB-183-RR02-BOB</t>
  </si>
  <si>
    <t>ACMB-183-V04-MS</t>
  </si>
  <si>
    <t>ACMB-183-V05-MS</t>
  </si>
  <si>
    <t>ACMB-183-V04-MSA</t>
  </si>
  <si>
    <t>ACMB-183-V05-MSA</t>
  </si>
  <si>
    <t>ACMB-183-V04-MSB</t>
  </si>
  <si>
    <t>ACMB-183-V05-MSB</t>
  </si>
  <si>
    <t>ACMB-183-R03-BO</t>
  </si>
  <si>
    <t>ACMB-183-RR03-BO</t>
  </si>
  <si>
    <t>ACMB-183-R03-BOA</t>
  </si>
  <si>
    <t>ACMB-183-RR03-BOA</t>
  </si>
  <si>
    <t>ACMB-183-R03-BOB</t>
  </si>
  <si>
    <t>ACMB-183-RR03-BOB</t>
  </si>
  <si>
    <t>ACMB-183-V06-MS</t>
  </si>
  <si>
    <t>ACMB-183-V07-MS</t>
  </si>
  <si>
    <t>ACMB-183-V06-MSA</t>
  </si>
  <si>
    <t>ACMB-183-V07-MSA</t>
  </si>
  <si>
    <t>ACMB-183-V06-MSB</t>
  </si>
  <si>
    <t>ACMB-183-V07-MSB</t>
  </si>
  <si>
    <t>ACMB-183-R04-BO</t>
  </si>
  <si>
    <t>ACMB-183-RR04-BO</t>
  </si>
  <si>
    <t>ACMB-183-R04-BOA</t>
  </si>
  <si>
    <t>ACMB-183-RR04-BOA</t>
  </si>
  <si>
    <t>ACMB-183-R04-BOB</t>
  </si>
  <si>
    <t>ACMB-183-RR04-BOB</t>
  </si>
  <si>
    <t>ACMB-183-V08-MS</t>
  </si>
  <si>
    <t>ACMB-183-V09-MS</t>
  </si>
  <si>
    <t>ACMB-183-V08-MSA</t>
  </si>
  <si>
    <t>ACMB-183-V09-MSA</t>
  </si>
  <si>
    <t>ACMB-183-V08-MSB</t>
  </si>
  <si>
    <t>ACMB-183-V09-MSB</t>
  </si>
  <si>
    <t>ACMB-183-R05-BO</t>
  </si>
  <si>
    <t>ACMB-183-RR05-BO</t>
  </si>
  <si>
    <t>ACMB-183-R05-BOA</t>
  </si>
  <si>
    <t>ACMB-183-RR05-BOA</t>
  </si>
  <si>
    <t>ACMB-183-R05-BOB</t>
  </si>
  <si>
    <t>ACMB-183-RR05-BOB</t>
  </si>
  <si>
    <t>ACMB-183-V10-MS</t>
  </si>
  <si>
    <t>ACMB-183-V11-MS</t>
  </si>
  <si>
    <t>ACMB-183-V10-MSA</t>
  </si>
  <si>
    <t>ACMB-183-V11-MSA</t>
  </si>
  <si>
    <t>ACMB-183-V10-MSB</t>
  </si>
  <si>
    <t>ACMB-183-V11-MSB</t>
  </si>
  <si>
    <t>ACMB-183-R06-BO</t>
  </si>
  <si>
    <t>ACMB-183-RR06-BO</t>
  </si>
  <si>
    <t>ACMB-183-R06-BOA</t>
  </si>
  <si>
    <t>ACMB-183-RR06-BOA</t>
  </si>
  <si>
    <t>ACMB-183-R06-BOB</t>
  </si>
  <si>
    <t>ACMB-183-RR06-BOB</t>
  </si>
  <si>
    <t>ACMB-183-V12-MS</t>
  </si>
  <si>
    <t>ACMB-183-V13-MS</t>
  </si>
  <si>
    <t>ACMB-183-V12-MSA</t>
  </si>
  <si>
    <t>ACMB-183-V13-MSA</t>
  </si>
  <si>
    <t>ACMB-183-V12-MSB</t>
  </si>
  <si>
    <t>ACMB-183-V13-MSB</t>
  </si>
  <si>
    <t>ACMB-183-R07-BO</t>
  </si>
  <si>
    <t>ACMB-183-RR07-BO</t>
  </si>
  <si>
    <t>ACMB-183-R07-BOA</t>
  </si>
  <si>
    <t>ACMB-183-RR07-BOA</t>
  </si>
  <si>
    <t>ACMB-183-R07-BOB</t>
  </si>
  <si>
    <t>ACMB-183-RR07-BOB</t>
  </si>
  <si>
    <t>ACMB-183-V14-MS</t>
  </si>
  <si>
    <t>ACMB-183-V15-MS</t>
  </si>
  <si>
    <t>ACMB-183-V14-MSA</t>
  </si>
  <si>
    <t>ACMB-183-V15-MSA</t>
  </si>
  <si>
    <t>ACMB-183-V14-MSB</t>
  </si>
  <si>
    <t>ACMB-183-V15-MSB</t>
  </si>
  <si>
    <t>ACMB-184-R01-BO</t>
  </si>
  <si>
    <t>ACMB-184-RR01-BO</t>
  </si>
  <si>
    <t>ACMB-184-R01-BOA</t>
  </si>
  <si>
    <t>ACMB-184-RR01-BOA</t>
  </si>
  <si>
    <t>ACMB-184-R01-BOB</t>
  </si>
  <si>
    <t>ACMB-184-RR01-BOB</t>
  </si>
  <si>
    <t>ACMB-184-V02-MS</t>
  </si>
  <si>
    <t>ACMB-184-V03-MS</t>
  </si>
  <si>
    <t>ACMB-184-V02-MSA</t>
  </si>
  <si>
    <t>ACMB-184-V03-MSA</t>
  </si>
  <si>
    <t>ACMB-184-V02-MSB</t>
  </si>
  <si>
    <t>ACMB-184-V03-MSB</t>
  </si>
  <si>
    <t>ACMB-184-R02-BO</t>
  </si>
  <si>
    <t>ACMB-184-RR02-BO</t>
  </si>
  <si>
    <t>ACMB-184-R02-BOA</t>
  </si>
  <si>
    <t>ACMB-184-RR02-BOA</t>
  </si>
  <si>
    <t>ACMB-184-R02-BOB</t>
  </si>
  <si>
    <t>ACMB-184-RR02-BOB</t>
  </si>
  <si>
    <t>ACMB-184-V04-MS</t>
  </si>
  <si>
    <t>ACMB-184-V05-MS</t>
  </si>
  <si>
    <t>ACMB-184-V04-MSA</t>
  </si>
  <si>
    <t>ACMB-184-V05-MSA</t>
  </si>
  <si>
    <t>ACMB-184-V04-MSB</t>
  </si>
  <si>
    <t>ACMB-184-V05-MSB</t>
  </si>
  <si>
    <t>ACMB-184-R03-BO</t>
  </si>
  <si>
    <t>ACMB-184-RR03-BO</t>
  </si>
  <si>
    <t>ACMB-184-R03-BOA</t>
  </si>
  <si>
    <t>ACMB-184-RR03-BOA</t>
  </si>
  <si>
    <t>ACMB-184-R03-BOB</t>
  </si>
  <si>
    <t>ACMB-184-RR03-BOB</t>
  </si>
  <si>
    <t>ACMB-184-V06-MS</t>
  </si>
  <si>
    <t>ACMB-184-V07-MS</t>
  </si>
  <si>
    <t>ACMB-184-V06-MSA</t>
  </si>
  <si>
    <t>ACMB-184-V07-MSA</t>
  </si>
  <si>
    <t>ACMB-184-V06-MSB</t>
  </si>
  <si>
    <t>ACMB-184-V07-MSB</t>
  </si>
  <si>
    <t>ACMB-184-R04-BO</t>
  </si>
  <si>
    <t>ACMB-184-RR04-BO</t>
  </si>
  <si>
    <t>ACMB-184-R04-BOA</t>
  </si>
  <si>
    <t>ACMB-184-RR04-BOA</t>
  </si>
  <si>
    <t>ACMB-184-R04-BOB</t>
  </si>
  <si>
    <t>ACMB-184-RR04-BOB</t>
  </si>
  <si>
    <t>ACMB-184-V08-MS</t>
  </si>
  <si>
    <t>ACMB-184-V09-MS</t>
  </si>
  <si>
    <t>ACMB-184-V08-MSA</t>
  </si>
  <si>
    <t>ACMB-184-V09-MSA</t>
  </si>
  <si>
    <t>ACMB-184-V08-MSB</t>
  </si>
  <si>
    <t>ACMB-184-V09-MSB</t>
  </si>
  <si>
    <t>ACMB-184-R05-BO</t>
  </si>
  <si>
    <t>ACMB-184-RR05-BO</t>
  </si>
  <si>
    <t>ACMB-184-R05-BOA</t>
  </si>
  <si>
    <t>ACMB-184-RR05-BOA</t>
  </si>
  <si>
    <t>ACMB-184-R05-BOB</t>
  </si>
  <si>
    <t>ACMB-184-RR05-BOB</t>
  </si>
  <si>
    <t>ACMB-184-V10-MS</t>
  </si>
  <si>
    <t>ACMB-184-V11-MS</t>
  </si>
  <si>
    <t>ACMB-184-V10-MSA</t>
  </si>
  <si>
    <t>ACMB-184-V11-MSA</t>
  </si>
  <si>
    <t>ACMB-184-V10-MSB</t>
  </si>
  <si>
    <t>ACMB-184-V11-MSB</t>
  </si>
  <si>
    <t>ACMB-184-R06-BO</t>
  </si>
  <si>
    <t>ACMB-184-RR06-BO</t>
  </si>
  <si>
    <t>ACMB-184-R06-BOA</t>
  </si>
  <si>
    <t>ACMB-184-RR06-BOA</t>
  </si>
  <si>
    <t>ACMB-184-R06-BOB</t>
  </si>
  <si>
    <t>ACMB-184-RR06-BOB</t>
  </si>
  <si>
    <t>ACMB-184-V12-MS</t>
  </si>
  <si>
    <t>ACMB-184-V13-MS</t>
  </si>
  <si>
    <t>ACMB-184-V12-MSA</t>
  </si>
  <si>
    <t>ACMB-184-V13-MSA</t>
  </si>
  <si>
    <t>ACMB-184-V12-MSB</t>
  </si>
  <si>
    <t>ACMB-184-V13-MSB</t>
  </si>
  <si>
    <t>ACMB-184-R07-BO</t>
  </si>
  <si>
    <t>ACMB-184-RR07-BO</t>
  </si>
  <si>
    <t>ACMB-184-R07-BOA</t>
  </si>
  <si>
    <t>ACMB-184-RR07-BOA</t>
  </si>
  <si>
    <t>ACMB-184-R07-BOB</t>
  </si>
  <si>
    <t>ACMB-184-RR07-BOB</t>
  </si>
  <si>
    <t>ACMB-184-V14-MS</t>
  </si>
  <si>
    <t>ACMB-184-V15-MS</t>
  </si>
  <si>
    <t>ACMB-184-V14-MSA</t>
  </si>
  <si>
    <t>ACMB-184-V15-MSA</t>
  </si>
  <si>
    <t>ACMB-184-V14-MSB</t>
  </si>
  <si>
    <t>ACMB-184-V15-MSB</t>
  </si>
  <si>
    <t>ACMB-185-R01-BO</t>
  </si>
  <si>
    <t>ACMB-185-RR01-BO</t>
  </si>
  <si>
    <t>ACMB-185-R01-BOA</t>
  </si>
  <si>
    <t>ACMB-185-RR01-BOA</t>
  </si>
  <si>
    <t>ACMB-185-R01-BOB</t>
  </si>
  <si>
    <t>ACMB-185-RR01-BOB</t>
  </si>
  <si>
    <t>ACMB-185-V02-MS</t>
  </si>
  <si>
    <t>ACMB-185-V03-MS</t>
  </si>
  <si>
    <t>ACMB-185-V02-MSA</t>
  </si>
  <si>
    <t>ACMB-185-V03-MSA</t>
  </si>
  <si>
    <t>ACMB-185-V02-MSB</t>
  </si>
  <si>
    <t>ACMB-185-V03-MSB</t>
  </si>
  <si>
    <t>ACMB-185-R02-BO</t>
  </si>
  <si>
    <t>ACMB-185-RR02-BO</t>
  </si>
  <si>
    <t>ACMB-185-R02-BOA</t>
  </si>
  <si>
    <t>ACMB-185-RR02-BOA</t>
  </si>
  <si>
    <t>ACMB-185-R02-BOB</t>
  </si>
  <si>
    <t>ACMB-185-RR02-BOB</t>
  </si>
  <si>
    <t>ACMB-185-V04-MS</t>
  </si>
  <si>
    <t>ACMB-185-V05-MS</t>
  </si>
  <si>
    <t>ACMB-185-V04-MSA</t>
  </si>
  <si>
    <t>ACMB-185-V05-MSA</t>
  </si>
  <si>
    <t>ACMB-185-V04-MSB</t>
  </si>
  <si>
    <t>ACMB-185-V05-MSB</t>
  </si>
  <si>
    <t>ACMB-185-R03-BO</t>
  </si>
  <si>
    <t>ACMB-185-RR03-BO</t>
  </si>
  <si>
    <t>ACMB-185-R03-BOA</t>
  </si>
  <si>
    <t>ACMB-185-RR03-BOA</t>
  </si>
  <si>
    <t>ACMB-185-R03-BOB</t>
  </si>
  <si>
    <t>ACMB-185-RR03-BOB</t>
  </si>
  <si>
    <t>ACMB-185-V06-MS</t>
  </si>
  <si>
    <t>ACMB-185-V07-MS</t>
  </si>
  <si>
    <t>ACMB-185-V06-MSA</t>
  </si>
  <si>
    <t>ACMB-185-V07-MSA</t>
  </si>
  <si>
    <t>ACMB-185-V06-MSB</t>
  </si>
  <si>
    <t>ACMB-185-V07-MSB</t>
  </si>
  <si>
    <t>ACMB-185-R04-BO</t>
  </si>
  <si>
    <t>ACMB-185-RR04-BO</t>
  </si>
  <si>
    <t>ACMB-185-R04-BOA</t>
  </si>
  <si>
    <t>ACMB-185-RR04-BOA</t>
  </si>
  <si>
    <t>ACMB-185-R04-BOB</t>
  </si>
  <si>
    <t>ACMB-185-RR04-BOB</t>
  </si>
  <si>
    <t>ACMB-185-V08-MS</t>
  </si>
  <si>
    <t>ACMB-185-V09-MS</t>
  </si>
  <si>
    <t>ACMB-185-V08-MSA</t>
  </si>
  <si>
    <t>ACMB-185-V09-MSA</t>
  </si>
  <si>
    <t>ACMB-185-V08-MSB</t>
  </si>
  <si>
    <t>ACMB-185-V09-MSB</t>
  </si>
  <si>
    <t>ACMB-185-R05-BO</t>
  </si>
  <si>
    <t>ACMB-185-RR05-BO</t>
  </si>
  <si>
    <t>ACMB-185-R05-BOA</t>
  </si>
  <si>
    <t>ACMB-185-RR05-BOA</t>
  </si>
  <si>
    <t>ACMB-185-R05-BOB</t>
  </si>
  <si>
    <t>ACMB-185-RR05-BOB</t>
  </si>
  <si>
    <t>ACMB-185-V10-MS</t>
  </si>
  <si>
    <t>ACMB-185-V11-MS</t>
  </si>
  <si>
    <t>ACMB-185-V10-MSA</t>
  </si>
  <si>
    <t>ACMB-185-V11-MSA</t>
  </si>
  <si>
    <t>ACMB-185-V10-MSB</t>
  </si>
  <si>
    <t>ACMB-185-V11-MSB</t>
  </si>
  <si>
    <t>ACMB-185-R06-BO</t>
  </si>
  <si>
    <t>ACMB-185-RR06-BO</t>
  </si>
  <si>
    <t>ACMB-185-R06-BOA</t>
  </si>
  <si>
    <t>ACMB-185-RR06-BOA</t>
  </si>
  <si>
    <t>ACMB-185-R06-BOB</t>
  </si>
  <si>
    <t>ACMB-185-RR06-BOB</t>
  </si>
  <si>
    <t>ACMB-185-V12-MS</t>
  </si>
  <si>
    <t>ACMB-185-V13-MS</t>
  </si>
  <si>
    <t>ACMB-185-V12-MSA</t>
  </si>
  <si>
    <t>ACMB-185-V13-MSA</t>
  </si>
  <si>
    <t>ACMB-185-V12-MSB</t>
  </si>
  <si>
    <t>ACMB-185-V13-MSB</t>
  </si>
  <si>
    <t>ACMB-185-R07-BO</t>
  </si>
  <si>
    <t>ACMB-185-RR07-BO</t>
  </si>
  <si>
    <t>ACMB-185-R07-BOA</t>
  </si>
  <si>
    <t>ACMB-185-RR07-BOA</t>
  </si>
  <si>
    <t>ACMB-185-R07-BOB</t>
  </si>
  <si>
    <t>ACMB-185-RR07-BOB</t>
  </si>
  <si>
    <t>ACMB-185-V14-MS</t>
  </si>
  <si>
    <t>ACMB-185-V15-MS</t>
  </si>
  <si>
    <t>ACMB-185-V14-MSA</t>
  </si>
  <si>
    <t>ACMB-185-V15-MSA</t>
  </si>
  <si>
    <t>ACMB-185-V14-MSB</t>
  </si>
  <si>
    <t>ACMB-185-V15-MSB</t>
  </si>
  <si>
    <t>ACMB-186-R01-BO</t>
  </si>
  <si>
    <t>ACMB-186-RR01-BO</t>
  </si>
  <si>
    <t>ACMB-186-R01-BOA</t>
  </si>
  <si>
    <t>ACMB-186-RR01-BOA</t>
  </si>
  <si>
    <t>ACMB-186-R01-BOB</t>
  </si>
  <si>
    <t>ACMB-186-RR01-BOB</t>
  </si>
  <si>
    <t>ACMB-186-V02-MS</t>
  </si>
  <si>
    <t>ACMB-186-V03-MS</t>
  </si>
  <si>
    <t>ACMB-186-V02-MSA</t>
  </si>
  <si>
    <t>ACMB-186-V03-MSA</t>
  </si>
  <si>
    <t>ACMB-186-V02-MSB</t>
  </si>
  <si>
    <t>ACMB-186-V03-MSB</t>
  </si>
  <si>
    <t>ACMB-186-R02-BO</t>
  </si>
  <si>
    <t>ACMB-186-RR02-BO</t>
  </si>
  <si>
    <t>ACMB-186-R02-BOA</t>
  </si>
  <si>
    <t>ACMB-186-RR02-BOA</t>
  </si>
  <si>
    <t>ACMB-186-R02-BOB</t>
  </si>
  <si>
    <t>ACMB-186-RR02-BOB</t>
  </si>
  <si>
    <t>ACMB-186-V04-MS</t>
  </si>
  <si>
    <t>ACMB-186-V05-MS</t>
  </si>
  <si>
    <t>ACMB-186-V04-MSA</t>
  </si>
  <si>
    <t>ACMB-186-V05-MSA</t>
  </si>
  <si>
    <t>ACMB-186-V04-MSB</t>
  </si>
  <si>
    <t>ACMB-186-V05-MSB</t>
  </si>
  <si>
    <t>ACMB-186-R03-BO</t>
  </si>
  <si>
    <t>ACMB-186-RR03-BO</t>
  </si>
  <si>
    <t>ACMB-186-R03-BOA</t>
  </si>
  <si>
    <t>ACMB-186-RR03-BOA</t>
  </si>
  <si>
    <t>ACMB-186-R03-BOB</t>
  </si>
  <si>
    <t>ACMB-186-RR03-BOB</t>
  </si>
  <si>
    <t>ACMB-186-V06-MS</t>
  </si>
  <si>
    <t>ACMB-186-V07-MS</t>
  </si>
  <si>
    <t>ACMB-186-V06-MSA</t>
  </si>
  <si>
    <t>ACMB-186-V07-MSA</t>
  </si>
  <si>
    <t>ACMB-186-V06-MSB</t>
  </si>
  <si>
    <t>ACMB-186-V07-MSB</t>
  </si>
  <si>
    <t>ACMB-186-R04-BO</t>
  </si>
  <si>
    <t>ACMB-186-RR04-BO</t>
  </si>
  <si>
    <t>ACMB-186-R04-BOA</t>
  </si>
  <si>
    <t>ACMB-186-RR04-BOA</t>
  </si>
  <si>
    <t>ACMB-186-R04-BOB</t>
  </si>
  <si>
    <t>ACMB-186-RR04-BOB</t>
  </si>
  <si>
    <t>ACMB-186-V08-MS</t>
  </si>
  <si>
    <t>ACMB-186-V09-MS</t>
  </si>
  <si>
    <t>ACMB-186-V08-MSA</t>
  </si>
  <si>
    <t>ACMB-186-V09-MSA</t>
  </si>
  <si>
    <t>ACMB-186-V08-MSB</t>
  </si>
  <si>
    <t>ACMB-186-V09-MSB</t>
  </si>
  <si>
    <t>ACMB-186-R05-BO</t>
  </si>
  <si>
    <t>ACMB-186-RR05-BO</t>
  </si>
  <si>
    <t>ACMB-186-R05-BOA</t>
  </si>
  <si>
    <t>ACMB-186-RR05-BOA</t>
  </si>
  <si>
    <t>ACMB-186-R05-BOB</t>
  </si>
  <si>
    <t>ACMB-186-RR05-BOB</t>
  </si>
  <si>
    <t>ACMB-186-V10-MS</t>
  </si>
  <si>
    <t>ACMB-186-V11-MS</t>
  </si>
  <si>
    <t>ACMB-186-V10-MSA</t>
  </si>
  <si>
    <t>ACMB-186-V11-MSA</t>
  </si>
  <si>
    <t>ACMB-186-V10-MSB</t>
  </si>
  <si>
    <t>ACMB-186-V11-MSB</t>
  </si>
  <si>
    <t>ACMB-186-R06-BO</t>
  </si>
  <si>
    <t>ACMB-186-RR06-BO</t>
  </si>
  <si>
    <t>ACMB-186-R06-BOA</t>
  </si>
  <si>
    <t>ACMB-186-RR06-BOA</t>
  </si>
  <si>
    <t>ACMB-186-R06-BOB</t>
  </si>
  <si>
    <t>ACMB-186-RR06-BOB</t>
  </si>
  <si>
    <t>ACMB-186-V12-MS</t>
  </si>
  <si>
    <t>ACMB-186-V13-MS</t>
  </si>
  <si>
    <t>ACMB-186-V12-MSA</t>
  </si>
  <si>
    <t>ACMB-186-V13-MSA</t>
  </si>
  <si>
    <t>ACMB-186-V12-MSB</t>
  </si>
  <si>
    <t>ACMB-186-V13-MSB</t>
  </si>
  <si>
    <t>ACMB-186-R07-BO</t>
  </si>
  <si>
    <t>ACMB-186-RR07-BO</t>
  </si>
  <si>
    <t>ACMB-186-R07-BOA</t>
  </si>
  <si>
    <t>ACMB-186-RR07-BOA</t>
  </si>
  <si>
    <t>ACMB-186-R07-BOB</t>
  </si>
  <si>
    <t>ACMB-186-RR07-BOB</t>
  </si>
  <si>
    <t>ACMB-186-V14-MS</t>
  </si>
  <si>
    <t>ACMB-186-V15-MS</t>
  </si>
  <si>
    <t>ACMB-186-V14-MSA</t>
  </si>
  <si>
    <t>ACMB-186-V15-MSA</t>
  </si>
  <si>
    <t>ACMB-186-V14-MSB</t>
  </si>
  <si>
    <t>ACMB-186-V15-MSB</t>
  </si>
  <si>
    <t>ACMB-187-R01-BO</t>
  </si>
  <si>
    <t>ACMB-187-RR01-BO</t>
  </si>
  <si>
    <t>ACMB-187-R01-BOA</t>
  </si>
  <si>
    <t>ACMB-187-RR01-BOA</t>
  </si>
  <si>
    <t>ACMB-187-R01-BOB</t>
  </si>
  <si>
    <t>ACMB-187-RR01-BOB</t>
  </si>
  <si>
    <t>ACMB-187-V02-MS</t>
  </si>
  <si>
    <t>ACMB-187-V03-MS</t>
  </si>
  <si>
    <t>ACMB-187-V02-MSA</t>
  </si>
  <si>
    <t>ACMB-187-V03-MSA</t>
  </si>
  <si>
    <t>ACMB-187-V02-MSB</t>
  </si>
  <si>
    <t>ACMB-187-V03-MSB</t>
  </si>
  <si>
    <t>ACMB-187-R02-BO</t>
  </si>
  <si>
    <t>ACMB-187-RR02-BO</t>
  </si>
  <si>
    <t>ACMB-187-R02-BOA</t>
  </si>
  <si>
    <t>ACMB-187-RR02-BOA</t>
  </si>
  <si>
    <t>ACMB-187-R02-BOB</t>
  </si>
  <si>
    <t>ACMB-187-RR02-BOB</t>
  </si>
  <si>
    <t>ACMB-187-V04-MS</t>
  </si>
  <si>
    <t>ACMB-187-V05-MS</t>
  </si>
  <si>
    <t>ACMB-187-V04-MSA</t>
  </si>
  <si>
    <t>ACMB-187-V05-MSA</t>
  </si>
  <si>
    <t>ACMB-187-V04-MSB</t>
  </si>
  <si>
    <t>ACMB-187-V05-MSB</t>
  </si>
  <si>
    <t>ACMB-187-R03-BO</t>
  </si>
  <si>
    <t>ACMB-187-RR03-BO</t>
  </si>
  <si>
    <t>ACMB-187-R03-BOA</t>
  </si>
  <si>
    <t>ACMB-187-RR03-BOA</t>
  </si>
  <si>
    <t>ACMB-187-R03-BOB</t>
  </si>
  <si>
    <t>ACMB-187-RR03-BOB</t>
  </si>
  <si>
    <t>ACMB-187-V06-MS</t>
  </si>
  <si>
    <t>ACMB-187-V07-MS</t>
  </si>
  <si>
    <t>ACMB-187-V06-MSA</t>
  </si>
  <si>
    <t>ACMB-187-V07-MSA</t>
  </si>
  <si>
    <t>ACMB-187-V06-MSB</t>
  </si>
  <si>
    <t>ACMB-187-V07-MSB</t>
  </si>
  <si>
    <t>ACMB-187-R04-BO</t>
  </si>
  <si>
    <t>ACMB-187-RR04-BO</t>
  </si>
  <si>
    <t>ACMB-187-R04-BOA</t>
  </si>
  <si>
    <t>ACMB-187-RR04-BOA</t>
  </si>
  <si>
    <t>ACMB-187-R04-BOB</t>
  </si>
  <si>
    <t>ACMB-187-RR04-BOB</t>
  </si>
  <si>
    <t>ACMB-187-V08-MS</t>
  </si>
  <si>
    <t>ACMB-187-V09-MS</t>
  </si>
  <si>
    <t>ACMB-187-V08-MSA</t>
  </si>
  <si>
    <t>ACMB-187-V09-MSA</t>
  </si>
  <si>
    <t>ACMB-187-V08-MSB</t>
  </si>
  <si>
    <t>ACMB-187-V09-MSB</t>
  </si>
  <si>
    <t>ACMB-187-R05-BO</t>
  </si>
  <si>
    <t>ACMB-187-RR05-BO</t>
  </si>
  <si>
    <t>ACMB-187-R05-BOA</t>
  </si>
  <si>
    <t>ACMB-187-RR05-BOA</t>
  </si>
  <si>
    <t>ACMB-187-R05-BOB</t>
  </si>
  <si>
    <t>ACMB-187-RR05-BOB</t>
  </si>
  <si>
    <t>ACMB-187-V10-MS</t>
  </si>
  <si>
    <t>ACMB-187-V11-MS</t>
  </si>
  <si>
    <t>ACMB-187-V10-MSA</t>
  </si>
  <si>
    <t>ACMB-187-V11-MSA</t>
  </si>
  <si>
    <t>ACMB-187-V10-MSB</t>
  </si>
  <si>
    <t>ACMB-187-V11-MSB</t>
  </si>
  <si>
    <t>ACMB-187-R06-BO</t>
  </si>
  <si>
    <t>ACMB-187-RR06-BO</t>
  </si>
  <si>
    <t>ACMB-187-R06-BOA</t>
  </si>
  <si>
    <t>ACMB-187-RR06-BOA</t>
  </si>
  <si>
    <t>ACMB-187-R06-BOB</t>
  </si>
  <si>
    <t>ACMB-187-RR06-BOB</t>
  </si>
  <si>
    <t>ACMB-187-V12-MS</t>
  </si>
  <si>
    <t>ACMB-187-V13-MS</t>
  </si>
  <si>
    <t>ACMB-187-V12-MSA</t>
  </si>
  <si>
    <t>ACMB-187-V13-MSA</t>
  </si>
  <si>
    <t>ACMB-187-V12-MSB</t>
  </si>
  <si>
    <t>ACMB-187-V13-MSB</t>
  </si>
  <si>
    <t>ACMB-187-R07-BO</t>
  </si>
  <si>
    <t>ACMB-187-RR07-BO</t>
  </si>
  <si>
    <t>ACMB-187-R07-BOA</t>
  </si>
  <si>
    <t>ACMB-187-RR07-BOA</t>
  </si>
  <si>
    <t>ACMB-187-R07-BOB</t>
  </si>
  <si>
    <t>ACMB-187-RR07-BOB</t>
  </si>
  <si>
    <t>ACMB-187-V14-MS</t>
  </si>
  <si>
    <t>ACMB-187-V15-MS</t>
  </si>
  <si>
    <t>ACMB-187-V14-MSA</t>
  </si>
  <si>
    <t>ACMB-187-V15-MSA</t>
  </si>
  <si>
    <t>ACMB-187-V14-MSB</t>
  </si>
  <si>
    <t>ACMB-187-V15-MSB</t>
  </si>
  <si>
    <t>ACMB-188-R01-BO</t>
  </si>
  <si>
    <t>ACMB-188-RR01-BO</t>
  </si>
  <si>
    <t>ACMB-188-R01-BOA</t>
  </si>
  <si>
    <t>ACMB-188-RR01-BOA</t>
  </si>
  <si>
    <t>ACMB-188-R01-BOB</t>
  </si>
  <si>
    <t>ACMB-188-RR01-BOB</t>
  </si>
  <si>
    <t>ACMB-188-V02-MS</t>
  </si>
  <si>
    <t>ACMB-188-V03-MS</t>
  </si>
  <si>
    <t>ACMB-188-V02-MSA</t>
  </si>
  <si>
    <t>ACMB-188-V03-MSA</t>
  </si>
  <si>
    <t>ACMB-188-V02-MSB</t>
  </si>
  <si>
    <t>ACMB-188-V03-MSB</t>
  </si>
  <si>
    <t>ACMB-188-R02-BO</t>
  </si>
  <si>
    <t>ACMB-188-RR02-BO</t>
  </si>
  <si>
    <t>ACMB-188-R02-BOA</t>
  </si>
  <si>
    <t>ACMB-188-RR02-BOA</t>
  </si>
  <si>
    <t>ACMB-188-R02-BOB</t>
  </si>
  <si>
    <t>ACMB-188-RR02-BOB</t>
  </si>
  <si>
    <t>ACMB-188-V04-MS</t>
  </si>
  <si>
    <t>ACMB-188-V05-MS</t>
  </si>
  <si>
    <t>ACMB-188-V04-MSA</t>
  </si>
  <si>
    <t>ACMB-188-V05-MSA</t>
  </si>
  <si>
    <t>ACMB-188-V04-MSB</t>
  </si>
  <si>
    <t>ACMB-188-V05-MSB</t>
  </si>
  <si>
    <t>ACMB-188-R03-BO</t>
  </si>
  <si>
    <t>ACMB-188-RR03-BO</t>
  </si>
  <si>
    <t>ACMB-188-R03-BOA</t>
  </si>
  <si>
    <t>ACMB-188-RR03-BOA</t>
  </si>
  <si>
    <t>ACMB-188-R03-BOB</t>
  </si>
  <si>
    <t>ACMB-188-RR03-BOB</t>
  </si>
  <si>
    <t>ACMB-188-V06-MS</t>
  </si>
  <si>
    <t>ACMB-188-V07-MS</t>
  </si>
  <si>
    <t>ACMB-188-V06-MSA</t>
  </si>
  <si>
    <t>ACMB-188-V07-MSA</t>
  </si>
  <si>
    <t>ACMB-188-V06-MSB</t>
  </si>
  <si>
    <t>ACMB-188-V07-MSB</t>
  </si>
  <si>
    <t>ACMB-188-R04-BO</t>
  </si>
  <si>
    <t>ACMB-188-RR04-BO</t>
  </si>
  <si>
    <t>ACMB-188-R04-BOA</t>
  </si>
  <si>
    <t>ACMB-188-RR04-BOA</t>
  </si>
  <si>
    <t>ACMB-188-R04-BOB</t>
  </si>
  <si>
    <t>ACMB-188-RR04-BOB</t>
  </si>
  <si>
    <t>ACMB-188-V08-MS</t>
  </si>
  <si>
    <t>ACMB-188-V09-MS</t>
  </si>
  <si>
    <t>ACMB-188-V08-MSA</t>
  </si>
  <si>
    <t>ACMB-188-V09-MSA</t>
  </si>
  <si>
    <t>ACMB-188-V08-MSB</t>
  </si>
  <si>
    <t>ACMB-188-V09-MSB</t>
  </si>
  <si>
    <t>ACMB-188-R05-BO</t>
  </si>
  <si>
    <t>ACMB-188-RR05-BO</t>
  </si>
  <si>
    <t>ACMB-188-R05-BOA</t>
  </si>
  <si>
    <t>ACMB-188-RR05-BOA</t>
  </si>
  <si>
    <t>ACMB-188-R05-BOB</t>
  </si>
  <si>
    <t>ACMB-188-RR05-BOB</t>
  </si>
  <si>
    <t>ACMB-188-V10-MS</t>
  </si>
  <si>
    <t>ACMB-188-V11-MS</t>
  </si>
  <si>
    <t>ACMB-188-V10-MSA</t>
  </si>
  <si>
    <t>ACMB-188-V11-MSA</t>
  </si>
  <si>
    <t>ACMB-188-V10-MSB</t>
  </si>
  <si>
    <t>ACMB-188-V11-MSB</t>
  </si>
  <si>
    <t>ACMB-188-R06-BO</t>
  </si>
  <si>
    <t>ACMB-188-RR06-BO</t>
  </si>
  <si>
    <t>ACMB-188-R06-BOA</t>
  </si>
  <si>
    <t>ACMB-188-RR06-BOA</t>
  </si>
  <si>
    <t>ACMB-188-R06-BOB</t>
  </si>
  <si>
    <t>ACMB-188-RR06-BOB</t>
  </si>
  <si>
    <t>ACMB-188-V12-MS</t>
  </si>
  <si>
    <t>ACMB-188-V13-MS</t>
  </si>
  <si>
    <t>ACMB-188-V12-MSA</t>
  </si>
  <si>
    <t>ACMB-188-V13-MSA</t>
  </si>
  <si>
    <t>ACMB-188-V12-MSB</t>
  </si>
  <si>
    <t>ACMB-188-V13-MSB</t>
  </si>
  <si>
    <t>ACMB-188-R07-BO</t>
  </si>
  <si>
    <t>ACMB-188-RR07-BO</t>
  </si>
  <si>
    <t>ACMB-188-R07-BOA</t>
  </si>
  <si>
    <t>ACMB-188-RR07-BOA</t>
  </si>
  <si>
    <t>ACMB-188-R07-BOB</t>
  </si>
  <si>
    <t>ACMB-188-RR07-BOB</t>
  </si>
  <si>
    <t>ACMB-188-V14-MS</t>
  </si>
  <si>
    <t>ACMB-188-V15-MS</t>
  </si>
  <si>
    <t>ACMB-188-V14-MSA</t>
  </si>
  <si>
    <t>ACMB-188-V15-MSA</t>
  </si>
  <si>
    <t>ACMB-188-V14-MSB</t>
  </si>
  <si>
    <t>ACMB-188-V15-MSB</t>
  </si>
  <si>
    <t>ACMB-189-R01-BO</t>
  </si>
  <si>
    <t>ACMB-189-RR01-BO</t>
  </si>
  <si>
    <t>ACMB-189-R01-BOA</t>
  </si>
  <si>
    <t>ACMB-189-RR01-BOA</t>
  </si>
  <si>
    <t>ACMB-189-R01-BOB</t>
  </si>
  <si>
    <t>ACMB-189-RR01-BOB</t>
  </si>
  <si>
    <t>ACMB-189-V02-MS</t>
  </si>
  <si>
    <t>ACMB-189-V03-MS</t>
  </si>
  <si>
    <t>ACMB-189-V02-MSA</t>
  </si>
  <si>
    <t>ACMB-189-V03-MSA</t>
  </si>
  <si>
    <t>ACMB-189-V02-MSB</t>
  </si>
  <si>
    <t>ACMB-189-V03-MSB</t>
  </si>
  <si>
    <t>ACMB-189-R02-BO</t>
  </si>
  <si>
    <t>ACMB-189-RR02-BO</t>
  </si>
  <si>
    <t>ACMB-189-R02-BOA</t>
  </si>
  <si>
    <t>ACMB-189-RR02-BOA</t>
  </si>
  <si>
    <t>ACMB-189-R02-BOB</t>
  </si>
  <si>
    <t>ACMB-189-RR02-BOB</t>
  </si>
  <si>
    <t>ACMB-189-V04-MS</t>
  </si>
  <si>
    <t>ACMB-189-V05-MS</t>
  </si>
  <si>
    <t>ACMB-189-V04-MSA</t>
  </si>
  <si>
    <t>ACMB-189-V05-MSA</t>
  </si>
  <si>
    <t>ACMB-189-V04-MSB</t>
  </si>
  <si>
    <t>ACMB-189-V05-MSB</t>
  </si>
  <si>
    <t>ACMB-189-R03-BO</t>
  </si>
  <si>
    <t>ACMB-189-RR03-BO</t>
  </si>
  <si>
    <t>ACMB-189-R03-BOA</t>
  </si>
  <si>
    <t>ACMB-189-RR03-BOA</t>
  </si>
  <si>
    <t>ACMB-189-R03-BOB</t>
  </si>
  <si>
    <t>ACMB-189-RR03-BOB</t>
  </si>
  <si>
    <t>ACMB-189-V06-MS</t>
  </si>
  <si>
    <t>ACMB-189-V07-MS</t>
  </si>
  <si>
    <t>ACMB-189-V06-MSA</t>
  </si>
  <si>
    <t>ACMB-189-V07-MSA</t>
  </si>
  <si>
    <t>ACMB-189-V06-MSB</t>
  </si>
  <si>
    <t>ACMB-189-V07-MSB</t>
  </si>
  <si>
    <t>ACMB-189-R04-BO</t>
  </si>
  <si>
    <t>ACMB-189-RR04-BO</t>
  </si>
  <si>
    <t>ACMB-189-R04-BOA</t>
  </si>
  <si>
    <t>ACMB-189-RR04-BOA</t>
  </si>
  <si>
    <t>ACMB-189-R04-BOB</t>
  </si>
  <si>
    <t>ACMB-189-RR04-BOB</t>
  </si>
  <si>
    <t>ACMB-189-V08-MS</t>
  </si>
  <si>
    <t>ACMB-189-V09-MS</t>
  </si>
  <si>
    <t>ACMB-189-V08-MSA</t>
  </si>
  <si>
    <t>ACMB-189-V09-MSA</t>
  </si>
  <si>
    <t>ACMB-189-V08-MSB</t>
  </si>
  <si>
    <t>ACMB-189-V09-MSB</t>
  </si>
  <si>
    <t>ACMB-189-R05-BO</t>
  </si>
  <si>
    <t>ACMB-189-RR05-BO</t>
  </si>
  <si>
    <t>ACMB-189-R05-BOA</t>
  </si>
  <si>
    <t>ACMB-189-RR05-BOA</t>
  </si>
  <si>
    <t>ACMB-189-R05-BOB</t>
  </si>
  <si>
    <t>ACMB-189-RR05-BOB</t>
  </si>
  <si>
    <t>ACMB-189-V10-MS</t>
  </si>
  <si>
    <t>ACMB-189-V11-MS</t>
  </si>
  <si>
    <t>ACMB-189-V10-MSA</t>
  </si>
  <si>
    <t>ACMB-189-V11-MSA</t>
  </si>
  <si>
    <t>ACMB-189-V10-MSB</t>
  </si>
  <si>
    <t>ACMB-189-V11-MSB</t>
  </si>
  <si>
    <t>ACMB-189-R06-BO</t>
  </si>
  <si>
    <t>ACMB-189-RR06-BO</t>
  </si>
  <si>
    <t>ACMB-189-R06-BOA</t>
  </si>
  <si>
    <t>ACMB-189-RR06-BOA</t>
  </si>
  <si>
    <t>ACMB-189-R06-BOB</t>
  </si>
  <si>
    <t>ACMB-189-RR06-BOB</t>
  </si>
  <si>
    <t>ACMB-189-V12-MS</t>
  </si>
  <si>
    <t>ACMB-189-V13-MS</t>
  </si>
  <si>
    <t>ACMB-189-V12-MSA</t>
  </si>
  <si>
    <t>ACMB-189-V13-MSA</t>
  </si>
  <si>
    <t>ACMB-189-V12-MSB</t>
  </si>
  <si>
    <t>ACMB-189-V13-MSB</t>
  </si>
  <si>
    <t>ACMB-189-R07-BO</t>
  </si>
  <si>
    <t>ACMB-189-RR07-BO</t>
  </si>
  <si>
    <t>ACMB-189-R07-BOA</t>
  </si>
  <si>
    <t>ACMB-189-RR07-BOA</t>
  </si>
  <si>
    <t>ACMB-189-R07-BOB</t>
  </si>
  <si>
    <t>ACMB-189-RR07-BOB</t>
  </si>
  <si>
    <t>ACMB-189-V14-MS</t>
  </si>
  <si>
    <t>ACMB-189-V15-MS</t>
  </si>
  <si>
    <t>ACMB-189-V14-MSA</t>
  </si>
  <si>
    <t>ACMB-189-V15-MSA</t>
  </si>
  <si>
    <t>ACMB-189-V14-MSB</t>
  </si>
  <si>
    <t>ACMB-189-V15-MSB</t>
  </si>
  <si>
    <t>ACMB-190-R01-BO</t>
  </si>
  <si>
    <t>ACMB-190-RR01-BO</t>
  </si>
  <si>
    <t>ACMB-190-R01-BOA</t>
  </si>
  <si>
    <t>ACMB-190-RR01-BOA</t>
  </si>
  <si>
    <t>ACMB-190-R01-BOB</t>
  </si>
  <si>
    <t>ACMB-190-RR01-BOB</t>
  </si>
  <si>
    <t>ACMB-190-V02-MS</t>
  </si>
  <si>
    <t>ACMB-190-V03-MS</t>
  </si>
  <si>
    <t>ACMB-190-V02-MSA</t>
  </si>
  <si>
    <t>ACMB-190-V03-MSA</t>
  </si>
  <si>
    <t>ACMB-190-V02-MSB</t>
  </si>
  <si>
    <t>ACMB-190-V03-MSB</t>
  </si>
  <si>
    <t>ACMB-190-R02-BO</t>
  </si>
  <si>
    <t>ACMB-190-RR02-BO</t>
  </si>
  <si>
    <t>ACMB-190-R02-BOA</t>
  </si>
  <si>
    <t>ACMB-190-RR02-BOA</t>
  </si>
  <si>
    <t>ACMB-190-R02-BOB</t>
  </si>
  <si>
    <t>ACMB-190-RR02-BOB</t>
  </si>
  <si>
    <t>ACMB-190-V04-MS</t>
  </si>
  <si>
    <t>ACMB-190-V05-MS</t>
  </si>
  <si>
    <t>ACMB-190-V04-MSA</t>
  </si>
  <si>
    <t>ACMB-190-V05-MSA</t>
  </si>
  <si>
    <t>ACMB-190-V04-MSB</t>
  </si>
  <si>
    <t>ACMB-190-V05-MSB</t>
  </si>
  <si>
    <t>ACMB-190-R03-BO</t>
  </si>
  <si>
    <t>ACMB-190-RR03-BO</t>
  </si>
  <si>
    <t>ACMB-190-R03-BOA</t>
  </si>
  <si>
    <t>ACMB-190-RR03-BOA</t>
  </si>
  <si>
    <t>ACMB-190-R03-BOB</t>
  </si>
  <si>
    <t>ACMB-190-RR03-BOB</t>
  </si>
  <si>
    <t>ACMB-190-V06-MS</t>
  </si>
  <si>
    <t>ACMB-190-V07-MS</t>
  </si>
  <si>
    <t>ACMB-190-V06-MSA</t>
  </si>
  <si>
    <t>ACMB-190-V07-MSA</t>
  </si>
  <si>
    <t>ACMB-190-V06-MSB</t>
  </si>
  <si>
    <t>ACMB-190-V07-MSB</t>
  </si>
  <si>
    <t>ACMB-190-R04-BO</t>
  </si>
  <si>
    <t>ACMB-190-RR04-BO</t>
  </si>
  <si>
    <t>ACMB-190-R04-BOA</t>
  </si>
  <si>
    <t>ACMB-190-RR04-BOA</t>
  </si>
  <si>
    <t>ACMB-190-R04-BOB</t>
  </si>
  <si>
    <t>ACMB-190-RR04-BOB</t>
  </si>
  <si>
    <t>ACMB-190-V08-MS</t>
  </si>
  <si>
    <t>ACMB-190-V09-MS</t>
  </si>
  <si>
    <t>ACMB-190-V08-MSA</t>
  </si>
  <si>
    <t>ACMB-190-V09-MSA</t>
  </si>
  <si>
    <t>ACMB-190-V08-MSB</t>
  </si>
  <si>
    <t>ACMB-190-V09-MSB</t>
  </si>
  <si>
    <t>ACMB-190-R05-BO</t>
  </si>
  <si>
    <t>ACMB-190-RR05-BO</t>
  </si>
  <si>
    <t>ACMB-190-R05-BOA</t>
  </si>
  <si>
    <t>ACMB-190-RR05-BOA</t>
  </si>
  <si>
    <t>ACMB-190-R05-BOB</t>
  </si>
  <si>
    <t>ACMB-190-RR05-BOB</t>
  </si>
  <si>
    <t>ACMB-190-V10-MS</t>
  </si>
  <si>
    <t>ACMB-190-V11-MS</t>
  </si>
  <si>
    <t>ACMB-190-V10-MSA</t>
  </si>
  <si>
    <t>ACMB-190-V11-MSA</t>
  </si>
  <si>
    <t>ACMB-190-V10-MSB</t>
  </si>
  <si>
    <t>ACMB-190-V11-MSB</t>
  </si>
  <si>
    <t>ACMB-190-R06-BO</t>
  </si>
  <si>
    <t>ACMB-190-RR06-BO</t>
  </si>
  <si>
    <t>ACMB-190-R06-BOA</t>
  </si>
  <si>
    <t>ACMB-190-RR06-BOA</t>
  </si>
  <si>
    <t>ACMB-190-R06-BOB</t>
  </si>
  <si>
    <t>ACMB-190-RR06-BOB</t>
  </si>
  <si>
    <t>ACMB-190-V12-MS</t>
  </si>
  <si>
    <t>ACMB-190-V13-MS</t>
  </si>
  <si>
    <t>ACMB-190-V12-MSA</t>
  </si>
  <si>
    <t>ACMB-190-V13-MSA</t>
  </si>
  <si>
    <t>ACMB-190-V12-MSB</t>
  </si>
  <si>
    <t>ACMB-190-V13-MSB</t>
  </si>
  <si>
    <t>ACMB-190-R07-BO</t>
  </si>
  <si>
    <t>ACMB-190-RR07-BO</t>
  </si>
  <si>
    <t>ACMB-190-R07-BOA</t>
  </si>
  <si>
    <t>ACMB-190-RR07-BOA</t>
  </si>
  <si>
    <t>ACMB-190-R07-BOB</t>
  </si>
  <si>
    <t>ACMB-190-RR07-BOB</t>
  </si>
  <si>
    <t>ACMB-190-V14-MS</t>
  </si>
  <si>
    <t>ACMB-190-V15-MS</t>
  </si>
  <si>
    <t>ACMB-190-V14-MSA</t>
  </si>
  <si>
    <t>ACMB-190-V15-MSA</t>
  </si>
  <si>
    <t>ACMB-190-V14-MSB</t>
  </si>
  <si>
    <t>ACMB-190-V15-MSB</t>
  </si>
  <si>
    <t>ACMB-191-R01-BO</t>
  </si>
  <si>
    <t>ACMB-191-RR01-BO</t>
  </si>
  <si>
    <t>ACMB-191-R01-BOA</t>
  </si>
  <si>
    <t>ACMB-191-RR01-BOA</t>
  </si>
  <si>
    <t>ACMB-191-R01-BOB</t>
  </si>
  <si>
    <t>ACMB-191-RR01-BOB</t>
  </si>
  <si>
    <t>ACMB-191-V02-MS</t>
  </si>
  <si>
    <t>ACMB-191-V03-MS</t>
  </si>
  <si>
    <t>ACMB-191-V02-MSA</t>
  </si>
  <si>
    <t>ACMB-191-V03-MSA</t>
  </si>
  <si>
    <t>ACMB-191-V02-MSB</t>
  </si>
  <si>
    <t>ACMB-191-V03-MSB</t>
  </si>
  <si>
    <t>ACMB-191-R02-BO</t>
  </si>
  <si>
    <t>ACMB-191-RR02-BO</t>
  </si>
  <si>
    <t>ACMB-191-R02-BOA</t>
  </si>
  <si>
    <t>ACMB-191-RR02-BOA</t>
  </si>
  <si>
    <t>ACMB-191-R02-BOB</t>
  </si>
  <si>
    <t>ACMB-191-RR02-BOB</t>
  </si>
  <si>
    <t>ACMB-191-V04-MS</t>
  </si>
  <si>
    <t>ACMB-191-V05-MS</t>
  </si>
  <si>
    <t>ACMB-191-V04-MSA</t>
  </si>
  <si>
    <t>ACMB-191-V05-MSA</t>
  </si>
  <si>
    <t>ACMB-191-V04-MSB</t>
  </si>
  <si>
    <t>ACMB-191-V05-MSB</t>
  </si>
  <si>
    <t>ACMB-191-R03-BO</t>
  </si>
  <si>
    <t>ACMB-191-RR03-BO</t>
  </si>
  <si>
    <t>ACMB-191-R03-BOA</t>
  </si>
  <si>
    <t>ACMB-191-RR03-BOA</t>
  </si>
  <si>
    <t>ACMB-191-R03-BOB</t>
  </si>
  <si>
    <t>ACMB-191-RR03-BOB</t>
  </si>
  <si>
    <t>ACMB-191-V06-MS</t>
  </si>
  <si>
    <t>ACMB-191-V07-MS</t>
  </si>
  <si>
    <t>ACMB-191-V06-MSA</t>
  </si>
  <si>
    <t>ACMB-191-V07-MSA</t>
  </si>
  <si>
    <t>ACMB-191-V06-MSB</t>
  </si>
  <si>
    <t>ACMB-191-V07-MSB</t>
  </si>
  <si>
    <t>ACMB-191-R04-BO</t>
  </si>
  <si>
    <t>ACMB-191-RR04-BO</t>
  </si>
  <si>
    <t>ACMB-191-R04-BOA</t>
  </si>
  <si>
    <t>ACMB-191-RR04-BOA</t>
  </si>
  <si>
    <t>ACMB-191-R04-BOB</t>
  </si>
  <si>
    <t>ACMB-191-RR04-BOB</t>
  </si>
  <si>
    <t>ACMB-191-V08-MS</t>
  </si>
  <si>
    <t>ACMB-191-V09-MS</t>
  </si>
  <si>
    <t>ACMB-191-V08-MSA</t>
  </si>
  <si>
    <t>ACMB-191-V09-MSA</t>
  </si>
  <si>
    <t>ACMB-191-V08-MSB</t>
  </si>
  <si>
    <t>ACMB-191-V09-MSB</t>
  </si>
  <si>
    <t>ACMB-191-R05-BO</t>
  </si>
  <si>
    <t>ACMB-191-RR05-BO</t>
  </si>
  <si>
    <t>ACMB-191-R05-BOA</t>
  </si>
  <si>
    <t>ACMB-191-RR05-BOA</t>
  </si>
  <si>
    <t>ACMB-191-R05-BOB</t>
  </si>
  <si>
    <t>ACMB-191-RR05-BOB</t>
  </si>
  <si>
    <t>ACMB-191-V10-MS</t>
  </si>
  <si>
    <t>ACMB-191-V11-MS</t>
  </si>
  <si>
    <t>ACMB-191-V10-MSA</t>
  </si>
  <si>
    <t>ACMB-191-V11-MSA</t>
  </si>
  <si>
    <t>ACMB-191-V10-MSB</t>
  </si>
  <si>
    <t>ACMB-191-V11-MSB</t>
  </si>
  <si>
    <t>ACMB-191-R06-BO</t>
  </si>
  <si>
    <t>ACMB-191-RR06-BO</t>
  </si>
  <si>
    <t>ACMB-191-R06-BOA</t>
  </si>
  <si>
    <t>ACMB-191-RR06-BOA</t>
  </si>
  <si>
    <t>ACMB-191-R06-BOB</t>
  </si>
  <si>
    <t>ACMB-191-RR06-BOB</t>
  </si>
  <si>
    <t>ACMB-191-V12-MS</t>
  </si>
  <si>
    <t>ACMB-191-V13-MS</t>
  </si>
  <si>
    <t>ACMB-191-V12-MSA</t>
  </si>
  <si>
    <t>ACMB-191-V13-MSA</t>
  </si>
  <si>
    <t>ACMB-191-V12-MSB</t>
  </si>
  <si>
    <t>ACMB-191-V13-MSB</t>
  </si>
  <si>
    <t>ACMB-191-R07-BO</t>
  </si>
  <si>
    <t>ACMB-191-RR07-BO</t>
  </si>
  <si>
    <t>ACMB-191-R07-BOA</t>
  </si>
  <si>
    <t>ACMB-191-RR07-BOA</t>
  </si>
  <si>
    <t>ACMB-191-R07-BOB</t>
  </si>
  <si>
    <t>ACMB-191-RR07-BOB</t>
  </si>
  <si>
    <t>ACMB-191-V14-MS</t>
  </si>
  <si>
    <t>ACMB-191-V15-MS</t>
  </si>
  <si>
    <t>ACMB-191-V14-MSA</t>
  </si>
  <si>
    <t>ACMB-191-V15-MSA</t>
  </si>
  <si>
    <t>ACMB-191-V14-MSB</t>
  </si>
  <si>
    <t>ACMB-191-V15-MSB</t>
  </si>
  <si>
    <t>ACMB-192-R01-BO</t>
  </si>
  <si>
    <t>ACMB-192-RR01-BO</t>
  </si>
  <si>
    <t>ACMB-192-R01-BOA</t>
  </si>
  <si>
    <t>ACMB-192-RR01-BOA</t>
  </si>
  <si>
    <t>ACMB-192-R01-BOB</t>
  </si>
  <si>
    <t>ACMB-192-RR01-BOB</t>
  </si>
  <si>
    <t>ACMB-192-V02-MS</t>
  </si>
  <si>
    <t>ACMB-192-V03-MS</t>
  </si>
  <si>
    <t>ACMB-192-V02-MSA</t>
  </si>
  <si>
    <t>ACMB-192-V03-MSA</t>
  </si>
  <si>
    <t>ACMB-192-V02-MSB</t>
  </si>
  <si>
    <t>ACMB-192-V03-MSB</t>
  </si>
  <si>
    <t>ACMB-192-R02-BO</t>
  </si>
  <si>
    <t>ACMB-192-RR02-BO</t>
  </si>
  <si>
    <t>ACMB-192-R02-BOA</t>
  </si>
  <si>
    <t>ACMB-192-RR02-BOA</t>
  </si>
  <si>
    <t>ACMB-192-R02-BOB</t>
  </si>
  <si>
    <t>ACMB-192-RR02-BOB</t>
  </si>
  <si>
    <t>ACMB-192-V04-MS</t>
  </si>
  <si>
    <t>ACMB-192-V05-MS</t>
  </si>
  <si>
    <t>ACMB-192-V04-MSA</t>
  </si>
  <si>
    <t>ACMB-192-V05-MSA</t>
  </si>
  <si>
    <t>ACMB-192-V04-MSB</t>
  </si>
  <si>
    <t>ACMB-192-V05-MSB</t>
  </si>
  <si>
    <t>ACMB-192-R03-BO</t>
  </si>
  <si>
    <t>ACMB-192-RR03-BO</t>
  </si>
  <si>
    <t>ACMB-192-R03-BOA</t>
  </si>
  <si>
    <t>ACMB-192-RR03-BOA</t>
  </si>
  <si>
    <t>ACMB-192-R03-BOB</t>
  </si>
  <si>
    <t>ACMB-192-RR03-BOB</t>
  </si>
  <si>
    <t>ACMB-192-V06-MS</t>
  </si>
  <si>
    <t>ACMB-192-V07-MS</t>
  </si>
  <si>
    <t>ACMB-192-V06-MSA</t>
  </si>
  <si>
    <t>ACMB-192-V07-MSA</t>
  </si>
  <si>
    <t>ACMB-192-V06-MSB</t>
  </si>
  <si>
    <t>ACMB-192-V07-MSB</t>
  </si>
  <si>
    <t>ACMB-192-R04-BO</t>
  </si>
  <si>
    <t>ACMB-192-RR04-BO</t>
  </si>
  <si>
    <t>ACMB-192-R04-BOA</t>
  </si>
  <si>
    <t>ACMB-192-RR04-BOA</t>
  </si>
  <si>
    <t>ACMB-192-R04-BOB</t>
  </si>
  <si>
    <t>ACMB-192-RR04-BOB</t>
  </si>
  <si>
    <t>ACMB-192-V08-MS</t>
  </si>
  <si>
    <t>ACMB-192-V09-MS</t>
  </si>
  <si>
    <t>ACMB-192-V08-MSA</t>
  </si>
  <si>
    <t>ACMB-192-V09-MSA</t>
  </si>
  <si>
    <t>ACMB-192-V08-MSB</t>
  </si>
  <si>
    <t>ACMB-192-V09-MSB</t>
  </si>
  <si>
    <t>ACMB-192-R05-BO</t>
  </si>
  <si>
    <t>ACMB-192-RR05-BO</t>
  </si>
  <si>
    <t>ACMB-192-R05-BOA</t>
  </si>
  <si>
    <t>ACMB-192-RR05-BOA</t>
  </si>
  <si>
    <t>ACMB-192-R05-BOB</t>
  </si>
  <si>
    <t>ACMB-192-RR05-BOB</t>
  </si>
  <si>
    <t>ACMB-192-V10-MS</t>
  </si>
  <si>
    <t>ACMB-192-V11-MS</t>
  </si>
  <si>
    <t>ACMB-192-V10-MSA</t>
  </si>
  <si>
    <t>ACMB-192-V11-MSA</t>
  </si>
  <si>
    <t>ACMB-192-V10-MSB</t>
  </si>
  <si>
    <t>ACMB-192-V11-MSB</t>
  </si>
  <si>
    <t>ACMB-192-R06-BO</t>
  </si>
  <si>
    <t>ACMB-192-RR06-BO</t>
  </si>
  <si>
    <t>ACMB-192-R06-BOA</t>
  </si>
  <si>
    <t>ACMB-192-RR06-BOA</t>
  </si>
  <si>
    <t>ACMB-192-R06-BOB</t>
  </si>
  <si>
    <t>ACMB-192-RR06-BOB</t>
  </si>
  <si>
    <t>ACMB-192-V12-MS</t>
  </si>
  <si>
    <t>ACMB-192-V13-MS</t>
  </si>
  <si>
    <t>ACMB-192-V12-MSA</t>
  </si>
  <si>
    <t>ACMB-192-V13-MSA</t>
  </si>
  <si>
    <t>ACMB-192-V12-MSB</t>
  </si>
  <si>
    <t>ACMB-192-V13-MSB</t>
  </si>
  <si>
    <t>ACMB-192-R07-BO</t>
  </si>
  <si>
    <t>ACMB-192-RR07-BO</t>
  </si>
  <si>
    <t>ACMB-192-R07-BOA</t>
  </si>
  <si>
    <t>ACMB-192-RR07-BOA</t>
  </si>
  <si>
    <t>ACMB-192-R07-BOB</t>
  </si>
  <si>
    <t>ACMB-192-RR07-BOB</t>
  </si>
  <si>
    <t>ACMB-192-V14-MS</t>
  </si>
  <si>
    <t>ACMB-192-V15-MS</t>
  </si>
  <si>
    <t>ACMB-192-V14-MSA</t>
  </si>
  <si>
    <t>ACMB-192-V15-MSA</t>
  </si>
  <si>
    <t>ACMB-192-V14-MSB</t>
  </si>
  <si>
    <t>ACMB-192-V15-MSB</t>
  </si>
  <si>
    <t>ACMB-193-R01-BO</t>
  </si>
  <si>
    <t>ACMB-193-RR01-BO</t>
  </si>
  <si>
    <t>ACMB-193-R01-BOA</t>
  </si>
  <si>
    <t>ACMB-193-RR01-BOA</t>
  </si>
  <si>
    <t>ACMB-193-R01-BOB</t>
  </si>
  <si>
    <t>ACMB-193-RR01-BOB</t>
  </si>
  <si>
    <t>ACMB-193-V02-MS</t>
  </si>
  <si>
    <t>ACMB-193-V03-MS</t>
  </si>
  <si>
    <t>ACMB-193-V02-MSA</t>
  </si>
  <si>
    <t>ACMB-193-V03-MSA</t>
  </si>
  <si>
    <t>ACMB-193-V02-MSB</t>
  </si>
  <si>
    <t>ACMB-193-V03-MSB</t>
  </si>
  <si>
    <t>ACMB-193-R02-BO</t>
  </si>
  <si>
    <t>ACMB-193-RR02-BO</t>
  </si>
  <si>
    <t>ACMB-193-R02-BOA</t>
  </si>
  <si>
    <t>ACMB-193-RR02-BOA</t>
  </si>
  <si>
    <t>ACMB-193-R02-BOB</t>
  </si>
  <si>
    <t>ACMB-193-RR02-BOB</t>
  </si>
  <si>
    <t>ACMB-193-V04-MS</t>
  </si>
  <si>
    <t>ACMB-193-V05-MS</t>
  </si>
  <si>
    <t>ACMB-193-V04-MSA</t>
  </si>
  <si>
    <t>ACMB-193-V05-MSA</t>
  </si>
  <si>
    <t>ACMB-193-V04-MSB</t>
  </si>
  <si>
    <t>ACMB-193-V05-MSB</t>
  </si>
  <si>
    <t>ACMB-193-R03-BO</t>
  </si>
  <si>
    <t>ACMB-193-RR03-BO</t>
  </si>
  <si>
    <t>ACMB-193-R03-BOA</t>
  </si>
  <si>
    <t>ACMB-193-RR03-BOA</t>
  </si>
  <si>
    <t>ACMB-193-R03-BOB</t>
  </si>
  <si>
    <t>ACMB-193-RR03-BOB</t>
  </si>
  <si>
    <t>ACMB-193-V06-MS</t>
  </si>
  <si>
    <t>ACMB-193-V07-MS</t>
  </si>
  <si>
    <t>ACMB-193-V06-MSA</t>
  </si>
  <si>
    <t>ACMB-193-V07-MSA</t>
  </si>
  <si>
    <t>ACMB-193-V06-MSB</t>
  </si>
  <si>
    <t>ACMB-193-V07-MSB</t>
  </si>
  <si>
    <t>ACMB-193-R04-BO</t>
  </si>
  <si>
    <t>ACMB-193-RR04-BO</t>
  </si>
  <si>
    <t>ACMB-193-R04-BOA</t>
  </si>
  <si>
    <t>ACMB-193-RR04-BOA</t>
  </si>
  <si>
    <t>ACMB-193-R04-BOB</t>
  </si>
  <si>
    <t>ACMB-193-RR04-BOB</t>
  </si>
  <si>
    <t>ACMB-193-V08-MS</t>
  </si>
  <si>
    <t>ACMB-193-V09-MS</t>
  </si>
  <si>
    <t>ACMB-193-V08-MSA</t>
  </si>
  <si>
    <t>ACMB-193-V09-MSA</t>
  </si>
  <si>
    <t>ACMB-193-V08-MSB</t>
  </si>
  <si>
    <t>ACMB-193-V09-MSB</t>
  </si>
  <si>
    <t>ACMB-193-R05-BO</t>
  </si>
  <si>
    <t>ACMB-193-RR05-BO</t>
  </si>
  <si>
    <t>ACMB-193-R05-BOA</t>
  </si>
  <si>
    <t>ACMB-193-RR05-BOA</t>
  </si>
  <si>
    <t>ACMB-193-R05-BOB</t>
  </si>
  <si>
    <t>ACMB-193-RR05-BOB</t>
  </si>
  <si>
    <t>ACMB-193-V10-MS</t>
  </si>
  <si>
    <t>ACMB-193-V11-MS</t>
  </si>
  <si>
    <t>ACMB-193-V10-MSA</t>
  </si>
  <si>
    <t>ACMB-193-V11-MSA</t>
  </si>
  <si>
    <t>ACMB-193-V10-MSB</t>
  </si>
  <si>
    <t>ACMB-193-V11-MSB</t>
  </si>
  <si>
    <t>ACMB-193-R06-BO</t>
  </si>
  <si>
    <t>ACMB-193-RR06-BO</t>
  </si>
  <si>
    <t>ACMB-193-R06-BOA</t>
  </si>
  <si>
    <t>ACMB-193-RR06-BOA</t>
  </si>
  <si>
    <t>ACMB-193-R06-BOB</t>
  </si>
  <si>
    <t>ACMB-193-RR06-BOB</t>
  </si>
  <si>
    <t>ACMB-193-V12-MS</t>
  </si>
  <si>
    <t>ACMB-193-V13-MS</t>
  </si>
  <si>
    <t>ACMB-193-V12-MSA</t>
  </si>
  <si>
    <t>ACMB-193-V13-MSA</t>
  </si>
  <si>
    <t>ACMB-193-V12-MSB</t>
  </si>
  <si>
    <t>ACMB-193-V13-MSB</t>
  </si>
  <si>
    <t>ACMB-193-R07-BO</t>
  </si>
  <si>
    <t>ACMB-193-RR07-BO</t>
  </si>
  <si>
    <t>ACMB-193-R07-BOA</t>
  </si>
  <si>
    <t>ACMB-193-RR07-BOA</t>
  </si>
  <si>
    <t>ACMB-193-R07-BOB</t>
  </si>
  <si>
    <t>ACMB-193-RR07-BOB</t>
  </si>
  <si>
    <t>ACMB-193-V14-MS</t>
  </si>
  <si>
    <t>ACMB-193-V15-MS</t>
  </si>
  <si>
    <t>ACMB-193-V14-MSA</t>
  </si>
  <si>
    <t>ACMB-193-V15-MSA</t>
  </si>
  <si>
    <t>ACMB-193-V14-MSB</t>
  </si>
  <si>
    <t>ACMB-193-V15-MSB</t>
  </si>
  <si>
    <t>ACMB-194-R01-BO</t>
  </si>
  <si>
    <t>ACMB-194-RR01-BO</t>
  </si>
  <si>
    <t>ACMB-194-R01-BOA</t>
  </si>
  <si>
    <t>ACMB-194-RR01-BOA</t>
  </si>
  <si>
    <t>ACMB-194-R01-BOB</t>
  </si>
  <si>
    <t>ACMB-194-RR01-BOB</t>
  </si>
  <si>
    <t>ACMB-194-V02-MS</t>
  </si>
  <si>
    <t>ACMB-194-V03-MS</t>
  </si>
  <si>
    <t>ACMB-194-V02-MSA</t>
  </si>
  <si>
    <t>ACMB-194-V03-MSA</t>
  </si>
  <si>
    <t>ACMB-194-V02-MSB</t>
  </si>
  <si>
    <t>ACMB-194-V03-MSB</t>
  </si>
  <si>
    <t>ACMB-194-R02-BO</t>
  </si>
  <si>
    <t>ACMB-194-RR02-BO</t>
  </si>
  <si>
    <t>ACMB-194-R02-BOA</t>
  </si>
  <si>
    <t>ACMB-194-RR02-BOA</t>
  </si>
  <si>
    <t>ACMB-194-R02-BOB</t>
  </si>
  <si>
    <t>ACMB-194-RR02-BOB</t>
  </si>
  <si>
    <t>ACMB-194-V04-MS</t>
  </si>
  <si>
    <t>ACMB-194-V05-MS</t>
  </si>
  <si>
    <t>ACMB-194-V04-MSA</t>
  </si>
  <si>
    <t>ACMB-194-V05-MSA</t>
  </si>
  <si>
    <t>ACMB-194-V04-MSB</t>
  </si>
  <si>
    <t>ACMB-194-V05-MSB</t>
  </si>
  <si>
    <t>ACMB-194-R03-BO</t>
  </si>
  <si>
    <t>ACMB-194-RR03-BO</t>
  </si>
  <si>
    <t>ACMB-194-R03-BOA</t>
  </si>
  <si>
    <t>ACMB-194-RR03-BOA</t>
  </si>
  <si>
    <t>ACMB-194-R03-BOB</t>
  </si>
  <si>
    <t>ACMB-194-RR03-BOB</t>
  </si>
  <si>
    <t>ACMB-194-V06-MS</t>
  </si>
  <si>
    <t>ACMB-194-V07-MS</t>
  </si>
  <si>
    <t>ACMB-194-V06-MSA</t>
  </si>
  <si>
    <t>ACMB-194-V07-MSA</t>
  </si>
  <si>
    <t>ACMB-194-V06-MSB</t>
  </si>
  <si>
    <t>ACMB-194-V07-MSB</t>
  </si>
  <si>
    <t>ACMB-194-R04-BO</t>
  </si>
  <si>
    <t>ACMB-194-RR04-BO</t>
  </si>
  <si>
    <t>ACMB-194-R04-BOA</t>
  </si>
  <si>
    <t>ACMB-194-RR04-BOA</t>
  </si>
  <si>
    <t>ACMB-194-R04-BOB</t>
  </si>
  <si>
    <t>ACMB-194-RR04-BOB</t>
  </si>
  <si>
    <t>ACMB-194-V08-MS</t>
  </si>
  <si>
    <t>ACMB-194-V09-MS</t>
  </si>
  <si>
    <t>ACMB-194-V08-MSA</t>
  </si>
  <si>
    <t>ACMB-194-V09-MSA</t>
  </si>
  <si>
    <t>ACMB-194-V08-MSB</t>
  </si>
  <si>
    <t>ACMB-194-V09-MSB</t>
  </si>
  <si>
    <t>ACMB-194-R05-BO</t>
  </si>
  <si>
    <t>ACMB-194-RR05-BO</t>
  </si>
  <si>
    <t>ACMB-194-R05-BOA</t>
  </si>
  <si>
    <t>ACMB-194-RR05-BOA</t>
  </si>
  <si>
    <t>ACMB-194-R05-BOB</t>
  </si>
  <si>
    <t>ACMB-194-RR05-BOB</t>
  </si>
  <si>
    <t>ACMB-194-V10-MS</t>
  </si>
  <si>
    <t>ACMB-194-V11-MS</t>
  </si>
  <si>
    <t>ACMB-194-V10-MSA</t>
  </si>
  <si>
    <t>ACMB-194-V11-MSA</t>
  </si>
  <si>
    <t>ACMB-194-V10-MSB</t>
  </si>
  <si>
    <t>ACMB-194-V11-MSB</t>
  </si>
  <si>
    <t>ACMB-194-R06-BO</t>
  </si>
  <si>
    <t>ACMB-194-RR06-BO</t>
  </si>
  <si>
    <t>ACMB-194-R06-BOA</t>
  </si>
  <si>
    <t>ACMB-194-RR06-BOA</t>
  </si>
  <si>
    <t>ACMB-194-R06-BOB</t>
  </si>
  <si>
    <t>ACMB-194-RR06-BOB</t>
  </si>
  <si>
    <t>ACMB-194-V12-MS</t>
  </si>
  <si>
    <t>ACMB-194-V13-MS</t>
  </si>
  <si>
    <t>ACMB-194-V12-MSA</t>
  </si>
  <si>
    <t>ACMB-194-V13-MSA</t>
  </si>
  <si>
    <t>ACMB-194-V12-MSB</t>
  </si>
  <si>
    <t>ACMB-194-V13-MSB</t>
  </si>
  <si>
    <t>ACMB-194-R07-BO</t>
  </si>
  <si>
    <t>ACMB-194-RR07-BO</t>
  </si>
  <si>
    <t>ACMB-194-R07-BOA</t>
  </si>
  <si>
    <t>ACMB-194-RR07-BOA</t>
  </si>
  <si>
    <t>ACMB-194-R07-BOB</t>
  </si>
  <si>
    <t>ACMB-194-RR07-BOB</t>
  </si>
  <si>
    <t>ACMB-194-V14-MS</t>
  </si>
  <si>
    <t>ACMB-194-V15-MS</t>
  </si>
  <si>
    <t>ACMB-194-V14-MSA</t>
  </si>
  <si>
    <t>ACMB-194-V15-MSA</t>
  </si>
  <si>
    <t>ACMB-194-V14-MSB</t>
  </si>
  <si>
    <t>ACMB-194-V15-MSB</t>
  </si>
  <si>
    <t>ACMB-195-R01-BO</t>
  </si>
  <si>
    <t>ACMB-195-RR01-BO</t>
  </si>
  <si>
    <t>ACMB-195-R01-BOA</t>
  </si>
  <si>
    <t>ACMB-195-RR01-BOA</t>
  </si>
  <si>
    <t>ACMB-195-R01-BOB</t>
  </si>
  <si>
    <t>ACMB-195-RR01-BOB</t>
  </si>
  <si>
    <t>ACMB-195-V02-MS</t>
  </si>
  <si>
    <t>ACMB-195-V03-MS</t>
  </si>
  <si>
    <t>ACMB-195-V02-MSA</t>
  </si>
  <si>
    <t>ACMB-195-V03-MSA</t>
  </si>
  <si>
    <t>ACMB-195-V02-MSB</t>
  </si>
  <si>
    <t>ACMB-195-V03-MSB</t>
  </si>
  <si>
    <t>ACMB-195-R02-BO</t>
  </si>
  <si>
    <t>ACMB-195-RR02-BO</t>
  </si>
  <si>
    <t>ACMB-195-R02-BOA</t>
  </si>
  <si>
    <t>ACMB-195-RR02-BOA</t>
  </si>
  <si>
    <t>ACMB-195-R02-BOB</t>
  </si>
  <si>
    <t>ACMB-195-RR02-BOB</t>
  </si>
  <si>
    <t>ACMB-195-V04-MS</t>
  </si>
  <si>
    <t>ACMB-195-V05-MS</t>
  </si>
  <si>
    <t>ACMB-195-V04-MSA</t>
  </si>
  <si>
    <t>ACMB-195-V05-MSA</t>
  </si>
  <si>
    <t>ACMB-195-V04-MSB</t>
  </si>
  <si>
    <t>ACMB-195-V05-MSB</t>
  </si>
  <si>
    <t>ACMB-195-R03-BO</t>
  </si>
  <si>
    <t>ACMB-195-RR03-BO</t>
  </si>
  <si>
    <t>ACMB-195-R03-BOA</t>
  </si>
  <si>
    <t>ACMB-195-RR03-BOA</t>
  </si>
  <si>
    <t>ACMB-195-R03-BOB</t>
  </si>
  <si>
    <t>ACMB-195-RR03-BOB</t>
  </si>
  <si>
    <t>ACMB-195-V06-MS</t>
  </si>
  <si>
    <t>ACMB-195-V07-MS</t>
  </si>
  <si>
    <t>ACMB-195-V06-MSA</t>
  </si>
  <si>
    <t>ACMB-195-V07-MSA</t>
  </si>
  <si>
    <t>ACMB-195-V06-MSB</t>
  </si>
  <si>
    <t>ACMB-195-V07-MSB</t>
  </si>
  <si>
    <t>ACMB-195-R04-BO</t>
  </si>
  <si>
    <t>ACMB-195-RR04-BO</t>
  </si>
  <si>
    <t>ACMB-195-R04-BOA</t>
  </si>
  <si>
    <t>ACMB-195-RR04-BOA</t>
  </si>
  <si>
    <t>ACMB-195-R04-BOB</t>
  </si>
  <si>
    <t>ACMB-195-RR04-BOB</t>
  </si>
  <si>
    <t>ACMB-195-V08-MS</t>
  </si>
  <si>
    <t>ACMB-195-V09-MS</t>
  </si>
  <si>
    <t>ACMB-195-V08-MSA</t>
  </si>
  <si>
    <t>ACMB-195-V09-MSA</t>
  </si>
  <si>
    <t>ACMB-195-V08-MSB</t>
  </si>
  <si>
    <t>ACMB-195-V09-MSB</t>
  </si>
  <si>
    <t>ACMB-195-R05-BO</t>
  </si>
  <si>
    <t>ACMB-195-RR05-BO</t>
  </si>
  <si>
    <t>ACMB-195-R05-BOA</t>
  </si>
  <si>
    <t>ACMB-195-RR05-BOA</t>
  </si>
  <si>
    <t>ACMB-195-R05-BOB</t>
  </si>
  <si>
    <t>ACMB-195-RR05-BOB</t>
  </si>
  <si>
    <t>ACMB-195-V10-MS</t>
  </si>
  <si>
    <t>ACMB-195-V11-MS</t>
  </si>
  <si>
    <t>ACMB-195-V10-MSA</t>
  </si>
  <si>
    <t>ACMB-195-V11-MSA</t>
  </si>
  <si>
    <t>ACMB-195-V10-MSB</t>
  </si>
  <si>
    <t>ACMB-195-V11-MSB</t>
  </si>
  <si>
    <t>ACMB-195-R06-BO</t>
  </si>
  <si>
    <t>ACMB-195-RR06-BO</t>
  </si>
  <si>
    <t>ACMB-195-R06-BOA</t>
  </si>
  <si>
    <t>ACMB-195-RR06-BOA</t>
  </si>
  <si>
    <t>ACMB-195-R06-BOB</t>
  </si>
  <si>
    <t>ACMB-195-RR06-BOB</t>
  </si>
  <si>
    <t>ACMB-195-V12-MS</t>
  </si>
  <si>
    <t>ACMB-195-V13-MS</t>
  </si>
  <si>
    <t>ACMB-195-V12-MSA</t>
  </si>
  <si>
    <t>ACMB-195-V13-MSA</t>
  </si>
  <si>
    <t>ACMB-195-V12-MSB</t>
  </si>
  <si>
    <t>ACMB-195-V13-MSB</t>
  </si>
  <si>
    <t>ACMB-195-R07-BO</t>
  </si>
  <si>
    <t>ACMB-195-RR07-BO</t>
  </si>
  <si>
    <t>ACMB-195-R07-BOA</t>
  </si>
  <si>
    <t>ACMB-195-RR07-BOA</t>
  </si>
  <si>
    <t>ACMB-195-R07-BOB</t>
  </si>
  <si>
    <t>ACMB-195-RR07-BOB</t>
  </si>
  <si>
    <t>ACMB-195-V14-MS</t>
  </si>
  <si>
    <t>ACMB-195-V15-MS</t>
  </si>
  <si>
    <t>ACMB-195-V14-MSA</t>
  </si>
  <si>
    <t>ACMB-195-V15-MSA</t>
  </si>
  <si>
    <t>ACMB-195-V14-MSB</t>
  </si>
  <si>
    <t>ACMB-195-V15-MSB</t>
  </si>
  <si>
    <t>ACMB-196-R01-BO</t>
  </si>
  <si>
    <t>ACMB-196-RR01-BO</t>
  </si>
  <si>
    <t>ACMB-196-R01-BOA</t>
  </si>
  <si>
    <t>ACMB-196-RR01-BOA</t>
  </si>
  <si>
    <t>ACMB-196-R01-BOB</t>
  </si>
  <si>
    <t>ACMB-196-RR01-BOB</t>
  </si>
  <si>
    <t>ACMB-196-V02-MS</t>
  </si>
  <si>
    <t>ACMB-196-V03-MS</t>
  </si>
  <si>
    <t>ACMB-196-V02-MSA</t>
  </si>
  <si>
    <t>ACMB-196-V03-MSA</t>
  </si>
  <si>
    <t>ACMB-196-V02-MSB</t>
  </si>
  <si>
    <t>ACMB-196-V03-MSB</t>
  </si>
  <si>
    <t>ACMB-196-R02-BO</t>
  </si>
  <si>
    <t>ACMB-196-RR02-BO</t>
  </si>
  <si>
    <t>ACMB-196-R02-BOA</t>
  </si>
  <si>
    <t>ACMB-196-RR02-BOA</t>
  </si>
  <si>
    <t>ACMB-196-R02-BOB</t>
  </si>
  <si>
    <t>ACMB-196-RR02-BOB</t>
  </si>
  <si>
    <t>ACMB-196-V04-MS</t>
  </si>
  <si>
    <t>ACMB-196-V05-MS</t>
  </si>
  <si>
    <t>ACMB-196-V04-MSA</t>
  </si>
  <si>
    <t>ACMB-196-V05-MSA</t>
  </si>
  <si>
    <t>ACMB-196-V04-MSB</t>
  </si>
  <si>
    <t>ACMB-196-V05-MSB</t>
  </si>
  <si>
    <t>ACMB-196-R03-BO</t>
  </si>
  <si>
    <t>ACMB-196-RR03-BO</t>
  </si>
  <si>
    <t>ACMB-196-R03-BOA</t>
  </si>
  <si>
    <t>ACMB-196-RR03-BOA</t>
  </si>
  <si>
    <t>ACMB-196-R03-BOB</t>
  </si>
  <si>
    <t>ACMB-196-RR03-BOB</t>
  </si>
  <si>
    <t>ACMB-196-V06-MS</t>
  </si>
  <si>
    <t>ACMB-196-V07-MS</t>
  </si>
  <si>
    <t>ACMB-196-V06-MSA</t>
  </si>
  <si>
    <t>ACMB-196-V07-MSA</t>
  </si>
  <si>
    <t>ACMB-196-V06-MSB</t>
  </si>
  <si>
    <t>ACMB-196-V07-MSB</t>
  </si>
  <si>
    <t>ACMB-196-R04-BO</t>
  </si>
  <si>
    <t>ACMB-196-RR04-BO</t>
  </si>
  <si>
    <t>ACMB-196-R04-BOA</t>
  </si>
  <si>
    <t>ACMB-196-RR04-BOA</t>
  </si>
  <si>
    <t>ACMB-196-R04-BOB</t>
  </si>
  <si>
    <t>ACMB-196-RR04-BOB</t>
  </si>
  <si>
    <t>ACMB-196-V08-MS</t>
  </si>
  <si>
    <t>ACMB-196-V09-MS</t>
  </si>
  <si>
    <t>ACMB-196-V08-MSA</t>
  </si>
  <si>
    <t>ACMB-196-V09-MSA</t>
  </si>
  <si>
    <t>ACMB-196-V08-MSB</t>
  </si>
  <si>
    <t>ACMB-196-V09-MSB</t>
  </si>
  <si>
    <t>ACMB-196-R05-BO</t>
  </si>
  <si>
    <t>ACMB-196-RR05-BO</t>
  </si>
  <si>
    <t>ACMB-196-R05-BOA</t>
  </si>
  <si>
    <t>ACMB-196-RR05-BOA</t>
  </si>
  <si>
    <t>ACMB-196-R05-BOB</t>
  </si>
  <si>
    <t>ACMB-196-RR05-BOB</t>
  </si>
  <si>
    <t>ACMB-196-V10-MS</t>
  </si>
  <si>
    <t>ACMB-196-V11-MS</t>
  </si>
  <si>
    <t>ACMB-196-V10-MSA</t>
  </si>
  <si>
    <t>ACMB-196-V11-MSA</t>
  </si>
  <si>
    <t>ACMB-196-V10-MSB</t>
  </si>
  <si>
    <t>ACMB-196-V11-MSB</t>
  </si>
  <si>
    <t>ACMB-196-R06-BO</t>
  </si>
  <si>
    <t>ACMB-196-RR06-BO</t>
  </si>
  <si>
    <t>ACMB-196-R06-BOA</t>
  </si>
  <si>
    <t>ACMB-196-RR06-BOA</t>
  </si>
  <si>
    <t>ACMB-196-R06-BOB</t>
  </si>
  <si>
    <t>ACMB-196-RR06-BOB</t>
  </si>
  <si>
    <t>ACMB-196-V12-MS</t>
  </si>
  <si>
    <t>ACMB-196-V13-MS</t>
  </si>
  <si>
    <t>ACMB-196-V12-MSA</t>
  </si>
  <si>
    <t>ACMB-196-V13-MSA</t>
  </si>
  <si>
    <t>ACMB-196-V12-MSB</t>
  </si>
  <si>
    <t>ACMB-196-V13-MSB</t>
  </si>
  <si>
    <t>ACMB-196-R07-BO</t>
  </si>
  <si>
    <t>ACMB-196-RR07-BO</t>
  </si>
  <si>
    <t>ACMB-196-R07-BOA</t>
  </si>
  <si>
    <t>ACMB-196-RR07-BOA</t>
  </si>
  <si>
    <t>ACMB-196-R07-BOB</t>
  </si>
  <si>
    <t>ACMB-196-RR07-BOB</t>
  </si>
  <si>
    <t>ACMB-196-V14-MS</t>
  </si>
  <si>
    <t>ACMB-196-V15-MS</t>
  </si>
  <si>
    <t>ACMB-196-V14-MSA</t>
  </si>
  <si>
    <t>ACMB-196-V15-MSA</t>
  </si>
  <si>
    <t>ACMB-196-V14-MSB</t>
  </si>
  <si>
    <t>ACMB-196-V15-MSB</t>
  </si>
  <si>
    <t>ACMB-197-R01-BO</t>
  </si>
  <si>
    <t>ACMB-197-RR01-BO</t>
  </si>
  <si>
    <t>ACMB-197-R01-BOA</t>
  </si>
  <si>
    <t>ACMB-197-RR01-BOA</t>
  </si>
  <si>
    <t>ACMB-197-R01-BOB</t>
  </si>
  <si>
    <t>ACMB-197-RR01-BOB</t>
  </si>
  <si>
    <t>ACMB-197-V02-MS</t>
  </si>
  <si>
    <t>ACMB-197-V03-MS</t>
  </si>
  <si>
    <t>ACMB-197-V02-MSA</t>
  </si>
  <si>
    <t>ACMB-197-V03-MSA</t>
  </si>
  <si>
    <t>ACMB-197-V02-MSB</t>
  </si>
  <si>
    <t>ACMB-197-V03-MSB</t>
  </si>
  <si>
    <t>ACMB-197-R02-BO</t>
  </si>
  <si>
    <t>ACMB-197-RR02-BO</t>
  </si>
  <si>
    <t>ACMB-197-R02-BOA</t>
  </si>
  <si>
    <t>ACMB-197-RR02-BOA</t>
  </si>
  <si>
    <t>ACMB-197-R02-BOB</t>
  </si>
  <si>
    <t>ACMB-197-RR02-BOB</t>
  </si>
  <si>
    <t>ACMB-197-V04-MS</t>
  </si>
  <si>
    <t>ACMB-197-V05-MS</t>
  </si>
  <si>
    <t>ACMB-197-V04-MSA</t>
  </si>
  <si>
    <t>ACMB-197-V05-MSA</t>
  </si>
  <si>
    <t>ACMB-197-V04-MSB</t>
  </si>
  <si>
    <t>ACMB-197-V05-MSB</t>
  </si>
  <si>
    <t>ACMB-197-R03-BO</t>
  </si>
  <si>
    <t>ACMB-197-RR03-BO</t>
  </si>
  <si>
    <t>ACMB-197-R03-BOA</t>
  </si>
  <si>
    <t>ACMB-197-RR03-BOA</t>
  </si>
  <si>
    <t>ACMB-197-R03-BOB</t>
  </si>
  <si>
    <t>ACMB-197-RR03-BOB</t>
  </si>
  <si>
    <t>ACMB-197-V06-MS</t>
  </si>
  <si>
    <t>ACMB-197-V07-MS</t>
  </si>
  <si>
    <t>ACMB-197-V06-MSA</t>
  </si>
  <si>
    <t>ACMB-197-V07-MSA</t>
  </si>
  <si>
    <t>ACMB-197-V06-MSB</t>
  </si>
  <si>
    <t>ACMB-197-V07-MSB</t>
  </si>
  <si>
    <t>ACMB-197-R04-BO</t>
  </si>
  <si>
    <t>ACMB-197-RR04-BO</t>
  </si>
  <si>
    <t>ACMB-197-R04-BOA</t>
  </si>
  <si>
    <t>ACMB-197-RR04-BOA</t>
  </si>
  <si>
    <t>ACMB-197-R04-BOB</t>
  </si>
  <si>
    <t>ACMB-197-RR04-BOB</t>
  </si>
  <si>
    <t>ACMB-197-V08-MS</t>
  </si>
  <si>
    <t>ACMB-197-V09-MS</t>
  </si>
  <si>
    <t>ACMB-197-V08-MSA</t>
  </si>
  <si>
    <t>ACMB-197-V09-MSA</t>
  </si>
  <si>
    <t>ACMB-197-V08-MSB</t>
  </si>
  <si>
    <t>ACMB-197-V09-MSB</t>
  </si>
  <si>
    <t>ACMB-197-R05-BO</t>
  </si>
  <si>
    <t>ACMB-197-RR05-BO</t>
  </si>
  <si>
    <t>ACMB-197-R05-BOA</t>
  </si>
  <si>
    <t>ACMB-197-RR05-BOA</t>
  </si>
  <si>
    <t>ACMB-197-R05-BOB</t>
  </si>
  <si>
    <t>ACMB-197-RR05-BOB</t>
  </si>
  <si>
    <t>ACMB-197-V10-MS</t>
  </si>
  <si>
    <t>ACMB-197-V11-MS</t>
  </si>
  <si>
    <t>ACMB-197-V10-MSA</t>
  </si>
  <si>
    <t>ACMB-197-V11-MSA</t>
  </si>
  <si>
    <t>ACMB-197-V10-MSB</t>
  </si>
  <si>
    <t>ACMB-197-V11-MSB</t>
  </si>
  <si>
    <t>ACMB-197-R06-BO</t>
  </si>
  <si>
    <t>ACMB-197-RR06-BO</t>
  </si>
  <si>
    <t>ACMB-197-R06-BOA</t>
  </si>
  <si>
    <t>ACMB-197-RR06-BOA</t>
  </si>
  <si>
    <t>ACMB-197-R06-BOB</t>
  </si>
  <si>
    <t>ACMB-197-RR06-BOB</t>
  </si>
  <si>
    <t>ACMB-197-V12-MS</t>
  </si>
  <si>
    <t>ACMB-197-V13-MS</t>
  </si>
  <si>
    <t>ACMB-197-V12-MSA</t>
  </si>
  <si>
    <t>ACMB-197-V13-MSA</t>
  </si>
  <si>
    <t>ACMB-197-V12-MSB</t>
  </si>
  <si>
    <t>ACMB-197-V13-MSB</t>
  </si>
  <si>
    <t>ACMB-197-R07-BO</t>
  </si>
  <si>
    <t>ACMB-197-RR07-BO</t>
  </si>
  <si>
    <t>ACMB-197-R07-BOA</t>
  </si>
  <si>
    <t>ACMB-197-RR07-BOA</t>
  </si>
  <si>
    <t>ACMB-197-R07-BOB</t>
  </si>
  <si>
    <t>ACMB-197-RR07-BOB</t>
  </si>
  <si>
    <t>ACMB-197-V14-MS</t>
  </si>
  <si>
    <t>ACMB-197-V15-MS</t>
  </si>
  <si>
    <t>ACMB-197-V14-MSA</t>
  </si>
  <si>
    <t>ACMB-197-V15-MSA</t>
  </si>
  <si>
    <t>ACMB-197-V14-MSB</t>
  </si>
  <si>
    <t>ACMB-197-V15-MSB</t>
  </si>
  <si>
    <t>ACMB-198-R01-BO</t>
  </si>
  <si>
    <t>ACMB-198-RR01-BO</t>
  </si>
  <si>
    <t>ACMB-198-R01-BOA</t>
  </si>
  <si>
    <t>ACMB-198-RR01-BOA</t>
  </si>
  <si>
    <t>ACMB-198-R01-BOB</t>
  </si>
  <si>
    <t>ACMB-198-RR01-BOB</t>
  </si>
  <si>
    <t>ACMB-198-V02-MS</t>
  </si>
  <si>
    <t>ACMB-198-V03-MS</t>
  </si>
  <si>
    <t>ACMB-198-V02-MSA</t>
  </si>
  <si>
    <t>ACMB-198-V03-MSA</t>
  </si>
  <si>
    <t>ACMB-198-V02-MSB</t>
  </si>
  <si>
    <t>ACMB-198-V03-MSB</t>
  </si>
  <si>
    <t>ACMB-198-R02-BO</t>
  </si>
  <si>
    <t>ACMB-198-RR02-BO</t>
  </si>
  <si>
    <t>ACMB-198-R02-BOA</t>
  </si>
  <si>
    <t>ACMB-198-RR02-BOA</t>
  </si>
  <si>
    <t>ACMB-198-R02-BOB</t>
  </si>
  <si>
    <t>ACMB-198-RR02-BOB</t>
  </si>
  <si>
    <t>ACMB-198-V04-MS</t>
  </si>
  <si>
    <t>ACMB-198-V05-MS</t>
  </si>
  <si>
    <t>ACMB-198-V04-MSA</t>
  </si>
  <si>
    <t>ACMB-198-V05-MSA</t>
  </si>
  <si>
    <t>ACMB-198-V04-MSB</t>
  </si>
  <si>
    <t>ACMB-198-V05-MSB</t>
  </si>
  <si>
    <t>ACMB-198-R03-BO</t>
  </si>
  <si>
    <t>ACMB-198-RR03-BO</t>
  </si>
  <si>
    <t>ACMB-198-R03-BOA</t>
  </si>
  <si>
    <t>ACMB-198-RR03-BOA</t>
  </si>
  <si>
    <t>ACMB-198-R03-BOB</t>
  </si>
  <si>
    <t>ACMB-198-RR03-BOB</t>
  </si>
  <si>
    <t>ACMB-198-V06-MS</t>
  </si>
  <si>
    <t>ACMB-198-V07-MS</t>
  </si>
  <si>
    <t>ACMB-198-V06-MSA</t>
  </si>
  <si>
    <t>ACMB-198-V07-MSA</t>
  </si>
  <si>
    <t>ACMB-198-V06-MSB</t>
  </si>
  <si>
    <t>ACMB-198-V07-MSB</t>
  </si>
  <si>
    <t>ACMB-198-R04-BO</t>
  </si>
  <si>
    <t>ACMB-198-RR04-BO</t>
  </si>
  <si>
    <t>ACMB-198-R04-BOA</t>
  </si>
  <si>
    <t>ACMB-198-RR04-BOA</t>
  </si>
  <si>
    <t>ACMB-198-R04-BOB</t>
  </si>
  <si>
    <t>ACMB-198-RR04-BOB</t>
  </si>
  <si>
    <t>ACMB-198-V08-MS</t>
  </si>
  <si>
    <t>ACMB-198-V09-MS</t>
  </si>
  <si>
    <t>ACMB-198-V08-MSA</t>
  </si>
  <si>
    <t>ACMB-198-V09-MSA</t>
  </si>
  <si>
    <t>ACMB-198-V08-MSB</t>
  </si>
  <si>
    <t>ACMB-198-V09-MSB</t>
  </si>
  <si>
    <t>ACMB-198-R05-BO</t>
  </si>
  <si>
    <t>ACMB-198-RR05-BO</t>
  </si>
  <si>
    <t>ACMB-198-R05-BOA</t>
  </si>
  <si>
    <t>ACMB-198-RR05-BOA</t>
  </si>
  <si>
    <t>ACMB-198-R05-BOB</t>
  </si>
  <si>
    <t>ACMB-198-RR05-BOB</t>
  </si>
  <si>
    <t>ACMB-198-V10-MS</t>
  </si>
  <si>
    <t>ACMB-198-V11-MS</t>
  </si>
  <si>
    <t>ACMB-198-V10-MSA</t>
  </si>
  <si>
    <t>ACMB-198-V11-MSA</t>
  </si>
  <si>
    <t>ACMB-198-V10-MSB</t>
  </si>
  <si>
    <t>ACMB-198-V11-MSB</t>
  </si>
  <si>
    <t>ACMB-198-R06-BO</t>
  </si>
  <si>
    <t>ACMB-198-RR06-BO</t>
  </si>
  <si>
    <t>ACMB-198-R06-BOA</t>
  </si>
  <si>
    <t>ACMB-198-RR06-BOA</t>
  </si>
  <si>
    <t>ACMB-198-R06-BOB</t>
  </si>
  <si>
    <t>ACMB-198-RR06-BOB</t>
  </si>
  <si>
    <t>ACMB-198-V12-MS</t>
  </si>
  <si>
    <t>ACMB-198-V13-MS</t>
  </si>
  <si>
    <t>ACMB-198-V12-MSA</t>
  </si>
  <si>
    <t>ACMB-198-V13-MSA</t>
  </si>
  <si>
    <t>ACMB-198-V12-MSB</t>
  </si>
  <si>
    <t>ACMB-198-V13-MSB</t>
  </si>
  <si>
    <t>ACMB-198-R07-BO</t>
  </si>
  <si>
    <t>ACMB-198-RR07-BO</t>
  </si>
  <si>
    <t>ACMB-198-R07-BOA</t>
  </si>
  <si>
    <t>ACMB-198-RR07-BOA</t>
  </si>
  <si>
    <t>ACMB-198-R07-BOB</t>
  </si>
  <si>
    <t>ACMB-198-RR07-BOB</t>
  </si>
  <si>
    <t>ACMB-198-V14-MS</t>
  </si>
  <si>
    <t>ACMB-198-V15-MS</t>
  </si>
  <si>
    <t>ACMB-198-V14-MSA</t>
  </si>
  <si>
    <t>ACMB-198-V15-MSA</t>
  </si>
  <si>
    <t>ACMB-198-V14-MSB</t>
  </si>
  <si>
    <t>ACMB-198-V15-MSB</t>
  </si>
  <si>
    <t>ACMB-199-R01-BO</t>
  </si>
  <si>
    <t>ACMB-199-RR01-BO</t>
  </si>
  <si>
    <t>ACMB-199-R01-BOA</t>
  </si>
  <si>
    <t>ACMB-199-RR01-BOA</t>
  </si>
  <si>
    <t>ACMB-199-R01-BOB</t>
  </si>
  <si>
    <t>ACMB-199-RR01-BOB</t>
  </si>
  <si>
    <t>ACMB-199-V02-MS</t>
  </si>
  <si>
    <t>ACMB-199-V03-MS</t>
  </si>
  <si>
    <t>ACMB-199-V02-MSA</t>
  </si>
  <si>
    <t>ACMB-199-V03-MSA</t>
  </si>
  <si>
    <t>ACMB-199-V02-MSB</t>
  </si>
  <si>
    <t>ACMB-199-V03-MSB</t>
  </si>
  <si>
    <t>ACMB-199-R02-BO</t>
  </si>
  <si>
    <t>ACMB-199-RR02-BO</t>
  </si>
  <si>
    <t>ACMB-199-R02-BOA</t>
  </si>
  <si>
    <t>ACMB-199-RR02-BOA</t>
  </si>
  <si>
    <t>ACMB-199-R02-BOB</t>
  </si>
  <si>
    <t>ACMB-199-RR02-BOB</t>
  </si>
  <si>
    <t>ACMB-199-V04-MS</t>
  </si>
  <si>
    <t>ACMB-199-V05-MS</t>
  </si>
  <si>
    <t>ACMB-199-V04-MSA</t>
  </si>
  <si>
    <t>ACMB-199-V05-MSA</t>
  </si>
  <si>
    <t>ACMB-199-V04-MSB</t>
  </si>
  <si>
    <t>ACMB-199-V05-MSB</t>
  </si>
  <si>
    <t>ACMB-199-R03-BO</t>
  </si>
  <si>
    <t>ACMB-199-RR03-BO</t>
  </si>
  <si>
    <t>ACMB-199-R03-BOA</t>
  </si>
  <si>
    <t>ACMB-199-RR03-BOA</t>
  </si>
  <si>
    <t>ACMB-199-R03-BOB</t>
  </si>
  <si>
    <t>ACMB-199-RR03-BOB</t>
  </si>
  <si>
    <t>ACMB-199-V06-MS</t>
  </si>
  <si>
    <t>ACMB-199-V07-MS</t>
  </si>
  <si>
    <t>ACMB-199-V06-MSA</t>
  </si>
  <si>
    <t>ACMB-199-V07-MSA</t>
  </si>
  <si>
    <t>ACMB-199-V06-MSB</t>
  </si>
  <si>
    <t>ACMB-199-V07-MSB</t>
  </si>
  <si>
    <t>ACMB-199-R04-BO</t>
  </si>
  <si>
    <t>ACMB-199-RR04-BO</t>
  </si>
  <si>
    <t>ACMB-199-R04-BOA</t>
  </si>
  <si>
    <t>ACMB-199-RR04-BOA</t>
  </si>
  <si>
    <t>ACMB-199-R04-BOB</t>
  </si>
  <si>
    <t>ACMB-199-RR04-BOB</t>
  </si>
  <si>
    <t>ACMB-199-V08-MS</t>
  </si>
  <si>
    <t>ACMB-199-V09-MS</t>
  </si>
  <si>
    <t>ACMB-199-V08-MSA</t>
  </si>
  <si>
    <t>ACMB-199-V09-MSA</t>
  </si>
  <si>
    <t>ACMB-199-V08-MSB</t>
  </si>
  <si>
    <t>ACMB-199-V09-MSB</t>
  </si>
  <si>
    <t>ACMB-199-R05-BO</t>
  </si>
  <si>
    <t>ACMB-199-RR05-BO</t>
  </si>
  <si>
    <t>ACMB-199-R05-BOA</t>
  </si>
  <si>
    <t>ACMB-199-RR05-BOA</t>
  </si>
  <si>
    <t>ACMB-199-R05-BOB</t>
  </si>
  <si>
    <t>ACMB-199-RR05-BOB</t>
  </si>
  <si>
    <t>ACMB-199-V10-MS</t>
  </si>
  <si>
    <t>ACMB-199-V11-MS</t>
  </si>
  <si>
    <t>ACMB-199-V10-MSA</t>
  </si>
  <si>
    <t>ACMB-199-V11-MSA</t>
  </si>
  <si>
    <t>ACMB-199-V10-MSB</t>
  </si>
  <si>
    <t>ACMB-199-V11-MSB</t>
  </si>
  <si>
    <t>ACMB-199-R06-BO</t>
  </si>
  <si>
    <t>ACMB-199-RR06-BO</t>
  </si>
  <si>
    <t>ACMB-199-R06-BOA</t>
  </si>
  <si>
    <t>ACMB-199-RR06-BOA</t>
  </si>
  <si>
    <t>ACMB-199-R06-BOB</t>
  </si>
  <si>
    <t>ACMB-199-RR06-BOB</t>
  </si>
  <si>
    <t>ACMB-199-V12-MS</t>
  </si>
  <si>
    <t>ACMB-199-V13-MS</t>
  </si>
  <si>
    <t>ACMB-199-V12-MSA</t>
  </si>
  <si>
    <t>ACMB-199-V13-MSA</t>
  </si>
  <si>
    <t>ACMB-199-V12-MSB</t>
  </si>
  <si>
    <t>ACMB-199-V13-MSB</t>
  </si>
  <si>
    <t>ACMB-199-R07-BO</t>
  </si>
  <si>
    <t>ACMB-199-RR07-BO</t>
  </si>
  <si>
    <t>ACMB-199-R07-BOA</t>
  </si>
  <si>
    <t>ACMB-199-RR07-BOA</t>
  </si>
  <si>
    <t>ACMB-199-R07-BOB</t>
  </si>
  <si>
    <t>ACMB-199-RR07-BOB</t>
  </si>
  <si>
    <t>ACMB-199-V14-MS</t>
  </si>
  <si>
    <t>ACMB-199-V15-MS</t>
  </si>
  <si>
    <t>ACMB-199-V14-MSA</t>
  </si>
  <si>
    <t>ACMB-199-V15-MSA</t>
  </si>
  <si>
    <t>ACMB-199-V14-MSB</t>
  </si>
  <si>
    <t>ACMB-199-V15-MSB</t>
  </si>
  <si>
    <t>ACMB-200-R01-BO</t>
  </si>
  <si>
    <t>ACMB-200-RR01-BO</t>
  </si>
  <si>
    <t>ACMB-200-R01-BOA</t>
  </si>
  <si>
    <t>ACMB-200-RR01-BOA</t>
  </si>
  <si>
    <t>ACMB-200-R01-BOB</t>
  </si>
  <si>
    <t>ACMB-200-RR01-BOB</t>
  </si>
  <si>
    <t>ACMB-200-V02-MS</t>
  </si>
  <si>
    <t>ACMB-200-V03-MS</t>
  </si>
  <si>
    <t>ACMB-200-V02-MSA</t>
  </si>
  <si>
    <t>ACMB-200-V03-MSA</t>
  </si>
  <si>
    <t>ACMB-200-V02-MSB</t>
  </si>
  <si>
    <t>ACMB-200-V03-MSB</t>
  </si>
  <si>
    <t>ACMB-200-R02-BO</t>
  </si>
  <si>
    <t>ACMB-200-RR02-BO</t>
  </si>
  <si>
    <t>ACMB-200-R02-BOA</t>
  </si>
  <si>
    <t>ACMB-200-RR02-BOA</t>
  </si>
  <si>
    <t>ACMB-200-R02-BOB</t>
  </si>
  <si>
    <t>ACMB-200-RR02-BOB</t>
  </si>
  <si>
    <t>ACMB-200-V04-MS</t>
  </si>
  <si>
    <t>ACMB-200-V05-MS</t>
  </si>
  <si>
    <t>ACMB-200-V04-MSA</t>
  </si>
  <si>
    <t>ACMB-200-V05-MSA</t>
  </si>
  <si>
    <t>ACMB-200-V04-MSB</t>
  </si>
  <si>
    <t>ACMB-200-V05-MSB</t>
  </si>
  <si>
    <t>ACMB-200-R03-BO</t>
  </si>
  <si>
    <t>ACMB-200-RR03-BO</t>
  </si>
  <si>
    <t>ACMB-200-R03-BOA</t>
  </si>
  <si>
    <t>ACMB-200-RR03-BOA</t>
  </si>
  <si>
    <t>ACMB-200-R03-BOB</t>
  </si>
  <si>
    <t>ACMB-200-RR03-BOB</t>
  </si>
  <si>
    <t>ACMB-200-V06-MS</t>
  </si>
  <si>
    <t>ACMB-200-V07-MS</t>
  </si>
  <si>
    <t>ACMB-200-V06-MSA</t>
  </si>
  <si>
    <t>ACMB-200-V07-MSA</t>
  </si>
  <si>
    <t>ACMB-200-V06-MSB</t>
  </si>
  <si>
    <t>ACMB-200-V07-MSB</t>
  </si>
  <si>
    <t>ACMB-200-R04-BO</t>
  </si>
  <si>
    <t>ACMB-200-RR04-BO</t>
  </si>
  <si>
    <t>ACMB-200-R04-BOA</t>
  </si>
  <si>
    <t>ACMB-200-RR04-BOA</t>
  </si>
  <si>
    <t>ACMB-200-R04-BOB</t>
  </si>
  <si>
    <t>ACMB-200-RR04-BOB</t>
  </si>
  <si>
    <t>ACMB-200-V08-MS</t>
  </si>
  <si>
    <t>ACMB-200-V09-MS</t>
  </si>
  <si>
    <t>ACMB-200-V08-MSA</t>
  </si>
  <si>
    <t>ACMB-200-V09-MSA</t>
  </si>
  <si>
    <t>ACMB-200-V08-MSB</t>
  </si>
  <si>
    <t>ACMB-200-V09-MSB</t>
  </si>
  <si>
    <t>ACMB-200-R05-BO</t>
  </si>
  <si>
    <t>ACMB-200-RR05-BO</t>
  </si>
  <si>
    <t>ACMB-200-R05-BOA</t>
  </si>
  <si>
    <t>ACMB-200-RR05-BOA</t>
  </si>
  <si>
    <t>ACMB-200-R05-BOB</t>
  </si>
  <si>
    <t>ACMB-200-RR05-BOB</t>
  </si>
  <si>
    <t>ACMB-200-V10-MS</t>
  </si>
  <si>
    <t>ACMB-200-V11-MS</t>
  </si>
  <si>
    <t>ACMB-200-V10-MSA</t>
  </si>
  <si>
    <t>ACMB-200-V11-MSA</t>
  </si>
  <si>
    <t>ACMB-200-V10-MSB</t>
  </si>
  <si>
    <t>ACMB-200-V11-MSB</t>
  </si>
  <si>
    <t>ACMB-200-R06-BO</t>
  </si>
  <si>
    <t>ACMB-200-RR06-BO</t>
  </si>
  <si>
    <t>ACMB-200-R06-BOA</t>
  </si>
  <si>
    <t>ACMB-200-RR06-BOA</t>
  </si>
  <si>
    <t>ACMB-200-R06-BOB</t>
  </si>
  <si>
    <t>ACMB-200-RR06-BOB</t>
  </si>
  <si>
    <t>ACMB-200-V12-MS</t>
  </si>
  <si>
    <t>ACMB-200-V13-MS</t>
  </si>
  <si>
    <t>ACMB-200-V12-MSA</t>
  </si>
  <si>
    <t>ACMB-200-V13-MSA</t>
  </si>
  <si>
    <t>ACMB-200-V12-MSB</t>
  </si>
  <si>
    <t>ACMB-200-V13-MSB</t>
  </si>
  <si>
    <t>ACMB-200-R07-BO</t>
  </si>
  <si>
    <t>ACMB-200-RR07-BO</t>
  </si>
  <si>
    <t>ACMB-200-R07-BOA</t>
  </si>
  <si>
    <t>ACMB-200-RR07-BOA</t>
  </si>
  <si>
    <t>ACMB-200-R07-BOB</t>
  </si>
  <si>
    <t>ACMB-200-RR07-BOB</t>
  </si>
  <si>
    <t>ACMB-200-V14-MS</t>
  </si>
  <si>
    <t>ACMB-200-V15-MS</t>
  </si>
  <si>
    <t>ACMB-200-V14-MSA</t>
  </si>
  <si>
    <t>ACMB-200-V15-MSA</t>
  </si>
  <si>
    <t>ACMB-200-V14-MSB</t>
  </si>
  <si>
    <t>ACMB-200-V15-MSB</t>
  </si>
  <si>
    <t>ACMB-201-R01-BO</t>
  </si>
  <si>
    <t>ACMB-201-RR01-BO</t>
  </si>
  <si>
    <t>ACMB-201-R01-BOA</t>
  </si>
  <si>
    <t>ACMB-201-RR01-BOA</t>
  </si>
  <si>
    <t>ACMB-201-R01-BOB</t>
  </si>
  <si>
    <t>ACMB-201-RR01-BOB</t>
  </si>
  <si>
    <t>ACMB-201-V02-MS</t>
  </si>
  <si>
    <t>ACMB-201-V03-MS</t>
  </si>
  <si>
    <t>ACMB-201-V02-MSA</t>
  </si>
  <si>
    <t>ACMB-201-V03-MSA</t>
  </si>
  <si>
    <t>ACMB-201-V02-MSB</t>
  </si>
  <si>
    <t>ACMB-201-V03-MSB</t>
  </si>
  <si>
    <t>ACMB-201-R02-BO</t>
  </si>
  <si>
    <t>ACMB-201-RR02-BO</t>
  </si>
  <si>
    <t>ACMB-201-R02-BOA</t>
  </si>
  <si>
    <t>ACMB-201-RR02-BOA</t>
  </si>
  <si>
    <t>ACMB-201-R02-BOB</t>
  </si>
  <si>
    <t>ACMB-201-RR02-BOB</t>
  </si>
  <si>
    <t>ACMB-201-V04-MS</t>
  </si>
  <si>
    <t>ACMB-201-V05-MS</t>
  </si>
  <si>
    <t>ACMB-201-V04-MSA</t>
  </si>
  <si>
    <t>ACMB-201-V05-MSA</t>
  </si>
  <si>
    <t>ACMB-201-V04-MSB</t>
  </si>
  <si>
    <t>ACMB-201-V05-MSB</t>
  </si>
  <si>
    <t>ACMB-201-R03-BO</t>
  </si>
  <si>
    <t>ACMB-201-RR03-BO</t>
  </si>
  <si>
    <t>ACMB-201-R03-BOA</t>
  </si>
  <si>
    <t>ACMB-201-RR03-BOA</t>
  </si>
  <si>
    <t>ACMB-201-R03-BOB</t>
  </si>
  <si>
    <t>ACMB-201-RR03-BOB</t>
  </si>
  <si>
    <t>ACMB-201-V06-MS</t>
  </si>
  <si>
    <t>ACMB-201-V07-MS</t>
  </si>
  <si>
    <t>ACMB-201-V06-MSA</t>
  </si>
  <si>
    <t>ACMB-201-V07-MSA</t>
  </si>
  <si>
    <t>ACMB-201-V06-MSB</t>
  </si>
  <si>
    <t>ACMB-201-V07-MSB</t>
  </si>
  <si>
    <t>ACMB-201-R04-BO</t>
  </si>
  <si>
    <t>ACMB-201-RR04-BO</t>
  </si>
  <si>
    <t>ACMB-201-R04-BOA</t>
  </si>
  <si>
    <t>ACMB-201-RR04-BOA</t>
  </si>
  <si>
    <t>ACMB-201-R04-BOB</t>
  </si>
  <si>
    <t>ACMB-201-RR04-BOB</t>
  </si>
  <si>
    <t>ACMB-201-V08-MS</t>
  </si>
  <si>
    <t>ACMB-201-V09-MS</t>
  </si>
  <si>
    <t>ACMB-201-V08-MSA</t>
  </si>
  <si>
    <t>ACMB-201-V09-MSA</t>
  </si>
  <si>
    <t>ACMB-201-V08-MSB</t>
  </si>
  <si>
    <t>ACMB-201-V09-MSB</t>
  </si>
  <si>
    <t>ACMB-201-R05-BO</t>
  </si>
  <si>
    <t>ACMB-201-RR05-BO</t>
  </si>
  <si>
    <t>ACMB-201-R05-BOA</t>
  </si>
  <si>
    <t>ACMB-201-RR05-BOA</t>
  </si>
  <si>
    <t>ACMB-201-R05-BOB</t>
  </si>
  <si>
    <t>ACMB-201-RR05-BOB</t>
  </si>
  <si>
    <t>ACMB-201-V10-MS</t>
  </si>
  <si>
    <t>ACMB-201-V11-MS</t>
  </si>
  <si>
    <t>ACMB-201-V10-MSA</t>
  </si>
  <si>
    <t>ACMB-201-V11-MSA</t>
  </si>
  <si>
    <t>ACMB-201-V10-MSB</t>
  </si>
  <si>
    <t>ACMB-201-V11-MSB</t>
  </si>
  <si>
    <t>ACMB-201-R06-BO</t>
  </si>
  <si>
    <t>ACMB-201-RR06-BO</t>
  </si>
  <si>
    <t>ACMB-201-R06-BOA</t>
  </si>
  <si>
    <t>ACMB-201-RR06-BOA</t>
  </si>
  <si>
    <t>ACMB-201-R06-BOB</t>
  </si>
  <si>
    <t>ACMB-201-RR06-BOB</t>
  </si>
  <si>
    <t>ACMB-201-V12-MS</t>
  </si>
  <si>
    <t>ACMB-201-V13-MS</t>
  </si>
  <si>
    <t>ACMB-201-V12-MSA</t>
  </si>
  <si>
    <t>ACMB-201-V13-MSA</t>
  </si>
  <si>
    <t>ACMB-201-V12-MSB</t>
  </si>
  <si>
    <t>ACMB-201-V13-MSB</t>
  </si>
  <si>
    <t>ACMB-201-R07-BO</t>
  </si>
  <si>
    <t>ACMB-201-RR07-BO</t>
  </si>
  <si>
    <t>ACMB-201-R07-BOA</t>
  </si>
  <si>
    <t>ACMB-201-RR07-BOA</t>
  </si>
  <si>
    <t>ACMB-201-R07-BOB</t>
  </si>
  <si>
    <t>ACMB-201-RR07-BOB</t>
  </si>
  <si>
    <t>ACMB-201-V14-MS</t>
  </si>
  <si>
    <t>ACMB-201-V15-MS</t>
  </si>
  <si>
    <t>ACMB-201-V14-MSA</t>
  </si>
  <si>
    <t>ACMB-201-V15-MSA</t>
  </si>
  <si>
    <t>ACMB-201-V14-MSB</t>
  </si>
  <si>
    <t>ACMB-201-V15-MSB</t>
  </si>
  <si>
    <t>ACMB-202-R01-BO</t>
  </si>
  <si>
    <t>ACMB-202-RR01-BO</t>
  </si>
  <si>
    <t>ACMB-202-R01-BOA</t>
  </si>
  <si>
    <t>ACMB-202-RR01-BOA</t>
  </si>
  <si>
    <t>ACMB-202-R01-BOB</t>
  </si>
  <si>
    <t>ACMB-202-RR01-BOB</t>
  </si>
  <si>
    <t>ACMB-202-V02-MS</t>
  </si>
  <si>
    <t>ACMB-202-V03-MS</t>
  </si>
  <si>
    <t>ACMB-202-V02-MSA</t>
  </si>
  <si>
    <t>ACMB-202-V03-MSA</t>
  </si>
  <si>
    <t>ACMB-202-V02-MSB</t>
  </si>
  <si>
    <t>ACMB-202-V03-MSB</t>
  </si>
  <si>
    <t>ACMB-202-R02-BO</t>
  </si>
  <si>
    <t>ACMB-202-RR02-BO</t>
  </si>
  <si>
    <t>ACMB-202-R02-BOA</t>
  </si>
  <si>
    <t>ACMB-202-RR02-BOA</t>
  </si>
  <si>
    <t>ACMB-202-R02-BOB</t>
  </si>
  <si>
    <t>ACMB-202-RR02-BOB</t>
  </si>
  <si>
    <t>ACMB-202-V04-MS</t>
  </si>
  <si>
    <t>ACMB-202-V05-MS</t>
  </si>
  <si>
    <t>ACMB-202-V04-MSA</t>
  </si>
  <si>
    <t>ACMB-202-V05-MSA</t>
  </si>
  <si>
    <t>ACMB-202-V04-MSB</t>
  </si>
  <si>
    <t>ACMB-202-V05-MSB</t>
  </si>
  <si>
    <t>ACMB-202-R03-BO</t>
  </si>
  <si>
    <t>ACMB-202-RR03-BO</t>
  </si>
  <si>
    <t>ACMB-202-R03-BOA</t>
  </si>
  <si>
    <t>ACMB-202-RR03-BOA</t>
  </si>
  <si>
    <t>ACMB-202-R03-BOB</t>
  </si>
  <si>
    <t>ACMB-202-RR03-BOB</t>
  </si>
  <si>
    <t>ACMB-202-V06-MS</t>
  </si>
  <si>
    <t>ACMB-202-V07-MS</t>
  </si>
  <si>
    <t>ACMB-202-V06-MSA</t>
  </si>
  <si>
    <t>ACMB-202-V07-MSA</t>
  </si>
  <si>
    <t>ACMB-202-V06-MSB</t>
  </si>
  <si>
    <t>ACMB-202-V07-MSB</t>
  </si>
  <si>
    <t>ACMB-202-R04-BO</t>
  </si>
  <si>
    <t>ACMB-202-RR04-BO</t>
  </si>
  <si>
    <t>ACMB-202-R04-BOA</t>
  </si>
  <si>
    <t>ACMB-202-RR04-BOA</t>
  </si>
  <si>
    <t>ACMB-202-R04-BOB</t>
  </si>
  <si>
    <t>ACMB-202-RR04-BOB</t>
  </si>
  <si>
    <t>ACMB-202-V08-MS</t>
  </si>
  <si>
    <t>ACMB-202-V09-MS</t>
  </si>
  <si>
    <t>ACMB-202-V08-MSA</t>
  </si>
  <si>
    <t>ACMB-202-V09-MSA</t>
  </si>
  <si>
    <t>ACMB-202-V08-MSB</t>
  </si>
  <si>
    <t>ACMB-202-V09-MSB</t>
  </si>
  <si>
    <t>ACMB-202-R05-BO</t>
  </si>
  <si>
    <t>ACMB-202-RR05-BO</t>
  </si>
  <si>
    <t>ACMB-202-R05-BOA</t>
  </si>
  <si>
    <t>ACMB-202-RR05-BOA</t>
  </si>
  <si>
    <t>ACMB-202-R05-BOB</t>
  </si>
  <si>
    <t>ACMB-202-RR05-BOB</t>
  </si>
  <si>
    <t>ACMB-202-V10-MS</t>
  </si>
  <si>
    <t>ACMB-202-V11-MS</t>
  </si>
  <si>
    <t>ACMB-202-V10-MSA</t>
  </si>
  <si>
    <t>ACMB-202-V11-MSA</t>
  </si>
  <si>
    <t>ACMB-202-V10-MSB</t>
  </si>
  <si>
    <t>ACMB-202-V11-MSB</t>
  </si>
  <si>
    <t>ACMB-202-R06-BO</t>
  </si>
  <si>
    <t>ACMB-202-RR06-BO</t>
  </si>
  <si>
    <t>ACMB-202-R06-BOA</t>
  </si>
  <si>
    <t>ACMB-202-RR06-BOA</t>
  </si>
  <si>
    <t>ACMB-202-R06-BOB</t>
  </si>
  <si>
    <t>ACMB-202-RR06-BOB</t>
  </si>
  <si>
    <t>ACMB-202-V12-MS</t>
  </si>
  <si>
    <t>ACMB-202-V13-MS</t>
  </si>
  <si>
    <t>ACMB-202-V12-MSA</t>
  </si>
  <si>
    <t>ACMB-202-V13-MSA</t>
  </si>
  <si>
    <t>ACMB-202-V12-MSB</t>
  </si>
  <si>
    <t>ACMB-202-V13-MSB</t>
  </si>
  <si>
    <t>ACMB-202-R07-BO</t>
  </si>
  <si>
    <t>ACMB-202-RR07-BO</t>
  </si>
  <si>
    <t>ACMB-202-R07-BOA</t>
  </si>
  <si>
    <t>ACMB-202-RR07-BOA</t>
  </si>
  <si>
    <t>ACMB-202-R07-BOB</t>
  </si>
  <si>
    <t>ACMB-202-RR07-BOB</t>
  </si>
  <si>
    <t>ACMB-202-V14-MS</t>
  </si>
  <si>
    <t>ACMB-202-V15-MS</t>
  </si>
  <si>
    <t>ACMB-202-V14-MSA</t>
  </si>
  <si>
    <t>ACMB-202-V15-MSA</t>
  </si>
  <si>
    <t>ACMB-202-V14-MSB</t>
  </si>
  <si>
    <t>ACMB-202-V15-MSB</t>
  </si>
  <si>
    <t>ACMB-203-R01-BO</t>
  </si>
  <si>
    <t>ACMB-203-RR01-BO</t>
  </si>
  <si>
    <t>ACMB-203-R01-BOA</t>
  </si>
  <si>
    <t>ACMB-203-RR01-BOA</t>
  </si>
  <si>
    <t>ACMB-203-R01-BOB</t>
  </si>
  <si>
    <t>ACMB-203-RR01-BOB</t>
  </si>
  <si>
    <t>ACMB-203-V02-MS</t>
  </si>
  <si>
    <t>ACMB-203-V03-MS</t>
  </si>
  <si>
    <t>ACMB-203-V02-MSA</t>
  </si>
  <si>
    <t>ACMB-203-V03-MSA</t>
  </si>
  <si>
    <t>ACMB-203-V02-MSB</t>
  </si>
  <si>
    <t>ACMB-203-V03-MSB</t>
  </si>
  <si>
    <t>ACMB-203-R02-BO</t>
  </si>
  <si>
    <t>ACMB-203-RR02-BO</t>
  </si>
  <si>
    <t>ACMB-203-R02-BOA</t>
  </si>
  <si>
    <t>ACMB-203-RR02-BOA</t>
  </si>
  <si>
    <t>ACMB-203-R02-BOB</t>
  </si>
  <si>
    <t>ACMB-203-RR02-BOB</t>
  </si>
  <si>
    <t>ACMB-203-V04-MS</t>
  </si>
  <si>
    <t>ACMB-203-V05-MS</t>
  </si>
  <si>
    <t>ACMB-203-V04-MSA</t>
  </si>
  <si>
    <t>ACMB-203-V05-MSA</t>
  </si>
  <si>
    <t>ACMB-203-V04-MSB</t>
  </si>
  <si>
    <t>ACMB-203-V05-MSB</t>
  </si>
  <si>
    <t>ACMB-203-R03-BO</t>
  </si>
  <si>
    <t>ACMB-203-RR03-BO</t>
  </si>
  <si>
    <t>ACMB-203-R03-BOA</t>
  </si>
  <si>
    <t>ACMB-203-RR03-BOA</t>
  </si>
  <si>
    <t>ACMB-203-R03-BOB</t>
  </si>
  <si>
    <t>ACMB-203-RR03-BOB</t>
  </si>
  <si>
    <t>ACMB-203-V06-MS</t>
  </si>
  <si>
    <t>ACMB-203-V07-MS</t>
  </si>
  <si>
    <t>ACMB-203-V06-MSA</t>
  </si>
  <si>
    <t>ACMB-203-V07-MSA</t>
  </si>
  <si>
    <t>ACMB-203-V06-MSB</t>
  </si>
  <si>
    <t>ACMB-203-V07-MSB</t>
  </si>
  <si>
    <t>ACMB-203-R04-BO</t>
  </si>
  <si>
    <t>ACMB-203-RR04-BO</t>
  </si>
  <si>
    <t>ACMB-203-R04-BOA</t>
  </si>
  <si>
    <t>ACMB-203-RR04-BOA</t>
  </si>
  <si>
    <t>ACMB-203-R04-BOB</t>
  </si>
  <si>
    <t>ACMB-203-RR04-BOB</t>
  </si>
  <si>
    <t>ACMB-203-V08-MS</t>
  </si>
  <si>
    <t>ACMB-203-V09-MS</t>
  </si>
  <si>
    <t>ACMB-203-V08-MSA</t>
  </si>
  <si>
    <t>ACMB-203-V09-MSA</t>
  </si>
  <si>
    <t>ACMB-203-V08-MSB</t>
  </si>
  <si>
    <t>ACMB-203-V09-MSB</t>
  </si>
  <si>
    <t>ACMB-203-R05-BO</t>
  </si>
  <si>
    <t>ACMB-203-RR05-BO</t>
  </si>
  <si>
    <t>ACMB-203-R05-BOA</t>
  </si>
  <si>
    <t>ACMB-203-RR05-BOA</t>
  </si>
  <si>
    <t>ACMB-203-R05-BOB</t>
  </si>
  <si>
    <t>ACMB-203-RR05-BOB</t>
  </si>
  <si>
    <t>ACMB-203-V10-MS</t>
  </si>
  <si>
    <t>ACMB-203-V11-MS</t>
  </si>
  <si>
    <t>ACMB-203-V10-MSA</t>
  </si>
  <si>
    <t>ACMB-203-V11-MSA</t>
  </si>
  <si>
    <t>ACMB-203-V10-MSB</t>
  </si>
  <si>
    <t>ACMB-203-V11-MSB</t>
  </si>
  <si>
    <t>ACMB-203-R06-BO</t>
  </si>
  <si>
    <t>ACMB-203-RR06-BO</t>
  </si>
  <si>
    <t>ACMB-203-R06-BOA</t>
  </si>
  <si>
    <t>ACMB-203-RR06-BOA</t>
  </si>
  <si>
    <t>ACMB-203-R06-BOB</t>
  </si>
  <si>
    <t>ACMB-203-RR06-BOB</t>
  </si>
  <si>
    <t>ACMB-203-V12-MS</t>
  </si>
  <si>
    <t>ACMB-203-V13-MS</t>
  </si>
  <si>
    <t>ACMB-203-V12-MSA</t>
  </si>
  <si>
    <t>ACMB-203-V13-MSA</t>
  </si>
  <si>
    <t>ACMB-203-V12-MSB</t>
  </si>
  <si>
    <t>ACMB-203-V13-MSB</t>
  </si>
  <si>
    <t>ACMB-203-R07-BO</t>
  </si>
  <si>
    <t>ACMB-203-RR07-BO</t>
  </si>
  <si>
    <t>ACMB-203-R07-BOA</t>
  </si>
  <si>
    <t>ACMB-203-RR07-BOA</t>
  </si>
  <si>
    <t>ACMB-203-R07-BOB</t>
  </si>
  <si>
    <t>ACMB-203-RR07-BOB</t>
  </si>
  <si>
    <t>ACMB-203-V14-MS</t>
  </si>
  <si>
    <t>ACMB-203-V15-MS</t>
  </si>
  <si>
    <t>ACMB-203-V14-MSA</t>
  </si>
  <si>
    <t>ACMB-203-V15-MSA</t>
  </si>
  <si>
    <t>ACMB-203-V14-MSB</t>
  </si>
  <si>
    <t>ACMB-203-V15-MSB</t>
  </si>
  <si>
    <t>ACMB-204-R01-BO</t>
  </si>
  <si>
    <t>ACMB-204-RR01-BO</t>
  </si>
  <si>
    <t>ACMB-204-R01-BOA</t>
  </si>
  <si>
    <t>ACMB-204-RR01-BOA</t>
  </si>
  <si>
    <t>ACMB-204-R01-BOB</t>
  </si>
  <si>
    <t>ACMB-204-RR01-BOB</t>
  </si>
  <si>
    <t>ACMB-204-V02-MS</t>
  </si>
  <si>
    <t>ACMB-204-V03-MS</t>
  </si>
  <si>
    <t>ACMB-204-V02-MSA</t>
  </si>
  <si>
    <t>ACMB-204-V03-MSA</t>
  </si>
  <si>
    <t>ACMB-204-V02-MSB</t>
  </si>
  <si>
    <t>ACMB-204-V03-MSB</t>
  </si>
  <si>
    <t>ACMB-204-R02-BO</t>
  </si>
  <si>
    <t>ACMB-204-RR02-BO</t>
  </si>
  <si>
    <t>ACMB-204-R02-BOA</t>
  </si>
  <si>
    <t>ACMB-204-RR02-BOA</t>
  </si>
  <si>
    <t>ACMB-204-R02-BOB</t>
  </si>
  <si>
    <t>ACMB-204-RR02-BOB</t>
  </si>
  <si>
    <t>ACMB-204-V04-MS</t>
  </si>
  <si>
    <t>ACMB-204-V05-MS</t>
  </si>
  <si>
    <t>ACMB-204-V04-MSA</t>
  </si>
  <si>
    <t>ACMB-204-V05-MSA</t>
  </si>
  <si>
    <t>ACMB-204-V04-MSB</t>
  </si>
  <si>
    <t>ACMB-204-V05-MSB</t>
  </si>
  <si>
    <t>ACMB-204-R03-BO</t>
  </si>
  <si>
    <t>ACMB-204-RR03-BO</t>
  </si>
  <si>
    <t>ACMB-204-R03-BOA</t>
  </si>
  <si>
    <t>ACMB-204-RR03-BOA</t>
  </si>
  <si>
    <t>ACMB-204-R03-BOB</t>
  </si>
  <si>
    <t>ACMB-204-RR03-BOB</t>
  </si>
  <si>
    <t>ACMB-204-V06-MS</t>
  </si>
  <si>
    <t>ACMB-204-V07-MS</t>
  </si>
  <si>
    <t>ACMB-204-V06-MSA</t>
  </si>
  <si>
    <t>ACMB-204-V07-MSA</t>
  </si>
  <si>
    <t>ACMB-204-V06-MSB</t>
  </si>
  <si>
    <t>ACMB-204-V07-MSB</t>
  </si>
  <si>
    <t>ACMB-204-R04-BO</t>
  </si>
  <si>
    <t>ACMB-204-RR04-BO</t>
  </si>
  <si>
    <t>ACMB-204-R04-BOA</t>
  </si>
  <si>
    <t>ACMB-204-RR04-BOA</t>
  </si>
  <si>
    <t>ACMB-204-R04-BOB</t>
  </si>
  <si>
    <t>ACMB-204-RR04-BOB</t>
  </si>
  <si>
    <t>ACMB-204-V08-MS</t>
  </si>
  <si>
    <t>ACMB-204-V09-MS</t>
  </si>
  <si>
    <t>ACMB-204-V08-MSA</t>
  </si>
  <si>
    <t>ACMB-204-V09-MSA</t>
  </si>
  <si>
    <t>ACMB-204-V08-MSB</t>
  </si>
  <si>
    <t>ACMB-204-V09-MSB</t>
  </si>
  <si>
    <t>ACMB-204-R05-BO</t>
  </si>
  <si>
    <t>ACMB-204-RR05-BO</t>
  </si>
  <si>
    <t>ACMB-204-R05-BOA</t>
  </si>
  <si>
    <t>ACMB-204-RR05-BOA</t>
  </si>
  <si>
    <t>ACMB-204-R05-BOB</t>
  </si>
  <si>
    <t>ACMB-204-RR05-BOB</t>
  </si>
  <si>
    <t>ACMB-204-V10-MS</t>
  </si>
  <si>
    <t>ACMB-204-V11-MS</t>
  </si>
  <si>
    <t>ACMB-204-V10-MSA</t>
  </si>
  <si>
    <t>ACMB-204-V11-MSA</t>
  </si>
  <si>
    <t>ACMB-204-V10-MSB</t>
  </si>
  <si>
    <t>ACMB-204-V11-MSB</t>
  </si>
  <si>
    <t>ACMB-204-R06-BO</t>
  </si>
  <si>
    <t>ACMB-204-RR06-BO</t>
  </si>
  <si>
    <t>ACMB-204-R06-BOA</t>
  </si>
  <si>
    <t>ACMB-204-RR06-BOA</t>
  </si>
  <si>
    <t>ACMB-204-R06-BOB</t>
  </si>
  <si>
    <t>ACMB-204-RR06-BOB</t>
  </si>
  <si>
    <t>ACMB-204-V12-MS</t>
  </si>
  <si>
    <t>ACMB-204-V13-MS</t>
  </si>
  <si>
    <t>ACMB-204-V12-MSA</t>
  </si>
  <si>
    <t>ACMB-204-V13-MSA</t>
  </si>
  <si>
    <t>ACMB-204-V12-MSB</t>
  </si>
  <si>
    <t>ACMB-204-V13-MSB</t>
  </si>
  <si>
    <t>ACMB-204-R07-BO</t>
  </si>
  <si>
    <t>ACMB-204-RR07-BO</t>
  </si>
  <si>
    <t>ACMB-204-R07-BOA</t>
  </si>
  <si>
    <t>ACMB-204-RR07-BOA</t>
  </si>
  <si>
    <t>ACMB-204-R07-BOB</t>
  </si>
  <si>
    <t>ACMB-204-RR07-BOB</t>
  </si>
  <si>
    <t>ACMB-204-V14-MS</t>
  </si>
  <si>
    <t>ACMB-204-V15-MS</t>
  </si>
  <si>
    <t>ACMB-204-V14-MSA</t>
  </si>
  <si>
    <t>ACMB-204-V15-MSA</t>
  </si>
  <si>
    <t>ACMB-204-V14-MSB</t>
  </si>
  <si>
    <t>ACMB-204-V15-MSB</t>
  </si>
  <si>
    <t>ACMB-205-R01-BO</t>
  </si>
  <si>
    <t>ACMB-205-RR01-BO</t>
  </si>
  <si>
    <t>ACMB-205-R01-BOA</t>
  </si>
  <si>
    <t>ACMB-205-RR01-BOA</t>
  </si>
  <si>
    <t>ACMB-205-R01-BOB</t>
  </si>
  <si>
    <t>ACMB-205-RR01-BOB</t>
  </si>
  <si>
    <t>ACMB-205-V02-MS</t>
  </si>
  <si>
    <t>ACMB-205-V03-MS</t>
  </si>
  <si>
    <t>ACMB-205-V02-MSA</t>
  </si>
  <si>
    <t>ACMB-205-V03-MSA</t>
  </si>
  <si>
    <t>ACMB-205-V02-MSB</t>
  </si>
  <si>
    <t>ACMB-205-V03-MSB</t>
  </si>
  <si>
    <t>ACMB-205-R02-BO</t>
  </si>
  <si>
    <t>ACMB-205-RR02-BO</t>
  </si>
  <si>
    <t>ACMB-205-R02-BOA</t>
  </si>
  <si>
    <t>ACMB-205-RR02-BOA</t>
  </si>
  <si>
    <t>ACMB-205-R02-BOB</t>
  </si>
  <si>
    <t>ACMB-205-RR02-BOB</t>
  </si>
  <si>
    <t>ACMB-205-V04-MS</t>
  </si>
  <si>
    <t>ACMB-205-V05-MS</t>
  </si>
  <si>
    <t>ACMB-205-V04-MSA</t>
  </si>
  <si>
    <t>ACMB-205-V05-MSA</t>
  </si>
  <si>
    <t>ACMB-205-V04-MSB</t>
  </si>
  <si>
    <t>ACMB-205-V05-MSB</t>
  </si>
  <si>
    <t>ACMB-205-R03-BO</t>
  </si>
  <si>
    <t>ACMB-205-RR03-BO</t>
  </si>
  <si>
    <t>ACMB-205-R03-BOA</t>
  </si>
  <si>
    <t>ACMB-205-RR03-BOA</t>
  </si>
  <si>
    <t>ACMB-205-R03-BOB</t>
  </si>
  <si>
    <t>ACMB-205-RR03-BOB</t>
  </si>
  <si>
    <t>ACMB-205-V06-MS</t>
  </si>
  <si>
    <t>ACMB-205-V07-MS</t>
  </si>
  <si>
    <t>ACMB-205-V06-MSA</t>
  </si>
  <si>
    <t>ACMB-205-V07-MSA</t>
  </si>
  <si>
    <t>ACMB-205-V06-MSB</t>
  </si>
  <si>
    <t>ACMB-205-V07-MSB</t>
  </si>
  <si>
    <t>ACMB-205-R04-BO</t>
  </si>
  <si>
    <t>ACMB-205-RR04-BO</t>
  </si>
  <si>
    <t>ACMB-205-R04-BOA</t>
  </si>
  <si>
    <t>ACMB-205-RR04-BOA</t>
  </si>
  <si>
    <t>ACMB-205-R04-BOB</t>
  </si>
  <si>
    <t>ACMB-205-RR04-BOB</t>
  </si>
  <si>
    <t>ACMB-205-V08-MS</t>
  </si>
  <si>
    <t>ACMB-205-V09-MS</t>
  </si>
  <si>
    <t>ACMB-205-V08-MSA</t>
  </si>
  <si>
    <t>ACMB-205-V09-MSA</t>
  </si>
  <si>
    <t>ACMB-205-V08-MSB</t>
  </si>
  <si>
    <t>ACMB-205-V09-MSB</t>
  </si>
  <si>
    <t>ACMB-205-R05-BO</t>
  </si>
  <si>
    <t>ACMB-205-RR05-BO</t>
  </si>
  <si>
    <t>ACMB-205-R05-BOA</t>
  </si>
  <si>
    <t>ACMB-205-RR05-BOA</t>
  </si>
  <si>
    <t>ACMB-205-R05-BOB</t>
  </si>
  <si>
    <t>ACMB-205-RR05-BOB</t>
  </si>
  <si>
    <t>ACMB-205-V10-MS</t>
  </si>
  <si>
    <t>ACMB-205-V11-MS</t>
  </si>
  <si>
    <t>ACMB-205-V10-MSA</t>
  </si>
  <si>
    <t>ACMB-205-V11-MSA</t>
  </si>
  <si>
    <t>ACMB-205-V10-MSB</t>
  </si>
  <si>
    <t>ACMB-205-V11-MSB</t>
  </si>
  <si>
    <t>ACMB-205-R06-BO</t>
  </si>
  <si>
    <t>ACMB-205-RR06-BO</t>
  </si>
  <si>
    <t>ACMB-205-R06-BOA</t>
  </si>
  <si>
    <t>ACMB-205-RR06-BOA</t>
  </si>
  <si>
    <t>ACMB-205-R06-BOB</t>
  </si>
  <si>
    <t>ACMB-205-RR06-BOB</t>
  </si>
  <si>
    <t>ACMB-205-V12-MS</t>
  </si>
  <si>
    <t>ACMB-205-V13-MS</t>
  </si>
  <si>
    <t>ACMB-205-V12-MSA</t>
  </si>
  <si>
    <t>ACMB-205-V13-MSA</t>
  </si>
  <si>
    <t>ACMB-205-V12-MSB</t>
  </si>
  <si>
    <t>ACMB-205-V13-MSB</t>
  </si>
  <si>
    <t>ACMB-205-R07-BO</t>
  </si>
  <si>
    <t>ACMB-205-RR07-BO</t>
  </si>
  <si>
    <t>ACMB-205-R07-BOA</t>
  </si>
  <si>
    <t>ACMB-205-RR07-BOA</t>
  </si>
  <si>
    <t>ACMB-205-R07-BOB</t>
  </si>
  <si>
    <t>ACMB-205-RR07-BOB</t>
  </si>
  <si>
    <t>ACMB-205-V14-MS</t>
  </si>
  <si>
    <t>ACMB-205-V15-MS</t>
  </si>
  <si>
    <t>ACMB-205-V14-MSA</t>
  </si>
  <si>
    <t>ACMB-205-V15-MSA</t>
  </si>
  <si>
    <t>ACMB-205-V14-MSB</t>
  </si>
  <si>
    <t>ACMB-205-V15-MSB</t>
  </si>
  <si>
    <t>ACMB-206-R01-BO</t>
  </si>
  <si>
    <t>ACMB-206-RR01-BO</t>
  </si>
  <si>
    <t>ACMB-206-R01-BOA</t>
  </si>
  <si>
    <t>ACMB-206-RR01-BOA</t>
  </si>
  <si>
    <t>ACMB-206-R01-BOB</t>
  </si>
  <si>
    <t>ACMB-206-RR01-BOB</t>
  </si>
  <si>
    <t>ACMB-206-V02-MS</t>
  </si>
  <si>
    <t>ACMB-206-V03-MS</t>
  </si>
  <si>
    <t>ACMB-206-V02-MSA</t>
  </si>
  <si>
    <t>ACMB-206-V03-MSA</t>
  </si>
  <si>
    <t>ACMB-206-V02-MSB</t>
  </si>
  <si>
    <t>ACMB-206-V03-MSB</t>
  </si>
  <si>
    <t>ACMB-206-R02-BO</t>
  </si>
  <si>
    <t>ACMB-206-RR02-BO</t>
  </si>
  <si>
    <t>ACMB-206-R02-BOA</t>
  </si>
  <si>
    <t>ACMB-206-RR02-BOA</t>
  </si>
  <si>
    <t>ACMB-206-R02-BOB</t>
  </si>
  <si>
    <t>ACMB-206-RR02-BOB</t>
  </si>
  <si>
    <t>ACMB-206-V04-MS</t>
  </si>
  <si>
    <t>ACMB-206-V05-MS</t>
  </si>
  <si>
    <t>ACMB-206-V04-MSA</t>
  </si>
  <si>
    <t>ACMB-206-V05-MSA</t>
  </si>
  <si>
    <t>ACMB-206-V04-MSB</t>
  </si>
  <si>
    <t>ACMB-206-V05-MSB</t>
  </si>
  <si>
    <t>ACMB-206-R03-BO</t>
  </si>
  <si>
    <t>ACMB-206-RR03-BO</t>
  </si>
  <si>
    <t>ACMB-206-R03-BOA</t>
  </si>
  <si>
    <t>ACMB-206-RR03-BOA</t>
  </si>
  <si>
    <t>ACMB-206-R03-BOB</t>
  </si>
  <si>
    <t>ACMB-206-RR03-BOB</t>
  </si>
  <si>
    <t>ACMB-206-V06-MS</t>
  </si>
  <si>
    <t>ACMB-206-V07-MS</t>
  </si>
  <si>
    <t>ACMB-206-V06-MSA</t>
  </si>
  <si>
    <t>ACMB-206-V07-MSA</t>
  </si>
  <si>
    <t>ACMB-206-V06-MSB</t>
  </si>
  <si>
    <t>ACMB-206-V07-MSB</t>
  </si>
  <si>
    <t>ACMB-206-R04-BO</t>
  </si>
  <si>
    <t>ACMB-206-RR04-BO</t>
  </si>
  <si>
    <t>ACMB-206-R04-BOA</t>
  </si>
  <si>
    <t>ACMB-206-RR04-BOA</t>
  </si>
  <si>
    <t>ACMB-206-R04-BOB</t>
  </si>
  <si>
    <t>ACMB-206-RR04-BOB</t>
  </si>
  <si>
    <t>ACMB-206-V08-MS</t>
  </si>
  <si>
    <t>ACMB-206-V09-MS</t>
  </si>
  <si>
    <t>ACMB-206-V08-MSA</t>
  </si>
  <si>
    <t>ACMB-206-V09-MSA</t>
  </si>
  <si>
    <t>ACMB-206-V08-MSB</t>
  </si>
  <si>
    <t>ACMB-206-V09-MSB</t>
  </si>
  <si>
    <t>ACMB-206-R05-BO</t>
  </si>
  <si>
    <t>ACMB-206-RR05-BO</t>
  </si>
  <si>
    <t>ACMB-206-R05-BOA</t>
  </si>
  <si>
    <t>ACMB-206-RR05-BOA</t>
  </si>
  <si>
    <t>ACMB-206-R05-BOB</t>
  </si>
  <si>
    <t>ACMB-206-RR05-BOB</t>
  </si>
  <si>
    <t>ACMB-206-V10-MS</t>
  </si>
  <si>
    <t>ACMB-206-V11-MS</t>
  </si>
  <si>
    <t>ACMB-206-V10-MSA</t>
  </si>
  <si>
    <t>ACMB-206-V11-MSA</t>
  </si>
  <si>
    <t>ACMB-206-V10-MSB</t>
  </si>
  <si>
    <t>ACMB-206-V11-MSB</t>
  </si>
  <si>
    <t>ACMB-206-R06-BO</t>
  </si>
  <si>
    <t>ACMB-206-RR06-BO</t>
  </si>
  <si>
    <t>ACMB-206-R06-BOA</t>
  </si>
  <si>
    <t>ACMB-206-RR06-BOA</t>
  </si>
  <si>
    <t>ACMB-206-R06-BOB</t>
  </si>
  <si>
    <t>ACMB-206-RR06-BOB</t>
  </si>
  <si>
    <t>ACMB-206-V12-MS</t>
  </si>
  <si>
    <t>ACMB-206-V13-MS</t>
  </si>
  <si>
    <t>ACMB-206-V12-MSA</t>
  </si>
  <si>
    <t>ACMB-206-V13-MSA</t>
  </si>
  <si>
    <t>ACMB-206-V12-MSB</t>
  </si>
  <si>
    <t>ACMB-206-V13-MSB</t>
  </si>
  <si>
    <t>ACMB-206-R07-BO</t>
  </si>
  <si>
    <t>ACMB-206-RR07-BO</t>
  </si>
  <si>
    <t>ACMB-206-R07-BOA</t>
  </si>
  <si>
    <t>ACMB-206-RR07-BOA</t>
  </si>
  <si>
    <t>ACMB-206-R07-BOB</t>
  </si>
  <si>
    <t>ACMB-206-RR07-BOB</t>
  </si>
  <si>
    <t>ACMB-206-V14-MS</t>
  </si>
  <si>
    <t>ACMB-206-V15-MS</t>
  </si>
  <si>
    <t>ACMB-206-V14-MSA</t>
  </si>
  <si>
    <t>ACMB-206-V15-MSA</t>
  </si>
  <si>
    <t>ACMB-206-V14-MSB</t>
  </si>
  <si>
    <t>ACMB-206-V15-MSB</t>
  </si>
  <si>
    <t>ACMB-207-R01-BO</t>
  </si>
  <si>
    <t>ACMB-207-RR01-BO</t>
  </si>
  <si>
    <t>ACMB-207-R01-BOA</t>
  </si>
  <si>
    <t>ACMB-207-RR01-BOA</t>
  </si>
  <si>
    <t>ACMB-207-R01-BOB</t>
  </si>
  <si>
    <t>ACMB-207-RR01-BOB</t>
  </si>
  <si>
    <t>ACMB-207-V02-MS</t>
  </si>
  <si>
    <t>ACMB-207-V03-MS</t>
  </si>
  <si>
    <t>ACMB-207-V02-MSA</t>
  </si>
  <si>
    <t>ACMB-207-V03-MSA</t>
  </si>
  <si>
    <t>ACMB-207-V02-MSB</t>
  </si>
  <si>
    <t>ACMB-207-V03-MSB</t>
  </si>
  <si>
    <t>ACMB-207-R02-BO</t>
  </si>
  <si>
    <t>ACMB-207-RR02-BO</t>
  </si>
  <si>
    <t>ACMB-207-R02-BOA</t>
  </si>
  <si>
    <t>ACMB-207-RR02-BOA</t>
  </si>
  <si>
    <t>ACMB-207-R02-BOB</t>
  </si>
  <si>
    <t>ACMB-207-RR02-BOB</t>
  </si>
  <si>
    <t>ACMB-207-V04-MS</t>
  </si>
  <si>
    <t>ACMB-207-V05-MS</t>
  </si>
  <si>
    <t>ACMB-207-V04-MSA</t>
  </si>
  <si>
    <t>ACMB-207-V05-MSA</t>
  </si>
  <si>
    <t>ACMB-207-V04-MSB</t>
  </si>
  <si>
    <t>ACMB-207-V05-MSB</t>
  </si>
  <si>
    <t>ACMB-207-R03-BO</t>
  </si>
  <si>
    <t>ACMB-207-RR03-BO</t>
  </si>
  <si>
    <t>ACMB-207-R03-BOA</t>
  </si>
  <si>
    <t>ACMB-207-RR03-BOA</t>
  </si>
  <si>
    <t>ACMB-207-R03-BOB</t>
  </si>
  <si>
    <t>ACMB-207-RR03-BOB</t>
  </si>
  <si>
    <t>ACMB-207-V06-MS</t>
  </si>
  <si>
    <t>ACMB-207-V07-MS</t>
  </si>
  <si>
    <t>ACMB-207-V06-MSA</t>
  </si>
  <si>
    <t>ACMB-207-V07-MSA</t>
  </si>
  <si>
    <t>ACMB-207-V06-MSB</t>
  </si>
  <si>
    <t>ACMB-207-V07-MSB</t>
  </si>
  <si>
    <t>ACMB-207-R04-BO</t>
  </si>
  <si>
    <t>ACMB-207-RR04-BO</t>
  </si>
  <si>
    <t>ACMB-207-R04-BOA</t>
  </si>
  <si>
    <t>ACMB-207-RR04-BOA</t>
  </si>
  <si>
    <t>ACMB-207-R04-BOB</t>
  </si>
  <si>
    <t>ACMB-207-RR04-BOB</t>
  </si>
  <si>
    <t>ACMB-207-V08-MS</t>
  </si>
  <si>
    <t>ACMB-207-V09-MS</t>
  </si>
  <si>
    <t>ACMB-207-V08-MSA</t>
  </si>
  <si>
    <t>ACMB-207-V09-MSA</t>
  </si>
  <si>
    <t>ACMB-207-V08-MSB</t>
  </si>
  <si>
    <t>ACMB-207-V09-MSB</t>
  </si>
  <si>
    <t>ACMB-207-R05-BO</t>
  </si>
  <si>
    <t>ACMB-207-RR05-BO</t>
  </si>
  <si>
    <t>ACMB-207-R05-BOA</t>
  </si>
  <si>
    <t>ACMB-207-RR05-BOA</t>
  </si>
  <si>
    <t>ACMB-207-R05-BOB</t>
  </si>
  <si>
    <t>ACMB-207-RR05-BOB</t>
  </si>
  <si>
    <t>ACMB-207-V10-MS</t>
  </si>
  <si>
    <t>ACMB-207-V11-MS</t>
  </si>
  <si>
    <t>ACMB-207-V10-MSA</t>
  </si>
  <si>
    <t>ACMB-207-V11-MSA</t>
  </si>
  <si>
    <t>ACMB-207-V10-MSB</t>
  </si>
  <si>
    <t>ACMB-207-V11-MSB</t>
  </si>
  <si>
    <t>ACMB-207-R06-BO</t>
  </si>
  <si>
    <t>ACMB-207-RR06-BO</t>
  </si>
  <si>
    <t>ACMB-207-R06-BOA</t>
  </si>
  <si>
    <t>ACMB-207-RR06-BOA</t>
  </si>
  <si>
    <t>ACMB-207-R06-BOB</t>
  </si>
  <si>
    <t>ACMB-207-RR06-BOB</t>
  </si>
  <si>
    <t>ACMB-207-V12-MS</t>
  </si>
  <si>
    <t>ACMB-207-V13-MS</t>
  </si>
  <si>
    <t>ACMB-207-V12-MSA</t>
  </si>
  <si>
    <t>ACMB-207-V13-MSA</t>
  </si>
  <si>
    <t>ACMB-207-V12-MSB</t>
  </si>
  <si>
    <t>ACMB-207-V13-MSB</t>
  </si>
  <si>
    <t>ACMB-207-R07-BO</t>
  </si>
  <si>
    <t>ACMB-207-RR07-BO</t>
  </si>
  <si>
    <t>ACMB-207-R07-BOA</t>
  </si>
  <si>
    <t>ACMB-207-RR07-BOA</t>
  </si>
  <si>
    <t>ACMB-207-R07-BOB</t>
  </si>
  <si>
    <t>ACMB-207-RR07-BOB</t>
  </si>
  <si>
    <t>ACMB-207-V14-MS</t>
  </si>
  <si>
    <t>ACMB-207-V15-MS</t>
  </si>
  <si>
    <t>ACMB-207-V14-MSA</t>
  </si>
  <si>
    <t>ACMB-207-V15-MSA</t>
  </si>
  <si>
    <t>ACMB-207-V14-MSB</t>
  </si>
  <si>
    <t>ACMB-207-V15-MSB</t>
  </si>
  <si>
    <t>ACMB-208-R01-BO</t>
  </si>
  <si>
    <t>ACMB-208-RR01-BO</t>
  </si>
  <si>
    <t>ACMB-208-R01-BOA</t>
  </si>
  <si>
    <t>ACMB-208-RR01-BOA</t>
  </si>
  <si>
    <t>ACMB-208-R01-BOB</t>
  </si>
  <si>
    <t>ACMB-208-RR01-BOB</t>
  </si>
  <si>
    <t>ACMB-208-V02-MS</t>
  </si>
  <si>
    <t>ACMB-208-V03-MS</t>
  </si>
  <si>
    <t>ACMB-208-V02-MSA</t>
  </si>
  <si>
    <t>ACMB-208-V03-MSA</t>
  </si>
  <si>
    <t>ACMB-208-V02-MSB</t>
  </si>
  <si>
    <t>ACMB-208-V03-MSB</t>
  </si>
  <si>
    <t>ACMB-208-R02-BO</t>
  </si>
  <si>
    <t>ACMB-208-RR02-BO</t>
  </si>
  <si>
    <t>ACMB-208-R02-BOA</t>
  </si>
  <si>
    <t>ACMB-208-RR02-BOA</t>
  </si>
  <si>
    <t>ACMB-208-R02-BOB</t>
  </si>
  <si>
    <t>ACMB-208-RR02-BOB</t>
  </si>
  <si>
    <t>ACMB-208-V04-MS</t>
  </si>
  <si>
    <t>ACMB-208-V05-MS</t>
  </si>
  <si>
    <t>ACMB-208-V04-MSA</t>
  </si>
  <si>
    <t>ACMB-208-V05-MSA</t>
  </si>
  <si>
    <t>ACMB-208-V04-MSB</t>
  </si>
  <si>
    <t>ACMB-208-V05-MSB</t>
  </si>
  <si>
    <t>ACMB-208-R03-BO</t>
  </si>
  <si>
    <t>ACMB-208-RR03-BO</t>
  </si>
  <si>
    <t>ACMB-208-R03-BOA</t>
  </si>
  <si>
    <t>ACMB-208-RR03-BOA</t>
  </si>
  <si>
    <t>ACMB-208-R03-BOB</t>
  </si>
  <si>
    <t>ACMB-208-RR03-BOB</t>
  </si>
  <si>
    <t>ACMB-208-V06-MS</t>
  </si>
  <si>
    <t>ACMB-208-V07-MS</t>
  </si>
  <si>
    <t>ACMB-208-V06-MSA</t>
  </si>
  <si>
    <t>ACMB-208-V07-MSA</t>
  </si>
  <si>
    <t>ACMB-208-V06-MSB</t>
  </si>
  <si>
    <t>ACMB-208-V07-MSB</t>
  </si>
  <si>
    <t>ACMB-208-R04-BO</t>
  </si>
  <si>
    <t>ACMB-208-RR04-BO</t>
  </si>
  <si>
    <t>ACMB-208-R04-BOA</t>
  </si>
  <si>
    <t>ACMB-208-RR04-BOA</t>
  </si>
  <si>
    <t>ACMB-208-R04-BOB</t>
  </si>
  <si>
    <t>ACMB-208-RR04-BOB</t>
  </si>
  <si>
    <t>ACMB-208-V08-MS</t>
  </si>
  <si>
    <t>ACMB-208-V09-MS</t>
  </si>
  <si>
    <t>ACMB-208-V08-MSA</t>
  </si>
  <si>
    <t>ACMB-208-V09-MSA</t>
  </si>
  <si>
    <t>ACMB-208-V08-MSB</t>
  </si>
  <si>
    <t>ACMB-208-V09-MSB</t>
  </si>
  <si>
    <t>ACMB-208-R05-BO</t>
  </si>
  <si>
    <t>ACMB-208-RR05-BO</t>
  </si>
  <si>
    <t>ACMB-208-R05-BOA</t>
  </si>
  <si>
    <t>ACMB-208-RR05-BOA</t>
  </si>
  <si>
    <t>ACMB-208-R05-BOB</t>
  </si>
  <si>
    <t>ACMB-208-RR05-BOB</t>
  </si>
  <si>
    <t>ACMB-208-V10-MS</t>
  </si>
  <si>
    <t>ACMB-208-V11-MS</t>
  </si>
  <si>
    <t>ACMB-208-V10-MSA</t>
  </si>
  <si>
    <t>ACMB-208-V11-MSA</t>
  </si>
  <si>
    <t>ACMB-208-V10-MSB</t>
  </si>
  <si>
    <t>ACMB-208-V11-MSB</t>
  </si>
  <si>
    <t>ACMB-208-R06-BO</t>
  </si>
  <si>
    <t>ACMB-208-RR06-BO</t>
  </si>
  <si>
    <t>ACMB-208-R06-BOA</t>
  </si>
  <si>
    <t>ACMB-208-RR06-BOA</t>
  </si>
  <si>
    <t>ACMB-208-R06-BOB</t>
  </si>
  <si>
    <t>ACMB-208-RR06-BOB</t>
  </si>
  <si>
    <t>ACMB-208-V12-MS</t>
  </si>
  <si>
    <t>ACMB-208-V13-MS</t>
  </si>
  <si>
    <t>ACMB-208-V12-MSA</t>
  </si>
  <si>
    <t>ACMB-208-V13-MSA</t>
  </si>
  <si>
    <t>ACMB-208-V12-MSB</t>
  </si>
  <si>
    <t>ACMB-208-V13-MSB</t>
  </si>
  <si>
    <t>ACMB-208-R07-BO</t>
  </si>
  <si>
    <t>ACMB-208-RR07-BO</t>
  </si>
  <si>
    <t>ACMB-208-R07-BOA</t>
  </si>
  <si>
    <t>ACMB-208-RR07-BOA</t>
  </si>
  <si>
    <t>ACMB-208-R07-BOB</t>
  </si>
  <si>
    <t>ACMB-208-RR07-BOB</t>
  </si>
  <si>
    <t>ACMB-208-V14-MS</t>
  </si>
  <si>
    <t>ACMB-208-V15-MS</t>
  </si>
  <si>
    <t>ACMB-208-V14-MSA</t>
  </si>
  <si>
    <t>ACMB-208-V15-MSA</t>
  </si>
  <si>
    <t>ACMB-208-V14-MSB</t>
  </si>
  <si>
    <t>ACMB-208-V15-MSB</t>
  </si>
  <si>
    <t>ACMB-209-R01-BO</t>
  </si>
  <si>
    <t>ACMB-209-RR01-BO</t>
  </si>
  <si>
    <t>ACMB-209-R01-BOA</t>
  </si>
  <si>
    <t>ACMB-209-RR01-BOA</t>
  </si>
  <si>
    <t>ACMB-209-R01-BOB</t>
  </si>
  <si>
    <t>ACMB-209-RR01-BOB</t>
  </si>
  <si>
    <t>ACMB-209-V02-MS</t>
  </si>
  <si>
    <t>ACMB-209-V03-MS</t>
  </si>
  <si>
    <t>ACMB-209-V02-MSA</t>
  </si>
  <si>
    <t>ACMB-209-V03-MSA</t>
  </si>
  <si>
    <t>ACMB-209-V02-MSB</t>
  </si>
  <si>
    <t>ACMB-209-V03-MSB</t>
  </si>
  <si>
    <t>ACMB-209-R02-BO</t>
  </si>
  <si>
    <t>ACMB-209-RR02-BO</t>
  </si>
  <si>
    <t>ACMB-209-R02-BOA</t>
  </si>
  <si>
    <t>ACMB-209-RR02-BOA</t>
  </si>
  <si>
    <t>ACMB-209-R02-BOB</t>
  </si>
  <si>
    <t>ACMB-209-RR02-BOB</t>
  </si>
  <si>
    <t>ACMB-209-V04-MS</t>
  </si>
  <si>
    <t>ACMB-209-V05-MS</t>
  </si>
  <si>
    <t>ACMB-209-V04-MSA</t>
  </si>
  <si>
    <t>ACMB-209-V05-MSA</t>
  </si>
  <si>
    <t>ACMB-209-V04-MSB</t>
  </si>
  <si>
    <t>ACMB-209-V05-MSB</t>
  </si>
  <si>
    <t>ACMB-209-R03-BO</t>
  </si>
  <si>
    <t>ACMB-209-RR03-BO</t>
  </si>
  <si>
    <t>ACMB-209-R03-BOA</t>
  </si>
  <si>
    <t>ACMB-209-RR03-BOA</t>
  </si>
  <si>
    <t>ACMB-209-R03-BOB</t>
  </si>
  <si>
    <t>ACMB-209-RR03-BOB</t>
  </si>
  <si>
    <t>ACMB-209-V06-MS</t>
  </si>
  <si>
    <t>ACMB-209-V07-MS</t>
  </si>
  <si>
    <t>ACMB-209-V06-MSA</t>
  </si>
  <si>
    <t>ACMB-209-V07-MSA</t>
  </si>
  <si>
    <t>ACMB-209-V06-MSB</t>
  </si>
  <si>
    <t>ACMB-209-V07-MSB</t>
  </si>
  <si>
    <t>ACMB-209-R04-BO</t>
  </si>
  <si>
    <t>ACMB-209-RR04-BO</t>
  </si>
  <si>
    <t>ACMB-209-R04-BOA</t>
  </si>
  <si>
    <t>ACMB-209-RR04-BOA</t>
  </si>
  <si>
    <t>ACMB-209-R04-BOB</t>
  </si>
  <si>
    <t>ACMB-209-RR04-BOB</t>
  </si>
  <si>
    <t>ACMB-209-V08-MS</t>
  </si>
  <si>
    <t>ACMB-209-V09-MS</t>
  </si>
  <si>
    <t>ACMB-209-V08-MSA</t>
  </si>
  <si>
    <t>ACMB-209-V09-MSA</t>
  </si>
  <si>
    <t>ACMB-209-V08-MSB</t>
  </si>
  <si>
    <t>ACMB-209-V09-MSB</t>
  </si>
  <si>
    <t>ACMB-209-R05-BO</t>
  </si>
  <si>
    <t>ACMB-209-RR05-BO</t>
  </si>
  <si>
    <t>ACMB-209-R05-BOA</t>
  </si>
  <si>
    <t>ACMB-209-RR05-BOA</t>
  </si>
  <si>
    <t>ACMB-209-R05-BOB</t>
  </si>
  <si>
    <t>ACMB-209-RR05-BOB</t>
  </si>
  <si>
    <t>ACMB-209-V10-MS</t>
  </si>
  <si>
    <t>ACMB-209-V11-MS</t>
  </si>
  <si>
    <t>ACMB-209-V10-MSA</t>
  </si>
  <si>
    <t>ACMB-209-V11-MSA</t>
  </si>
  <si>
    <t>ACMB-209-V10-MSB</t>
  </si>
  <si>
    <t>ACMB-209-V11-MSB</t>
  </si>
  <si>
    <t>ACMB-209-R06-BO</t>
  </si>
  <si>
    <t>ACMB-209-RR06-BO</t>
  </si>
  <si>
    <t>ACMB-209-R06-BOA</t>
  </si>
  <si>
    <t>ACMB-209-RR06-BOA</t>
  </si>
  <si>
    <t>ACMB-209-R06-BOB</t>
  </si>
  <si>
    <t>ACMB-209-RR06-BOB</t>
  </si>
  <si>
    <t>ACMB-209-V12-MS</t>
  </si>
  <si>
    <t>ACMB-209-V13-MS</t>
  </si>
  <si>
    <t>ACMB-209-V12-MSA</t>
  </si>
  <si>
    <t>ACMB-209-V13-MSA</t>
  </si>
  <si>
    <t>ACMB-209-V12-MSB</t>
  </si>
  <si>
    <t>ACMB-209-V13-MSB</t>
  </si>
  <si>
    <t>ACMB-209-R07-BO</t>
  </si>
  <si>
    <t>ACMB-209-RR07-BO</t>
  </si>
  <si>
    <t>ACMB-209-R07-BOA</t>
  </si>
  <si>
    <t>ACMB-209-RR07-BOA</t>
  </si>
  <si>
    <t>ACMB-209-R07-BOB</t>
  </si>
  <si>
    <t>ACMB-209-RR07-BOB</t>
  </si>
  <si>
    <t>ACMB-209-V14-MS</t>
  </si>
  <si>
    <t>ACMB-209-V15-MS</t>
  </si>
  <si>
    <t>ACMB-209-V14-MSA</t>
  </si>
  <si>
    <t>ACMB-209-V15-MSA</t>
  </si>
  <si>
    <t>ACMB-209-V14-MSB</t>
  </si>
  <si>
    <t>ACMB-209-V15-MSB</t>
  </si>
  <si>
    <t>ACMB-210-R01-BO</t>
  </si>
  <si>
    <t>ACMB-210-RR01-BO</t>
  </si>
  <si>
    <t>ACMB-210-R01-BOA</t>
  </si>
  <si>
    <t>ACMB-210-RR01-BOA</t>
  </si>
  <si>
    <t>ACMB-210-R01-BOB</t>
  </si>
  <si>
    <t>ACMB-210-RR01-BOB</t>
  </si>
  <si>
    <t>ACMB-210-V02-MS</t>
  </si>
  <si>
    <t>ACMB-210-V03-MS</t>
  </si>
  <si>
    <t>ACMB-210-V02-MSA</t>
  </si>
  <si>
    <t>ACMB-210-V03-MSA</t>
  </si>
  <si>
    <t>ACMB-210-V02-MSB</t>
  </si>
  <si>
    <t>ACMB-210-V03-MSB</t>
  </si>
  <si>
    <t>ACMB-210-R02-BO</t>
  </si>
  <si>
    <t>ACMB-210-RR02-BO</t>
  </si>
  <si>
    <t>ACMB-210-R02-BOA</t>
  </si>
  <si>
    <t>ACMB-210-RR02-BOA</t>
  </si>
  <si>
    <t>ACMB-210-R02-BOB</t>
  </si>
  <si>
    <t>ACMB-210-RR02-BOB</t>
  </si>
  <si>
    <t>ACMB-210-V04-MS</t>
  </si>
  <si>
    <t>ACMB-210-V05-MS</t>
  </si>
  <si>
    <t>ACMB-210-V04-MSA</t>
  </si>
  <si>
    <t>ACMB-210-V05-MSA</t>
  </si>
  <si>
    <t>ACMB-210-V04-MSB</t>
  </si>
  <si>
    <t>ACMB-210-V05-MSB</t>
  </si>
  <si>
    <t>ACMB-210-R03-BO</t>
  </si>
  <si>
    <t>ACMB-210-RR03-BO</t>
  </si>
  <si>
    <t>ACMB-210-R03-BOA</t>
  </si>
  <si>
    <t>ACMB-210-RR03-BOA</t>
  </si>
  <si>
    <t>ACMB-210-R03-BOB</t>
  </si>
  <si>
    <t>ACMB-210-RR03-BOB</t>
  </si>
  <si>
    <t>ACMB-210-V06-MS</t>
  </si>
  <si>
    <t>ACMB-210-V07-MS</t>
  </si>
  <si>
    <t>ACMB-210-V06-MSA</t>
  </si>
  <si>
    <t>ACMB-210-V07-MSA</t>
  </si>
  <si>
    <t>ACMB-210-V06-MSB</t>
  </si>
  <si>
    <t>ACMB-210-V07-MSB</t>
  </si>
  <si>
    <t>ACMB-210-R04-BO</t>
  </si>
  <si>
    <t>ACMB-210-RR04-BO</t>
  </si>
  <si>
    <t>ACMB-210-R04-BOA</t>
  </si>
  <si>
    <t>ACMB-210-RR04-BOA</t>
  </si>
  <si>
    <t>ACMB-210-R04-BOB</t>
  </si>
  <si>
    <t>ACMB-210-RR04-BOB</t>
  </si>
  <si>
    <t>ACMB-210-V08-MS</t>
  </si>
  <si>
    <t>ACMB-210-V09-MS</t>
  </si>
  <si>
    <t>ACMB-210-V08-MSA</t>
  </si>
  <si>
    <t>ACMB-210-V09-MSA</t>
  </si>
  <si>
    <t>ACMB-210-V08-MSB</t>
  </si>
  <si>
    <t>ACMB-210-V09-MSB</t>
  </si>
  <si>
    <t>ACMB-210-R05-BO</t>
  </si>
  <si>
    <t>ACMB-210-RR05-BO</t>
  </si>
  <si>
    <t>ACMB-210-R05-BOA</t>
  </si>
  <si>
    <t>ACMB-210-RR05-BOA</t>
  </si>
  <si>
    <t>ACMB-210-R05-BOB</t>
  </si>
  <si>
    <t>ACMB-210-RR05-BOB</t>
  </si>
  <si>
    <t>ACMB-210-V10-MS</t>
  </si>
  <si>
    <t>ACMB-210-V11-MS</t>
  </si>
  <si>
    <t>ACMB-210-V10-MSA</t>
  </si>
  <si>
    <t>ACMB-210-V11-MSA</t>
  </si>
  <si>
    <t>ACMB-210-V10-MSB</t>
  </si>
  <si>
    <t>ACMB-210-V11-MSB</t>
  </si>
  <si>
    <t>ACMB-210-R06-BO</t>
  </si>
  <si>
    <t>ACMB-210-RR06-BO</t>
  </si>
  <si>
    <t>ACMB-210-R06-BOA</t>
  </si>
  <si>
    <t>ACMB-210-RR06-BOA</t>
  </si>
  <si>
    <t>ACMB-210-R06-BOB</t>
  </si>
  <si>
    <t>ACMB-210-RR06-BOB</t>
  </si>
  <si>
    <t>ACMB-210-V12-MS</t>
  </si>
  <si>
    <t>ACMB-210-V13-MS</t>
  </si>
  <si>
    <t>ACMB-210-V12-MSA</t>
  </si>
  <si>
    <t>ACMB-210-V13-MSA</t>
  </si>
  <si>
    <t>ACMB-210-V12-MSB</t>
  </si>
  <si>
    <t>ACMB-210-V13-MSB</t>
  </si>
  <si>
    <t>ACMB-210-R07-BO</t>
  </si>
  <si>
    <t>ACMB-210-RR07-BO</t>
  </si>
  <si>
    <t>ACMB-210-R07-BOA</t>
  </si>
  <si>
    <t>ACMB-210-RR07-BOA</t>
  </si>
  <si>
    <t>ACMB-210-R07-BOB</t>
  </si>
  <si>
    <t>ACMB-210-RR07-BOB</t>
  </si>
  <si>
    <t>ACMB-210-V14-MS</t>
  </si>
  <si>
    <t>ACMB-210-V15-MS</t>
  </si>
  <si>
    <t>ACMB-210-V14-MSA</t>
  </si>
  <si>
    <t>ACMB-210-V15-MSA</t>
  </si>
  <si>
    <t>ACMB-210-V14-MSB</t>
  </si>
  <si>
    <t>ACMB-210-V15-MSB</t>
  </si>
  <si>
    <t>ACMB-211-R01-BO</t>
  </si>
  <si>
    <t>ACMB-211-RR01-BO</t>
  </si>
  <si>
    <t>ACMB-211-R01-BOA</t>
  </si>
  <si>
    <t>ACMB-211-RR01-BOA</t>
  </si>
  <si>
    <t>ACMB-211-R01-BOB</t>
  </si>
  <si>
    <t>ACMB-211-RR01-BOB</t>
  </si>
  <si>
    <t>ACMB-211-V02-MS</t>
  </si>
  <si>
    <t>ACMB-211-V03-MS</t>
  </si>
  <si>
    <t>ACMB-211-V02-MSA</t>
  </si>
  <si>
    <t>ACMB-211-V03-MSA</t>
  </si>
  <si>
    <t>ACMB-211-V02-MSB</t>
  </si>
  <si>
    <t>ACMB-211-V03-MSB</t>
  </si>
  <si>
    <t>ACMB-211-R02-BO</t>
  </si>
  <si>
    <t>ACMB-211-RR02-BO</t>
  </si>
  <si>
    <t>ACMB-211-R02-BOA</t>
  </si>
  <si>
    <t>ACMB-211-RR02-BOA</t>
  </si>
  <si>
    <t>ACMB-211-R02-BOB</t>
  </si>
  <si>
    <t>ACMB-211-RR02-BOB</t>
  </si>
  <si>
    <t>ACMB-211-V04-MS</t>
  </si>
  <si>
    <t>ACMB-211-V05-MS</t>
  </si>
  <si>
    <t>ACMB-211-V04-MSA</t>
  </si>
  <si>
    <t>ACMB-211-V05-MSA</t>
  </si>
  <si>
    <t>ACMB-211-V04-MSB</t>
  </si>
  <si>
    <t>ACMB-211-V05-MSB</t>
  </si>
  <si>
    <t>ACMB-211-R03-BO</t>
  </si>
  <si>
    <t>ACMB-211-RR03-BO</t>
  </si>
  <si>
    <t>ACMB-211-R03-BOA</t>
  </si>
  <si>
    <t>ACMB-211-RR03-BOA</t>
  </si>
  <si>
    <t>ACMB-211-R03-BOB</t>
  </si>
  <si>
    <t>ACMB-211-RR03-BOB</t>
  </si>
  <si>
    <t>ACMB-211-V06-MS</t>
  </si>
  <si>
    <t>ACMB-211-V07-MS</t>
  </si>
  <si>
    <t>ACMB-211-V06-MSA</t>
  </si>
  <si>
    <t>ACMB-211-V07-MSA</t>
  </si>
  <si>
    <t>ACMB-211-V06-MSB</t>
  </si>
  <si>
    <t>ACMB-211-V07-MSB</t>
  </si>
  <si>
    <t>ACMB-211-R04-BO</t>
  </si>
  <si>
    <t>ACMB-211-RR04-BO</t>
  </si>
  <si>
    <t>ACMB-211-R04-BOA</t>
  </si>
  <si>
    <t>ACMB-211-RR04-BOA</t>
  </si>
  <si>
    <t>ACMB-211-R04-BOB</t>
  </si>
  <si>
    <t>ACMB-211-RR04-BOB</t>
  </si>
  <si>
    <t>ACMB-211-V08-MS</t>
  </si>
  <si>
    <t>ACMB-211-V09-MS</t>
  </si>
  <si>
    <t>ACMB-211-V08-MSA</t>
  </si>
  <si>
    <t>ACMB-211-V09-MSA</t>
  </si>
  <si>
    <t>ACMB-211-V08-MSB</t>
  </si>
  <si>
    <t>ACMB-211-V09-MSB</t>
  </si>
  <si>
    <t>ACMB-211-R05-BO</t>
  </si>
  <si>
    <t>ACMB-211-RR05-BO</t>
  </si>
  <si>
    <t>ACMB-211-R05-BOA</t>
  </si>
  <si>
    <t>ACMB-211-RR05-BOA</t>
  </si>
  <si>
    <t>ACMB-211-R05-BOB</t>
  </si>
  <si>
    <t>ACMB-211-RR05-BOB</t>
  </si>
  <si>
    <t>ACMB-211-V10-MS</t>
  </si>
  <si>
    <t>ACMB-211-V11-MS</t>
  </si>
  <si>
    <t>ACMB-211-V10-MSA</t>
  </si>
  <si>
    <t>ACMB-211-V11-MSA</t>
  </si>
  <si>
    <t>ACMB-211-V10-MSB</t>
  </si>
  <si>
    <t>ACMB-211-V11-MSB</t>
  </si>
  <si>
    <t>ACMB-211-R06-BO</t>
  </si>
  <si>
    <t>ACMB-211-RR06-BO</t>
  </si>
  <si>
    <t>ACMB-211-R06-BOA</t>
  </si>
  <si>
    <t>ACMB-211-RR06-BOA</t>
  </si>
  <si>
    <t>ACMB-211-R06-BOB</t>
  </si>
  <si>
    <t>ACMB-211-RR06-BOB</t>
  </si>
  <si>
    <t>ACMB-211-V12-MS</t>
  </si>
  <si>
    <t>ACMB-211-V13-MS</t>
  </si>
  <si>
    <t>ACMB-211-V12-MSA</t>
  </si>
  <si>
    <t>ACMB-211-V13-MSA</t>
  </si>
  <si>
    <t>ACMB-211-V12-MSB</t>
  </si>
  <si>
    <t>ACMB-211-V13-MSB</t>
  </si>
  <si>
    <t>ACMB-211-R07-BO</t>
  </si>
  <si>
    <t>ACMB-211-RR07-BO</t>
  </si>
  <si>
    <t>ACMB-211-R07-BOA</t>
  </si>
  <si>
    <t>ACMB-211-RR07-BOA</t>
  </si>
  <si>
    <t>ACMB-211-R07-BOB</t>
  </si>
  <si>
    <t>ACMB-211-RR07-BOB</t>
  </si>
  <si>
    <t>ACMB-211-V14-MS</t>
  </si>
  <si>
    <t>ACMB-211-V15-MS</t>
  </si>
  <si>
    <t>ACMB-211-V14-MSA</t>
  </si>
  <si>
    <t>ACMB-211-V15-MSA</t>
  </si>
  <si>
    <t>ACMB-211-V14-MSB</t>
  </si>
  <si>
    <t>ACMB-211-V15-MSB</t>
  </si>
  <si>
    <t>ACMB-212-R01-BO</t>
  </si>
  <si>
    <t>ACMB-212-RR01-BO</t>
  </si>
  <si>
    <t>ACMB-212-R01-BOA</t>
  </si>
  <si>
    <t>ACMB-212-RR01-BOA</t>
  </si>
  <si>
    <t>ACMB-212-R01-BOB</t>
  </si>
  <si>
    <t>ACMB-212-RR01-BOB</t>
  </si>
  <si>
    <t>ACMB-212-V02-MS</t>
  </si>
  <si>
    <t>ACMB-212-V03-MS</t>
  </si>
  <si>
    <t>ACMB-212-V02-MSA</t>
  </si>
  <si>
    <t>ACMB-212-V03-MSA</t>
  </si>
  <si>
    <t>ACMB-212-V02-MSB</t>
  </si>
  <si>
    <t>ACMB-212-V03-MSB</t>
  </si>
  <si>
    <t>ACMB-212-R02-BO</t>
  </si>
  <si>
    <t>ACMB-212-RR02-BO</t>
  </si>
  <si>
    <t>ACMB-212-R02-BOA</t>
  </si>
  <si>
    <t>ACMB-212-RR02-BOA</t>
  </si>
  <si>
    <t>ACMB-212-R02-BOB</t>
  </si>
  <si>
    <t>ACMB-212-RR02-BOB</t>
  </si>
  <si>
    <t>ACMB-212-V04-MS</t>
  </si>
  <si>
    <t>ACMB-212-V05-MS</t>
  </si>
  <si>
    <t>ACMB-212-V04-MSA</t>
  </si>
  <si>
    <t>ACMB-212-V05-MSA</t>
  </si>
  <si>
    <t>ACMB-212-V04-MSB</t>
  </si>
  <si>
    <t>ACMB-212-V05-MSB</t>
  </si>
  <si>
    <t>ACMB-212-R03-BO</t>
  </si>
  <si>
    <t>ACMB-212-RR03-BO</t>
  </si>
  <si>
    <t>ACMB-212-R03-BOA</t>
  </si>
  <si>
    <t>ACMB-212-RR03-BOA</t>
  </si>
  <si>
    <t>ACMB-212-R03-BOB</t>
  </si>
  <si>
    <t>ACMB-212-RR03-BOB</t>
  </si>
  <si>
    <t>ACMB-212-V06-MS</t>
  </si>
  <si>
    <t>ACMB-212-V07-MS</t>
  </si>
  <si>
    <t>ACMB-212-V06-MSA</t>
  </si>
  <si>
    <t>ACMB-212-V07-MSA</t>
  </si>
  <si>
    <t>ACMB-212-V06-MSB</t>
  </si>
  <si>
    <t>ACMB-212-V07-MSB</t>
  </si>
  <si>
    <t>ACMB-212-R04-BO</t>
  </si>
  <si>
    <t>ACMB-212-RR04-BO</t>
  </si>
  <si>
    <t>ACMB-212-R04-BOA</t>
  </si>
  <si>
    <t>ACMB-212-RR04-BOA</t>
  </si>
  <si>
    <t>ACMB-212-R04-BOB</t>
  </si>
  <si>
    <t>ACMB-212-RR04-BOB</t>
  </si>
  <si>
    <t>ACMB-212-V08-MS</t>
  </si>
  <si>
    <t>ACMB-212-V09-MS</t>
  </si>
  <si>
    <t>ACMB-212-V08-MSA</t>
  </si>
  <si>
    <t>ACMB-212-V09-MSA</t>
  </si>
  <si>
    <t>ACMB-212-V08-MSB</t>
  </si>
  <si>
    <t>ACMB-212-V09-MSB</t>
  </si>
  <si>
    <t>ACMB-212-R05-BO</t>
  </si>
  <si>
    <t>ACMB-212-RR05-BO</t>
  </si>
  <si>
    <t>ACMB-212-R05-BOA</t>
  </si>
  <si>
    <t>ACMB-212-RR05-BOA</t>
  </si>
  <si>
    <t>ACMB-212-R05-BOB</t>
  </si>
  <si>
    <t>ACMB-212-RR05-BOB</t>
  </si>
  <si>
    <t>ACMB-212-V10-MS</t>
  </si>
  <si>
    <t>ACMB-212-V11-MS</t>
  </si>
  <si>
    <t>ACMB-212-V10-MSA</t>
  </si>
  <si>
    <t>ACMB-212-V11-MSA</t>
  </si>
  <si>
    <t>ACMB-212-V10-MSB</t>
  </si>
  <si>
    <t>ACMB-212-V11-MSB</t>
  </si>
  <si>
    <t>ACMB-212-R06-BO</t>
  </si>
  <si>
    <t>ACMB-212-RR06-BO</t>
  </si>
  <si>
    <t>ACMB-212-R06-BOA</t>
  </si>
  <si>
    <t>ACMB-212-RR06-BOA</t>
  </si>
  <si>
    <t>ACMB-212-R06-BOB</t>
  </si>
  <si>
    <t>ACMB-212-RR06-BOB</t>
  </si>
  <si>
    <t>ACMB-212-V12-MS</t>
  </si>
  <si>
    <t>ACMB-212-V13-MS</t>
  </si>
  <si>
    <t>ACMB-212-V12-MSA</t>
  </si>
  <si>
    <t>ACMB-212-V13-MSA</t>
  </si>
  <si>
    <t>ACMB-212-V12-MSB</t>
  </si>
  <si>
    <t>ACMB-212-V13-MSB</t>
  </si>
  <si>
    <t>ACMB-212-R07-BO</t>
  </si>
  <si>
    <t>ACMB-212-RR07-BO</t>
  </si>
  <si>
    <t>ACMB-212-R07-BOA</t>
  </si>
  <si>
    <t>ACMB-212-RR07-BOA</t>
  </si>
  <si>
    <t>ACMB-212-R07-BOB</t>
  </si>
  <si>
    <t>ACMB-212-RR07-BOB</t>
  </si>
  <si>
    <t>ACMB-212-V14-MS</t>
  </si>
  <si>
    <t>ACMB-212-V15-MS</t>
  </si>
  <si>
    <t>ACMB-212-V14-MSA</t>
  </si>
  <si>
    <t>ACMB-212-V15-MSA</t>
  </si>
  <si>
    <t>ACMB-212-V14-MSB</t>
  </si>
  <si>
    <t>ACMB-212-V15-MSB</t>
  </si>
  <si>
    <t>ACMB-213-R01-BO</t>
  </si>
  <si>
    <t>ACMB-213-RR01-BO</t>
  </si>
  <si>
    <t>ACMB-213-R01-BOA</t>
  </si>
  <si>
    <t>ACMB-213-RR01-BOA</t>
  </si>
  <si>
    <t>ACMB-213-R01-BOB</t>
  </si>
  <si>
    <t>ACMB-213-RR01-BOB</t>
  </si>
  <si>
    <t>ACMB-213-V02-MS</t>
  </si>
  <si>
    <t>ACMB-213-V03-MS</t>
  </si>
  <si>
    <t>ACMB-213-V02-MSA</t>
  </si>
  <si>
    <t>ACMB-213-V03-MSA</t>
  </si>
  <si>
    <t>ACMB-213-V02-MSB</t>
  </si>
  <si>
    <t>ACMB-213-V03-MSB</t>
  </si>
  <si>
    <t>ACMB-213-R02-BO</t>
  </si>
  <si>
    <t>ACMB-213-RR02-BO</t>
  </si>
  <si>
    <t>ACMB-213-R02-BOA</t>
  </si>
  <si>
    <t>ACMB-213-RR02-BOA</t>
  </si>
  <si>
    <t>ACMB-213-R02-BOB</t>
  </si>
  <si>
    <t>ACMB-213-RR02-BOB</t>
  </si>
  <si>
    <t>ACMB-213-V04-MS</t>
  </si>
  <si>
    <t>ACMB-213-V05-MS</t>
  </si>
  <si>
    <t>ACMB-213-V04-MSA</t>
  </si>
  <si>
    <t>ACMB-213-V05-MSA</t>
  </si>
  <si>
    <t>ACMB-213-V04-MSB</t>
  </si>
  <si>
    <t>ACMB-213-V05-MSB</t>
  </si>
  <si>
    <t>ACMB-213-R03-BO</t>
  </si>
  <si>
    <t>ACMB-213-RR03-BO</t>
  </si>
  <si>
    <t>ACMB-213-R03-BOA</t>
  </si>
  <si>
    <t>ACMB-213-RR03-BOA</t>
  </si>
  <si>
    <t>ACMB-213-R03-BOB</t>
  </si>
  <si>
    <t>ACMB-213-RR03-BOB</t>
  </si>
  <si>
    <t>ACMB-213-V06-MS</t>
  </si>
  <si>
    <t>ACMB-213-V07-MS</t>
  </si>
  <si>
    <t>ACMB-213-V06-MSA</t>
  </si>
  <si>
    <t>ACMB-213-V07-MSA</t>
  </si>
  <si>
    <t>ACMB-213-V06-MSB</t>
  </si>
  <si>
    <t>ACMB-213-V07-MSB</t>
  </si>
  <si>
    <t>ACMB-213-R04-BO</t>
  </si>
  <si>
    <t>ACMB-213-RR04-BO</t>
  </si>
  <si>
    <t>ACMB-213-R04-BOA</t>
  </si>
  <si>
    <t>ACMB-213-RR04-BOA</t>
  </si>
  <si>
    <t>ACMB-213-R04-BOB</t>
  </si>
  <si>
    <t>ACMB-213-RR04-BOB</t>
  </si>
  <si>
    <t>ACMB-213-V08-MS</t>
  </si>
  <si>
    <t>ACMB-213-V09-MS</t>
  </si>
  <si>
    <t>ACMB-213-V08-MSA</t>
  </si>
  <si>
    <t>ACMB-213-V09-MSA</t>
  </si>
  <si>
    <t>ACMB-213-V08-MSB</t>
  </si>
  <si>
    <t>ACMB-213-V09-MSB</t>
  </si>
  <si>
    <t>ACMB-213-R05-BO</t>
  </si>
  <si>
    <t>ACMB-213-RR05-BO</t>
  </si>
  <si>
    <t>ACMB-213-R05-BOA</t>
  </si>
  <si>
    <t>ACMB-213-RR05-BOA</t>
  </si>
  <si>
    <t>ACMB-213-R05-BOB</t>
  </si>
  <si>
    <t>ACMB-213-RR05-BOB</t>
  </si>
  <si>
    <t>ACMB-213-V10-MS</t>
  </si>
  <si>
    <t>ACMB-213-V11-MS</t>
  </si>
  <si>
    <t>ACMB-213-V10-MSA</t>
  </si>
  <si>
    <t>ACMB-213-V11-MSA</t>
  </si>
  <si>
    <t>ACMB-213-V10-MSB</t>
  </si>
  <si>
    <t>ACMB-213-V11-MSB</t>
  </si>
  <si>
    <t>ACMB-213-R06-BO</t>
  </si>
  <si>
    <t>ACMB-213-RR06-BO</t>
  </si>
  <si>
    <t>ACMB-213-R06-BOA</t>
  </si>
  <si>
    <t>ACMB-213-RR06-BOA</t>
  </si>
  <si>
    <t>ACMB-213-R06-BOB</t>
  </si>
  <si>
    <t>ACMB-213-RR06-BOB</t>
  </si>
  <si>
    <t>ACMB-213-V12-MS</t>
  </si>
  <si>
    <t>ACMB-213-V13-MS</t>
  </si>
  <si>
    <t>ACMB-213-V12-MSA</t>
  </si>
  <si>
    <t>ACMB-213-V13-MSA</t>
  </si>
  <si>
    <t>ACMB-213-V12-MSB</t>
  </si>
  <si>
    <t>ACMB-213-V13-MSB</t>
  </si>
  <si>
    <t>ACMB-213-R07-BO</t>
  </si>
  <si>
    <t>ACMB-213-RR07-BO</t>
  </si>
  <si>
    <t>ACMB-213-R07-BOA</t>
  </si>
  <si>
    <t>ACMB-213-RR07-BOA</t>
  </si>
  <si>
    <t>ACMB-213-R07-BOB</t>
  </si>
  <si>
    <t>ACMB-213-RR07-BOB</t>
  </si>
  <si>
    <t>ACMB-213-V14-MS</t>
  </si>
  <si>
    <t>ACMB-213-V15-MS</t>
  </si>
  <si>
    <t>ACMB-213-V14-MSA</t>
  </si>
  <si>
    <t>ACMB-213-V15-MSA</t>
  </si>
  <si>
    <t>ACMB-213-V14-MSB</t>
  </si>
  <si>
    <t>ACMB-213-V15-MSB</t>
  </si>
  <si>
    <t>ACMB-214-R01-BO</t>
  </si>
  <si>
    <t>ACMB-214-RR01-BO</t>
  </si>
  <si>
    <t>ACMB-214-R01-BOA</t>
  </si>
  <si>
    <t>ACMB-214-RR01-BOA</t>
  </si>
  <si>
    <t>ACMB-214-R01-BOB</t>
  </si>
  <si>
    <t>ACMB-214-RR01-BOB</t>
  </si>
  <si>
    <t>ACMB-214-V02-MS</t>
  </si>
  <si>
    <t>ACMB-214-V03-MS</t>
  </si>
  <si>
    <t>ACMB-214-V02-MSA</t>
  </si>
  <si>
    <t>ACMB-214-V03-MSA</t>
  </si>
  <si>
    <t>ACMB-214-V02-MSB</t>
  </si>
  <si>
    <t>ACMB-214-V03-MSB</t>
  </si>
  <si>
    <t>ACMB-214-R02-BO</t>
  </si>
  <si>
    <t>ACMB-214-RR02-BO</t>
  </si>
  <si>
    <t>ACMB-214-R02-BOA</t>
  </si>
  <si>
    <t>ACMB-214-RR02-BOA</t>
  </si>
  <si>
    <t>ACMB-214-R02-BOB</t>
  </si>
  <si>
    <t>ACMB-214-RR02-BOB</t>
  </si>
  <si>
    <t>ACMB-214-V04-MS</t>
  </si>
  <si>
    <t>ACMB-214-V05-MS</t>
  </si>
  <si>
    <t>ACMB-214-V04-MSA</t>
  </si>
  <si>
    <t>ACMB-214-V05-MSA</t>
  </si>
  <si>
    <t>ACMB-214-V04-MSB</t>
  </si>
  <si>
    <t>ACMB-214-V05-MSB</t>
  </si>
  <si>
    <t>ACMB-214-R03-BO</t>
  </si>
  <si>
    <t>ACMB-214-RR03-BO</t>
  </si>
  <si>
    <t>ACMB-214-R03-BOA</t>
  </si>
  <si>
    <t>ACMB-214-RR03-BOA</t>
  </si>
  <si>
    <t>ACMB-214-R03-BOB</t>
  </si>
  <si>
    <t>ACMB-214-RR03-BOB</t>
  </si>
  <si>
    <t>ACMB-214-V06-MS</t>
  </si>
  <si>
    <t>ACMB-214-V07-MS</t>
  </si>
  <si>
    <t>ACMB-214-V06-MSA</t>
  </si>
  <si>
    <t>ACMB-214-V07-MSA</t>
  </si>
  <si>
    <t>ACMB-214-V06-MSB</t>
  </si>
  <si>
    <t>ACMB-214-V07-MSB</t>
  </si>
  <si>
    <t>ACMB-214-R04-BO</t>
  </si>
  <si>
    <t>ACMB-214-RR04-BO</t>
  </si>
  <si>
    <t>ACMB-214-R04-BOA</t>
  </si>
  <si>
    <t>ACMB-214-RR04-BOA</t>
  </si>
  <si>
    <t>ACMB-214-R04-BOB</t>
  </si>
  <si>
    <t>ACMB-214-RR04-BOB</t>
  </si>
  <si>
    <t>ACMB-214-V08-MS</t>
  </si>
  <si>
    <t>ACMB-214-V09-MS</t>
  </si>
  <si>
    <t>ACMB-214-V08-MSA</t>
  </si>
  <si>
    <t>ACMB-214-V09-MSA</t>
  </si>
  <si>
    <t>ACMB-214-V08-MSB</t>
  </si>
  <si>
    <t>ACMB-214-V09-MSB</t>
  </si>
  <si>
    <t>ACMB-214-R05-BO</t>
  </si>
  <si>
    <t>ACMB-214-RR05-BO</t>
  </si>
  <si>
    <t>ACMB-214-R05-BOA</t>
  </si>
  <si>
    <t>ACMB-214-RR05-BOA</t>
  </si>
  <si>
    <t>ACMB-214-R05-BOB</t>
  </si>
  <si>
    <t>ACMB-214-RR05-BOB</t>
  </si>
  <si>
    <t>ACMB-214-V10-MS</t>
  </si>
  <si>
    <t>ACMB-214-V11-MS</t>
  </si>
  <si>
    <t>ACMB-214-V10-MSA</t>
  </si>
  <si>
    <t>ACMB-214-V11-MSA</t>
  </si>
  <si>
    <t>ACMB-214-V10-MSB</t>
  </si>
  <si>
    <t>ACMB-214-V11-MSB</t>
  </si>
  <si>
    <t>ACMB-214-R06-BO</t>
  </si>
  <si>
    <t>ACMB-214-RR06-BO</t>
  </si>
  <si>
    <t>ACMB-214-R06-BOA</t>
  </si>
  <si>
    <t>ACMB-214-RR06-BOA</t>
  </si>
  <si>
    <t>ACMB-214-R06-BOB</t>
  </si>
  <si>
    <t>ACMB-214-RR06-BOB</t>
  </si>
  <si>
    <t>ACMB-214-V12-MS</t>
  </si>
  <si>
    <t>ACMB-214-V13-MS</t>
  </si>
  <si>
    <t>ACMB-214-V12-MSA</t>
  </si>
  <si>
    <t>ACMB-214-V13-MSA</t>
  </si>
  <si>
    <t>ACMB-214-V12-MSB</t>
  </si>
  <si>
    <t>ACMB-214-V13-MSB</t>
  </si>
  <si>
    <t>ACMB-214-R07-BO</t>
  </si>
  <si>
    <t>ACMB-214-RR07-BO</t>
  </si>
  <si>
    <t>ACMB-214-R07-BOA</t>
  </si>
  <si>
    <t>ACMB-214-RR07-BOA</t>
  </si>
  <si>
    <t>ACMB-214-R07-BOB</t>
  </si>
  <si>
    <t>ACMB-214-RR07-BOB</t>
  </si>
  <si>
    <t>ACMB-214-V14-MS</t>
  </si>
  <si>
    <t>ACMB-214-V15-MS</t>
  </si>
  <si>
    <t>ACMB-214-V14-MSA</t>
  </si>
  <si>
    <t>ACMB-214-V15-MSA</t>
  </si>
  <si>
    <t>ACMB-214-V14-MSB</t>
  </si>
  <si>
    <t>ACMB-214-V15-MSB</t>
  </si>
  <si>
    <t>ACMB-215-R01-BO</t>
  </si>
  <si>
    <t>ACMB-215-RR01-BO</t>
  </si>
  <si>
    <t>ACMB-215-R01-BOA</t>
  </si>
  <si>
    <t>ACMB-215-RR01-BOA</t>
  </si>
  <si>
    <t>ACMB-215-R01-BOB</t>
  </si>
  <si>
    <t>ACMB-215-RR01-BOB</t>
  </si>
  <si>
    <t>ACMB-215-V02-MS</t>
  </si>
  <si>
    <t>ACMB-215-V03-MS</t>
  </si>
  <si>
    <t>ACMB-215-V02-MSA</t>
  </si>
  <si>
    <t>ACMB-215-V03-MSA</t>
  </si>
  <si>
    <t>ACMB-215-V02-MSB</t>
  </si>
  <si>
    <t>ACMB-215-V03-MSB</t>
  </si>
  <si>
    <t>ACMB-215-R02-BO</t>
  </si>
  <si>
    <t>ACMB-215-RR02-BO</t>
  </si>
  <si>
    <t>ACMB-215-R02-BOA</t>
  </si>
  <si>
    <t>ACMB-215-RR02-BOA</t>
  </si>
  <si>
    <t>ACMB-215-R02-BOB</t>
  </si>
  <si>
    <t>ACMB-215-RR02-BOB</t>
  </si>
  <si>
    <t>ACMB-215-V04-MS</t>
  </si>
  <si>
    <t>ACMB-215-V05-MS</t>
  </si>
  <si>
    <t>ACMB-215-V04-MSA</t>
  </si>
  <si>
    <t>ACMB-215-V05-MSA</t>
  </si>
  <si>
    <t>ACMB-215-V04-MSB</t>
  </si>
  <si>
    <t>ACMB-215-V05-MSB</t>
  </si>
  <si>
    <t>ACMB-215-R03-BO</t>
  </si>
  <si>
    <t>ACMB-215-RR03-BO</t>
  </si>
  <si>
    <t>ACMB-215-R03-BOA</t>
  </si>
  <si>
    <t>ACMB-215-RR03-BOA</t>
  </si>
  <si>
    <t>ACMB-215-R03-BOB</t>
  </si>
  <si>
    <t>ACMB-215-RR03-BOB</t>
  </si>
  <si>
    <t>ACMB-215-V06-MS</t>
  </si>
  <si>
    <t>ACMB-215-V07-MS</t>
  </si>
  <si>
    <t>ACMB-215-V06-MSA</t>
  </si>
  <si>
    <t>ACMB-215-V07-MSA</t>
  </si>
  <si>
    <t>ACMB-215-V06-MSB</t>
  </si>
  <si>
    <t>ACMB-215-V07-MSB</t>
  </si>
  <si>
    <t>ACMB-215-R04-BO</t>
  </si>
  <si>
    <t>ACMB-215-RR04-BO</t>
  </si>
  <si>
    <t>ACMB-215-R04-BOA</t>
  </si>
  <si>
    <t>ACMB-215-RR04-BOA</t>
  </si>
  <si>
    <t>ACMB-215-R04-BOB</t>
  </si>
  <si>
    <t>ACMB-215-RR04-BOB</t>
  </si>
  <si>
    <t>ACMB-215-V08-MS</t>
  </si>
  <si>
    <t>ACMB-215-V09-MS</t>
  </si>
  <si>
    <t>ACMB-215-V08-MSA</t>
  </si>
  <si>
    <t>ACMB-215-V09-MSA</t>
  </si>
  <si>
    <t>ACMB-215-V08-MSB</t>
  </si>
  <si>
    <t>ACMB-215-V09-MSB</t>
  </si>
  <si>
    <t>ACMB-215-R05-BO</t>
  </si>
  <si>
    <t>ACMB-215-RR05-BO</t>
  </si>
  <si>
    <t>ACMB-215-R05-BOA</t>
  </si>
  <si>
    <t>ACMB-215-RR05-BOA</t>
  </si>
  <si>
    <t>ACMB-215-R05-BOB</t>
  </si>
  <si>
    <t>ACMB-215-RR05-BOB</t>
  </si>
  <si>
    <t>ACMB-215-V10-MS</t>
  </si>
  <si>
    <t>ACMB-215-V11-MS</t>
  </si>
  <si>
    <t>ACMB-215-V10-MSA</t>
  </si>
  <si>
    <t>ACMB-215-V11-MSA</t>
  </si>
  <si>
    <t>ACMB-215-V10-MSB</t>
  </si>
  <si>
    <t>ACMB-215-V11-MSB</t>
  </si>
  <si>
    <t>ACMB-215-R06-BO</t>
  </si>
  <si>
    <t>ACMB-215-RR06-BO</t>
  </si>
  <si>
    <t>ACMB-215-R06-BOA</t>
  </si>
  <si>
    <t>ACMB-215-RR06-BOA</t>
  </si>
  <si>
    <t>ACMB-215-R06-BOB</t>
  </si>
  <si>
    <t>ACMB-215-RR06-BOB</t>
  </si>
  <si>
    <t>ACMB-215-V12-MS</t>
  </si>
  <si>
    <t>ACMB-215-V13-MS</t>
  </si>
  <si>
    <t>ACMB-215-V12-MSA</t>
  </si>
  <si>
    <t>ACMB-215-V13-MSA</t>
  </si>
  <si>
    <t>ACMB-215-V12-MSB</t>
  </si>
  <si>
    <t>ACMB-215-V13-MSB</t>
  </si>
  <si>
    <t>ACMB-215-R07-BO</t>
  </si>
  <si>
    <t>ACMB-215-RR07-BO</t>
  </si>
  <si>
    <t>ACMB-215-R07-BOA</t>
  </si>
  <si>
    <t>ACMB-215-RR07-BOA</t>
  </si>
  <si>
    <t>ACMB-215-R07-BOB</t>
  </si>
  <si>
    <t>ACMB-215-RR07-BOB</t>
  </si>
  <si>
    <t>ACMB-215-V14-MS</t>
  </si>
  <si>
    <t>ACMB-215-V15-MS</t>
  </si>
  <si>
    <t>ACMB-215-V14-MSA</t>
  </si>
  <si>
    <t>ACMB-215-V15-MSA</t>
  </si>
  <si>
    <t>ACMB-215-V14-MSB</t>
  </si>
  <si>
    <t>ACMB-215-V15-MSB</t>
  </si>
  <si>
    <t>ACMB-216-R01-BO</t>
  </si>
  <si>
    <t>ACMB-216-RR01-BO</t>
  </si>
  <si>
    <t>ACMB-216-R01-BOA</t>
  </si>
  <si>
    <t>ACMB-216-RR01-BOA</t>
  </si>
  <si>
    <t>ACMB-216-R01-BOB</t>
  </si>
  <si>
    <t>ACMB-216-RR01-BOB</t>
  </si>
  <si>
    <t>ACMB-216-V02-MS</t>
  </si>
  <si>
    <t>ACMB-216-V03-MS</t>
  </si>
  <si>
    <t>ACMB-216-V02-MSA</t>
  </si>
  <si>
    <t>ACMB-216-V03-MSA</t>
  </si>
  <si>
    <t>ACMB-216-V02-MSB</t>
  </si>
  <si>
    <t>ACMB-216-V03-MSB</t>
  </si>
  <si>
    <t>ACMB-216-R02-BO</t>
  </si>
  <si>
    <t>ACMB-216-RR02-BO</t>
  </si>
  <si>
    <t>ACMB-216-R02-BOA</t>
  </si>
  <si>
    <t>ACMB-216-RR02-BOA</t>
  </si>
  <si>
    <t>ACMB-216-R02-BOB</t>
  </si>
  <si>
    <t>ACMB-216-RR02-BOB</t>
  </si>
  <si>
    <t>ACMB-216-V04-MS</t>
  </si>
  <si>
    <t>ACMB-216-V05-MS</t>
  </si>
  <si>
    <t>ACMB-216-V04-MSA</t>
  </si>
  <si>
    <t>ACMB-216-V05-MSA</t>
  </si>
  <si>
    <t>ACMB-216-V04-MSB</t>
  </si>
  <si>
    <t>ACMB-216-V05-MSB</t>
  </si>
  <si>
    <t>ACMB-216-R03-BO</t>
  </si>
  <si>
    <t>ACMB-216-RR03-BO</t>
  </si>
  <si>
    <t>ACMB-216-R03-BOA</t>
  </si>
  <si>
    <t>ACMB-216-RR03-BOA</t>
  </si>
  <si>
    <t>ACMB-216-R03-BOB</t>
  </si>
  <si>
    <t>ACMB-216-RR03-BOB</t>
  </si>
  <si>
    <t>ACMB-216-V06-MS</t>
  </si>
  <si>
    <t>ACMB-216-V07-MS</t>
  </si>
  <si>
    <t>ACMB-216-V06-MSA</t>
  </si>
  <si>
    <t>ACMB-216-V07-MSA</t>
  </si>
  <si>
    <t>ACMB-216-V06-MSB</t>
  </si>
  <si>
    <t>ACMB-216-V07-MSB</t>
  </si>
  <si>
    <t>ACMB-216-R04-BO</t>
  </si>
  <si>
    <t>ACMB-216-RR04-BO</t>
  </si>
  <si>
    <t>ACMB-216-R04-BOA</t>
  </si>
  <si>
    <t>ACMB-216-RR04-BOA</t>
  </si>
  <si>
    <t>ACMB-216-R04-BOB</t>
  </si>
  <si>
    <t>ACMB-216-RR04-BOB</t>
  </si>
  <si>
    <t>ACMB-216-V08-MS</t>
  </si>
  <si>
    <t>ACMB-216-V09-MS</t>
  </si>
  <si>
    <t>ACMB-216-V08-MSA</t>
  </si>
  <si>
    <t>ACMB-216-V09-MSA</t>
  </si>
  <si>
    <t>ACMB-216-V08-MSB</t>
  </si>
  <si>
    <t>ACMB-216-V09-MSB</t>
  </si>
  <si>
    <t>ACMB-216-R05-BO</t>
  </si>
  <si>
    <t>ACMB-216-RR05-BO</t>
  </si>
  <si>
    <t>ACMB-216-R05-BOA</t>
  </si>
  <si>
    <t>ACMB-216-RR05-BOA</t>
  </si>
  <si>
    <t>ACMB-216-R05-BOB</t>
  </si>
  <si>
    <t>ACMB-216-RR05-BOB</t>
  </si>
  <si>
    <t>ACMB-216-V10-MS</t>
  </si>
  <si>
    <t>ACMB-216-V11-MS</t>
  </si>
  <si>
    <t>ACMB-216-V10-MSA</t>
  </si>
  <si>
    <t>ACMB-216-V11-MSA</t>
  </si>
  <si>
    <t>ACMB-216-V10-MSB</t>
  </si>
  <si>
    <t>ACMB-216-V11-MSB</t>
  </si>
  <si>
    <t>ACMB-216-R06-BO</t>
  </si>
  <si>
    <t>ACMB-216-RR06-BO</t>
  </si>
  <si>
    <t>ACMB-216-R06-BOA</t>
  </si>
  <si>
    <t>ACMB-216-RR06-BOA</t>
  </si>
  <si>
    <t>ACMB-216-R06-BOB</t>
  </si>
  <si>
    <t>ACMB-216-RR06-BOB</t>
  </si>
  <si>
    <t>ACMB-216-V12-MS</t>
  </si>
  <si>
    <t>ACMB-216-V13-MS</t>
  </si>
  <si>
    <t>ACMB-216-V12-MSA</t>
  </si>
  <si>
    <t>ACMB-216-V13-MSA</t>
  </si>
  <si>
    <t>ACMB-216-V12-MSB</t>
  </si>
  <si>
    <t>ACMB-216-V13-MSB</t>
  </si>
  <si>
    <t>ACMB-216-R07-BO</t>
  </si>
  <si>
    <t>ACMB-216-RR07-BO</t>
  </si>
  <si>
    <t>ACMB-216-R07-BOA</t>
  </si>
  <si>
    <t>ACMB-216-RR07-BOA</t>
  </si>
  <si>
    <t>ACMB-216-R07-BOB</t>
  </si>
  <si>
    <t>ACMB-216-RR07-BOB</t>
  </si>
  <si>
    <t>ACMB-216-V14-MS</t>
  </si>
  <si>
    <t>ACMB-216-V15-MS</t>
  </si>
  <si>
    <t>ACMB-216-V14-MSA</t>
  </si>
  <si>
    <t>ACMB-216-V15-MSA</t>
  </si>
  <si>
    <t>ACMB-216-V14-MSB</t>
  </si>
  <si>
    <t>ACMB-216-V15-MSB</t>
  </si>
  <si>
    <t>ACMB-217-R01-BO</t>
  </si>
  <si>
    <t>ACMB-217-RR01-BO</t>
  </si>
  <si>
    <t>ACMB-217-R01-BOA</t>
  </si>
  <si>
    <t>ACMB-217-RR01-BOA</t>
  </si>
  <si>
    <t>ACMB-217-R01-BOB</t>
  </si>
  <si>
    <t>ACMB-217-RR01-BOB</t>
  </si>
  <si>
    <t>ACMB-217-V02-MS</t>
  </si>
  <si>
    <t>ACMB-217-V03-MS</t>
  </si>
  <si>
    <t>ACMB-217-V02-MSA</t>
  </si>
  <si>
    <t>ACMB-217-V03-MSA</t>
  </si>
  <si>
    <t>ACMB-217-V02-MSB</t>
  </si>
  <si>
    <t>ACMB-217-V03-MSB</t>
  </si>
  <si>
    <t>ACMB-217-R02-BO</t>
  </si>
  <si>
    <t>ACMB-217-RR02-BO</t>
  </si>
  <si>
    <t>ACMB-217-R02-BOA</t>
  </si>
  <si>
    <t>ACMB-217-RR02-BOA</t>
  </si>
  <si>
    <t>ACMB-217-R02-BOB</t>
  </si>
  <si>
    <t>ACMB-217-RR02-BOB</t>
  </si>
  <si>
    <t>ACMB-217-V04-MS</t>
  </si>
  <si>
    <t>ACMB-217-V05-MS</t>
  </si>
  <si>
    <t>ACMB-217-V04-MSA</t>
  </si>
  <si>
    <t>ACMB-217-V05-MSA</t>
  </si>
  <si>
    <t>ACMB-217-V04-MSB</t>
  </si>
  <si>
    <t>ACMB-217-V05-MSB</t>
  </si>
  <si>
    <t>ACMB-217-R03-BO</t>
  </si>
  <si>
    <t>ACMB-217-RR03-BO</t>
  </si>
  <si>
    <t>ACMB-217-R03-BOA</t>
  </si>
  <si>
    <t>ACMB-217-RR03-BOA</t>
  </si>
  <si>
    <t>ACMB-217-R03-BOB</t>
  </si>
  <si>
    <t>ACMB-217-RR03-BOB</t>
  </si>
  <si>
    <t>ACMB-217-V06-MS</t>
  </si>
  <si>
    <t>ACMB-217-V07-MS</t>
  </si>
  <si>
    <t>ACMB-217-V06-MSA</t>
  </si>
  <si>
    <t>ACMB-217-V07-MSA</t>
  </si>
  <si>
    <t>ACMB-217-V06-MSB</t>
  </si>
  <si>
    <t>ACMB-217-V07-MSB</t>
  </si>
  <si>
    <t>ACMB-217-R04-BO</t>
  </si>
  <si>
    <t>ACMB-217-RR04-BO</t>
  </si>
  <si>
    <t>ACMB-217-R04-BOA</t>
  </si>
  <si>
    <t>ACMB-217-RR04-BOA</t>
  </si>
  <si>
    <t>ACMB-217-R04-BOB</t>
  </si>
  <si>
    <t>ACMB-217-RR04-BOB</t>
  </si>
  <si>
    <t>ACMB-217-V08-MS</t>
  </si>
  <si>
    <t>ACMB-217-V09-MS</t>
  </si>
  <si>
    <t>ACMB-217-V08-MSA</t>
  </si>
  <si>
    <t>ACMB-217-V09-MSA</t>
  </si>
  <si>
    <t>ACMB-217-V08-MSB</t>
  </si>
  <si>
    <t>ACMB-217-V09-MSB</t>
  </si>
  <si>
    <t>ACMB-217-R05-BO</t>
  </si>
  <si>
    <t>ACMB-217-RR05-BO</t>
  </si>
  <si>
    <t>ACMB-217-R05-BOA</t>
  </si>
  <si>
    <t>ACMB-217-RR05-BOA</t>
  </si>
  <si>
    <t>ACMB-217-R05-BOB</t>
  </si>
  <si>
    <t>ACMB-217-RR05-BOB</t>
  </si>
  <si>
    <t>ACMB-217-V10-MS</t>
  </si>
  <si>
    <t>ACMB-217-V11-MS</t>
  </si>
  <si>
    <t>ACMB-217-V10-MSA</t>
  </si>
  <si>
    <t>ACMB-217-V11-MSA</t>
  </si>
  <si>
    <t>ACMB-217-V10-MSB</t>
  </si>
  <si>
    <t>ACMB-217-V11-MSB</t>
  </si>
  <si>
    <t>ACMB-217-R06-BO</t>
  </si>
  <si>
    <t>ACMB-217-RR06-BO</t>
  </si>
  <si>
    <t>ACMB-217-R06-BOA</t>
  </si>
  <si>
    <t>ACMB-217-RR06-BOA</t>
  </si>
  <si>
    <t>ACMB-217-R06-BOB</t>
  </si>
  <si>
    <t>ACMB-217-RR06-BOB</t>
  </si>
  <si>
    <t>ACMB-217-V12-MS</t>
  </si>
  <si>
    <t>ACMB-217-V13-MS</t>
  </si>
  <si>
    <t>ACMB-217-V12-MSA</t>
  </si>
  <si>
    <t>ACMB-217-V13-MSA</t>
  </si>
  <si>
    <t>ACMB-217-V12-MSB</t>
  </si>
  <si>
    <t>ACMB-217-V13-MSB</t>
  </si>
  <si>
    <t>ACMB-217-R07-BO</t>
  </si>
  <si>
    <t>ACMB-217-RR07-BO</t>
  </si>
  <si>
    <t>ACMB-217-R07-BOA</t>
  </si>
  <si>
    <t>ACMB-217-RR07-BOA</t>
  </si>
  <si>
    <t>ACMB-217-R07-BOB</t>
  </si>
  <si>
    <t>ACMB-217-RR07-BOB</t>
  </si>
  <si>
    <t>ACMB-217-V14-MS</t>
  </si>
  <si>
    <t>ACMB-217-V15-MS</t>
  </si>
  <si>
    <t>ACMB-217-V14-MSA</t>
  </si>
  <si>
    <t>ACMB-217-V15-MSA</t>
  </si>
  <si>
    <t>ACMB-217-V14-MSB</t>
  </si>
  <si>
    <t>ACMB-217-V15-MSB</t>
  </si>
  <si>
    <t>ACMB-218-R01-BO</t>
  </si>
  <si>
    <t>ACMB-218-RR01-BO</t>
  </si>
  <si>
    <t>ACMB-218-R01-BOA</t>
  </si>
  <si>
    <t>ACMB-218-RR01-BOA</t>
  </si>
  <si>
    <t>ACMB-218-R01-BOB</t>
  </si>
  <si>
    <t>ACMB-218-RR01-BOB</t>
  </si>
  <si>
    <t>ACMB-218-V02-MS</t>
  </si>
  <si>
    <t>ACMB-218-V03-MS</t>
  </si>
  <si>
    <t>ACMB-218-V02-MSA</t>
  </si>
  <si>
    <t>ACMB-218-V03-MSA</t>
  </si>
  <si>
    <t>ACMB-218-V02-MSB</t>
  </si>
  <si>
    <t>ACMB-218-V03-MSB</t>
  </si>
  <si>
    <t>ACMB-218-R02-BO</t>
  </si>
  <si>
    <t>ACMB-218-RR02-BO</t>
  </si>
  <si>
    <t>ACMB-218-R02-BOA</t>
  </si>
  <si>
    <t>ACMB-218-RR02-BOA</t>
  </si>
  <si>
    <t>ACMB-218-R02-BOB</t>
  </si>
  <si>
    <t>ACMB-218-RR02-BOB</t>
  </si>
  <si>
    <t>ACMB-218-V04-MS</t>
  </si>
  <si>
    <t>ACMB-218-V05-MS</t>
  </si>
  <si>
    <t>ACMB-218-V04-MSA</t>
  </si>
  <si>
    <t>ACMB-218-V05-MSA</t>
  </si>
  <si>
    <t>ACMB-218-V04-MSB</t>
  </si>
  <si>
    <t>ACMB-218-V05-MSB</t>
  </si>
  <si>
    <t>ACMB-218-R03-BO</t>
  </si>
  <si>
    <t>ACMB-218-RR03-BO</t>
  </si>
  <si>
    <t>ACMB-218-R03-BOA</t>
  </si>
  <si>
    <t>ACMB-218-RR03-BOA</t>
  </si>
  <si>
    <t>ACMB-218-R03-BOB</t>
  </si>
  <si>
    <t>ACMB-218-RR03-BOB</t>
  </si>
  <si>
    <t>ACMB-218-V06-MS</t>
  </si>
  <si>
    <t>ACMB-218-V07-MS</t>
  </si>
  <si>
    <t>ACMB-218-V06-MSA</t>
  </si>
  <si>
    <t>ACMB-218-V07-MSA</t>
  </si>
  <si>
    <t>ACMB-218-V06-MSB</t>
  </si>
  <si>
    <t>ACMB-218-V07-MSB</t>
  </si>
  <si>
    <t>ACMB-218-R04-BO</t>
  </si>
  <si>
    <t>ACMB-218-RR04-BO</t>
  </si>
  <si>
    <t>ACMB-218-R04-BOA</t>
  </si>
  <si>
    <t>ACMB-218-RR04-BOA</t>
  </si>
  <si>
    <t>ACMB-218-R04-BOB</t>
  </si>
  <si>
    <t>ACMB-218-RR04-BOB</t>
  </si>
  <si>
    <t>ACMB-218-V08-MS</t>
  </si>
  <si>
    <t>ACMB-218-V09-MS</t>
  </si>
  <si>
    <t>ACMB-218-V08-MSA</t>
  </si>
  <si>
    <t>ACMB-218-V09-MSA</t>
  </si>
  <si>
    <t>ACMB-218-V08-MSB</t>
  </si>
  <si>
    <t>ACMB-218-V09-MSB</t>
  </si>
  <si>
    <t>ACMB-218-R05-BO</t>
  </si>
  <si>
    <t>ACMB-218-RR05-BO</t>
  </si>
  <si>
    <t>ACMB-218-R05-BOA</t>
  </si>
  <si>
    <t>ACMB-218-RR05-BOA</t>
  </si>
  <si>
    <t>ACMB-218-R05-BOB</t>
  </si>
  <si>
    <t>ACMB-218-RR05-BOB</t>
  </si>
  <si>
    <t>ACMB-218-V10-MS</t>
  </si>
  <si>
    <t>ACMB-218-V11-MS</t>
  </si>
  <si>
    <t>ACMB-218-V10-MSA</t>
  </si>
  <si>
    <t>ACMB-218-V11-MSA</t>
  </si>
  <si>
    <t>ACMB-218-V10-MSB</t>
  </si>
  <si>
    <t>ACMB-218-V11-MSB</t>
  </si>
  <si>
    <t>ACMB-218-R06-BO</t>
  </si>
  <si>
    <t>ACMB-218-RR06-BO</t>
  </si>
  <si>
    <t>ACMB-218-R06-BOA</t>
  </si>
  <si>
    <t>ACMB-218-RR06-BOA</t>
  </si>
  <si>
    <t>ACMB-218-R06-BOB</t>
  </si>
  <si>
    <t>ACMB-218-RR06-BOB</t>
  </si>
  <si>
    <t>ACMB-218-V12-MS</t>
  </si>
  <si>
    <t>ACMB-218-V13-MS</t>
  </si>
  <si>
    <t>ACMB-218-V12-MSA</t>
  </si>
  <si>
    <t>ACMB-218-V13-MSA</t>
  </si>
  <si>
    <t>ACMB-218-V12-MSB</t>
  </si>
  <si>
    <t>ACMB-218-V13-MSB</t>
  </si>
  <si>
    <t>ACMB-218-R07-BO</t>
  </si>
  <si>
    <t>ACMB-218-RR07-BO</t>
  </si>
  <si>
    <t>ACMB-218-R07-BOA</t>
  </si>
  <si>
    <t>ACMB-218-RR07-BOA</t>
  </si>
  <si>
    <t>ACMB-218-R07-BOB</t>
  </si>
  <si>
    <t>ACMB-218-RR07-BOB</t>
  </si>
  <si>
    <t>ACMB-218-V14-MS</t>
  </si>
  <si>
    <t>ACMB-218-V15-MS</t>
  </si>
  <si>
    <t>ACMB-218-V14-MSA</t>
  </si>
  <si>
    <t>ACMB-218-V15-MSA</t>
  </si>
  <si>
    <t>ACMB-218-V14-MSB</t>
  </si>
  <si>
    <t>ACMB-218-V15-MSB</t>
  </si>
  <si>
    <t>ACMB-219-R01-BO</t>
  </si>
  <si>
    <t>ACMB-219-RR01-BO</t>
  </si>
  <si>
    <t>ACMB-219-R01-BOA</t>
  </si>
  <si>
    <t>ACMB-219-RR01-BOA</t>
  </si>
  <si>
    <t>ACMB-219-R01-BOB</t>
  </si>
  <si>
    <t>ACMB-219-RR01-BOB</t>
  </si>
  <si>
    <t>ACMB-219-V02-MS</t>
  </si>
  <si>
    <t>ACMB-219-V03-MS</t>
  </si>
  <si>
    <t>ACMB-219-V02-MSA</t>
  </si>
  <si>
    <t>ACMB-219-V03-MSA</t>
  </si>
  <si>
    <t>ACMB-219-V02-MSB</t>
  </si>
  <si>
    <t>ACMB-219-V03-MSB</t>
  </si>
  <si>
    <t>ACMB-219-R02-BO</t>
  </si>
  <si>
    <t>ACMB-219-RR02-BO</t>
  </si>
  <si>
    <t>ACMB-219-R02-BOA</t>
  </si>
  <si>
    <t>ACMB-219-RR02-BOA</t>
  </si>
  <si>
    <t>ACMB-219-R02-BOB</t>
  </si>
  <si>
    <t>ACMB-219-RR02-BOB</t>
  </si>
  <si>
    <t>ACMB-219-V04-MS</t>
  </si>
  <si>
    <t>ACMB-219-V05-MS</t>
  </si>
  <si>
    <t>ACMB-219-V04-MSA</t>
  </si>
  <si>
    <t>ACMB-219-V05-MSA</t>
  </si>
  <si>
    <t>ACMB-219-V04-MSB</t>
  </si>
  <si>
    <t>ACMB-219-V05-MSB</t>
  </si>
  <si>
    <t>ACMB-219-R03-BO</t>
  </si>
  <si>
    <t>ACMB-219-RR03-BO</t>
  </si>
  <si>
    <t>ACMB-219-R03-BOA</t>
  </si>
  <si>
    <t>ACMB-219-RR03-BOA</t>
  </si>
  <si>
    <t>ACMB-219-R03-BOB</t>
  </si>
  <si>
    <t>ACMB-219-RR03-BOB</t>
  </si>
  <si>
    <t>ACMB-219-V06-MS</t>
  </si>
  <si>
    <t>ACMB-219-V07-MS</t>
  </si>
  <si>
    <t>ACMB-219-V06-MSA</t>
  </si>
  <si>
    <t>ACMB-219-V07-MSA</t>
  </si>
  <si>
    <t>ACMB-219-V06-MSB</t>
  </si>
  <si>
    <t>ACMB-219-V07-MSB</t>
  </si>
  <si>
    <t>ACMB-219-R04-BO</t>
  </si>
  <si>
    <t>ACMB-219-RR04-BO</t>
  </si>
  <si>
    <t>ACMB-219-R04-BOA</t>
  </si>
  <si>
    <t>ACMB-219-RR04-BOA</t>
  </si>
  <si>
    <t>ACMB-219-R04-BOB</t>
  </si>
  <si>
    <t>ACMB-219-RR04-BOB</t>
  </si>
  <si>
    <t>ACMB-219-V08-MS</t>
  </si>
  <si>
    <t>ACMB-219-V09-MS</t>
  </si>
  <si>
    <t>ACMB-219-V08-MSA</t>
  </si>
  <si>
    <t>ACMB-219-V09-MSA</t>
  </si>
  <si>
    <t>ACMB-219-V08-MSB</t>
  </si>
  <si>
    <t>ACMB-219-V09-MSB</t>
  </si>
  <si>
    <t>ACMB-219-R05-BO</t>
  </si>
  <si>
    <t>ACMB-219-RR05-BO</t>
  </si>
  <si>
    <t>ACMB-219-R05-BOA</t>
  </si>
  <si>
    <t>ACMB-219-RR05-BOA</t>
  </si>
  <si>
    <t>ACMB-219-R05-BOB</t>
  </si>
  <si>
    <t>ACMB-219-RR05-BOB</t>
  </si>
  <si>
    <t>ACMB-219-V10-MS</t>
  </si>
  <si>
    <t>ACMB-219-V11-MS</t>
  </si>
  <si>
    <t>ACMB-219-V10-MSA</t>
  </si>
  <si>
    <t>ACMB-219-V11-MSA</t>
  </si>
  <si>
    <t>ACMB-219-V10-MSB</t>
  </si>
  <si>
    <t>ACMB-219-V11-MSB</t>
  </si>
  <si>
    <t>ACMB-219-R06-BO</t>
  </si>
  <si>
    <t>ACMB-219-RR06-BO</t>
  </si>
  <si>
    <t>ACMB-219-R06-BOA</t>
  </si>
  <si>
    <t>ACMB-219-RR06-BOA</t>
  </si>
  <si>
    <t>ACMB-219-R06-BOB</t>
  </si>
  <si>
    <t>ACMB-219-RR06-BOB</t>
  </si>
  <si>
    <t>ACMB-219-V12-MS</t>
  </si>
  <si>
    <t>ACMB-219-V13-MS</t>
  </si>
  <si>
    <t>ACMB-219-V12-MSA</t>
  </si>
  <si>
    <t>ACMB-219-V13-MSA</t>
  </si>
  <si>
    <t>ACMB-219-V12-MSB</t>
  </si>
  <si>
    <t>ACMB-219-V13-MSB</t>
  </si>
  <si>
    <t>ACMB-219-R07-BO</t>
  </si>
  <si>
    <t>ACMB-219-RR07-BO</t>
  </si>
  <si>
    <t>ACMB-219-R07-BOA</t>
  </si>
  <si>
    <t>ACMB-219-RR07-BOA</t>
  </si>
  <si>
    <t>ACMB-219-R07-BOB</t>
  </si>
  <si>
    <t>ACMB-219-RR07-BOB</t>
  </si>
  <si>
    <t>ACMB-219-V14-MS</t>
  </si>
  <si>
    <t>ACMB-219-V15-MS</t>
  </si>
  <si>
    <t>ACMB-219-V14-MSA</t>
  </si>
  <si>
    <t>ACMB-219-V15-MSA</t>
  </si>
  <si>
    <t>ACMB-219-V14-MSB</t>
  </si>
  <si>
    <t>ACMB-219-V15-MSB</t>
  </si>
  <si>
    <t>ACMB-220-R01-BO</t>
  </si>
  <si>
    <t>ACMB-220-RR01-BO</t>
  </si>
  <si>
    <t>ACMB-220-R01-BOA</t>
  </si>
  <si>
    <t>ACMB-220-RR01-BOA</t>
  </si>
  <si>
    <t>ACMB-220-R01-BOB</t>
  </si>
  <si>
    <t>ACMB-220-RR01-BOB</t>
  </si>
  <si>
    <t>ACMB-220-V02-MS</t>
  </si>
  <si>
    <t>ACMB-220-V03-MS</t>
  </si>
  <si>
    <t>ACMB-220-V02-MSA</t>
  </si>
  <si>
    <t>ACMB-220-V03-MSA</t>
  </si>
  <si>
    <t>ACMB-220-V02-MSB</t>
  </si>
  <si>
    <t>ACMB-220-V03-MSB</t>
  </si>
  <si>
    <t>ACMB-220-R02-BO</t>
  </si>
  <si>
    <t>ACMB-220-RR02-BO</t>
  </si>
  <si>
    <t>ACMB-220-R02-BOA</t>
  </si>
  <si>
    <t>ACMB-220-RR02-BOA</t>
  </si>
  <si>
    <t>ACMB-220-R02-BOB</t>
  </si>
  <si>
    <t>ACMB-220-RR02-BOB</t>
  </si>
  <si>
    <t>ACMB-220-V04-MS</t>
  </si>
  <si>
    <t>ACMB-220-V05-MS</t>
  </si>
  <si>
    <t>ACMB-220-V04-MSA</t>
  </si>
  <si>
    <t>ACMB-220-V05-MSA</t>
  </si>
  <si>
    <t>ACMB-220-V04-MSB</t>
  </si>
  <si>
    <t>ACMB-220-V05-MSB</t>
  </si>
  <si>
    <t>ACMB-220-R03-BO</t>
  </si>
  <si>
    <t>ACMB-220-RR03-BO</t>
  </si>
  <si>
    <t>ACMB-220-R03-BOA</t>
  </si>
  <si>
    <t>ACMB-220-RR03-BOA</t>
  </si>
  <si>
    <t>ACMB-220-R03-BOB</t>
  </si>
  <si>
    <t>ACMB-220-RR03-BOB</t>
  </si>
  <si>
    <t>ACMB-220-V06-MS</t>
  </si>
  <si>
    <t>ACMB-220-V07-MS</t>
  </si>
  <si>
    <t>ACMB-220-V06-MSA</t>
  </si>
  <si>
    <t>ACMB-220-V07-MSA</t>
  </si>
  <si>
    <t>ACMB-220-V06-MSB</t>
  </si>
  <si>
    <t>ACMB-220-V07-MSB</t>
  </si>
  <si>
    <t>ACMB-220-R04-BO</t>
  </si>
  <si>
    <t>ACMB-220-RR04-BO</t>
  </si>
  <si>
    <t>ACMB-220-R04-BOA</t>
  </si>
  <si>
    <t>ACMB-220-RR04-BOA</t>
  </si>
  <si>
    <t>ACMB-220-R04-BOB</t>
  </si>
  <si>
    <t>ACMB-220-RR04-BOB</t>
  </si>
  <si>
    <t>ACMB-220-V08-MS</t>
  </si>
  <si>
    <t>ACMB-220-V09-MS</t>
  </si>
  <si>
    <t>ACMB-220-V08-MSA</t>
  </si>
  <si>
    <t>ACMB-220-V09-MSA</t>
  </si>
  <si>
    <t>ACMB-220-V08-MSB</t>
  </si>
  <si>
    <t>ACMB-220-V09-MSB</t>
  </si>
  <si>
    <t>ACMB-220-R05-BO</t>
  </si>
  <si>
    <t>ACMB-220-RR05-BO</t>
  </si>
  <si>
    <t>ACMB-220-R05-BOA</t>
  </si>
  <si>
    <t>ACMB-220-RR05-BOA</t>
  </si>
  <si>
    <t>ACMB-220-R05-BOB</t>
  </si>
  <si>
    <t>ACMB-220-RR05-BOB</t>
  </si>
  <si>
    <t>ACMB-220-V10-MS</t>
  </si>
  <si>
    <t>ACMB-220-V11-MS</t>
  </si>
  <si>
    <t>ACMB-220-V10-MSA</t>
  </si>
  <si>
    <t>ACMB-220-V11-MSA</t>
  </si>
  <si>
    <t>ACMB-220-V10-MSB</t>
  </si>
  <si>
    <t>ACMB-220-V11-MSB</t>
  </si>
  <si>
    <t>ACMB-220-R06-BO</t>
  </si>
  <si>
    <t>ACMB-220-RR06-BO</t>
  </si>
  <si>
    <t>ACMB-220-R06-BOA</t>
  </si>
  <si>
    <t>ACMB-220-RR06-BOA</t>
  </si>
  <si>
    <t>ACMB-220-R06-BOB</t>
  </si>
  <si>
    <t>ACMB-220-RR06-BOB</t>
  </si>
  <si>
    <t>ACMB-220-V12-MS</t>
  </si>
  <si>
    <t>ACMB-220-V13-MS</t>
  </si>
  <si>
    <t>ACMB-220-V12-MSA</t>
  </si>
  <si>
    <t>ACMB-220-V13-MSA</t>
  </si>
  <si>
    <t>ACMB-220-V12-MSB</t>
  </si>
  <si>
    <t>ACMB-220-V13-MSB</t>
  </si>
  <si>
    <t>ACMB-220-R07-BO</t>
  </si>
  <si>
    <t>ACMB-220-RR07-BO</t>
  </si>
  <si>
    <t>ACMB-220-R07-BOA</t>
  </si>
  <si>
    <t>ACMB-220-RR07-BOA</t>
  </si>
  <si>
    <t>ACMB-220-R07-BOB</t>
  </si>
  <si>
    <t>ACMB-220-RR07-BOB</t>
  </si>
  <si>
    <t>ACMB-220-V14-MS</t>
  </si>
  <si>
    <t>ACMB-220-V15-MS</t>
  </si>
  <si>
    <t>ACMB-220-V14-MSA</t>
  </si>
  <si>
    <t>ACMB-220-V15-MSA</t>
  </si>
  <si>
    <t>ACMB-220-V14-MSB</t>
  </si>
  <si>
    <t>ACMB-220-V15-MSB</t>
  </si>
  <si>
    <t>ACMB-221-R01-BO</t>
  </si>
  <si>
    <t>ACMB-221-RR01-BO</t>
  </si>
  <si>
    <t>ACMB-221-R01-BOA</t>
  </si>
  <si>
    <t>ACMB-221-RR01-BOA</t>
  </si>
  <si>
    <t>ACMB-221-R01-BOB</t>
  </si>
  <si>
    <t>ACMB-221-RR01-BOB</t>
  </si>
  <si>
    <t>ACMB-221-V02-MS</t>
  </si>
  <si>
    <t>ACMB-221-V03-MS</t>
  </si>
  <si>
    <t>ACMB-221-V02-MSA</t>
  </si>
  <si>
    <t>ACMB-221-V03-MSA</t>
  </si>
  <si>
    <t>ACMB-221-V02-MSB</t>
  </si>
  <si>
    <t>ACMB-221-V03-MSB</t>
  </si>
  <si>
    <t>ACMB-221-R02-BO</t>
  </si>
  <si>
    <t>ACMB-221-RR02-BO</t>
  </si>
  <si>
    <t>ACMB-221-R02-BOA</t>
  </si>
  <si>
    <t>ACMB-221-RR02-BOA</t>
  </si>
  <si>
    <t>ACMB-221-R02-BOB</t>
  </si>
  <si>
    <t>ACMB-221-RR02-BOB</t>
  </si>
  <si>
    <t>ACMB-221-V04-MS</t>
  </si>
  <si>
    <t>ACMB-221-V05-MS</t>
  </si>
  <si>
    <t>ACMB-221-V04-MSA</t>
  </si>
  <si>
    <t>ACMB-221-V05-MSA</t>
  </si>
  <si>
    <t>ACMB-221-V04-MSB</t>
  </si>
  <si>
    <t>ACMB-221-V05-MSB</t>
  </si>
  <si>
    <t>ACMB-221-R03-BO</t>
  </si>
  <si>
    <t>ACMB-221-RR03-BO</t>
  </si>
  <si>
    <t>ACMB-221-R03-BOA</t>
  </si>
  <si>
    <t>ACMB-221-RR03-BOA</t>
  </si>
  <si>
    <t>ACMB-221-R03-BOB</t>
  </si>
  <si>
    <t>ACMB-221-RR03-BOB</t>
  </si>
  <si>
    <t>ACMB-221-V06-MS</t>
  </si>
  <si>
    <t>ACMB-221-V07-MS</t>
  </si>
  <si>
    <t>ACMB-221-V06-MSA</t>
  </si>
  <si>
    <t>ACMB-221-V07-MSA</t>
  </si>
  <si>
    <t>ACMB-221-V06-MSB</t>
  </si>
  <si>
    <t>ACMB-221-V07-MSB</t>
  </si>
  <si>
    <t>ACMB-221-R04-BO</t>
  </si>
  <si>
    <t>ACMB-221-RR04-BO</t>
  </si>
  <si>
    <t>ACMB-221-R04-BOA</t>
  </si>
  <si>
    <t>ACMB-221-RR04-BOA</t>
  </si>
  <si>
    <t>ACMB-221-R04-BOB</t>
  </si>
  <si>
    <t>ACMB-221-RR04-BOB</t>
  </si>
  <si>
    <t>ACMB-221-V08-MS</t>
  </si>
  <si>
    <t>ACMB-221-V09-MS</t>
  </si>
  <si>
    <t>ACMB-221-V08-MSA</t>
  </si>
  <si>
    <t>ACMB-221-V09-MSA</t>
  </si>
  <si>
    <t>ACMB-221-V08-MSB</t>
  </si>
  <si>
    <t>ACMB-221-V09-MSB</t>
  </si>
  <si>
    <t>ACMB-221-R05-BO</t>
  </si>
  <si>
    <t>ACMB-221-RR05-BO</t>
  </si>
  <si>
    <t>ACMB-221-R05-BOA</t>
  </si>
  <si>
    <t>ACMB-221-RR05-BOA</t>
  </si>
  <si>
    <t>ACMB-221-R05-BOB</t>
  </si>
  <si>
    <t>ACMB-221-RR05-BOB</t>
  </si>
  <si>
    <t>ACMB-221-V10-MS</t>
  </si>
  <si>
    <t>ACMB-221-V11-MS</t>
  </si>
  <si>
    <t>ACMB-221-V10-MSA</t>
  </si>
  <si>
    <t>ACMB-221-V11-MSA</t>
  </si>
  <si>
    <t>ACMB-221-V10-MSB</t>
  </si>
  <si>
    <t>ACMB-221-V11-MSB</t>
  </si>
  <si>
    <t>ACMB-221-R06-BO</t>
  </si>
  <si>
    <t>ACMB-221-RR06-BO</t>
  </si>
  <si>
    <t>ACMB-221-R06-BOA</t>
  </si>
  <si>
    <t>ACMB-221-RR06-BOA</t>
  </si>
  <si>
    <t>ACMB-221-R06-BOB</t>
  </si>
  <si>
    <t>ACMB-221-RR06-BOB</t>
  </si>
  <si>
    <t>ACMB-221-V12-MS</t>
  </si>
  <si>
    <t>ACMB-221-V13-MS</t>
  </si>
  <si>
    <t>ACMB-221-V12-MSA</t>
  </si>
  <si>
    <t>ACMB-221-V13-MSA</t>
  </si>
  <si>
    <t>ACMB-221-V12-MSB</t>
  </si>
  <si>
    <t>ACMB-221-V13-MSB</t>
  </si>
  <si>
    <t>ACMB-221-R07-BO</t>
  </si>
  <si>
    <t>ACMB-221-RR07-BO</t>
  </si>
  <si>
    <t>ACMB-221-R07-BOA</t>
  </si>
  <si>
    <t>ACMB-221-RR07-BOA</t>
  </si>
  <si>
    <t>ACMB-221-R07-BOB</t>
  </si>
  <si>
    <t>ACMB-221-RR07-BOB</t>
  </si>
  <si>
    <t>ACMB-221-V14-MS</t>
  </si>
  <si>
    <t>ACMB-221-V15-MS</t>
  </si>
  <si>
    <t>ACMB-221-V14-MSA</t>
  </si>
  <si>
    <t>ACMB-221-V15-MSA</t>
  </si>
  <si>
    <t>ACMB-221-V14-MSB</t>
  </si>
  <si>
    <t>ACMB-221-V15-MSB</t>
  </si>
  <si>
    <t>ACMB-222-R01-BO</t>
  </si>
  <si>
    <t>ACMB-222-RR01-BO</t>
  </si>
  <si>
    <t>ACMB-222-R01-BOA</t>
  </si>
  <si>
    <t>ACMB-222-RR01-BOA</t>
  </si>
  <si>
    <t>ACMB-222-R01-BOB</t>
  </si>
  <si>
    <t>ACMB-222-RR01-BOB</t>
  </si>
  <si>
    <t>ACMB-222-V02-MS</t>
  </si>
  <si>
    <t>ACMB-222-V03-MS</t>
  </si>
  <si>
    <t>ACMB-222-V02-MSA</t>
  </si>
  <si>
    <t>ACMB-222-V03-MSA</t>
  </si>
  <si>
    <t>ACMB-222-V02-MSB</t>
  </si>
  <si>
    <t>ACMB-222-V03-MSB</t>
  </si>
  <si>
    <t>ACMB-222-R02-BO</t>
  </si>
  <si>
    <t>ACMB-222-RR02-BO</t>
  </si>
  <si>
    <t>ACMB-222-R02-BOA</t>
  </si>
  <si>
    <t>ACMB-222-RR02-BOA</t>
  </si>
  <si>
    <t>ACMB-222-R02-BOB</t>
  </si>
  <si>
    <t>ACMB-222-RR02-BOB</t>
  </si>
  <si>
    <t>ACMB-222-V04-MS</t>
  </si>
  <si>
    <t>ACMB-222-V05-MS</t>
  </si>
  <si>
    <t>ACMB-222-V04-MSA</t>
  </si>
  <si>
    <t>ACMB-222-V05-MSA</t>
  </si>
  <si>
    <t>ACMB-222-V04-MSB</t>
  </si>
  <si>
    <t>ACMB-222-V05-MSB</t>
  </si>
  <si>
    <t>ACMB-222-R03-BO</t>
  </si>
  <si>
    <t>ACMB-222-RR03-BO</t>
  </si>
  <si>
    <t>ACMB-222-R03-BOA</t>
  </si>
  <si>
    <t>ACMB-222-RR03-BOA</t>
  </si>
  <si>
    <t>ACMB-222-R03-BOB</t>
  </si>
  <si>
    <t>ACMB-222-RR03-BOB</t>
  </si>
  <si>
    <t>ACMB-222-V06-MS</t>
  </si>
  <si>
    <t>ACMB-222-V07-MS</t>
  </si>
  <si>
    <t>ACMB-222-V06-MSA</t>
  </si>
  <si>
    <t>ACMB-222-V07-MSA</t>
  </si>
  <si>
    <t>ACMB-222-V06-MSB</t>
  </si>
  <si>
    <t>ACMB-222-V07-MSB</t>
  </si>
  <si>
    <t>ACMB-222-R04-BO</t>
  </si>
  <si>
    <t>ACMB-222-RR04-BO</t>
  </si>
  <si>
    <t>ACMB-222-R04-BOA</t>
  </si>
  <si>
    <t>ACMB-222-RR04-BOA</t>
  </si>
  <si>
    <t>ACMB-222-R04-BOB</t>
  </si>
  <si>
    <t>ACMB-222-RR04-BOB</t>
  </si>
  <si>
    <t>ACMB-222-V08-MS</t>
  </si>
  <si>
    <t>ACMB-222-V09-MS</t>
  </si>
  <si>
    <t>ACMB-222-V08-MSA</t>
  </si>
  <si>
    <t>ACMB-222-V09-MSA</t>
  </si>
  <si>
    <t>ACMB-222-V08-MSB</t>
  </si>
  <si>
    <t>ACMB-222-V09-MSB</t>
  </si>
  <si>
    <t>ACMB-222-R05-BO</t>
  </si>
  <si>
    <t>ACMB-222-RR05-BO</t>
  </si>
  <si>
    <t>ACMB-222-R05-BOA</t>
  </si>
  <si>
    <t>ACMB-222-RR05-BOA</t>
  </si>
  <si>
    <t>ACMB-222-R05-BOB</t>
  </si>
  <si>
    <t>ACMB-222-RR05-BOB</t>
  </si>
  <si>
    <t>ACMB-222-V10-MS</t>
  </si>
  <si>
    <t>ACMB-222-V11-MS</t>
  </si>
  <si>
    <t>ACMB-222-V10-MSA</t>
  </si>
  <si>
    <t>ACMB-222-V11-MSA</t>
  </si>
  <si>
    <t>ACMB-222-V10-MSB</t>
  </si>
  <si>
    <t>ACMB-222-V11-MSB</t>
  </si>
  <si>
    <t>ACMB-222-R06-BO</t>
  </si>
  <si>
    <t>ACMB-222-RR06-BO</t>
  </si>
  <si>
    <t>ACMB-222-R06-BOA</t>
  </si>
  <si>
    <t>ACMB-222-RR06-BOA</t>
  </si>
  <si>
    <t>ACMB-222-R06-BOB</t>
  </si>
  <si>
    <t>ACMB-222-RR06-BOB</t>
  </si>
  <si>
    <t>ACMB-222-V12-MS</t>
  </si>
  <si>
    <t>ACMB-222-V13-MS</t>
  </si>
  <si>
    <t>ACMB-222-V12-MSA</t>
  </si>
  <si>
    <t>ACMB-222-V13-MSA</t>
  </si>
  <si>
    <t>ACMB-222-V12-MSB</t>
  </si>
  <si>
    <t>ACMB-222-V13-MSB</t>
  </si>
  <si>
    <t>ACMB-222-R07-BO</t>
  </si>
  <si>
    <t>ACMB-222-RR07-BO</t>
  </si>
  <si>
    <t>ACMB-222-R07-BOA</t>
  </si>
  <si>
    <t>ACMB-222-RR07-BOA</t>
  </si>
  <si>
    <t>ACMB-222-R07-BOB</t>
  </si>
  <si>
    <t>ACMB-222-RR07-BOB</t>
  </si>
  <si>
    <t>ACMB-222-V14-MS</t>
  </si>
  <si>
    <t>ACMB-222-V15-MS</t>
  </si>
  <si>
    <t>ACMB-222-V14-MSA</t>
  </si>
  <si>
    <t>ACMB-222-V15-MSA</t>
  </si>
  <si>
    <t>ACMB-222-V14-MSB</t>
  </si>
  <si>
    <t>ACMB-222-V15-MSB</t>
  </si>
  <si>
    <t>ACMB-223-R01-BO</t>
  </si>
  <si>
    <t>ACMB-223-RR01-BO</t>
  </si>
  <si>
    <t>ACMB-223-R01-BOA</t>
  </si>
  <si>
    <t>ACMB-223-RR01-BOA</t>
  </si>
  <si>
    <t>ACMB-223-R01-BOB</t>
  </si>
  <si>
    <t>ACMB-223-RR01-BOB</t>
  </si>
  <si>
    <t>ACMB-223-V02-MS</t>
  </si>
  <si>
    <t>ACMB-223-V03-MS</t>
  </si>
  <si>
    <t>ACMB-223-V02-MSA</t>
  </si>
  <si>
    <t>ACMB-223-V03-MSA</t>
  </si>
  <si>
    <t>ACMB-223-V02-MSB</t>
  </si>
  <si>
    <t>ACMB-223-V03-MSB</t>
  </si>
  <si>
    <t>ACMB-223-R02-BO</t>
  </si>
  <si>
    <t>ACMB-223-RR02-BO</t>
  </si>
  <si>
    <t>ACMB-223-R02-BOA</t>
  </si>
  <si>
    <t>ACMB-223-RR02-BOA</t>
  </si>
  <si>
    <t>ACMB-223-R02-BOB</t>
  </si>
  <si>
    <t>ACMB-223-RR02-BOB</t>
  </si>
  <si>
    <t>ACMB-223-V04-MS</t>
  </si>
  <si>
    <t>ACMB-223-V05-MS</t>
  </si>
  <si>
    <t>ACMB-223-V04-MSA</t>
  </si>
  <si>
    <t>ACMB-223-V05-MSA</t>
  </si>
  <si>
    <t>ACMB-223-V04-MSB</t>
  </si>
  <si>
    <t>ACMB-223-V05-MSB</t>
  </si>
  <si>
    <t>ACMB-223-R03-BO</t>
  </si>
  <si>
    <t>ACMB-223-RR03-BO</t>
  </si>
  <si>
    <t>ACMB-223-R03-BOA</t>
  </si>
  <si>
    <t>ACMB-223-RR03-BOA</t>
  </si>
  <si>
    <t>ACMB-223-R03-BOB</t>
  </si>
  <si>
    <t>ACMB-223-RR03-BOB</t>
  </si>
  <si>
    <t>ACMB-223-V06-MS</t>
  </si>
  <si>
    <t>ACMB-223-V07-MS</t>
  </si>
  <si>
    <t>ACMB-223-V06-MSA</t>
  </si>
  <si>
    <t>ACMB-223-V07-MSA</t>
  </si>
  <si>
    <t>ACMB-223-V06-MSB</t>
  </si>
  <si>
    <t>ACMB-223-V07-MSB</t>
  </si>
  <si>
    <t>ACMB-223-R04-BO</t>
  </si>
  <si>
    <t>ACMB-223-RR04-BO</t>
  </si>
  <si>
    <t>ACMB-223-R04-BOA</t>
  </si>
  <si>
    <t>ACMB-223-RR04-BOA</t>
  </si>
  <si>
    <t>ACMB-223-R04-BOB</t>
  </si>
  <si>
    <t>ACMB-223-RR04-BOB</t>
  </si>
  <si>
    <t>ACMB-223-V08-MS</t>
  </si>
  <si>
    <t>ACMB-223-V09-MS</t>
  </si>
  <si>
    <t>ACMB-223-V08-MSA</t>
  </si>
  <si>
    <t>ACMB-223-V09-MSA</t>
  </si>
  <si>
    <t>ACMB-223-V08-MSB</t>
  </si>
  <si>
    <t>ACMB-223-V09-MSB</t>
  </si>
  <si>
    <t>ACMB-223-R05-BO</t>
  </si>
  <si>
    <t>ACMB-223-RR05-BO</t>
  </si>
  <si>
    <t>ACMB-223-R05-BOA</t>
  </si>
  <si>
    <t>ACMB-223-RR05-BOA</t>
  </si>
  <si>
    <t>ACMB-223-R05-BOB</t>
  </si>
  <si>
    <t>ACMB-223-RR05-BOB</t>
  </si>
  <si>
    <t>ACMB-223-V10-MS</t>
  </si>
  <si>
    <t>ACMB-223-V11-MS</t>
  </si>
  <si>
    <t>ACMB-223-V10-MSA</t>
  </si>
  <si>
    <t>ACMB-223-V11-MSA</t>
  </si>
  <si>
    <t>ACMB-223-V10-MSB</t>
  </si>
  <si>
    <t>ACMB-223-V11-MSB</t>
  </si>
  <si>
    <t>ACMB-223-R06-BO</t>
  </si>
  <si>
    <t>ACMB-223-RR06-BO</t>
  </si>
  <si>
    <t>ACMB-223-R06-BOA</t>
  </si>
  <si>
    <t>ACMB-223-RR06-BOA</t>
  </si>
  <si>
    <t>ACMB-223-R06-BOB</t>
  </si>
  <si>
    <t>ACMB-223-RR06-BOB</t>
  </si>
  <si>
    <t>ACMB-223-V12-MS</t>
  </si>
  <si>
    <t>ACMB-223-V13-MS</t>
  </si>
  <si>
    <t>ACMB-223-V12-MSA</t>
  </si>
  <si>
    <t>ACMB-223-V13-MSA</t>
  </si>
  <si>
    <t>ACMB-223-V12-MSB</t>
  </si>
  <si>
    <t>ACMB-223-V13-MSB</t>
  </si>
  <si>
    <t>ACMB-223-R07-BO</t>
  </si>
  <si>
    <t>ACMB-223-RR07-BO</t>
  </si>
  <si>
    <t>ACMB-223-R07-BOA</t>
  </si>
  <si>
    <t>ACMB-223-RR07-BOA</t>
  </si>
  <si>
    <t>ACMB-223-R07-BOB</t>
  </si>
  <si>
    <t>ACMB-223-RR07-BOB</t>
  </si>
  <si>
    <t>ACMB-223-V14-MS</t>
  </si>
  <si>
    <t>ACMB-223-V15-MS</t>
  </si>
  <si>
    <t>ACMB-223-V14-MSA</t>
  </si>
  <si>
    <t>ACMB-223-V15-MSA</t>
  </si>
  <si>
    <t>ACMB-223-V14-MSB</t>
  </si>
  <si>
    <t>ACMB-223-V15-MSB</t>
  </si>
  <si>
    <t>ACMB-224-R01-BO</t>
  </si>
  <si>
    <t>ACMB-224-RR01-BO</t>
  </si>
  <si>
    <t>ACMB-224-R01-BOA</t>
  </si>
  <si>
    <t>ACMB-224-RR01-BOA</t>
  </si>
  <si>
    <t>ACMB-224-R01-BOB</t>
  </si>
  <si>
    <t>ACMB-224-RR01-BOB</t>
  </si>
  <si>
    <t>ACMB-224-V02-MS</t>
  </si>
  <si>
    <t>ACMB-224-V03-MS</t>
  </si>
  <si>
    <t>ACMB-224-V02-MSA</t>
  </si>
  <si>
    <t>ACMB-224-V03-MSA</t>
  </si>
  <si>
    <t>ACMB-224-V02-MSB</t>
  </si>
  <si>
    <t>ACMB-224-V03-MSB</t>
  </si>
  <si>
    <t>ACMB-224-R02-BO</t>
  </si>
  <si>
    <t>ACMB-224-RR02-BO</t>
  </si>
  <si>
    <t>ACMB-224-R02-BOA</t>
  </si>
  <si>
    <t>ACMB-224-RR02-BOA</t>
  </si>
  <si>
    <t>ACMB-224-R02-BOB</t>
  </si>
  <si>
    <t>ACMB-224-RR02-BOB</t>
  </si>
  <si>
    <t>ACMB-224-V04-MS</t>
  </si>
  <si>
    <t>ACMB-224-V05-MS</t>
  </si>
  <si>
    <t>ACMB-224-V04-MSA</t>
  </si>
  <si>
    <t>ACMB-224-V05-MSA</t>
  </si>
  <si>
    <t>ACMB-224-V04-MSB</t>
  </si>
  <si>
    <t>ACMB-224-V05-MSB</t>
  </si>
  <si>
    <t>ACMB-224-R03-BO</t>
  </si>
  <si>
    <t>ACMB-224-RR03-BO</t>
  </si>
  <si>
    <t>ACMB-224-R03-BOA</t>
  </si>
  <si>
    <t>ACMB-224-RR03-BOA</t>
  </si>
  <si>
    <t>ACMB-224-R03-BOB</t>
  </si>
  <si>
    <t>ACMB-224-RR03-BOB</t>
  </si>
  <si>
    <t>ACMB-224-V06-MS</t>
  </si>
  <si>
    <t>ACMB-224-V07-MS</t>
  </si>
  <si>
    <t>ACMB-224-V06-MSA</t>
  </si>
  <si>
    <t>ACMB-224-V07-MSA</t>
  </si>
  <si>
    <t>ACMB-224-V06-MSB</t>
  </si>
  <si>
    <t>ACMB-224-V07-MSB</t>
  </si>
  <si>
    <t>ACMB-224-R04-BO</t>
  </si>
  <si>
    <t>ACMB-224-RR04-BO</t>
  </si>
  <si>
    <t>ACMB-224-R04-BOA</t>
  </si>
  <si>
    <t>ACMB-224-RR04-BOA</t>
  </si>
  <si>
    <t>ACMB-224-R04-BOB</t>
  </si>
  <si>
    <t>ACMB-224-RR04-BOB</t>
  </si>
  <si>
    <t>ACMB-224-V08-MS</t>
  </si>
  <si>
    <t>ACMB-224-V09-MS</t>
  </si>
  <si>
    <t>ACMB-224-V08-MSA</t>
  </si>
  <si>
    <t>ACMB-224-V09-MSA</t>
  </si>
  <si>
    <t>ACMB-224-V08-MSB</t>
  </si>
  <si>
    <t>ACMB-224-V09-MSB</t>
  </si>
  <si>
    <t>ACMB-224-R05-BO</t>
  </si>
  <si>
    <t>ACMB-224-RR05-BO</t>
  </si>
  <si>
    <t>ACMB-224-R05-BOA</t>
  </si>
  <si>
    <t>ACMB-224-RR05-BOA</t>
  </si>
  <si>
    <t>ACMB-224-R05-BOB</t>
  </si>
  <si>
    <t>ACMB-224-RR05-BOB</t>
  </si>
  <si>
    <t>ACMB-224-V10-MS</t>
  </si>
  <si>
    <t>ACMB-224-V11-MS</t>
  </si>
  <si>
    <t>ACMB-224-V10-MSA</t>
  </si>
  <si>
    <t>ACMB-224-V11-MSA</t>
  </si>
  <si>
    <t>ACMB-224-V10-MSB</t>
  </si>
  <si>
    <t>ACMB-224-V11-MSB</t>
  </si>
  <si>
    <t>ACMB-224-R06-BO</t>
  </si>
  <si>
    <t>ACMB-224-RR06-BO</t>
  </si>
  <si>
    <t>ACMB-224-R06-BOA</t>
  </si>
  <si>
    <t>ACMB-224-RR06-BOA</t>
  </si>
  <si>
    <t>ACMB-224-R06-BOB</t>
  </si>
  <si>
    <t>ACMB-224-RR06-BOB</t>
  </si>
  <si>
    <t>ACMB-224-V12-MS</t>
  </si>
  <si>
    <t>ACMB-224-V13-MS</t>
  </si>
  <si>
    <t>ACMB-224-V12-MSA</t>
  </si>
  <si>
    <t>ACMB-224-V13-MSA</t>
  </si>
  <si>
    <t>ACMB-224-V12-MSB</t>
  </si>
  <si>
    <t>ACMB-224-V13-MSB</t>
  </si>
  <si>
    <t>ACMB-224-R07-BO</t>
  </si>
  <si>
    <t>ACMB-224-RR07-BO</t>
  </si>
  <si>
    <t>ACMB-224-R07-BOA</t>
  </si>
  <si>
    <t>ACMB-224-RR07-BOA</t>
  </si>
  <si>
    <t>ACMB-224-R07-BOB</t>
  </si>
  <si>
    <t>ACMB-224-RR07-BOB</t>
  </si>
  <si>
    <t>ACMB-224-V14-MS</t>
  </si>
  <si>
    <t>ACMB-224-V15-MS</t>
  </si>
  <si>
    <t>ACMB-224-V14-MSA</t>
  </si>
  <si>
    <t>ACMB-224-V15-MSA</t>
  </si>
  <si>
    <t>ACMB-224-V14-MSB</t>
  </si>
  <si>
    <t>ACMB-224-V15-MSB</t>
  </si>
  <si>
    <t>ACMB-225-R01-BO</t>
  </si>
  <si>
    <t>ACMB-225-RR01-BO</t>
  </si>
  <si>
    <t>ACMB-225-R01-BOA</t>
  </si>
  <si>
    <t>ACMB-225-RR01-BOA</t>
  </si>
  <si>
    <t>ACMB-225-R01-BOB</t>
  </si>
  <si>
    <t>ACMB-225-RR01-BOB</t>
  </si>
  <si>
    <t>ACMB-225-V02-MS</t>
  </si>
  <si>
    <t>ACMB-225-V03-MS</t>
  </si>
  <si>
    <t>ACMB-225-V02-MSA</t>
  </si>
  <si>
    <t>ACMB-225-V03-MSA</t>
  </si>
  <si>
    <t>ACMB-225-V02-MSB</t>
  </si>
  <si>
    <t>ACMB-225-V03-MSB</t>
  </si>
  <si>
    <t>ACMB-225-R02-BO</t>
  </si>
  <si>
    <t>ACMB-225-RR02-BO</t>
  </si>
  <si>
    <t>ACMB-225-R02-BOA</t>
  </si>
  <si>
    <t>ACMB-225-RR02-BOA</t>
  </si>
  <si>
    <t>ACMB-225-R02-BOB</t>
  </si>
  <si>
    <t>ACMB-225-RR02-BOB</t>
  </si>
  <si>
    <t>ACMB-225-V04-MS</t>
  </si>
  <si>
    <t>ACMB-225-V05-MS</t>
  </si>
  <si>
    <t>ACMB-225-V04-MSA</t>
  </si>
  <si>
    <t>ACMB-225-V05-MSA</t>
  </si>
  <si>
    <t>ACMB-225-V04-MSB</t>
  </si>
  <si>
    <t>ACMB-225-V05-MSB</t>
  </si>
  <si>
    <t>ACMB-225-R03-BO</t>
  </si>
  <si>
    <t>ACMB-225-RR03-BO</t>
  </si>
  <si>
    <t>ACMB-225-R03-BOA</t>
  </si>
  <si>
    <t>ACMB-225-RR03-BOA</t>
  </si>
  <si>
    <t>ACMB-225-R03-BOB</t>
  </si>
  <si>
    <t>ACMB-225-RR03-BOB</t>
  </si>
  <si>
    <t>ACMB-225-V06-MS</t>
  </si>
  <si>
    <t>ACMB-225-V07-MS</t>
  </si>
  <si>
    <t>ACMB-225-V06-MSA</t>
  </si>
  <si>
    <t>ACMB-225-V07-MSA</t>
  </si>
  <si>
    <t>ACMB-225-V06-MSB</t>
  </si>
  <si>
    <t>ACMB-225-V07-MSB</t>
  </si>
  <si>
    <t>ACMB-225-R04-BO</t>
  </si>
  <si>
    <t>ACMB-225-RR04-BO</t>
  </si>
  <si>
    <t>ACMB-225-R04-BOA</t>
  </si>
  <si>
    <t>ACMB-225-RR04-BOA</t>
  </si>
  <si>
    <t>ACMB-225-R04-BOB</t>
  </si>
  <si>
    <t>ACMB-225-RR04-BOB</t>
  </si>
  <si>
    <t>ACMB-225-V08-MS</t>
  </si>
  <si>
    <t>ACMB-225-V09-MS</t>
  </si>
  <si>
    <t>ACMB-225-V08-MSA</t>
  </si>
  <si>
    <t>ACMB-225-V09-MSA</t>
  </si>
  <si>
    <t>ACMB-225-V08-MSB</t>
  </si>
  <si>
    <t>ACMB-225-V09-MSB</t>
  </si>
  <si>
    <t>ACMB-225-R05-BO</t>
  </si>
  <si>
    <t>ACMB-225-RR05-BO</t>
  </si>
  <si>
    <t>ACMB-225-R05-BOA</t>
  </si>
  <si>
    <t>ACMB-225-RR05-BOA</t>
  </si>
  <si>
    <t>ACMB-225-R05-BOB</t>
  </si>
  <si>
    <t>ACMB-225-RR05-BOB</t>
  </si>
  <si>
    <t>ACMB-225-V10-MS</t>
  </si>
  <si>
    <t>ACMB-225-V11-MS</t>
  </si>
  <si>
    <t>ACMB-225-V10-MSA</t>
  </si>
  <si>
    <t>ACMB-225-V11-MSA</t>
  </si>
  <si>
    <t>ACMB-225-V10-MSB</t>
  </si>
  <si>
    <t>ACMB-225-V11-MSB</t>
  </si>
  <si>
    <t>ACMB-225-R06-BO</t>
  </si>
  <si>
    <t>ACMB-225-RR06-BO</t>
  </si>
  <si>
    <t>ACMB-225-R06-BOA</t>
  </si>
  <si>
    <t>ACMB-225-RR06-BOA</t>
  </si>
  <si>
    <t>ACMB-225-R06-BOB</t>
  </si>
  <si>
    <t>ACMB-225-RR06-BOB</t>
  </si>
  <si>
    <t>ACMB-225-V12-MS</t>
  </si>
  <si>
    <t>ACMB-225-V13-MS</t>
  </si>
  <si>
    <t>ACMB-225-V12-MSA</t>
  </si>
  <si>
    <t>ACMB-225-V13-MSA</t>
  </si>
  <si>
    <t>ACMB-225-V12-MSB</t>
  </si>
  <si>
    <t>ACMB-225-V13-MSB</t>
  </si>
  <si>
    <t>ACMB-225-R07-BO</t>
  </si>
  <si>
    <t>ACMB-225-RR07-BO</t>
  </si>
  <si>
    <t>ACMB-225-R07-BOA</t>
  </si>
  <si>
    <t>ACMB-225-RR07-BOA</t>
  </si>
  <si>
    <t>ACMB-225-R07-BOB</t>
  </si>
  <si>
    <t>ACMB-225-RR07-BOB</t>
  </si>
  <si>
    <t>ACMB-225-V14-MS</t>
  </si>
  <si>
    <t>ACMB-225-V15-MS</t>
  </si>
  <si>
    <t>ACMB-225-V14-MSA</t>
  </si>
  <si>
    <t>ACMB-225-V15-MSA</t>
  </si>
  <si>
    <t>ACMB-225-V14-MSB</t>
  </si>
  <si>
    <t>ACMB-225-V15-MSB</t>
  </si>
  <si>
    <t>ACMB-226-R01-BO</t>
  </si>
  <si>
    <t>ACMB-226-RR01-BO</t>
  </si>
  <si>
    <t>ACMB-226-R01-BOA</t>
  </si>
  <si>
    <t>ACMB-226-RR01-BOA</t>
  </si>
  <si>
    <t>ACMB-226-R01-BOB</t>
  </si>
  <si>
    <t>ACMB-226-RR01-BOB</t>
  </si>
  <si>
    <t>ACMB-226-V02-MS</t>
  </si>
  <si>
    <t>ACMB-226-V03-MS</t>
  </si>
  <si>
    <t>ACMB-226-V02-MSA</t>
  </si>
  <si>
    <t>ACMB-226-V03-MSA</t>
  </si>
  <si>
    <t>ACMB-226-V02-MSB</t>
  </si>
  <si>
    <t>ACMB-226-V03-MSB</t>
  </si>
  <si>
    <t>ACMB-226-R02-BO</t>
  </si>
  <si>
    <t>ACMB-226-RR02-BO</t>
  </si>
  <si>
    <t>ACMB-226-R02-BOA</t>
  </si>
  <si>
    <t>ACMB-226-RR02-BOA</t>
  </si>
  <si>
    <t>ACMB-226-R02-BOB</t>
  </si>
  <si>
    <t>ACMB-226-RR02-BOB</t>
  </si>
  <si>
    <t>ACMB-226-V04-MS</t>
  </si>
  <si>
    <t>ACMB-226-V05-MS</t>
  </si>
  <si>
    <t>ACMB-226-V04-MSA</t>
  </si>
  <si>
    <t>ACMB-226-V05-MSA</t>
  </si>
  <si>
    <t>ACMB-226-V04-MSB</t>
  </si>
  <si>
    <t>ACMB-226-V05-MSB</t>
  </si>
  <si>
    <t>ACMB-226-R03-BO</t>
  </si>
  <si>
    <t>ACMB-226-RR03-BO</t>
  </si>
  <si>
    <t>ACMB-226-R03-BOA</t>
  </si>
  <si>
    <t>ACMB-226-RR03-BOA</t>
  </si>
  <si>
    <t>ACMB-226-R03-BOB</t>
  </si>
  <si>
    <t>ACMB-226-RR03-BOB</t>
  </si>
  <si>
    <t>ACMB-226-V06-MS</t>
  </si>
  <si>
    <t>ACMB-226-V07-MS</t>
  </si>
  <si>
    <t>ACMB-226-V06-MSA</t>
  </si>
  <si>
    <t>ACMB-226-V07-MSA</t>
  </si>
  <si>
    <t>ACMB-226-V06-MSB</t>
  </si>
  <si>
    <t>ACMB-226-V07-MSB</t>
  </si>
  <si>
    <t>ACMB-226-R04-BO</t>
  </si>
  <si>
    <t>ACMB-226-RR04-BO</t>
  </si>
  <si>
    <t>ACMB-226-R04-BOA</t>
  </si>
  <si>
    <t>ACMB-226-RR04-BOA</t>
  </si>
  <si>
    <t>ACMB-226-R04-BOB</t>
  </si>
  <si>
    <t>ACMB-226-RR04-BOB</t>
  </si>
  <si>
    <t>ACMB-226-V08-MS</t>
  </si>
  <si>
    <t>ACMB-226-V09-MS</t>
  </si>
  <si>
    <t>ACMB-226-V08-MSA</t>
  </si>
  <si>
    <t>ACMB-226-V09-MSA</t>
  </si>
  <si>
    <t>ACMB-226-V08-MSB</t>
  </si>
  <si>
    <t>ACMB-226-V09-MSB</t>
  </si>
  <si>
    <t>ACMB-226-R05-BO</t>
  </si>
  <si>
    <t>ACMB-226-RR05-BO</t>
  </si>
  <si>
    <t>ACMB-226-R05-BOA</t>
  </si>
  <si>
    <t>ACMB-226-RR05-BOA</t>
  </si>
  <si>
    <t>ACMB-226-R05-BOB</t>
  </si>
  <si>
    <t>ACMB-226-RR05-BOB</t>
  </si>
  <si>
    <t>ACMB-226-V10-MS</t>
  </si>
  <si>
    <t>ACMB-226-V11-MS</t>
  </si>
  <si>
    <t>ACMB-226-V10-MSA</t>
  </si>
  <si>
    <t>ACMB-226-V11-MSA</t>
  </si>
  <si>
    <t>ACMB-226-V10-MSB</t>
  </si>
  <si>
    <t>ACMB-226-V11-MSB</t>
  </si>
  <si>
    <t>ACMB-226-R06-BO</t>
  </si>
  <si>
    <t>ACMB-226-RR06-BO</t>
  </si>
  <si>
    <t>ACMB-226-R06-BOA</t>
  </si>
  <si>
    <t>ACMB-226-RR06-BOA</t>
  </si>
  <si>
    <t>ACMB-226-R06-BOB</t>
  </si>
  <si>
    <t>ACMB-226-RR06-BOB</t>
  </si>
  <si>
    <t>ACMB-226-V12-MS</t>
  </si>
  <si>
    <t>ACMB-226-V13-MS</t>
  </si>
  <si>
    <t>ACMB-226-V12-MSA</t>
  </si>
  <si>
    <t>ACMB-226-V13-MSA</t>
  </si>
  <si>
    <t>ACMB-226-V12-MSB</t>
  </si>
  <si>
    <t>ACMB-226-V13-MSB</t>
  </si>
  <si>
    <t>ACMB-226-R07-BO</t>
  </si>
  <si>
    <t>ACMB-226-RR07-BO</t>
  </si>
  <si>
    <t>ACMB-226-R07-BOA</t>
  </si>
  <si>
    <t>ACMB-226-RR07-BOA</t>
  </si>
  <si>
    <t>ACMB-226-R07-BOB</t>
  </si>
  <si>
    <t>ACMB-226-RR07-BOB</t>
  </si>
  <si>
    <t>ACMB-226-V14-MS</t>
  </si>
  <si>
    <t>ACMB-226-V15-MS</t>
  </si>
  <si>
    <t>ACMB-226-V14-MSA</t>
  </si>
  <si>
    <t>ACMB-226-V15-MSA</t>
  </si>
  <si>
    <t>ACMB-226-V14-MSB</t>
  </si>
  <si>
    <t>ACMB-226-V15-MSB</t>
  </si>
  <si>
    <t>ACMB-227-R01-BO</t>
  </si>
  <si>
    <t>ACMB-227-RR01-BO</t>
  </si>
  <si>
    <t>ACMB-227-R01-BOA</t>
  </si>
  <si>
    <t>ACMB-227-RR01-BOA</t>
  </si>
  <si>
    <t>ACMB-227-R01-BOB</t>
  </si>
  <si>
    <t>ACMB-227-RR01-BOB</t>
  </si>
  <si>
    <t>ACMB-227-V02-MS</t>
  </si>
  <si>
    <t>ACMB-227-V03-MS</t>
  </si>
  <si>
    <t>ACMB-227-V02-MSA</t>
  </si>
  <si>
    <t>ACMB-227-V03-MSA</t>
  </si>
  <si>
    <t>ACMB-227-V02-MSB</t>
  </si>
  <si>
    <t>ACMB-227-V03-MSB</t>
  </si>
  <si>
    <t>ACMB-227-R02-BO</t>
  </si>
  <si>
    <t>ACMB-227-RR02-BO</t>
  </si>
  <si>
    <t>ACMB-227-R02-BOA</t>
  </si>
  <si>
    <t>ACMB-227-RR02-BOA</t>
  </si>
  <si>
    <t>ACMB-227-R02-BOB</t>
  </si>
  <si>
    <t>ACMB-227-RR02-BOB</t>
  </si>
  <si>
    <t>ACMB-227-V04-MS</t>
  </si>
  <si>
    <t>ACMB-227-V05-MS</t>
  </si>
  <si>
    <t>ACMB-227-V04-MSA</t>
  </si>
  <si>
    <t>ACMB-227-V05-MSA</t>
  </si>
  <si>
    <t>ACMB-227-V04-MSB</t>
  </si>
  <si>
    <t>ACMB-227-V05-MSB</t>
  </si>
  <si>
    <t>ACMB-227-R03-BO</t>
  </si>
  <si>
    <t>ACMB-227-RR03-BO</t>
  </si>
  <si>
    <t>ACMB-227-R03-BOA</t>
  </si>
  <si>
    <t>ACMB-227-RR03-BOA</t>
  </si>
  <si>
    <t>ACMB-227-R03-BOB</t>
  </si>
  <si>
    <t>ACMB-227-RR03-BOB</t>
  </si>
  <si>
    <t>ACMB-227-V06-MS</t>
  </si>
  <si>
    <t>ACMB-227-V07-MS</t>
  </si>
  <si>
    <t>ACMB-227-V06-MSA</t>
  </si>
  <si>
    <t>ACMB-227-V07-MSA</t>
  </si>
  <si>
    <t>ACMB-227-V06-MSB</t>
  </si>
  <si>
    <t>ACMB-227-V07-MSB</t>
  </si>
  <si>
    <t>ACMB-227-R04-BO</t>
  </si>
  <si>
    <t>ACMB-227-RR04-BO</t>
  </si>
  <si>
    <t>ACMB-227-R04-BOA</t>
  </si>
  <si>
    <t>ACMB-227-RR04-BOA</t>
  </si>
  <si>
    <t>ACMB-227-R04-BOB</t>
  </si>
  <si>
    <t>ACMB-227-RR04-BOB</t>
  </si>
  <si>
    <t>ACMB-227-V08-MS</t>
  </si>
  <si>
    <t>ACMB-227-V09-MS</t>
  </si>
  <si>
    <t>ACMB-227-V08-MSA</t>
  </si>
  <si>
    <t>ACMB-227-V09-MSA</t>
  </si>
  <si>
    <t>ACMB-227-V08-MSB</t>
  </si>
  <si>
    <t>ACMB-227-V09-MSB</t>
  </si>
  <si>
    <t>ACMB-227-R05-BO</t>
  </si>
  <si>
    <t>ACMB-227-RR05-BO</t>
  </si>
  <si>
    <t>ACMB-227-R05-BOA</t>
  </si>
  <si>
    <t>ACMB-227-RR05-BOA</t>
  </si>
  <si>
    <t>ACMB-227-R05-BOB</t>
  </si>
  <si>
    <t>ACMB-227-RR05-BOB</t>
  </si>
  <si>
    <t>ACMB-227-V10-MS</t>
  </si>
  <si>
    <t>ACMB-227-V11-MS</t>
  </si>
  <si>
    <t>ACMB-227-V10-MSA</t>
  </si>
  <si>
    <t>ACMB-227-V11-MSA</t>
  </si>
  <si>
    <t>ACMB-227-V10-MSB</t>
  </si>
  <si>
    <t>ACMB-227-V11-MSB</t>
  </si>
  <si>
    <t>ACMB-227-R06-BO</t>
  </si>
  <si>
    <t>ACMB-227-RR06-BO</t>
  </si>
  <si>
    <t>ACMB-227-R06-BOA</t>
  </si>
  <si>
    <t>ACMB-227-RR06-BOA</t>
  </si>
  <si>
    <t>ACMB-227-R06-BOB</t>
  </si>
  <si>
    <t>ACMB-227-RR06-BOB</t>
  </si>
  <si>
    <t>ACMB-227-V12-MS</t>
  </si>
  <si>
    <t>ACMB-227-V13-MS</t>
  </si>
  <si>
    <t>ACMB-227-V12-MSA</t>
  </si>
  <si>
    <t>ACMB-227-V13-MSA</t>
  </si>
  <si>
    <t>ACMB-227-V12-MSB</t>
  </si>
  <si>
    <t>ACMB-227-V13-MSB</t>
  </si>
  <si>
    <t>ACMB-227-R07-BO</t>
  </si>
  <si>
    <t>ACMB-227-RR07-BO</t>
  </si>
  <si>
    <t>ACMB-227-R07-BOA</t>
  </si>
  <si>
    <t>ACMB-227-RR07-BOA</t>
  </si>
  <si>
    <t>ACMB-227-R07-BOB</t>
  </si>
  <si>
    <t>ACMB-227-RR07-BOB</t>
  </si>
  <si>
    <t>ACMB-227-V14-MS</t>
  </si>
  <si>
    <t>ACMB-227-V15-MS</t>
  </si>
  <si>
    <t>ACMB-227-V14-MSA</t>
  </si>
  <si>
    <t>ACMB-227-V15-MSA</t>
  </si>
  <si>
    <t>ACMB-227-V14-MSB</t>
  </si>
  <si>
    <t>ACMB-227-V15-MSB</t>
  </si>
  <si>
    <t>ACMB-228-R01-BO</t>
  </si>
  <si>
    <t>ACMB-228-RR01-BO</t>
  </si>
  <si>
    <t>ACMB-228-R01-BOA</t>
  </si>
  <si>
    <t>ACMB-228-RR01-BOA</t>
  </si>
  <si>
    <t>ACMB-228-R01-BOB</t>
  </si>
  <si>
    <t>ACMB-228-RR01-BOB</t>
  </si>
  <si>
    <t>ACMB-228-V02-MS</t>
  </si>
  <si>
    <t>ACMB-228-V03-MS</t>
  </si>
  <si>
    <t>ACMB-228-V02-MSA</t>
  </si>
  <si>
    <t>ACMB-228-V03-MSA</t>
  </si>
  <si>
    <t>ACMB-228-V02-MSB</t>
  </si>
  <si>
    <t>ACMB-228-V03-MSB</t>
  </si>
  <si>
    <t>ACMB-228-R02-BO</t>
  </si>
  <si>
    <t>ACMB-228-RR02-BO</t>
  </si>
  <si>
    <t>ACMB-228-R02-BOA</t>
  </si>
  <si>
    <t>ACMB-228-RR02-BOA</t>
  </si>
  <si>
    <t>ACMB-228-R02-BOB</t>
  </si>
  <si>
    <t>ACMB-228-RR02-BOB</t>
  </si>
  <si>
    <t>ACMB-228-V04-MS</t>
  </si>
  <si>
    <t>ACMB-228-V05-MS</t>
  </si>
  <si>
    <t>ACMB-228-V04-MSA</t>
  </si>
  <si>
    <t>ACMB-228-V05-MSA</t>
  </si>
  <si>
    <t>ACMB-228-V04-MSB</t>
  </si>
  <si>
    <t>ACMB-228-V05-MSB</t>
  </si>
  <si>
    <t>ACMB-228-R03-BO</t>
  </si>
  <si>
    <t>ACMB-228-RR03-BO</t>
  </si>
  <si>
    <t>ACMB-228-R03-BOA</t>
  </si>
  <si>
    <t>ACMB-228-RR03-BOA</t>
  </si>
  <si>
    <t>ACMB-228-R03-BOB</t>
  </si>
  <si>
    <t>ACMB-228-RR03-BOB</t>
  </si>
  <si>
    <t>ACMB-228-V06-MS</t>
  </si>
  <si>
    <t>ACMB-228-V07-MS</t>
  </si>
  <si>
    <t>ACMB-228-V06-MSA</t>
  </si>
  <si>
    <t>ACMB-228-V07-MSA</t>
  </si>
  <si>
    <t>ACMB-228-V06-MSB</t>
  </si>
  <si>
    <t>ACMB-228-V07-MSB</t>
  </si>
  <si>
    <t>ACMB-228-R04-BO</t>
  </si>
  <si>
    <t>ACMB-228-RR04-BO</t>
  </si>
  <si>
    <t>ACMB-228-R04-BOA</t>
  </si>
  <si>
    <t>ACMB-228-RR04-BOA</t>
  </si>
  <si>
    <t>ACMB-228-R04-BOB</t>
  </si>
  <si>
    <t>ACMB-228-RR04-BOB</t>
  </si>
  <si>
    <t>ACMB-228-V08-MS</t>
  </si>
  <si>
    <t>ACMB-228-V09-MS</t>
  </si>
  <si>
    <t>ACMB-228-V08-MSA</t>
  </si>
  <si>
    <t>ACMB-228-V09-MSA</t>
  </si>
  <si>
    <t>ACMB-228-V08-MSB</t>
  </si>
  <si>
    <t>ACMB-228-V09-MSB</t>
  </si>
  <si>
    <t>ACMB-228-R05-BO</t>
  </si>
  <si>
    <t>ACMB-228-RR05-BO</t>
  </si>
  <si>
    <t>ACMB-228-R05-BOA</t>
  </si>
  <si>
    <t>ACMB-228-RR05-BOA</t>
  </si>
  <si>
    <t>ACMB-228-R05-BOB</t>
  </si>
  <si>
    <t>ACMB-228-RR05-BOB</t>
  </si>
  <si>
    <t>ACMB-228-V10-MS</t>
  </si>
  <si>
    <t>ACMB-228-V11-MS</t>
  </si>
  <si>
    <t>ACMB-228-V10-MSA</t>
  </si>
  <si>
    <t>ACMB-228-V11-MSA</t>
  </si>
  <si>
    <t>ACMB-228-V10-MSB</t>
  </si>
  <si>
    <t>ACMB-228-V11-MSB</t>
  </si>
  <si>
    <t>ACMB-228-R06-BO</t>
  </si>
  <si>
    <t>ACMB-228-RR06-BO</t>
  </si>
  <si>
    <t>ACMB-228-R06-BOA</t>
  </si>
  <si>
    <t>ACMB-228-RR06-BOA</t>
  </si>
  <si>
    <t>ACMB-228-R06-BOB</t>
  </si>
  <si>
    <t>ACMB-228-RR06-BOB</t>
  </si>
  <si>
    <t>ACMB-228-V12-MS</t>
  </si>
  <si>
    <t>ACMB-228-V13-MS</t>
  </si>
  <si>
    <t>ACMB-228-V12-MSA</t>
  </si>
  <si>
    <t>ACMB-228-V13-MSA</t>
  </si>
  <si>
    <t>ACMB-228-V12-MSB</t>
  </si>
  <si>
    <t>ACMB-228-V13-MSB</t>
  </si>
  <si>
    <t>ACMB-228-R07-BO</t>
  </si>
  <si>
    <t>ACMB-228-RR07-BO</t>
  </si>
  <si>
    <t>ACMB-228-R07-BOA</t>
  </si>
  <si>
    <t>ACMB-228-RR07-BOA</t>
  </si>
  <si>
    <t>ACMB-228-R07-BOB</t>
  </si>
  <si>
    <t>ACMB-228-RR07-BOB</t>
  </si>
  <si>
    <t>ACMB-228-V14-MS</t>
  </si>
  <si>
    <t>ACMB-228-V15-MS</t>
  </si>
  <si>
    <t>ACMB-228-V14-MSA</t>
  </si>
  <si>
    <t>ACMB-228-V15-MSA</t>
  </si>
  <si>
    <t>ACMB-228-V14-MSB</t>
  </si>
  <si>
    <t>ACMB-228-V15-MSB</t>
  </si>
  <si>
    <t>ACMB-229-R01-BO</t>
  </si>
  <si>
    <t>ACMB-229-RR01-BO</t>
  </si>
  <si>
    <t>ACMB-229-R01-BOA</t>
  </si>
  <si>
    <t>ACMB-229-RR01-BOA</t>
  </si>
  <si>
    <t>ACMB-229-R01-BOB</t>
  </si>
  <si>
    <t>ACMB-229-RR01-BOB</t>
  </si>
  <si>
    <t>ACMB-229-V02-MS</t>
  </si>
  <si>
    <t>ACMB-229-V03-MS</t>
  </si>
  <si>
    <t>ACMB-229-V02-MSA</t>
  </si>
  <si>
    <t>ACMB-229-V03-MSA</t>
  </si>
  <si>
    <t>ACMB-229-V02-MSB</t>
  </si>
  <si>
    <t>ACMB-229-V03-MSB</t>
  </si>
  <si>
    <t>ACMB-229-R02-BO</t>
  </si>
  <si>
    <t>ACMB-229-RR02-BO</t>
  </si>
  <si>
    <t>ACMB-229-R02-BOA</t>
  </si>
  <si>
    <t>ACMB-229-RR02-BOA</t>
  </si>
  <si>
    <t>ACMB-229-R02-BOB</t>
  </si>
  <si>
    <t>ACMB-229-RR02-BOB</t>
  </si>
  <si>
    <t>ACMB-229-V04-MS</t>
  </si>
  <si>
    <t>ACMB-229-V05-MS</t>
  </si>
  <si>
    <t>ACMB-229-V04-MSA</t>
  </si>
  <si>
    <t>ACMB-229-V05-MSA</t>
  </si>
  <si>
    <t>ACMB-229-V04-MSB</t>
  </si>
  <si>
    <t>ACMB-229-V05-MSB</t>
  </si>
  <si>
    <t>ACMB-229-R03-BO</t>
  </si>
  <si>
    <t>ACMB-229-RR03-BO</t>
  </si>
  <si>
    <t>ACMB-229-R03-BOA</t>
  </si>
  <si>
    <t>ACMB-229-RR03-BOA</t>
  </si>
  <si>
    <t>ACMB-229-R03-BOB</t>
  </si>
  <si>
    <t>ACMB-229-RR03-BOB</t>
  </si>
  <si>
    <t>ACMB-229-V06-MS</t>
  </si>
  <si>
    <t>ACMB-229-V07-MS</t>
  </si>
  <si>
    <t>ACMB-229-V06-MSA</t>
  </si>
  <si>
    <t>ACMB-229-V07-MSA</t>
  </si>
  <si>
    <t>ACMB-229-V06-MSB</t>
  </si>
  <si>
    <t>ACMB-229-V07-MSB</t>
  </si>
  <si>
    <t>ACMB-229-R04-BO</t>
  </si>
  <si>
    <t>ACMB-229-RR04-BO</t>
  </si>
  <si>
    <t>ACMB-229-R04-BOA</t>
  </si>
  <si>
    <t>ACMB-229-RR04-BOA</t>
  </si>
  <si>
    <t>ACMB-229-R04-BOB</t>
  </si>
  <si>
    <t>ACMB-229-RR04-BOB</t>
  </si>
  <si>
    <t>ACMB-229-V08-MS</t>
  </si>
  <si>
    <t>ACMB-229-V09-MS</t>
  </si>
  <si>
    <t>ACMB-229-V08-MSA</t>
  </si>
  <si>
    <t>ACMB-229-V09-MSA</t>
  </si>
  <si>
    <t>ACMB-229-V08-MSB</t>
  </si>
  <si>
    <t>ACMB-229-V09-MSB</t>
  </si>
  <si>
    <t>ACMB-229-R05-BO</t>
  </si>
  <si>
    <t>ACMB-229-RR05-BO</t>
  </si>
  <si>
    <t>ACMB-229-R05-BOA</t>
  </si>
  <si>
    <t>ACMB-229-RR05-BOA</t>
  </si>
  <si>
    <t>ACMB-229-R05-BOB</t>
  </si>
  <si>
    <t>ACMB-229-RR05-BOB</t>
  </si>
  <si>
    <t>ACMB-229-V10-MS</t>
  </si>
  <si>
    <t>ACMB-229-V11-MS</t>
  </si>
  <si>
    <t>ACMB-229-V10-MSA</t>
  </si>
  <si>
    <t>ACMB-229-V11-MSA</t>
  </si>
  <si>
    <t>ACMB-229-V10-MSB</t>
  </si>
  <si>
    <t>ACMB-229-V11-MSB</t>
  </si>
  <si>
    <t>ACMB-229-R06-BO</t>
  </si>
  <si>
    <t>ACMB-229-RR06-BO</t>
  </si>
  <si>
    <t>ACMB-229-R06-BOA</t>
  </si>
  <si>
    <t>ACMB-229-RR06-BOA</t>
  </si>
  <si>
    <t>ACMB-229-R06-BOB</t>
  </si>
  <si>
    <t>ACMB-229-RR06-BOB</t>
  </si>
  <si>
    <t>ACMB-229-V12-MS</t>
  </si>
  <si>
    <t>ACMB-229-V13-MS</t>
  </si>
  <si>
    <t>ACMB-229-V12-MSA</t>
  </si>
  <si>
    <t>ACMB-229-V13-MSA</t>
  </si>
  <si>
    <t>ACMB-229-V12-MSB</t>
  </si>
  <si>
    <t>ACMB-229-V13-MSB</t>
  </si>
  <si>
    <t>ACMB-229-R07-BO</t>
  </si>
  <si>
    <t>ACMB-229-RR07-BO</t>
  </si>
  <si>
    <t>ACMB-229-R07-BOA</t>
  </si>
  <si>
    <t>ACMB-229-RR07-BOA</t>
  </si>
  <si>
    <t>ACMB-229-R07-BOB</t>
  </si>
  <si>
    <t>ACMB-229-RR07-BOB</t>
  </si>
  <si>
    <t>ACMB-229-V14-MS</t>
  </si>
  <si>
    <t>ACMB-229-V15-MS</t>
  </si>
  <si>
    <t>ACMB-229-V14-MSA</t>
  </si>
  <si>
    <t>ACMB-229-V15-MSA</t>
  </si>
  <si>
    <t>ACMB-229-V14-MSB</t>
  </si>
  <si>
    <t>ACMB-229-V15-MSB</t>
  </si>
  <si>
    <t>ACMB-230-R01-BO</t>
  </si>
  <si>
    <t>ACMB-230-RR01-BO</t>
  </si>
  <si>
    <t>ACMB-230-R01-BOA</t>
  </si>
  <si>
    <t>ACMB-230-RR01-BOA</t>
  </si>
  <si>
    <t>ACMB-230-R01-BOB</t>
  </si>
  <si>
    <t>ACMB-230-RR01-BOB</t>
  </si>
  <si>
    <t>ACMB-230-V02-MS</t>
  </si>
  <si>
    <t>ACMB-230-V03-MS</t>
  </si>
  <si>
    <t>ACMB-230-V02-MSA</t>
  </si>
  <si>
    <t>ACMB-230-V03-MSA</t>
  </si>
  <si>
    <t>ACMB-230-V02-MSB</t>
  </si>
  <si>
    <t>ACMB-230-V03-MSB</t>
  </si>
  <si>
    <t>ACMB-230-R02-BO</t>
  </si>
  <si>
    <t>ACMB-230-RR02-BO</t>
  </si>
  <si>
    <t>ACMB-230-R02-BOA</t>
  </si>
  <si>
    <t>ACMB-230-RR02-BOA</t>
  </si>
  <si>
    <t>ACMB-230-R02-BOB</t>
  </si>
  <si>
    <t>ACMB-230-RR02-BOB</t>
  </si>
  <si>
    <t>ACMB-230-V04-MS</t>
  </si>
  <si>
    <t>ACMB-230-V05-MS</t>
  </si>
  <si>
    <t>ACMB-230-V04-MSA</t>
  </si>
  <si>
    <t>ACMB-230-V05-MSA</t>
  </si>
  <si>
    <t>ACMB-230-V04-MSB</t>
  </si>
  <si>
    <t>ACMB-230-V05-MSB</t>
  </si>
  <si>
    <t>ACMB-230-R03-BO</t>
  </si>
  <si>
    <t>ACMB-230-RR03-BO</t>
  </si>
  <si>
    <t>ACMB-230-R03-BOA</t>
  </si>
  <si>
    <t>ACMB-230-RR03-BOA</t>
  </si>
  <si>
    <t>ACMB-230-R03-BOB</t>
  </si>
  <si>
    <t>ACMB-230-RR03-BOB</t>
  </si>
  <si>
    <t>ACMB-230-V06-MS</t>
  </si>
  <si>
    <t>ACMB-230-V07-MS</t>
  </si>
  <si>
    <t>ACMB-230-V06-MSA</t>
  </si>
  <si>
    <t>ACMB-230-V07-MSA</t>
  </si>
  <si>
    <t>ACMB-230-V06-MSB</t>
  </si>
  <si>
    <t>ACMB-230-V07-MSB</t>
  </si>
  <si>
    <t>ACMB-230-R04-BO</t>
  </si>
  <si>
    <t>ACMB-230-RR04-BO</t>
  </si>
  <si>
    <t>ACMB-230-R04-BOA</t>
  </si>
  <si>
    <t>ACMB-230-RR04-BOA</t>
  </si>
  <si>
    <t>ACMB-230-R04-BOB</t>
  </si>
  <si>
    <t>ACMB-230-RR04-BOB</t>
  </si>
  <si>
    <t>ACMB-230-V08-MS</t>
  </si>
  <si>
    <t>ACMB-230-V09-MS</t>
  </si>
  <si>
    <t>ACMB-230-V08-MSA</t>
  </si>
  <si>
    <t>ACMB-230-V09-MSA</t>
  </si>
  <si>
    <t>ACMB-230-V08-MSB</t>
  </si>
  <si>
    <t>ACMB-230-V09-MSB</t>
  </si>
  <si>
    <t>ACMB-230-R05-BO</t>
  </si>
  <si>
    <t>ACMB-230-RR05-BO</t>
  </si>
  <si>
    <t>ACMB-230-R05-BOA</t>
  </si>
  <si>
    <t>ACMB-230-RR05-BOA</t>
  </si>
  <si>
    <t>ACMB-230-R05-BOB</t>
  </si>
  <si>
    <t>ACMB-230-RR05-BOB</t>
  </si>
  <si>
    <t>ACMB-230-V10-MS</t>
  </si>
  <si>
    <t>ACMB-230-V11-MS</t>
  </si>
  <si>
    <t>ACMB-230-V10-MSA</t>
  </si>
  <si>
    <t>ACMB-230-V11-MSA</t>
  </si>
  <si>
    <t>ACMB-230-V10-MSB</t>
  </si>
  <si>
    <t>ACMB-230-V11-MSB</t>
  </si>
  <si>
    <t>ACMB-230-R06-BO</t>
  </si>
  <si>
    <t>ACMB-230-RR06-BO</t>
  </si>
  <si>
    <t>ACMB-230-R06-BOA</t>
  </si>
  <si>
    <t>ACMB-230-RR06-BOA</t>
  </si>
  <si>
    <t>ACMB-230-R06-BOB</t>
  </si>
  <si>
    <t>ACMB-230-RR06-BOB</t>
  </si>
  <si>
    <t>ACMB-230-V12-MS</t>
  </si>
  <si>
    <t>ACMB-230-V13-MS</t>
  </si>
  <si>
    <t>ACMB-230-V12-MSA</t>
  </si>
  <si>
    <t>ACMB-230-V13-MSA</t>
  </si>
  <si>
    <t>ACMB-230-V12-MSB</t>
  </si>
  <si>
    <t>ACMB-230-V13-MSB</t>
  </si>
  <si>
    <t>ACMB-230-R07-BO</t>
  </si>
  <si>
    <t>ACMB-230-RR07-BO</t>
  </si>
  <si>
    <t>ACMB-230-R07-BOA</t>
  </si>
  <si>
    <t>ACMB-230-RR07-BOA</t>
  </si>
  <si>
    <t>ACMB-230-R07-BOB</t>
  </si>
  <si>
    <t>ACMB-230-RR07-BOB</t>
  </si>
  <si>
    <t>ACMB-230-V14-MS</t>
  </si>
  <si>
    <t>ACMB-230-V15-MS</t>
  </si>
  <si>
    <t>ACMB-230-V14-MSA</t>
  </si>
  <si>
    <t>ACMB-230-V15-MSA</t>
  </si>
  <si>
    <t>ACMB-230-V14-MSB</t>
  </si>
  <si>
    <t>ACMB-230-V15-MSB</t>
  </si>
  <si>
    <t>ACMB-231-R01-BO</t>
  </si>
  <si>
    <t>ACMB-231-RR01-BO</t>
  </si>
  <si>
    <t>ACMB-231-R01-BOA</t>
  </si>
  <si>
    <t>ACMB-231-RR01-BOA</t>
  </si>
  <si>
    <t>ACMB-231-R01-BOB</t>
  </si>
  <si>
    <t>ACMB-231-RR01-BOB</t>
  </si>
  <si>
    <t>ACMB-231-V02-MS</t>
  </si>
  <si>
    <t>ACMB-231-V03-MS</t>
  </si>
  <si>
    <t>ACMB-231-V02-MSA</t>
  </si>
  <si>
    <t>ACMB-231-V03-MSA</t>
  </si>
  <si>
    <t>ACMB-231-V02-MSB</t>
  </si>
  <si>
    <t>ACMB-231-V03-MSB</t>
  </si>
  <si>
    <t>ACMB-231-R02-BO</t>
  </si>
  <si>
    <t>ACMB-231-RR02-BO</t>
  </si>
  <si>
    <t>ACMB-231-R02-BOA</t>
  </si>
  <si>
    <t>ACMB-231-RR02-BOA</t>
  </si>
  <si>
    <t>ACMB-231-R02-BOB</t>
  </si>
  <si>
    <t>ACMB-231-RR02-BOB</t>
  </si>
  <si>
    <t>ACMB-231-V04-MS</t>
  </si>
  <si>
    <t>ACMB-231-V05-MS</t>
  </si>
  <si>
    <t>ACMB-231-V04-MSA</t>
  </si>
  <si>
    <t>ACMB-231-V05-MSA</t>
  </si>
  <si>
    <t>ACMB-231-V04-MSB</t>
  </si>
  <si>
    <t>ACMB-231-V05-MSB</t>
  </si>
  <si>
    <t>ACMB-231-R03-BO</t>
  </si>
  <si>
    <t>ACMB-231-RR03-BO</t>
  </si>
  <si>
    <t>ACMB-231-R03-BOA</t>
  </si>
  <si>
    <t>ACMB-231-RR03-BOA</t>
  </si>
  <si>
    <t>ACMB-231-R03-BOB</t>
  </si>
  <si>
    <t>ACMB-231-RR03-BOB</t>
  </si>
  <si>
    <t>ACMB-231-V06-MS</t>
  </si>
  <si>
    <t>ACMB-231-V07-MS</t>
  </si>
  <si>
    <t>ACMB-231-V06-MSA</t>
  </si>
  <si>
    <t>ACMB-231-V07-MSA</t>
  </si>
  <si>
    <t>ACMB-231-V06-MSB</t>
  </si>
  <si>
    <t>ACMB-231-V07-MSB</t>
  </si>
  <si>
    <t>ACMB-231-R04-BO</t>
  </si>
  <si>
    <t>ACMB-231-RR04-BO</t>
  </si>
  <si>
    <t>ACMB-231-R04-BOA</t>
  </si>
  <si>
    <t>ACMB-231-RR04-BOA</t>
  </si>
  <si>
    <t>ACMB-231-R04-BOB</t>
  </si>
  <si>
    <t>ACMB-231-RR04-BOB</t>
  </si>
  <si>
    <t>ACMB-231-V08-MS</t>
  </si>
  <si>
    <t>ACMB-231-V09-MS</t>
  </si>
  <si>
    <t>ACMB-231-V08-MSA</t>
  </si>
  <si>
    <t>ACMB-231-V09-MSA</t>
  </si>
  <si>
    <t>ACMB-231-V08-MSB</t>
  </si>
  <si>
    <t>ACMB-231-V09-MSB</t>
  </si>
  <si>
    <t>ACMB-231-R05-BO</t>
  </si>
  <si>
    <t>ACMB-231-RR05-BO</t>
  </si>
  <si>
    <t>ACMB-231-R05-BOA</t>
  </si>
  <si>
    <t>ACMB-231-RR05-BOA</t>
  </si>
  <si>
    <t>ACMB-231-R05-BOB</t>
  </si>
  <si>
    <t>ACMB-231-RR05-BOB</t>
  </si>
  <si>
    <t>ACMB-231-V10-MS</t>
  </si>
  <si>
    <t>ACMB-231-V11-MS</t>
  </si>
  <si>
    <t>ACMB-231-V10-MSA</t>
  </si>
  <si>
    <t>ACMB-231-V11-MSA</t>
  </si>
  <si>
    <t>ACMB-231-V10-MSB</t>
  </si>
  <si>
    <t>ACMB-231-V11-MSB</t>
  </si>
  <si>
    <t>ACMB-231-R06-BO</t>
  </si>
  <si>
    <t>ACMB-231-RR06-BO</t>
  </si>
  <si>
    <t>ACMB-231-R06-BOA</t>
  </si>
  <si>
    <t>ACMB-231-RR06-BOA</t>
  </si>
  <si>
    <t>ACMB-231-R06-BOB</t>
  </si>
  <si>
    <t>ACMB-231-RR06-BOB</t>
  </si>
  <si>
    <t>ACMB-231-V12-MS</t>
  </si>
  <si>
    <t>ACMB-231-V13-MS</t>
  </si>
  <si>
    <t>ACMB-231-V12-MSA</t>
  </si>
  <si>
    <t>ACMB-231-V13-MSA</t>
  </si>
  <si>
    <t>ACMB-231-V12-MSB</t>
  </si>
  <si>
    <t>ACMB-231-V13-MSB</t>
  </si>
  <si>
    <t>ACMB-231-R07-BO</t>
  </si>
  <si>
    <t>ACMB-231-RR07-BO</t>
  </si>
  <si>
    <t>ACMB-231-R07-BOA</t>
  </si>
  <si>
    <t>ACMB-231-RR07-BOA</t>
  </si>
  <si>
    <t>ACMB-231-R07-BOB</t>
  </si>
  <si>
    <t>ACMB-231-RR07-BOB</t>
  </si>
  <si>
    <t>ACMB-231-V14-MS</t>
  </si>
  <si>
    <t>ACMB-231-V15-MS</t>
  </si>
  <si>
    <t>ACMB-231-V14-MSA</t>
  </si>
  <si>
    <t>ACMB-231-V15-MSA</t>
  </si>
  <si>
    <t>ACMB-231-V14-MSB</t>
  </si>
  <si>
    <t>ACMB-231-V15-MSB</t>
  </si>
  <si>
    <t>ACMB-232-R01-BO</t>
  </si>
  <si>
    <t>ACMB-232-RR01-BO</t>
  </si>
  <si>
    <t>ACMB-232-R01-BOA</t>
  </si>
  <si>
    <t>ACMB-232-RR01-BOA</t>
  </si>
  <si>
    <t>ACMB-232-R01-BOB</t>
  </si>
  <si>
    <t>ACMB-232-RR01-BOB</t>
  </si>
  <si>
    <t>ACMB-232-V02-MS</t>
  </si>
  <si>
    <t>ACMB-232-V03-MS</t>
  </si>
  <si>
    <t>ACMB-232-V02-MSA</t>
  </si>
  <si>
    <t>ACMB-232-V03-MSA</t>
  </si>
  <si>
    <t>ACMB-232-V02-MSB</t>
  </si>
  <si>
    <t>ACMB-232-V03-MSB</t>
  </si>
  <si>
    <t>ACMB-232-R02-BO</t>
  </si>
  <si>
    <t>ACMB-232-RR02-BO</t>
  </si>
  <si>
    <t>ACMB-232-R02-BOA</t>
  </si>
  <si>
    <t>ACMB-232-RR02-BOA</t>
  </si>
  <si>
    <t>ACMB-232-R02-BOB</t>
  </si>
  <si>
    <t>ACMB-232-RR02-BOB</t>
  </si>
  <si>
    <t>ACMB-232-V04-MS</t>
  </si>
  <si>
    <t>ACMB-232-V05-MS</t>
  </si>
  <si>
    <t>ACMB-232-V04-MSA</t>
  </si>
  <si>
    <t>ACMB-232-V05-MSA</t>
  </si>
  <si>
    <t>ACMB-232-V04-MSB</t>
  </si>
  <si>
    <t>ACMB-232-V05-MSB</t>
  </si>
  <si>
    <t>ACMB-232-R03-BO</t>
  </si>
  <si>
    <t>ACMB-232-RR03-BO</t>
  </si>
  <si>
    <t>ACMB-232-R03-BOA</t>
  </si>
  <si>
    <t>ACMB-232-RR03-BOA</t>
  </si>
  <si>
    <t>ACMB-232-R03-BOB</t>
  </si>
  <si>
    <t>ACMB-232-RR03-BOB</t>
  </si>
  <si>
    <t>ACMB-232-V06-MS</t>
  </si>
  <si>
    <t>ACMB-232-V07-MS</t>
  </si>
  <si>
    <t>ACMB-232-V06-MSA</t>
  </si>
  <si>
    <t>ACMB-232-V07-MSA</t>
  </si>
  <si>
    <t>ACMB-232-V06-MSB</t>
  </si>
  <si>
    <t>ACMB-232-V07-MSB</t>
  </si>
  <si>
    <t>ACMB-232-R04-BO</t>
  </si>
  <si>
    <t>ACMB-232-RR04-BO</t>
  </si>
  <si>
    <t>ACMB-232-R04-BOA</t>
  </si>
  <si>
    <t>ACMB-232-RR04-BOA</t>
  </si>
  <si>
    <t>ACMB-232-R04-BOB</t>
  </si>
  <si>
    <t>ACMB-232-RR04-BOB</t>
  </si>
  <si>
    <t>ACMB-232-V08-MS</t>
  </si>
  <si>
    <t>ACMB-232-V09-MS</t>
  </si>
  <si>
    <t>ACMB-232-V08-MSA</t>
  </si>
  <si>
    <t>ACMB-232-V09-MSA</t>
  </si>
  <si>
    <t>ACMB-232-V08-MSB</t>
  </si>
  <si>
    <t>ACMB-232-V09-MSB</t>
  </si>
  <si>
    <t>ACMB-232-R05-BO</t>
  </si>
  <si>
    <t>ACMB-232-RR05-BO</t>
  </si>
  <si>
    <t>ACMB-232-R05-BOA</t>
  </si>
  <si>
    <t>ACMB-232-RR05-BOA</t>
  </si>
  <si>
    <t>ACMB-232-R05-BOB</t>
  </si>
  <si>
    <t>ACMB-232-RR05-BOB</t>
  </si>
  <si>
    <t>ACMB-232-V10-MS</t>
  </si>
  <si>
    <t>ACMB-232-V11-MS</t>
  </si>
  <si>
    <t>ACMB-232-V10-MSA</t>
  </si>
  <si>
    <t>ACMB-232-V11-MSA</t>
  </si>
  <si>
    <t>ACMB-232-V10-MSB</t>
  </si>
  <si>
    <t>ACMB-232-V11-MSB</t>
  </si>
  <si>
    <t>ACMB-232-R06-BO</t>
  </si>
  <si>
    <t>ACMB-232-RR06-BO</t>
  </si>
  <si>
    <t>ACMB-232-R06-BOA</t>
  </si>
  <si>
    <t>ACMB-232-RR06-BOA</t>
  </si>
  <si>
    <t>ACMB-232-R06-BOB</t>
  </si>
  <si>
    <t>ACMB-232-RR06-BOB</t>
  </si>
  <si>
    <t>ACMB-232-V12-MS</t>
  </si>
  <si>
    <t>ACMB-232-V13-MS</t>
  </si>
  <si>
    <t>ACMB-232-V12-MSA</t>
  </si>
  <si>
    <t>ACMB-232-V13-MSA</t>
  </si>
  <si>
    <t>ACMB-232-V12-MSB</t>
  </si>
  <si>
    <t>ACMB-232-V13-MSB</t>
  </si>
  <si>
    <t>ACMB-232-R07-BO</t>
  </si>
  <si>
    <t>ACMB-232-RR07-BO</t>
  </si>
  <si>
    <t>ACMB-232-R07-BOA</t>
  </si>
  <si>
    <t>ACMB-232-RR07-BOA</t>
  </si>
  <si>
    <t>ACMB-232-R07-BOB</t>
  </si>
  <si>
    <t>ACMB-232-RR07-BOB</t>
  </si>
  <si>
    <t>ACMB-232-V14-MS</t>
  </si>
  <si>
    <t>ACMB-232-V15-MS</t>
  </si>
  <si>
    <t>ACMB-232-V14-MSA</t>
  </si>
  <si>
    <t>ACMB-232-V15-MSA</t>
  </si>
  <si>
    <t>ACMB-232-V14-MSB</t>
  </si>
  <si>
    <t>ACMB-232-V15-MSB</t>
  </si>
  <si>
    <t>ACMB-233-R01-BO</t>
  </si>
  <si>
    <t>ACMB-233-RR01-BO</t>
  </si>
  <si>
    <t>ACMB-233-R01-BOA</t>
  </si>
  <si>
    <t>ACMB-233-RR01-BOA</t>
  </si>
  <si>
    <t>ACMB-233-R01-BOB</t>
  </si>
  <si>
    <t>ACMB-233-RR01-BOB</t>
  </si>
  <si>
    <t>ACMB-233-V02-MS</t>
  </si>
  <si>
    <t>ACMB-233-V03-MS</t>
  </si>
  <si>
    <t>ACMB-233-V02-MSA</t>
  </si>
  <si>
    <t>ACMB-233-V03-MSA</t>
  </si>
  <si>
    <t>ACMB-233-V02-MSB</t>
  </si>
  <si>
    <t>ACMB-233-V03-MSB</t>
  </si>
  <si>
    <t>ACMB-233-R02-BO</t>
  </si>
  <si>
    <t>ACMB-233-RR02-BO</t>
  </si>
  <si>
    <t>ACMB-233-R02-BOA</t>
  </si>
  <si>
    <t>ACMB-233-RR02-BOA</t>
  </si>
  <si>
    <t>ACMB-233-R02-BOB</t>
  </si>
  <si>
    <t>ACMB-233-RR02-BOB</t>
  </si>
  <si>
    <t>ACMB-233-V04-MS</t>
  </si>
  <si>
    <t>ACMB-233-V05-MS</t>
  </si>
  <si>
    <t>ACMB-233-V04-MSA</t>
  </si>
  <si>
    <t>ACMB-233-V05-MSA</t>
  </si>
  <si>
    <t>ACMB-233-V04-MSB</t>
  </si>
  <si>
    <t>ACMB-233-V05-MSB</t>
  </si>
  <si>
    <t>ACMB-233-R03-BO</t>
  </si>
  <si>
    <t>ACMB-233-RR03-BO</t>
  </si>
  <si>
    <t>ACMB-233-R03-BOA</t>
  </si>
  <si>
    <t>ACMB-233-RR03-BOA</t>
  </si>
  <si>
    <t>ACMB-233-R03-BOB</t>
  </si>
  <si>
    <t>ACMB-233-RR03-BOB</t>
  </si>
  <si>
    <t>ACMB-233-V06-MS</t>
  </si>
  <si>
    <t>ACMB-233-V07-MS</t>
  </si>
  <si>
    <t>ACMB-233-V06-MSA</t>
  </si>
  <si>
    <t>ACMB-233-V07-MSA</t>
  </si>
  <si>
    <t>ACMB-233-V06-MSB</t>
  </si>
  <si>
    <t>ACMB-233-V07-MSB</t>
  </si>
  <si>
    <t>ACMB-233-R04-BO</t>
  </si>
  <si>
    <t>ACMB-233-RR04-BO</t>
  </si>
  <si>
    <t>ACMB-233-R04-BOA</t>
  </si>
  <si>
    <t>ACMB-233-RR04-BOA</t>
  </si>
  <si>
    <t>ACMB-233-R04-BOB</t>
  </si>
  <si>
    <t>ACMB-233-RR04-BOB</t>
  </si>
  <si>
    <t>ACMB-233-V08-MS</t>
  </si>
  <si>
    <t>ACMB-233-V09-MS</t>
  </si>
  <si>
    <t>ACMB-233-V08-MSA</t>
  </si>
  <si>
    <t>ACMB-233-V09-MSA</t>
  </si>
  <si>
    <t>ACMB-233-V08-MSB</t>
  </si>
  <si>
    <t>ACMB-233-V09-MSB</t>
  </si>
  <si>
    <t>ACMB-233-R05-BO</t>
  </si>
  <si>
    <t>ACMB-233-RR05-BO</t>
  </si>
  <si>
    <t>ACMB-233-R05-BOA</t>
  </si>
  <si>
    <t>ACMB-233-RR05-BOA</t>
  </si>
  <si>
    <t>ACMB-233-R05-BOB</t>
  </si>
  <si>
    <t>ACMB-233-RR05-BOB</t>
  </si>
  <si>
    <t>ACMB-233-V10-MS</t>
  </si>
  <si>
    <t>ACMB-233-V11-MS</t>
  </si>
  <si>
    <t>ACMB-233-V10-MSA</t>
  </si>
  <si>
    <t>ACMB-233-V11-MSA</t>
  </si>
  <si>
    <t>ACMB-233-V10-MSB</t>
  </si>
  <si>
    <t>ACMB-233-V11-MSB</t>
  </si>
  <si>
    <t>ACMB-233-R06-BO</t>
  </si>
  <si>
    <t>ACMB-233-RR06-BO</t>
  </si>
  <si>
    <t>ACMB-233-R06-BOA</t>
  </si>
  <si>
    <t>ACMB-233-RR06-BOA</t>
  </si>
  <si>
    <t>ACMB-233-R06-BOB</t>
  </si>
  <si>
    <t>ACMB-233-RR06-BOB</t>
  </si>
  <si>
    <t>ACMB-233-V12-MS</t>
  </si>
  <si>
    <t>ACMB-233-V13-MS</t>
  </si>
  <si>
    <t>ACMB-233-V12-MSA</t>
  </si>
  <si>
    <t>ACMB-233-V13-MSA</t>
  </si>
  <si>
    <t>ACMB-233-V12-MSB</t>
  </si>
  <si>
    <t>ACMB-233-V13-MSB</t>
  </si>
  <si>
    <t>ACMB-233-R07-BO</t>
  </si>
  <si>
    <t>ACMB-233-RR07-BO</t>
  </si>
  <si>
    <t>ACMB-233-R07-BOA</t>
  </si>
  <si>
    <t>ACMB-233-RR07-BOA</t>
  </si>
  <si>
    <t>ACMB-233-R07-BOB</t>
  </si>
  <si>
    <t>ACMB-233-RR07-BOB</t>
  </si>
  <si>
    <t>ACMB-233-V14-MS</t>
  </si>
  <si>
    <t>ACMB-233-V15-MS</t>
  </si>
  <si>
    <t>ACMB-233-V14-MSA</t>
  </si>
  <si>
    <t>ACMB-233-V15-MSA</t>
  </si>
  <si>
    <t>ACMB-233-V14-MSB</t>
  </si>
  <si>
    <t>ACMB-233-V15-MSB</t>
  </si>
  <si>
    <t>ACMB-234-R01-BO</t>
  </si>
  <si>
    <t>ACMB-234-RR01-BO</t>
  </si>
  <si>
    <t>ACMB-234-R01-BOA</t>
  </si>
  <si>
    <t>ACMB-234-RR01-BOA</t>
  </si>
  <si>
    <t>ACMB-234-R01-BOB</t>
  </si>
  <si>
    <t>ACMB-234-RR01-BOB</t>
  </si>
  <si>
    <t>ACMB-234-V02-MS</t>
  </si>
  <si>
    <t>ACMB-234-V03-MS</t>
  </si>
  <si>
    <t>ACMB-234-V02-MSA</t>
  </si>
  <si>
    <t>ACMB-234-V03-MSA</t>
  </si>
  <si>
    <t>ACMB-234-V02-MSB</t>
  </si>
  <si>
    <t>ACMB-234-V03-MSB</t>
  </si>
  <si>
    <t>ACMB-234-R02-BO</t>
  </si>
  <si>
    <t>ACMB-234-RR02-BO</t>
  </si>
  <si>
    <t>ACMB-234-R02-BOA</t>
  </si>
  <si>
    <t>ACMB-234-RR02-BOA</t>
  </si>
  <si>
    <t>ACMB-234-R02-BOB</t>
  </si>
  <si>
    <t>ACMB-234-RR02-BOB</t>
  </si>
  <si>
    <t>ACMB-234-V04-MS</t>
  </si>
  <si>
    <t>ACMB-234-V05-MS</t>
  </si>
  <si>
    <t>ACMB-234-V04-MSA</t>
  </si>
  <si>
    <t>ACMB-234-V05-MSA</t>
  </si>
  <si>
    <t>ACMB-234-V04-MSB</t>
  </si>
  <si>
    <t>ACMB-234-V05-MSB</t>
  </si>
  <si>
    <t>ACMB-234-R03-BO</t>
  </si>
  <si>
    <t>ACMB-234-RR03-BO</t>
  </si>
  <si>
    <t>ACMB-234-R03-BOA</t>
  </si>
  <si>
    <t>ACMB-234-RR03-BOA</t>
  </si>
  <si>
    <t>ACMB-234-R03-BOB</t>
  </si>
  <si>
    <t>ACMB-234-RR03-BOB</t>
  </si>
  <si>
    <t>ACMB-234-V06-MS</t>
  </si>
  <si>
    <t>ACMB-234-V07-MS</t>
  </si>
  <si>
    <t>ACMB-234-V06-MSA</t>
  </si>
  <si>
    <t>ACMB-234-V07-MSA</t>
  </si>
  <si>
    <t>ACMB-234-V06-MSB</t>
  </si>
  <si>
    <t>ACMB-234-V07-MSB</t>
  </si>
  <si>
    <t>ACMB-234-R04-BO</t>
  </si>
  <si>
    <t>ACMB-234-RR04-BO</t>
  </si>
  <si>
    <t>ACMB-234-R04-BOA</t>
  </si>
  <si>
    <t>ACMB-234-RR04-BOA</t>
  </si>
  <si>
    <t>ACMB-234-R04-BOB</t>
  </si>
  <si>
    <t>ACMB-234-RR04-BOB</t>
  </si>
  <si>
    <t>ACMB-234-V08-MS</t>
  </si>
  <si>
    <t>ACMB-234-V09-MS</t>
  </si>
  <si>
    <t>ACMB-234-V08-MSA</t>
  </si>
  <si>
    <t>ACMB-234-V09-MSA</t>
  </si>
  <si>
    <t>ACMB-234-V08-MSB</t>
  </si>
  <si>
    <t>ACMB-234-V09-MSB</t>
  </si>
  <si>
    <t>ACMB-234-R05-BO</t>
  </si>
  <si>
    <t>ACMB-234-RR05-BO</t>
  </si>
  <si>
    <t>ACMB-234-R05-BOA</t>
  </si>
  <si>
    <t>ACMB-234-RR05-BOA</t>
  </si>
  <si>
    <t>ACMB-234-R05-BOB</t>
  </si>
  <si>
    <t>ACMB-234-RR05-BOB</t>
  </si>
  <si>
    <t>ACMB-234-V10-MS</t>
  </si>
  <si>
    <t>ACMB-234-V11-MS</t>
  </si>
  <si>
    <t>ACMB-234-V10-MSA</t>
  </si>
  <si>
    <t>ACMB-234-V11-MSA</t>
  </si>
  <si>
    <t>ACMB-234-V10-MSB</t>
  </si>
  <si>
    <t>ACMB-234-V11-MSB</t>
  </si>
  <si>
    <t>ACMB-234-R06-BO</t>
  </si>
  <si>
    <t>ACMB-234-RR06-BO</t>
  </si>
  <si>
    <t>ACMB-234-R06-BOA</t>
  </si>
  <si>
    <t>ACMB-234-RR06-BOA</t>
  </si>
  <si>
    <t>ACMB-234-R06-BOB</t>
  </si>
  <si>
    <t>ACMB-234-RR06-BOB</t>
  </si>
  <si>
    <t>ACMB-234-V12-MS</t>
  </si>
  <si>
    <t>ACMB-234-V13-MS</t>
  </si>
  <si>
    <t>ACMB-234-V12-MSA</t>
  </si>
  <si>
    <t>ACMB-234-V13-MSA</t>
  </si>
  <si>
    <t>ACMB-234-V12-MSB</t>
  </si>
  <si>
    <t>ACMB-234-V13-MSB</t>
  </si>
  <si>
    <t>ACMB-234-R07-BO</t>
  </si>
  <si>
    <t>ACMB-234-RR07-BO</t>
  </si>
  <si>
    <t>ACMB-234-R07-BOA</t>
  </si>
  <si>
    <t>ACMB-234-RR07-BOA</t>
  </si>
  <si>
    <t>ACMB-234-R07-BOB</t>
  </si>
  <si>
    <t>ACMB-234-RR07-BOB</t>
  </si>
  <si>
    <t>ACMB-234-V14-MS</t>
  </si>
  <si>
    <t>ACMB-234-V15-MS</t>
  </si>
  <si>
    <t>ACMB-234-V14-MSA</t>
  </si>
  <si>
    <t>ACMB-234-V15-MSA</t>
  </si>
  <si>
    <t>ACMB-234-V14-MSB</t>
  </si>
  <si>
    <t>ACMB-234-V15-MSB</t>
  </si>
  <si>
    <t>ACMB-235-R01-BO</t>
  </si>
  <si>
    <t>ACMB-235-RR01-BO</t>
  </si>
  <si>
    <t>ACMB-235-R01-BOA</t>
  </si>
  <si>
    <t>ACMB-235-RR01-BOA</t>
  </si>
  <si>
    <t>ACMB-235-R01-BOB</t>
  </si>
  <si>
    <t>ACMB-235-RR01-BOB</t>
  </si>
  <si>
    <t>ACMB-235-V02-MS</t>
  </si>
  <si>
    <t>ACMB-235-V03-MS</t>
  </si>
  <si>
    <t>ACMB-235-V02-MSA</t>
  </si>
  <si>
    <t>ACMB-235-V03-MSA</t>
  </si>
  <si>
    <t>ACMB-235-V02-MSB</t>
  </si>
  <si>
    <t>ACMB-235-V03-MSB</t>
  </si>
  <si>
    <t>ACMB-235-R02-BO</t>
  </si>
  <si>
    <t>ACMB-235-RR02-BO</t>
  </si>
  <si>
    <t>ACMB-235-R02-BOA</t>
  </si>
  <si>
    <t>ACMB-235-RR02-BOA</t>
  </si>
  <si>
    <t>ACMB-235-R02-BOB</t>
  </si>
  <si>
    <t>ACMB-235-RR02-BOB</t>
  </si>
  <si>
    <t>ACMB-235-V04-MS</t>
  </si>
  <si>
    <t>ACMB-235-V05-MS</t>
  </si>
  <si>
    <t>ACMB-235-V04-MSA</t>
  </si>
  <si>
    <t>ACMB-235-V05-MSA</t>
  </si>
  <si>
    <t>ACMB-235-V04-MSB</t>
  </si>
  <si>
    <t>ACMB-235-V05-MSB</t>
  </si>
  <si>
    <t>ACMB-235-R03-BO</t>
  </si>
  <si>
    <t>ACMB-235-RR03-BO</t>
  </si>
  <si>
    <t>ACMB-235-R03-BOA</t>
  </si>
  <si>
    <t>ACMB-235-RR03-BOA</t>
  </si>
  <si>
    <t>ACMB-235-R03-BOB</t>
  </si>
  <si>
    <t>ACMB-235-RR03-BOB</t>
  </si>
  <si>
    <t>ACMB-235-V06-MS</t>
  </si>
  <si>
    <t>ACMB-235-V07-MS</t>
  </si>
  <si>
    <t>ACMB-235-V06-MSA</t>
  </si>
  <si>
    <t>ACMB-235-V07-MSA</t>
  </si>
  <si>
    <t>ACMB-235-V06-MSB</t>
  </si>
  <si>
    <t>ACMB-235-V07-MSB</t>
  </si>
  <si>
    <t>ACMB-235-R04-BO</t>
  </si>
  <si>
    <t>ACMB-235-RR04-BO</t>
  </si>
  <si>
    <t>ACMB-235-R04-BOA</t>
  </si>
  <si>
    <t>ACMB-235-RR04-BOA</t>
  </si>
  <si>
    <t>ACMB-235-R04-BOB</t>
  </si>
  <si>
    <t>ACMB-235-RR04-BOB</t>
  </si>
  <si>
    <t>ACMB-235-V08-MS</t>
  </si>
  <si>
    <t>ACMB-235-V09-MS</t>
  </si>
  <si>
    <t>ACMB-235-V08-MSA</t>
  </si>
  <si>
    <t>ACMB-235-V09-MSA</t>
  </si>
  <si>
    <t>ACMB-235-V08-MSB</t>
  </si>
  <si>
    <t>ACMB-235-V09-MSB</t>
  </si>
  <si>
    <t>ACMB-235-R05-BO</t>
  </si>
  <si>
    <t>ACMB-235-RR05-BO</t>
  </si>
  <si>
    <t>ACMB-235-R05-BOA</t>
  </si>
  <si>
    <t>ACMB-235-RR05-BOA</t>
  </si>
  <si>
    <t>ACMB-235-R05-BOB</t>
  </si>
  <si>
    <t>ACMB-235-RR05-BOB</t>
  </si>
  <si>
    <t>ACMB-235-V10-MS</t>
  </si>
  <si>
    <t>ACMB-235-V11-MS</t>
  </si>
  <si>
    <t>ACMB-235-V10-MSA</t>
  </si>
  <si>
    <t>ACMB-235-V11-MSA</t>
  </si>
  <si>
    <t>ACMB-235-V10-MSB</t>
  </si>
  <si>
    <t>ACMB-235-V11-MSB</t>
  </si>
  <si>
    <t>ACMB-235-R06-BO</t>
  </si>
  <si>
    <t>ACMB-235-RR06-BO</t>
  </si>
  <si>
    <t>ACMB-235-R06-BOA</t>
  </si>
  <si>
    <t>ACMB-235-RR06-BOA</t>
  </si>
  <si>
    <t>ACMB-235-R06-BOB</t>
  </si>
  <si>
    <t>ACMB-235-RR06-BOB</t>
  </si>
  <si>
    <t>ACMB-235-V12-MS</t>
  </si>
  <si>
    <t>ACMB-235-V13-MS</t>
  </si>
  <si>
    <t>ACMB-235-V12-MSA</t>
  </si>
  <si>
    <t>ACMB-235-V13-MSA</t>
  </si>
  <si>
    <t>ACMB-235-V12-MSB</t>
  </si>
  <si>
    <t>ACMB-235-V13-MSB</t>
  </si>
  <si>
    <t>ACMB-235-R07-BO</t>
  </si>
  <si>
    <t>ACMB-235-RR07-BO</t>
  </si>
  <si>
    <t>ACMB-235-R07-BOA</t>
  </si>
  <si>
    <t>ACMB-235-RR07-BOA</t>
  </si>
  <si>
    <t>ACMB-235-R07-BOB</t>
  </si>
  <si>
    <t>ACMB-235-RR07-BOB</t>
  </si>
  <si>
    <t>ACMB-235-V14-MS</t>
  </si>
  <si>
    <t>ACMB-235-V15-MS</t>
  </si>
  <si>
    <t>ACMB-235-V14-MSA</t>
  </si>
  <si>
    <t>ACMB-235-V15-MSA</t>
  </si>
  <si>
    <t>ACMB-235-V14-MSB</t>
  </si>
  <si>
    <t>ACMB-235-V15-MSB</t>
  </si>
  <si>
    <t>ACMB-236-R01-BO</t>
  </si>
  <si>
    <t>ACMB-236-RR01-BO</t>
  </si>
  <si>
    <t>ACMB-236-R01-BOA</t>
  </si>
  <si>
    <t>ACMB-236-RR01-BOA</t>
  </si>
  <si>
    <t>ACMB-236-R01-BOB</t>
  </si>
  <si>
    <t>ACMB-236-RR01-BOB</t>
  </si>
  <si>
    <t>ACMB-236-V02-MS</t>
  </si>
  <si>
    <t>ACMB-236-V03-MS</t>
  </si>
  <si>
    <t>ACMB-236-V02-MSA</t>
  </si>
  <si>
    <t>ACMB-236-V03-MSA</t>
  </si>
  <si>
    <t>ACMB-236-V02-MSB</t>
  </si>
  <si>
    <t>ACMB-236-V03-MSB</t>
  </si>
  <si>
    <t>ACMB-236-R02-BO</t>
  </si>
  <si>
    <t>ACMB-236-RR02-BO</t>
  </si>
  <si>
    <t>ACMB-236-R02-BOA</t>
  </si>
  <si>
    <t>ACMB-236-RR02-BOA</t>
  </si>
  <si>
    <t>ACMB-236-R02-BOB</t>
  </si>
  <si>
    <t>ACMB-236-RR02-BOB</t>
  </si>
  <si>
    <t>ACMB-236-V04-MS</t>
  </si>
  <si>
    <t>ACMB-236-V05-MS</t>
  </si>
  <si>
    <t>ACMB-236-V04-MSA</t>
  </si>
  <si>
    <t>ACMB-236-V05-MSA</t>
  </si>
  <si>
    <t>ACMB-236-V04-MSB</t>
  </si>
  <si>
    <t>ACMB-236-V05-MSB</t>
  </si>
  <si>
    <t>ACMB-236-R03-BO</t>
  </si>
  <si>
    <t>ACMB-236-RR03-BO</t>
  </si>
  <si>
    <t>ACMB-236-R03-BOA</t>
  </si>
  <si>
    <t>ACMB-236-RR03-BOA</t>
  </si>
  <si>
    <t>ACMB-236-R03-BOB</t>
  </si>
  <si>
    <t>ACMB-236-RR03-BOB</t>
  </si>
  <si>
    <t>ACMB-236-V06-MS</t>
  </si>
  <si>
    <t>ACMB-236-V07-MS</t>
  </si>
  <si>
    <t>ACMB-236-V06-MSA</t>
  </si>
  <si>
    <t>ACMB-236-V07-MSA</t>
  </si>
  <si>
    <t>ACMB-236-V06-MSB</t>
  </si>
  <si>
    <t>ACMB-236-V07-MSB</t>
  </si>
  <si>
    <t>ACMB-236-R04-BO</t>
  </si>
  <si>
    <t>ACMB-236-RR04-BO</t>
  </si>
  <si>
    <t>ACMB-236-R04-BOA</t>
  </si>
  <si>
    <t>ACMB-236-RR04-BOA</t>
  </si>
  <si>
    <t>ACMB-236-R04-BOB</t>
  </si>
  <si>
    <t>ACMB-236-RR04-BOB</t>
  </si>
  <si>
    <t>ACMB-236-V08-MS</t>
  </si>
  <si>
    <t>ACMB-236-V09-MS</t>
  </si>
  <si>
    <t>ACMB-236-V08-MSA</t>
  </si>
  <si>
    <t>ACMB-236-V09-MSA</t>
  </si>
  <si>
    <t>ACMB-236-V08-MSB</t>
  </si>
  <si>
    <t>ACMB-236-V09-MSB</t>
  </si>
  <si>
    <t>ACMB-236-R05-BO</t>
  </si>
  <si>
    <t>ACMB-236-RR05-BO</t>
  </si>
  <si>
    <t>ACMB-236-R05-BOA</t>
  </si>
  <si>
    <t>ACMB-236-RR05-BOA</t>
  </si>
  <si>
    <t>ACMB-236-R05-BOB</t>
  </si>
  <si>
    <t>ACMB-236-RR05-BOB</t>
  </si>
  <si>
    <t>ACMB-236-V10-MS</t>
  </si>
  <si>
    <t>ACMB-236-V11-MS</t>
  </si>
  <si>
    <t>ACMB-236-V10-MSA</t>
  </si>
  <si>
    <t>ACMB-236-V11-MSA</t>
  </si>
  <si>
    <t>ACMB-236-V10-MSB</t>
  </si>
  <si>
    <t>ACMB-236-V11-MSB</t>
  </si>
  <si>
    <t>ACMB-236-R06-BO</t>
  </si>
  <si>
    <t>ACMB-236-RR06-BO</t>
  </si>
  <si>
    <t>ACMB-236-R06-BOA</t>
  </si>
  <si>
    <t>ACMB-236-RR06-BOA</t>
  </si>
  <si>
    <t>ACMB-236-R06-BOB</t>
  </si>
  <si>
    <t>ACMB-236-RR06-BOB</t>
  </si>
  <si>
    <t>ACMB-236-V12-MS</t>
  </si>
  <si>
    <t>ACMB-236-V13-MS</t>
  </si>
  <si>
    <t>ACMB-236-V12-MSA</t>
  </si>
  <si>
    <t>ACMB-236-V13-MSA</t>
  </si>
  <si>
    <t>ACMB-236-V12-MSB</t>
  </si>
  <si>
    <t>ACMB-236-V13-MSB</t>
  </si>
  <si>
    <t>ACMB-236-R07-BO</t>
  </si>
  <si>
    <t>ACMB-236-RR07-BO</t>
  </si>
  <si>
    <t>ACMB-236-R07-BOA</t>
  </si>
  <si>
    <t>ACMB-236-RR07-BOA</t>
  </si>
  <si>
    <t>ACMB-236-R07-BOB</t>
  </si>
  <si>
    <t>ACMB-236-RR07-BOB</t>
  </si>
  <si>
    <t>ACMB-236-V14-MS</t>
  </si>
  <si>
    <t>ACMB-236-V15-MS</t>
  </si>
  <si>
    <t>ACMB-236-V14-MSA</t>
  </si>
  <si>
    <t>ACMB-236-V15-MSA</t>
  </si>
  <si>
    <t>ACMB-236-V14-MSB</t>
  </si>
  <si>
    <t>ACMB-236-V15-MSB</t>
  </si>
  <si>
    <t>ACMB-237-R01-BO</t>
  </si>
  <si>
    <t>ACMB-237-RR01-BO</t>
  </si>
  <si>
    <t>ACMB-237-R01-BOA</t>
  </si>
  <si>
    <t>ACMB-237-RR01-BOA</t>
  </si>
  <si>
    <t>ACMB-237-R01-BOB</t>
  </si>
  <si>
    <t>ACMB-237-RR01-BOB</t>
  </si>
  <si>
    <t>ACMB-237-V02-MS</t>
  </si>
  <si>
    <t>ACMB-237-V03-MS</t>
  </si>
  <si>
    <t>ACMB-237-V02-MSA</t>
  </si>
  <si>
    <t>ACMB-237-V03-MSA</t>
  </si>
  <si>
    <t>ACMB-237-V02-MSB</t>
  </si>
  <si>
    <t>ACMB-237-V03-MSB</t>
  </si>
  <si>
    <t>ACMB-237-R02-BO</t>
  </si>
  <si>
    <t>ACMB-237-RR02-BO</t>
  </si>
  <si>
    <t>ACMB-237-R02-BOA</t>
  </si>
  <si>
    <t>ACMB-237-RR02-BOA</t>
  </si>
  <si>
    <t>ACMB-237-R02-BOB</t>
  </si>
  <si>
    <t>ACMB-237-RR02-BOB</t>
  </si>
  <si>
    <t>ACMB-237-V04-MS</t>
  </si>
  <si>
    <t>ACMB-237-V05-MS</t>
  </si>
  <si>
    <t>ACMB-237-V04-MSA</t>
  </si>
  <si>
    <t>ACMB-237-V05-MSA</t>
  </si>
  <si>
    <t>ACMB-237-V04-MSB</t>
  </si>
  <si>
    <t>ACMB-237-V05-MSB</t>
  </si>
  <si>
    <t>ACMB-237-R03-BO</t>
  </si>
  <si>
    <t>ACMB-237-RR03-BO</t>
  </si>
  <si>
    <t>ACMB-237-R03-BOA</t>
  </si>
  <si>
    <t>ACMB-237-RR03-BOA</t>
  </si>
  <si>
    <t>ACMB-237-R03-BOB</t>
  </si>
  <si>
    <t>ACMB-237-RR03-BOB</t>
  </si>
  <si>
    <t>ACMB-237-V06-MS</t>
  </si>
  <si>
    <t>ACMB-237-V07-MS</t>
  </si>
  <si>
    <t>ACMB-237-V06-MSA</t>
  </si>
  <si>
    <t>ACMB-237-V07-MSA</t>
  </si>
  <si>
    <t>ACMB-237-V06-MSB</t>
  </si>
  <si>
    <t>ACMB-237-V07-MSB</t>
  </si>
  <si>
    <t>ACMB-237-R04-BO</t>
  </si>
  <si>
    <t>ACMB-237-RR04-BO</t>
  </si>
  <si>
    <t>ACMB-237-R04-BOA</t>
  </si>
  <si>
    <t>ACMB-237-RR04-BOA</t>
  </si>
  <si>
    <t>ACMB-237-R04-BOB</t>
  </si>
  <si>
    <t>ACMB-237-RR04-BOB</t>
  </si>
  <si>
    <t>ACMB-237-V08-MS</t>
  </si>
  <si>
    <t>ACMB-237-V09-MS</t>
  </si>
  <si>
    <t>ACMB-237-V08-MSA</t>
  </si>
  <si>
    <t>ACMB-237-V09-MSA</t>
  </si>
  <si>
    <t>ACMB-237-V08-MSB</t>
  </si>
  <si>
    <t>ACMB-237-V09-MSB</t>
  </si>
  <si>
    <t>ACMB-237-R05-BO</t>
  </si>
  <si>
    <t>ACMB-237-RR05-BO</t>
  </si>
  <si>
    <t>ACMB-237-R05-BOA</t>
  </si>
  <si>
    <t>ACMB-237-RR05-BOA</t>
  </si>
  <si>
    <t>ACMB-237-R05-BOB</t>
  </si>
  <si>
    <t>ACMB-237-RR05-BOB</t>
  </si>
  <si>
    <t>ACMB-237-V10-MS</t>
  </si>
  <si>
    <t>ACMB-237-V11-MS</t>
  </si>
  <si>
    <t>ACMB-237-V10-MSA</t>
  </si>
  <si>
    <t>ACMB-237-V11-MSA</t>
  </si>
  <si>
    <t>ACMB-237-V10-MSB</t>
  </si>
  <si>
    <t>ACMB-237-V11-MSB</t>
  </si>
  <si>
    <t>ACMB-237-R06-BO</t>
  </si>
  <si>
    <t>ACMB-237-RR06-BO</t>
  </si>
  <si>
    <t>ACMB-237-R06-BOA</t>
  </si>
  <si>
    <t>ACMB-237-RR06-BOA</t>
  </si>
  <si>
    <t>ACMB-237-R06-BOB</t>
  </si>
  <si>
    <t>ACMB-237-RR06-BOB</t>
  </si>
  <si>
    <t>ACMB-237-V12-MS</t>
  </si>
  <si>
    <t>ACMB-237-V13-MS</t>
  </si>
  <si>
    <t>ACMB-237-V12-MSA</t>
  </si>
  <si>
    <t>ACMB-237-V13-MSA</t>
  </si>
  <si>
    <t>ACMB-237-V12-MSB</t>
  </si>
  <si>
    <t>ACMB-237-V13-MSB</t>
  </si>
  <si>
    <t>ACMB-237-R07-BO</t>
  </si>
  <si>
    <t>ACMB-237-RR07-BO</t>
  </si>
  <si>
    <t>ACMB-237-R07-BOA</t>
  </si>
  <si>
    <t>ACMB-237-RR07-BOA</t>
  </si>
  <si>
    <t>ACMB-237-R07-BOB</t>
  </si>
  <si>
    <t>ACMB-237-RR07-BOB</t>
  </si>
  <si>
    <t>ACMB-237-V14-MS</t>
  </si>
  <si>
    <t>ACMB-237-V15-MS</t>
  </si>
  <si>
    <t>ACMB-237-V14-MSA</t>
  </si>
  <si>
    <t>ACMB-237-V15-MSA</t>
  </si>
  <si>
    <t>ACMB-237-V14-MSB</t>
  </si>
  <si>
    <t>ACMB-237-V15-MSB</t>
  </si>
  <si>
    <t>ACMB-238-R01-BO</t>
  </si>
  <si>
    <t>ACMB-238-RR01-BO</t>
  </si>
  <si>
    <t>ACMB-238-R01-BOA</t>
  </si>
  <si>
    <t>ACMB-238-RR01-BOA</t>
  </si>
  <si>
    <t>ACMB-238-R01-BOB</t>
  </si>
  <si>
    <t>ACMB-238-RR01-BOB</t>
  </si>
  <si>
    <t>ACMB-238-V02-MS</t>
  </si>
  <si>
    <t>ACMB-238-V03-MS</t>
  </si>
  <si>
    <t>ACMB-238-V02-MSA</t>
  </si>
  <si>
    <t>ACMB-238-V03-MSA</t>
  </si>
  <si>
    <t>ACMB-238-V02-MSB</t>
  </si>
  <si>
    <t>ACMB-238-V03-MSB</t>
  </si>
  <si>
    <t>ACMB-238-R02-BO</t>
  </si>
  <si>
    <t>ACMB-238-RR02-BO</t>
  </si>
  <si>
    <t>ACMB-238-R02-BOA</t>
  </si>
  <si>
    <t>ACMB-238-RR02-BOA</t>
  </si>
  <si>
    <t>ACMB-238-R02-BOB</t>
  </si>
  <si>
    <t>ACMB-238-RR02-BOB</t>
  </si>
  <si>
    <t>ACMB-238-V04-MS</t>
  </si>
  <si>
    <t>ACMB-238-V05-MS</t>
  </si>
  <si>
    <t>ACMB-238-V04-MSA</t>
  </si>
  <si>
    <t>ACMB-238-V05-MSA</t>
  </si>
  <si>
    <t>ACMB-238-V04-MSB</t>
  </si>
  <si>
    <t>ACMB-238-V05-MSB</t>
  </si>
  <si>
    <t>ACMB-238-R03-BO</t>
  </si>
  <si>
    <t>ACMB-238-RR03-BO</t>
  </si>
  <si>
    <t>ACMB-238-R03-BOA</t>
  </si>
  <si>
    <t>ACMB-238-RR03-BOA</t>
  </si>
  <si>
    <t>ACMB-238-R03-BOB</t>
  </si>
  <si>
    <t>ACMB-238-RR03-BOB</t>
  </si>
  <si>
    <t>ACMB-238-V06-MS</t>
  </si>
  <si>
    <t>ACMB-238-V07-MS</t>
  </si>
  <si>
    <t>ACMB-238-V06-MSA</t>
  </si>
  <si>
    <t>ACMB-238-V07-MSA</t>
  </si>
  <si>
    <t>ACMB-238-V06-MSB</t>
  </si>
  <si>
    <t>ACMB-238-V07-MSB</t>
  </si>
  <si>
    <t>ACMB-238-R04-BO</t>
  </si>
  <si>
    <t>ACMB-238-RR04-BO</t>
  </si>
  <si>
    <t>ACMB-238-R04-BOA</t>
  </si>
  <si>
    <t>ACMB-238-RR04-BOA</t>
  </si>
  <si>
    <t>ACMB-238-R04-BOB</t>
  </si>
  <si>
    <t>ACMB-238-RR04-BOB</t>
  </si>
  <si>
    <t>ACMB-238-V08-MS</t>
  </si>
  <si>
    <t>ACMB-238-V09-MS</t>
  </si>
  <si>
    <t>ACMB-238-V08-MSA</t>
  </si>
  <si>
    <t>ACMB-238-V09-MSA</t>
  </si>
  <si>
    <t>ACMB-238-V08-MSB</t>
  </si>
  <si>
    <t>ACMB-238-V09-MSB</t>
  </si>
  <si>
    <t>ACMB-238-R05-BO</t>
  </si>
  <si>
    <t>ACMB-238-RR05-BO</t>
  </si>
  <si>
    <t>ACMB-238-R05-BOA</t>
  </si>
  <si>
    <t>ACMB-238-RR05-BOA</t>
  </si>
  <si>
    <t>ACMB-238-R05-BOB</t>
  </si>
  <si>
    <t>ACMB-238-RR05-BOB</t>
  </si>
  <si>
    <t>ACMB-238-V10-MS</t>
  </si>
  <si>
    <t>ACMB-238-V11-MS</t>
  </si>
  <si>
    <t>ACMB-238-V10-MSA</t>
  </si>
  <si>
    <t>ACMB-238-V11-MSA</t>
  </si>
  <si>
    <t>ACMB-238-V10-MSB</t>
  </si>
  <si>
    <t>ACMB-238-V11-MSB</t>
  </si>
  <si>
    <t>ACMB-238-R06-BO</t>
  </si>
  <si>
    <t>ACMB-238-RR06-BO</t>
  </si>
  <si>
    <t>ACMB-238-R06-BOA</t>
  </si>
  <si>
    <t>ACMB-238-RR06-BOA</t>
  </si>
  <si>
    <t>ACMB-238-R06-BOB</t>
  </si>
  <si>
    <t>ACMB-238-RR06-BOB</t>
  </si>
  <si>
    <t>ACMB-238-V12-MS</t>
  </si>
  <si>
    <t>ACMB-238-V13-MS</t>
  </si>
  <si>
    <t>ACMB-238-V12-MSA</t>
  </si>
  <si>
    <t>ACMB-238-V13-MSA</t>
  </si>
  <si>
    <t>ACMB-238-V12-MSB</t>
  </si>
  <si>
    <t>ACMB-238-V13-MSB</t>
  </si>
  <si>
    <t>ACMB-238-R07-BO</t>
  </si>
  <si>
    <t>ACMB-238-RR07-BO</t>
  </si>
  <si>
    <t>ACMB-238-R07-BOA</t>
  </si>
  <si>
    <t>ACMB-238-RR07-BOA</t>
  </si>
  <si>
    <t>ACMB-238-R07-BOB</t>
  </si>
  <si>
    <t>ACMB-238-RR07-BOB</t>
  </si>
  <si>
    <t>ACMB-238-V14-MS</t>
  </si>
  <si>
    <t>ACMB-238-V15-MS</t>
  </si>
  <si>
    <t>ACMB-238-V14-MSA</t>
  </si>
  <si>
    <t>ACMB-238-V15-MSA</t>
  </si>
  <si>
    <t>ACMB-238-V14-MSB</t>
  </si>
  <si>
    <t>ACMB-238-V15-MSB</t>
  </si>
  <si>
    <t>ACMB-239-R01-BO</t>
  </si>
  <si>
    <t>ACMB-239-RR01-BO</t>
  </si>
  <si>
    <t>ACMB-239-R01-BOA</t>
  </si>
  <si>
    <t>ACMB-239-RR01-BOA</t>
  </si>
  <si>
    <t>ACMB-239-R01-BOB</t>
  </si>
  <si>
    <t>ACMB-239-RR01-BOB</t>
  </si>
  <si>
    <t>ACMB-239-V02-MS</t>
  </si>
  <si>
    <t>ACMB-239-V03-MS</t>
  </si>
  <si>
    <t>ACMB-239-V02-MSA</t>
  </si>
  <si>
    <t>ACMB-239-V03-MSA</t>
  </si>
  <si>
    <t>ACMB-239-V02-MSB</t>
  </si>
  <si>
    <t>ACMB-239-V03-MSB</t>
  </si>
  <si>
    <t>ACMB-239-R02-BO</t>
  </si>
  <si>
    <t>ACMB-239-RR02-BO</t>
  </si>
  <si>
    <t>ACMB-239-R02-BOA</t>
  </si>
  <si>
    <t>ACMB-239-RR02-BOA</t>
  </si>
  <si>
    <t>ACMB-239-R02-BOB</t>
  </si>
  <si>
    <t>ACMB-239-RR02-BOB</t>
  </si>
  <si>
    <t>ACMB-239-V04-MS</t>
  </si>
  <si>
    <t>ACMB-239-V05-MS</t>
  </si>
  <si>
    <t>ACMB-239-V04-MSA</t>
  </si>
  <si>
    <t>ACMB-239-V05-MSA</t>
  </si>
  <si>
    <t>ACMB-239-V04-MSB</t>
  </si>
  <si>
    <t>ACMB-239-V05-MSB</t>
  </si>
  <si>
    <t>ACMB-239-R03-BO</t>
  </si>
  <si>
    <t>ACMB-239-RR03-BO</t>
  </si>
  <si>
    <t>ACMB-239-R03-BOA</t>
  </si>
  <si>
    <t>ACMB-239-RR03-BOA</t>
  </si>
  <si>
    <t>ACMB-239-R03-BOB</t>
  </si>
  <si>
    <t>ACMB-239-RR03-BOB</t>
  </si>
  <si>
    <t>ACMB-239-V06-MS</t>
  </si>
  <si>
    <t>ACMB-239-V07-MS</t>
  </si>
  <si>
    <t>ACMB-239-V06-MSA</t>
  </si>
  <si>
    <t>ACMB-239-V07-MSA</t>
  </si>
  <si>
    <t>ACMB-239-V06-MSB</t>
  </si>
  <si>
    <t>ACMB-239-V07-MSB</t>
  </si>
  <si>
    <t>ACMB-239-R04-BO</t>
  </si>
  <si>
    <t>ACMB-239-RR04-BO</t>
  </si>
  <si>
    <t>ACMB-239-R04-BOA</t>
  </si>
  <si>
    <t>ACMB-239-RR04-BOA</t>
  </si>
  <si>
    <t>ACMB-239-R04-BOB</t>
  </si>
  <si>
    <t>ACMB-239-RR04-BOB</t>
  </si>
  <si>
    <t>ACMB-239-V08-MS</t>
  </si>
  <si>
    <t>ACMB-239-V09-MS</t>
  </si>
  <si>
    <t>ACMB-239-V08-MSA</t>
  </si>
  <si>
    <t>ACMB-239-V09-MSA</t>
  </si>
  <si>
    <t>ACMB-239-V08-MSB</t>
  </si>
  <si>
    <t>ACMB-239-V09-MSB</t>
  </si>
  <si>
    <t>ACMB-239-R05-BO</t>
  </si>
  <si>
    <t>ACMB-239-RR05-BO</t>
  </si>
  <si>
    <t>ACMB-239-R05-BOA</t>
  </si>
  <si>
    <t>ACMB-239-RR05-BOA</t>
  </si>
  <si>
    <t>ACMB-239-R05-BOB</t>
  </si>
  <si>
    <t>ACMB-239-RR05-BOB</t>
  </si>
  <si>
    <t>ACMB-239-V10-MS</t>
  </si>
  <si>
    <t>ACMB-239-V11-MS</t>
  </si>
  <si>
    <t>ACMB-239-V10-MSA</t>
  </si>
  <si>
    <t>ACMB-239-V11-MSA</t>
  </si>
  <si>
    <t>ACMB-239-V10-MSB</t>
  </si>
  <si>
    <t>ACMB-239-V11-MSB</t>
  </si>
  <si>
    <t>ACMB-239-R06-BO</t>
  </si>
  <si>
    <t>ACMB-239-RR06-BO</t>
  </si>
  <si>
    <t>ACMB-239-R06-BOA</t>
  </si>
  <si>
    <t>ACMB-239-RR06-BOA</t>
  </si>
  <si>
    <t>ACMB-239-R06-BOB</t>
  </si>
  <si>
    <t>ACMB-239-RR06-BOB</t>
  </si>
  <si>
    <t>ACMB-239-V12-MS</t>
  </si>
  <si>
    <t>ACMB-239-V13-MS</t>
  </si>
  <si>
    <t>ACMB-239-V12-MSA</t>
  </si>
  <si>
    <t>ACMB-239-V13-MSA</t>
  </si>
  <si>
    <t>ACMB-239-V12-MSB</t>
  </si>
  <si>
    <t>ACMB-239-V13-MSB</t>
  </si>
  <si>
    <t>ACMB-239-R07-BO</t>
  </si>
  <si>
    <t>ACMB-239-RR07-BO</t>
  </si>
  <si>
    <t>ACMB-239-R07-BOA</t>
  </si>
  <si>
    <t>ACMB-239-RR07-BOA</t>
  </si>
  <si>
    <t>ACMB-239-R07-BOB</t>
  </si>
  <si>
    <t>ACMB-239-RR07-BOB</t>
  </si>
  <si>
    <t>ACMB-239-V14-MS</t>
  </si>
  <si>
    <t>ACMB-239-V15-MS</t>
  </si>
  <si>
    <t>ACMB-239-V14-MSA</t>
  </si>
  <si>
    <t>ACMB-239-V15-MSA</t>
  </si>
  <si>
    <t>ACMB-239-V14-MSB</t>
  </si>
  <si>
    <t>ACMB-239-V15-MSB</t>
  </si>
  <si>
    <t>ACMB-240-R01-BO</t>
  </si>
  <si>
    <t>ACMB-240-RR01-BO</t>
  </si>
  <si>
    <t>ACMB-240-R01-BOA</t>
  </si>
  <si>
    <t>ACMB-240-RR01-BOA</t>
  </si>
  <si>
    <t>ACMB-240-R01-BOB</t>
  </si>
  <si>
    <t>ACMB-240-RR01-BOB</t>
  </si>
  <si>
    <t>ACMB-240-V02-MS</t>
  </si>
  <si>
    <t>ACMB-240-V03-MS</t>
  </si>
  <si>
    <t>ACMB-240-V02-MSA</t>
  </si>
  <si>
    <t>ACMB-240-V03-MSA</t>
  </si>
  <si>
    <t>ACMB-240-V02-MSB</t>
  </si>
  <si>
    <t>ACMB-240-V03-MSB</t>
  </si>
  <si>
    <t>ACMB-240-R02-BO</t>
  </si>
  <si>
    <t>ACMB-240-RR02-BO</t>
  </si>
  <si>
    <t>ACMB-240-R02-BOA</t>
  </si>
  <si>
    <t>ACMB-240-RR02-BOA</t>
  </si>
  <si>
    <t>ACMB-240-R02-BOB</t>
  </si>
  <si>
    <t>ACMB-240-RR02-BOB</t>
  </si>
  <si>
    <t>ACMB-240-V04-MS</t>
  </si>
  <si>
    <t>ACMB-240-V05-MS</t>
  </si>
  <si>
    <t>ACMB-240-V04-MSA</t>
  </si>
  <si>
    <t>ACMB-240-V05-MSA</t>
  </si>
  <si>
    <t>ACMB-240-V04-MSB</t>
  </si>
  <si>
    <t>ACMB-240-V05-MSB</t>
  </si>
  <si>
    <t>ACMB-240-R03-BO</t>
  </si>
  <si>
    <t>ACMB-240-RR03-BO</t>
  </si>
  <si>
    <t>ACMB-240-R03-BOA</t>
  </si>
  <si>
    <t>ACMB-240-RR03-BOA</t>
  </si>
  <si>
    <t>ACMB-240-R03-BOB</t>
  </si>
  <si>
    <t>ACMB-240-RR03-BOB</t>
  </si>
  <si>
    <t>ACMB-240-V06-MS</t>
  </si>
  <si>
    <t>ACMB-240-V07-MS</t>
  </si>
  <si>
    <t>ACMB-240-V06-MSA</t>
  </si>
  <si>
    <t>ACMB-240-V07-MSA</t>
  </si>
  <si>
    <t>ACMB-240-V06-MSB</t>
  </si>
  <si>
    <t>ACMB-240-V07-MSB</t>
  </si>
  <si>
    <t>ACMB-240-R04-BO</t>
  </si>
  <si>
    <t>ACMB-240-RR04-BO</t>
  </si>
  <si>
    <t>ACMB-240-R04-BOA</t>
  </si>
  <si>
    <t>ACMB-240-RR04-BOA</t>
  </si>
  <si>
    <t>ACMB-240-R04-BOB</t>
  </si>
  <si>
    <t>ACMB-240-RR04-BOB</t>
  </si>
  <si>
    <t>ACMB-240-V08-MS</t>
  </si>
  <si>
    <t>ACMB-240-V09-MS</t>
  </si>
  <si>
    <t>ACMB-240-V08-MSA</t>
  </si>
  <si>
    <t>ACMB-240-V09-MSA</t>
  </si>
  <si>
    <t>ACMB-240-V08-MSB</t>
  </si>
  <si>
    <t>ACMB-240-V09-MSB</t>
  </si>
  <si>
    <t>ACMB-240-R05-BO</t>
  </si>
  <si>
    <t>ACMB-240-RR05-BO</t>
  </si>
  <si>
    <t>ACMB-240-R05-BOA</t>
  </si>
  <si>
    <t>ACMB-240-RR05-BOA</t>
  </si>
  <si>
    <t>ACMB-240-R05-BOB</t>
  </si>
  <si>
    <t>ACMB-240-RR05-BOB</t>
  </si>
  <si>
    <t>ACMB-240-V10-MS</t>
  </si>
  <si>
    <t>ACMB-240-V11-MS</t>
  </si>
  <si>
    <t>ACMB-240-V10-MSA</t>
  </si>
  <si>
    <t>ACMB-240-V11-MSA</t>
  </si>
  <si>
    <t>ACMB-240-V10-MSB</t>
  </si>
  <si>
    <t>ACMB-240-V11-MSB</t>
  </si>
  <si>
    <t>ACMB-240-R06-BO</t>
  </si>
  <si>
    <t>ACMB-240-RR06-BO</t>
  </si>
  <si>
    <t>ACMB-240-R06-BOA</t>
  </si>
  <si>
    <t>ACMB-240-RR06-BOA</t>
  </si>
  <si>
    <t>ACMB-240-R06-BOB</t>
  </si>
  <si>
    <t>ACMB-240-RR06-BOB</t>
  </si>
  <si>
    <t>ACMB-240-V12-MS</t>
  </si>
  <si>
    <t>ACMB-240-V13-MS</t>
  </si>
  <si>
    <t>ACMB-240-V12-MSA</t>
  </si>
  <si>
    <t>ACMB-240-V13-MSA</t>
  </si>
  <si>
    <t>ACMB-240-V12-MSB</t>
  </si>
  <si>
    <t>ACMB-240-V13-MSB</t>
  </si>
  <si>
    <t>ACMB-240-R07-BO</t>
  </si>
  <si>
    <t>ACMB-240-RR07-BO</t>
  </si>
  <si>
    <t>ACMB-240-R07-BOA</t>
  </si>
  <si>
    <t>ACMB-240-RR07-BOA</t>
  </si>
  <si>
    <t>ACMB-240-R07-BOB</t>
  </si>
  <si>
    <t>ACMB-240-RR07-BOB</t>
  </si>
  <si>
    <t>ACMB-240-V14-MS</t>
  </si>
  <si>
    <t>ACMB-240-V15-MS</t>
  </si>
  <si>
    <t>ACMB-240-V14-MSA</t>
  </si>
  <si>
    <t>ACMB-240-V15-MSA</t>
  </si>
  <si>
    <t>ACMB-240-V14-MSB</t>
  </si>
  <si>
    <t>ACMB-240-V15-MSB</t>
  </si>
  <si>
    <t>ACMB-241-R01-BO</t>
  </si>
  <si>
    <t>ACMB-241-RR01-BO</t>
  </si>
  <si>
    <t>ACMB-241-R01-BOA</t>
  </si>
  <si>
    <t>ACMB-241-RR01-BOA</t>
  </si>
  <si>
    <t>ACMB-241-R01-BOB</t>
  </si>
  <si>
    <t>ACMB-241-RR01-BOB</t>
  </si>
  <si>
    <t>ACMB-241-V02-MS</t>
  </si>
  <si>
    <t>ACMB-241-V03-MS</t>
  </si>
  <si>
    <t>ACMB-241-V02-MSA</t>
  </si>
  <si>
    <t>ACMB-241-V03-MSA</t>
  </si>
  <si>
    <t>ACMB-241-V02-MSB</t>
  </si>
  <si>
    <t>ACMB-241-V03-MSB</t>
  </si>
  <si>
    <t>ACMB-241-R02-BO</t>
  </si>
  <si>
    <t>ACMB-241-RR02-BO</t>
  </si>
  <si>
    <t>ACMB-241-R02-BOA</t>
  </si>
  <si>
    <t>ACMB-241-RR02-BOA</t>
  </si>
  <si>
    <t>ACMB-241-R02-BOB</t>
  </si>
  <si>
    <t>ACMB-241-RR02-BOB</t>
  </si>
  <si>
    <t>ACMB-241-V04-MS</t>
  </si>
  <si>
    <t>ACMB-241-V05-MS</t>
  </si>
  <si>
    <t>ACMB-241-V04-MSA</t>
  </si>
  <si>
    <t>ACMB-241-V05-MSA</t>
  </si>
  <si>
    <t>ACMB-241-V04-MSB</t>
  </si>
  <si>
    <t>ACMB-241-V05-MSB</t>
  </si>
  <si>
    <t>ACMB-241-R03-BO</t>
  </si>
  <si>
    <t>ACMB-241-RR03-BO</t>
  </si>
  <si>
    <t>ACMB-241-R03-BOA</t>
  </si>
  <si>
    <t>ACMB-241-RR03-BOA</t>
  </si>
  <si>
    <t>ACMB-241-R03-BOB</t>
  </si>
  <si>
    <t>ACMB-241-RR03-BOB</t>
  </si>
  <si>
    <t>ACMB-241-V06-MS</t>
  </si>
  <si>
    <t>ACMB-241-V07-MS</t>
  </si>
  <si>
    <t>ACMB-241-V06-MSA</t>
  </si>
  <si>
    <t>ACMB-241-V07-MSA</t>
  </si>
  <si>
    <t>ACMB-241-V06-MSB</t>
  </si>
  <si>
    <t>ACMB-241-V07-MSB</t>
  </si>
  <si>
    <t>ACMB-241-R04-BO</t>
  </si>
  <si>
    <t>ACMB-241-RR04-BO</t>
  </si>
  <si>
    <t>ACMB-241-R04-BOA</t>
  </si>
  <si>
    <t>ACMB-241-RR04-BOA</t>
  </si>
  <si>
    <t>ACMB-241-R04-BOB</t>
  </si>
  <si>
    <t>ACMB-241-RR04-BOB</t>
  </si>
  <si>
    <t>ACMB-241-V08-MS</t>
  </si>
  <si>
    <t>ACMB-241-V09-MS</t>
  </si>
  <si>
    <t>ACMB-241-V08-MSA</t>
  </si>
  <si>
    <t>ACMB-241-V09-MSA</t>
  </si>
  <si>
    <t>ACMB-241-V08-MSB</t>
  </si>
  <si>
    <t>ACMB-241-V09-MSB</t>
  </si>
  <si>
    <t>ACMB-241-R05-BO</t>
  </si>
  <si>
    <t>ACMB-241-RR05-BO</t>
  </si>
  <si>
    <t>ACMB-241-R05-BOA</t>
  </si>
  <si>
    <t>ACMB-241-RR05-BOA</t>
  </si>
  <si>
    <t>ACMB-241-R05-BOB</t>
  </si>
  <si>
    <t>ACMB-241-RR05-BOB</t>
  </si>
  <si>
    <t>ACMB-241-V10-MS</t>
  </si>
  <si>
    <t>ACMB-241-V11-MS</t>
  </si>
  <si>
    <t>ACMB-241-V10-MSA</t>
  </si>
  <si>
    <t>ACMB-241-V11-MSA</t>
  </si>
  <si>
    <t>ACMB-241-V10-MSB</t>
  </si>
  <si>
    <t>ACMB-241-V11-MSB</t>
  </si>
  <si>
    <t>ACMB-241-R06-BO</t>
  </si>
  <si>
    <t>ACMB-241-RR06-BO</t>
  </si>
  <si>
    <t>ACMB-241-R06-BOA</t>
  </si>
  <si>
    <t>ACMB-241-RR06-BOA</t>
  </si>
  <si>
    <t>ACMB-241-R06-BOB</t>
  </si>
  <si>
    <t>ACMB-241-RR06-BOB</t>
  </si>
  <si>
    <t>ACMB-241-V12-MS</t>
  </si>
  <si>
    <t>ACMB-241-V13-MS</t>
  </si>
  <si>
    <t>ACMB-241-V12-MSA</t>
  </si>
  <si>
    <t>ACMB-241-V13-MSA</t>
  </si>
  <si>
    <t>ACMB-241-V12-MSB</t>
  </si>
  <si>
    <t>ACMB-241-V13-MSB</t>
  </si>
  <si>
    <t>ACMB-241-R07-BO</t>
  </si>
  <si>
    <t>ACMB-241-RR07-BO</t>
  </si>
  <si>
    <t>ACMB-241-R07-BOA</t>
  </si>
  <si>
    <t>ACMB-241-RR07-BOA</t>
  </si>
  <si>
    <t>ACMB-241-R07-BOB</t>
  </si>
  <si>
    <t>ACMB-241-RR07-BOB</t>
  </si>
  <si>
    <t>ACMB-241-V14-MS</t>
  </si>
  <si>
    <t>ACMB-241-V15-MS</t>
  </si>
  <si>
    <t>ACMB-241-V14-MSA</t>
  </si>
  <si>
    <t>ACMB-241-V15-MSA</t>
  </si>
  <si>
    <t>ACMB-241-V14-MSB</t>
  </si>
  <si>
    <t>ACMB-241-V15-MSB</t>
  </si>
  <si>
    <t>ACMB-242-R01-BO</t>
  </si>
  <si>
    <t>ACMB-242-RR01-BO</t>
  </si>
  <si>
    <t>ACMB-242-R01-BOA</t>
  </si>
  <si>
    <t>ACMB-242-RR01-BOA</t>
  </si>
  <si>
    <t>ACMB-242-R01-BOB</t>
  </si>
  <si>
    <t>ACMB-242-RR01-BOB</t>
  </si>
  <si>
    <t>ACMB-242-V02-MS</t>
  </si>
  <si>
    <t>ACMB-242-V03-MS</t>
  </si>
  <si>
    <t>ACMB-242-V02-MSA</t>
  </si>
  <si>
    <t>ACMB-242-V03-MSA</t>
  </si>
  <si>
    <t>ACMB-242-V02-MSB</t>
  </si>
  <si>
    <t>ACMB-242-V03-MSB</t>
  </si>
  <si>
    <t>ACMB-242-R02-BO</t>
  </si>
  <si>
    <t>ACMB-242-RR02-BO</t>
  </si>
  <si>
    <t>ACMB-242-R02-BOA</t>
  </si>
  <si>
    <t>ACMB-242-RR02-BOA</t>
  </si>
  <si>
    <t>ACMB-242-R02-BOB</t>
  </si>
  <si>
    <t>ACMB-242-RR02-BOB</t>
  </si>
  <si>
    <t>ACMB-242-V04-MS</t>
  </si>
  <si>
    <t>ACMB-242-V05-MS</t>
  </si>
  <si>
    <t>ACMB-242-V04-MSA</t>
  </si>
  <si>
    <t>ACMB-242-V05-MSA</t>
  </si>
  <si>
    <t>ACMB-242-V04-MSB</t>
  </si>
  <si>
    <t>ACMB-242-V05-MSB</t>
  </si>
  <si>
    <t>ACMB-242-R03-BO</t>
  </si>
  <si>
    <t>ACMB-242-RR03-BO</t>
  </si>
  <si>
    <t>ACMB-242-R03-BOA</t>
  </si>
  <si>
    <t>ACMB-242-RR03-BOA</t>
  </si>
  <si>
    <t>ACMB-242-R03-BOB</t>
  </si>
  <si>
    <t>ACMB-242-RR03-BOB</t>
  </si>
  <si>
    <t>ACMB-242-V06-MS</t>
  </si>
  <si>
    <t>ACMB-242-V07-MS</t>
  </si>
  <si>
    <t>ACMB-242-V06-MSA</t>
  </si>
  <si>
    <t>ACMB-242-V07-MSA</t>
  </si>
  <si>
    <t>ACMB-242-V06-MSB</t>
  </si>
  <si>
    <t>ACMB-242-V07-MSB</t>
  </si>
  <si>
    <t>ACMB-242-R04-BO</t>
  </si>
  <si>
    <t>ACMB-242-RR04-BO</t>
  </si>
  <si>
    <t>ACMB-242-R04-BOA</t>
  </si>
  <si>
    <t>ACMB-242-RR04-BOA</t>
  </si>
  <si>
    <t>ACMB-242-R04-BOB</t>
  </si>
  <si>
    <t>ACMB-242-RR04-BOB</t>
  </si>
  <si>
    <t>ACMB-242-V08-MS</t>
  </si>
  <si>
    <t>ACMB-242-V09-MS</t>
  </si>
  <si>
    <t>ACMB-242-V08-MSA</t>
  </si>
  <si>
    <t>ACMB-242-V09-MSA</t>
  </si>
  <si>
    <t>ACMB-242-V08-MSB</t>
  </si>
  <si>
    <t>ACMB-242-V09-MSB</t>
  </si>
  <si>
    <t>ACMB-242-R05-BO</t>
  </si>
  <si>
    <t>ACMB-242-RR05-BO</t>
  </si>
  <si>
    <t>ACMB-242-R05-BOA</t>
  </si>
  <si>
    <t>ACMB-242-RR05-BOA</t>
  </si>
  <si>
    <t>ACMB-242-R05-BOB</t>
  </si>
  <si>
    <t>ACMB-242-RR05-BOB</t>
  </si>
  <si>
    <t>ACMB-242-V10-MS</t>
  </si>
  <si>
    <t>ACMB-242-V11-MS</t>
  </si>
  <si>
    <t>ACMB-242-V10-MSA</t>
  </si>
  <si>
    <t>ACMB-242-V11-MSA</t>
  </si>
  <si>
    <t>ACMB-242-V10-MSB</t>
  </si>
  <si>
    <t>ACMB-242-V11-MSB</t>
  </si>
  <si>
    <t>ACMB-242-R06-BO</t>
  </si>
  <si>
    <t>ACMB-242-RR06-BO</t>
  </si>
  <si>
    <t>ACMB-242-R06-BOA</t>
  </si>
  <si>
    <t>ACMB-242-RR06-BOA</t>
  </si>
  <si>
    <t>ACMB-242-R06-BOB</t>
  </si>
  <si>
    <t>ACMB-242-RR06-BOB</t>
  </si>
  <si>
    <t>ACMB-242-V12-MS</t>
  </si>
  <si>
    <t>ACMB-242-V13-MS</t>
  </si>
  <si>
    <t>ACMB-242-V12-MSA</t>
  </si>
  <si>
    <t>ACMB-242-V13-MSA</t>
  </si>
  <si>
    <t>ACMB-242-V12-MSB</t>
  </si>
  <si>
    <t>ACMB-242-V13-MSB</t>
  </si>
  <si>
    <t>ACMB-242-R07-BO</t>
  </si>
  <si>
    <t>ACMB-242-RR07-BO</t>
  </si>
  <si>
    <t>ACMB-242-R07-BOA</t>
  </si>
  <si>
    <t>ACMB-242-RR07-BOA</t>
  </si>
  <si>
    <t>ACMB-242-R07-BOB</t>
  </si>
  <si>
    <t>ACMB-242-RR07-BOB</t>
  </si>
  <si>
    <t>ACMB-242-V14-MS</t>
  </si>
  <si>
    <t>ACMB-242-V15-MS</t>
  </si>
  <si>
    <t>ACMB-242-V14-MSA</t>
  </si>
  <si>
    <t>ACMB-242-V15-MSA</t>
  </si>
  <si>
    <t>ACMB-242-V14-MSB</t>
  </si>
  <si>
    <t>ACMB-242-V15-MSB</t>
  </si>
  <si>
    <t>ACMB-243-R01-BO</t>
  </si>
  <si>
    <t>ACMB-243-RR01-BO</t>
  </si>
  <si>
    <t>ACMB-243-R01-BOA</t>
  </si>
  <si>
    <t>ACMB-243-RR01-BOA</t>
  </si>
  <si>
    <t>ACMB-243-R01-BOB</t>
  </si>
  <si>
    <t>ACMB-243-RR01-BOB</t>
  </si>
  <si>
    <t>ACMB-243-V02-MS</t>
  </si>
  <si>
    <t>ACMB-243-V03-MS</t>
  </si>
  <si>
    <t>ACMB-243-V02-MSA</t>
  </si>
  <si>
    <t>ACMB-243-V03-MSA</t>
  </si>
  <si>
    <t>ACMB-243-V02-MSB</t>
  </si>
  <si>
    <t>ACMB-243-V03-MSB</t>
  </si>
  <si>
    <t>ACMB-243-R02-BO</t>
  </si>
  <si>
    <t>ACMB-243-RR02-BO</t>
  </si>
  <si>
    <t>ACMB-243-R02-BOA</t>
  </si>
  <si>
    <t>ACMB-243-RR02-BOA</t>
  </si>
  <si>
    <t>ACMB-243-R02-BOB</t>
  </si>
  <si>
    <t>ACMB-243-RR02-BOB</t>
  </si>
  <si>
    <t>ACMB-243-V04-MS</t>
  </si>
  <si>
    <t>ACMB-243-V05-MS</t>
  </si>
  <si>
    <t>ACMB-243-V04-MSA</t>
  </si>
  <si>
    <t>ACMB-243-V05-MSA</t>
  </si>
  <si>
    <t>ACMB-243-V04-MSB</t>
  </si>
  <si>
    <t>ACMB-243-V05-MSB</t>
  </si>
  <si>
    <t>ACMB-243-R03-BO</t>
  </si>
  <si>
    <t>ACMB-243-RR03-BO</t>
  </si>
  <si>
    <t>ACMB-243-R03-BOA</t>
  </si>
  <si>
    <t>ACMB-243-RR03-BOA</t>
  </si>
  <si>
    <t>ACMB-243-R03-BOB</t>
  </si>
  <si>
    <t>ACMB-243-RR03-BOB</t>
  </si>
  <si>
    <t>ACMB-243-V06-MS</t>
  </si>
  <si>
    <t>ACMB-243-V07-MS</t>
  </si>
  <si>
    <t>ACMB-243-V06-MSA</t>
  </si>
  <si>
    <t>ACMB-243-V07-MSA</t>
  </si>
  <si>
    <t>ACMB-243-V06-MSB</t>
  </si>
  <si>
    <t>ACMB-243-V07-MSB</t>
  </si>
  <si>
    <t>ACMB-243-R04-BO</t>
  </si>
  <si>
    <t>ACMB-243-RR04-BO</t>
  </si>
  <si>
    <t>ACMB-243-R04-BOA</t>
  </si>
  <si>
    <t>ACMB-243-RR04-BOA</t>
  </si>
  <si>
    <t>ACMB-243-R04-BOB</t>
  </si>
  <si>
    <t>ACMB-243-RR04-BOB</t>
  </si>
  <si>
    <t>ACMB-243-V08-MS</t>
  </si>
  <si>
    <t>ACMB-243-V09-MS</t>
  </si>
  <si>
    <t>ACMB-243-V08-MSA</t>
  </si>
  <si>
    <t>ACMB-243-V09-MSA</t>
  </si>
  <si>
    <t>ACMB-243-V08-MSB</t>
  </si>
  <si>
    <t>ACMB-243-V09-MSB</t>
  </si>
  <si>
    <t>ACMB-243-R05-BO</t>
  </si>
  <si>
    <t>ACMB-243-RR05-BO</t>
  </si>
  <si>
    <t>ACMB-243-R05-BOA</t>
  </si>
  <si>
    <t>ACMB-243-RR05-BOA</t>
  </si>
  <si>
    <t>ACMB-243-R05-BOB</t>
  </si>
  <si>
    <t>ACMB-243-RR05-BOB</t>
  </si>
  <si>
    <t>ACMB-243-V10-MS</t>
  </si>
  <si>
    <t>ACMB-243-V11-MS</t>
  </si>
  <si>
    <t>ACMB-243-V10-MSA</t>
  </si>
  <si>
    <t>ACMB-243-V11-MSA</t>
  </si>
  <si>
    <t>ACMB-243-V10-MSB</t>
  </si>
  <si>
    <t>ACMB-243-V11-MSB</t>
  </si>
  <si>
    <t>ACMB-243-R06-BO</t>
  </si>
  <si>
    <t>ACMB-243-RR06-BO</t>
  </si>
  <si>
    <t>ACMB-243-R06-BOA</t>
  </si>
  <si>
    <t>ACMB-243-RR06-BOA</t>
  </si>
  <si>
    <t>ACMB-243-R06-BOB</t>
  </si>
  <si>
    <t>ACMB-243-RR06-BOB</t>
  </si>
  <si>
    <t>ACMB-243-V12-MS</t>
  </si>
  <si>
    <t>ACMB-243-V13-MS</t>
  </si>
  <si>
    <t>ACMB-243-V12-MSA</t>
  </si>
  <si>
    <t>ACMB-243-V13-MSA</t>
  </si>
  <si>
    <t>ACMB-243-V12-MSB</t>
  </si>
  <si>
    <t>ACMB-243-V13-MSB</t>
  </si>
  <si>
    <t>ACMB-243-R07-BO</t>
  </si>
  <si>
    <t>ACMB-243-RR07-BO</t>
  </si>
  <si>
    <t>ACMB-243-R07-BOA</t>
  </si>
  <si>
    <t>ACMB-243-RR07-BOA</t>
  </si>
  <si>
    <t>ACMB-243-R07-BOB</t>
  </si>
  <si>
    <t>ACMB-243-RR07-BOB</t>
  </si>
  <si>
    <t>ACMB-243-V14-MS</t>
  </si>
  <si>
    <t>ACMB-243-V15-MS</t>
  </si>
  <si>
    <t>ACMB-243-V14-MSA</t>
  </si>
  <si>
    <t>ACMB-243-V15-MSA</t>
  </si>
  <si>
    <t>ACMB-243-V14-MSB</t>
  </si>
  <si>
    <t>ACMB-243-V15-MSB</t>
  </si>
  <si>
    <t>ACMB-244-R01-BO</t>
  </si>
  <si>
    <t>ACMB-244-RR01-BO</t>
  </si>
  <si>
    <t>ACMB-244-R01-BOA</t>
  </si>
  <si>
    <t>ACMB-244-RR01-BOA</t>
  </si>
  <si>
    <t>ACMB-244-R01-BOB</t>
  </si>
  <si>
    <t>ACMB-244-RR01-BOB</t>
  </si>
  <si>
    <t>ACMB-244-V02-MS</t>
  </si>
  <si>
    <t>ACMB-244-V03-MS</t>
  </si>
  <si>
    <t>ACMB-244-V02-MSA</t>
  </si>
  <si>
    <t>ACMB-244-V03-MSA</t>
  </si>
  <si>
    <t>ACMB-244-V02-MSB</t>
  </si>
  <si>
    <t>ACMB-244-V03-MSB</t>
  </si>
  <si>
    <t>ACMB-244-R02-BO</t>
  </si>
  <si>
    <t>ACMB-244-RR02-BO</t>
  </si>
  <si>
    <t>ACMB-244-R02-BOA</t>
  </si>
  <si>
    <t>ACMB-244-RR02-BOA</t>
  </si>
  <si>
    <t>ACMB-244-R02-BOB</t>
  </si>
  <si>
    <t>ACMB-244-RR02-BOB</t>
  </si>
  <si>
    <t>ACMB-244-V04-MS</t>
  </si>
  <si>
    <t>ACMB-244-V05-MS</t>
  </si>
  <si>
    <t>ACMB-244-V04-MSA</t>
  </si>
  <si>
    <t>ACMB-244-V05-MSA</t>
  </si>
  <si>
    <t>ACMB-244-V04-MSB</t>
  </si>
  <si>
    <t>ACMB-244-V05-MSB</t>
  </si>
  <si>
    <t>ACMB-244-R03-BO</t>
  </si>
  <si>
    <t>ACMB-244-RR03-BO</t>
  </si>
  <si>
    <t>ACMB-244-R03-BOA</t>
  </si>
  <si>
    <t>ACMB-244-RR03-BOA</t>
  </si>
  <si>
    <t>ACMB-244-R03-BOB</t>
  </si>
  <si>
    <t>ACMB-244-RR03-BOB</t>
  </si>
  <si>
    <t>ACMB-244-V06-MS</t>
  </si>
  <si>
    <t>ACMB-244-V07-MS</t>
  </si>
  <si>
    <t>ACMB-244-V06-MSA</t>
  </si>
  <si>
    <t>ACMB-244-V07-MSA</t>
  </si>
  <si>
    <t>ACMB-244-V06-MSB</t>
  </si>
  <si>
    <t>ACMB-244-V07-MSB</t>
  </si>
  <si>
    <t>ACMB-244-R04-BO</t>
  </si>
  <si>
    <t>ACMB-244-RR04-BO</t>
  </si>
  <si>
    <t>ACMB-244-R04-BOA</t>
  </si>
  <si>
    <t>ACMB-244-RR04-BOA</t>
  </si>
  <si>
    <t>ACMB-244-R04-BOB</t>
  </si>
  <si>
    <t>ACMB-244-RR04-BOB</t>
  </si>
  <si>
    <t>ACMB-244-V08-MS</t>
  </si>
  <si>
    <t>ACMB-244-V09-MS</t>
  </si>
  <si>
    <t>ACMB-244-V08-MSA</t>
  </si>
  <si>
    <t>ACMB-244-V09-MSA</t>
  </si>
  <si>
    <t>ACMB-244-V08-MSB</t>
  </si>
  <si>
    <t>ACMB-244-V09-MSB</t>
  </si>
  <si>
    <t>ACMB-244-R05-BO</t>
  </si>
  <si>
    <t>ACMB-244-RR05-BO</t>
  </si>
  <si>
    <t>ACMB-244-R05-BOA</t>
  </si>
  <si>
    <t>ACMB-244-RR05-BOA</t>
  </si>
  <si>
    <t>ACMB-244-R05-BOB</t>
  </si>
  <si>
    <t>ACMB-244-RR05-BOB</t>
  </si>
  <si>
    <t>ACMB-244-V10-MS</t>
  </si>
  <si>
    <t>ACMB-244-V11-MS</t>
  </si>
  <si>
    <t>ACMB-244-V10-MSA</t>
  </si>
  <si>
    <t>ACMB-244-V11-MSA</t>
  </si>
  <si>
    <t>ACMB-244-V10-MSB</t>
  </si>
  <si>
    <t>ACMB-244-V11-MSB</t>
  </si>
  <si>
    <t>ACMB-244-R06-BO</t>
  </si>
  <si>
    <t>ACMB-244-RR06-BO</t>
  </si>
  <si>
    <t>ACMB-244-R06-BOA</t>
  </si>
  <si>
    <t>ACMB-244-RR06-BOA</t>
  </si>
  <si>
    <t>ACMB-244-R06-BOB</t>
  </si>
  <si>
    <t>ACMB-244-RR06-BOB</t>
  </si>
  <si>
    <t>ACMB-244-V12-MS</t>
  </si>
  <si>
    <t>ACMB-244-V13-MS</t>
  </si>
  <si>
    <t>ACMB-244-V12-MSA</t>
  </si>
  <si>
    <t>ACMB-244-V13-MSA</t>
  </si>
  <si>
    <t>ACMB-244-V12-MSB</t>
  </si>
  <si>
    <t>ACMB-244-V13-MSB</t>
  </si>
  <si>
    <t>ACMB-244-R07-BO</t>
  </si>
  <si>
    <t>ACMB-244-RR07-BO</t>
  </si>
  <si>
    <t>ACMB-244-R07-BOA</t>
  </si>
  <si>
    <t>ACMB-244-RR07-BOA</t>
  </si>
  <si>
    <t>ACMB-244-R07-BOB</t>
  </si>
  <si>
    <t>ACMB-244-RR07-BOB</t>
  </si>
  <si>
    <t>ACMB-244-V14-MS</t>
  </si>
  <si>
    <t>ACMB-244-V15-MS</t>
  </si>
  <si>
    <t>ACMB-244-V14-MSA</t>
  </si>
  <si>
    <t>ACMB-244-V15-MSA</t>
  </si>
  <si>
    <t>ACMB-244-V14-MSB</t>
  </si>
  <si>
    <t>ACMB-244-V15-MSB</t>
  </si>
  <si>
    <t>ACMB-245-R01-BO</t>
  </si>
  <si>
    <t>ACMB-245-RR01-BO</t>
  </si>
  <si>
    <t>ACMB-245-R01-BOA</t>
  </si>
  <si>
    <t>ACMB-245-RR01-BOA</t>
  </si>
  <si>
    <t>ACMB-245-R01-BOB</t>
  </si>
  <si>
    <t>ACMB-245-RR01-BOB</t>
  </si>
  <si>
    <t>ACMB-245-V02-MS</t>
  </si>
  <si>
    <t>ACMB-245-V03-MS</t>
  </si>
  <si>
    <t>ACMB-245-V02-MSA</t>
  </si>
  <si>
    <t>ACMB-245-V03-MSA</t>
  </si>
  <si>
    <t>ACMB-245-V02-MSB</t>
  </si>
  <si>
    <t>ACMB-245-V03-MSB</t>
  </si>
  <si>
    <t>ACMB-245-R02-BO</t>
  </si>
  <si>
    <t>ACMB-245-RR02-BO</t>
  </si>
  <si>
    <t>ACMB-245-R02-BOA</t>
  </si>
  <si>
    <t>ACMB-245-RR02-BOA</t>
  </si>
  <si>
    <t>ACMB-245-R02-BOB</t>
  </si>
  <si>
    <t>ACMB-245-RR02-BOB</t>
  </si>
  <si>
    <t>ACMB-245-V04-MS</t>
  </si>
  <si>
    <t>ACMB-245-V05-MS</t>
  </si>
  <si>
    <t>ACMB-245-V04-MSA</t>
  </si>
  <si>
    <t>ACMB-245-V05-MSA</t>
  </si>
  <si>
    <t>ACMB-245-V04-MSB</t>
  </si>
  <si>
    <t>ACMB-245-V05-MSB</t>
  </si>
  <si>
    <t>ACMB-245-R03-BO</t>
  </si>
  <si>
    <t>ACMB-245-RR03-BO</t>
  </si>
  <si>
    <t>ACMB-245-R03-BOA</t>
  </si>
  <si>
    <t>ACMB-245-RR03-BOA</t>
  </si>
  <si>
    <t>ACMB-245-R03-BOB</t>
  </si>
  <si>
    <t>ACMB-245-RR03-BOB</t>
  </si>
  <si>
    <t>ACMB-245-V06-MS</t>
  </si>
  <si>
    <t>ACMB-245-V07-MS</t>
  </si>
  <si>
    <t>ACMB-245-V06-MSA</t>
  </si>
  <si>
    <t>ACMB-245-V07-MSA</t>
  </si>
  <si>
    <t>ACMB-245-V06-MSB</t>
  </si>
  <si>
    <t>ACMB-245-V07-MSB</t>
  </si>
  <si>
    <t>ACMB-245-R04-BO</t>
  </si>
  <si>
    <t>ACMB-245-RR04-BO</t>
  </si>
  <si>
    <t>ACMB-245-R04-BOA</t>
  </si>
  <si>
    <t>ACMB-245-RR04-BOA</t>
  </si>
  <si>
    <t>ACMB-245-R04-BOB</t>
  </si>
  <si>
    <t>ACMB-245-RR04-BOB</t>
  </si>
  <si>
    <t>ACMB-245-V08-MS</t>
  </si>
  <si>
    <t>ACMB-245-V09-MS</t>
  </si>
  <si>
    <t>ACMB-245-V08-MSA</t>
  </si>
  <si>
    <t>ACMB-245-V09-MSA</t>
  </si>
  <si>
    <t>ACMB-245-V08-MSB</t>
  </si>
  <si>
    <t>ACMB-245-V09-MSB</t>
  </si>
  <si>
    <t>ACMB-245-R05-BO</t>
  </si>
  <si>
    <t>ACMB-245-RR05-BO</t>
  </si>
  <si>
    <t>ACMB-245-R05-BOA</t>
  </si>
  <si>
    <t>ACMB-245-RR05-BOA</t>
  </si>
  <si>
    <t>ACMB-245-R05-BOB</t>
  </si>
  <si>
    <t>ACMB-245-RR05-BOB</t>
  </si>
  <si>
    <t>ACMB-245-V10-MS</t>
  </si>
  <si>
    <t>ACMB-245-V11-MS</t>
  </si>
  <si>
    <t>ACMB-245-V10-MSA</t>
  </si>
  <si>
    <t>ACMB-245-V11-MSA</t>
  </si>
  <si>
    <t>ACMB-245-V10-MSB</t>
  </si>
  <si>
    <t>ACMB-245-V11-MSB</t>
  </si>
  <si>
    <t>ACMB-245-R06-BO</t>
  </si>
  <si>
    <t>ACMB-245-RR06-BO</t>
  </si>
  <si>
    <t>ACMB-245-R06-BOA</t>
  </si>
  <si>
    <t>ACMB-245-RR06-BOA</t>
  </si>
  <si>
    <t>ACMB-245-R06-BOB</t>
  </si>
  <si>
    <t>ACMB-245-RR06-BOB</t>
  </si>
  <si>
    <t>ACMB-245-V12-MS</t>
  </si>
  <si>
    <t>ACMB-245-V13-MS</t>
  </si>
  <si>
    <t>ACMB-245-V12-MSA</t>
  </si>
  <si>
    <t>ACMB-245-V13-MSA</t>
  </si>
  <si>
    <t>ACMB-245-V12-MSB</t>
  </si>
  <si>
    <t>ACMB-245-V13-MSB</t>
  </si>
  <si>
    <t>ACMB-245-R07-BO</t>
  </si>
  <si>
    <t>ACMB-245-RR07-BO</t>
  </si>
  <si>
    <t>ACMB-245-R07-BOA</t>
  </si>
  <si>
    <t>ACMB-245-RR07-BOA</t>
  </si>
  <si>
    <t>ACMB-245-R07-BOB</t>
  </si>
  <si>
    <t>ACMB-245-RR07-BOB</t>
  </si>
  <si>
    <t>ACMB-245-V14-MS</t>
  </si>
  <si>
    <t>ACMB-245-V15-MS</t>
  </si>
  <si>
    <t>ACMB-245-V14-MSA</t>
  </si>
  <si>
    <t>ACMB-245-V15-MSA</t>
  </si>
  <si>
    <t>ACMB-245-V14-MSB</t>
  </si>
  <si>
    <t>ACMB-245-V15-MSB</t>
  </si>
  <si>
    <t>ACMB-246-R01-BO</t>
  </si>
  <si>
    <t>ACMB-246-RR01-BO</t>
  </si>
  <si>
    <t>ACMB-246-R01-BOA</t>
  </si>
  <si>
    <t>ACMB-246-RR01-BOA</t>
  </si>
  <si>
    <t>ACMB-246-R01-BOB</t>
  </si>
  <si>
    <t>ACMB-246-RR01-BOB</t>
  </si>
  <si>
    <t>ACMB-246-V02-MS</t>
  </si>
  <si>
    <t>ACMB-246-V03-MS</t>
  </si>
  <si>
    <t>ACMB-246-V02-MSA</t>
  </si>
  <si>
    <t>ACMB-246-V03-MSA</t>
  </si>
  <si>
    <t>ACMB-246-V02-MSB</t>
  </si>
  <si>
    <t>ACMB-246-V03-MSB</t>
  </si>
  <si>
    <t>ACMB-246-R02-BO</t>
  </si>
  <si>
    <t>ACMB-246-RR02-BO</t>
  </si>
  <si>
    <t>ACMB-246-R02-BOA</t>
  </si>
  <si>
    <t>ACMB-246-RR02-BOA</t>
  </si>
  <si>
    <t>ACMB-246-R02-BOB</t>
  </si>
  <si>
    <t>ACMB-246-RR02-BOB</t>
  </si>
  <si>
    <t>ACMB-246-V04-MS</t>
  </si>
  <si>
    <t>ACMB-246-V05-MS</t>
  </si>
  <si>
    <t>ACMB-246-V04-MSA</t>
  </si>
  <si>
    <t>ACMB-246-V05-MSA</t>
  </si>
  <si>
    <t>ACMB-246-V04-MSB</t>
  </si>
  <si>
    <t>ACMB-246-V05-MSB</t>
  </si>
  <si>
    <t>ACMB-246-R03-BO</t>
  </si>
  <si>
    <t>ACMB-246-RR03-BO</t>
  </si>
  <si>
    <t>ACMB-246-R03-BOA</t>
  </si>
  <si>
    <t>ACMB-246-RR03-BOA</t>
  </si>
  <si>
    <t>ACMB-246-R03-BOB</t>
  </si>
  <si>
    <t>ACMB-246-RR03-BOB</t>
  </si>
  <si>
    <t>ACMB-246-V06-MS</t>
  </si>
  <si>
    <t>ACMB-246-V07-MS</t>
  </si>
  <si>
    <t>ACMB-246-V06-MSA</t>
  </si>
  <si>
    <t>ACMB-246-V07-MSA</t>
  </si>
  <si>
    <t>ACMB-246-V06-MSB</t>
  </si>
  <si>
    <t>ACMB-246-V07-MSB</t>
  </si>
  <si>
    <t>ACMB-246-R04-BO</t>
  </si>
  <si>
    <t>ACMB-246-RR04-BO</t>
  </si>
  <si>
    <t>ACMB-246-R04-BOA</t>
  </si>
  <si>
    <t>ACMB-246-RR04-BOA</t>
  </si>
  <si>
    <t>ACMB-246-R04-BOB</t>
  </si>
  <si>
    <t>ACMB-246-RR04-BOB</t>
  </si>
  <si>
    <t>ACMB-246-V08-MS</t>
  </si>
  <si>
    <t>ACMB-246-V09-MS</t>
  </si>
  <si>
    <t>ACMB-246-V08-MSA</t>
  </si>
  <si>
    <t>ACMB-246-V09-MSA</t>
  </si>
  <si>
    <t>ACMB-246-V08-MSB</t>
  </si>
  <si>
    <t>ACMB-246-V09-MSB</t>
  </si>
  <si>
    <t>ACMB-246-R05-BO</t>
  </si>
  <si>
    <t>ACMB-246-RR05-BO</t>
  </si>
  <si>
    <t>ACMB-246-R05-BOA</t>
  </si>
  <si>
    <t>ACMB-246-RR05-BOA</t>
  </si>
  <si>
    <t>ACMB-246-R05-BOB</t>
  </si>
  <si>
    <t>ACMB-246-RR05-BOB</t>
  </si>
  <si>
    <t>ACMB-246-V10-MS</t>
  </si>
  <si>
    <t>ACMB-246-V11-MS</t>
  </si>
  <si>
    <t>ACMB-246-V10-MSA</t>
  </si>
  <si>
    <t>ACMB-246-V11-MSA</t>
  </si>
  <si>
    <t>ACMB-246-V10-MSB</t>
  </si>
  <si>
    <t>ACMB-246-V11-MSB</t>
  </si>
  <si>
    <t>ACMB-246-R06-BO</t>
  </si>
  <si>
    <t>ACMB-246-RR06-BO</t>
  </si>
  <si>
    <t>ACMB-246-R06-BOA</t>
  </si>
  <si>
    <t>ACMB-246-RR06-BOA</t>
  </si>
  <si>
    <t>ACMB-246-R06-BOB</t>
  </si>
  <si>
    <t>ACMB-246-RR06-BOB</t>
  </si>
  <si>
    <t>ACMB-246-V12-MS</t>
  </si>
  <si>
    <t>ACMB-246-V13-MS</t>
  </si>
  <si>
    <t>ACMB-246-V12-MSA</t>
  </si>
  <si>
    <t>ACMB-246-V13-MSA</t>
  </si>
  <si>
    <t>ACMB-246-V12-MSB</t>
  </si>
  <si>
    <t>ACMB-246-V13-MSB</t>
  </si>
  <si>
    <t>ACMB-246-R07-BO</t>
  </si>
  <si>
    <t>ACMB-246-RR07-BO</t>
  </si>
  <si>
    <t>ACMB-246-R07-BOA</t>
  </si>
  <si>
    <t>ACMB-246-RR07-BOA</t>
  </si>
  <si>
    <t>ACMB-246-R07-BOB</t>
  </si>
  <si>
    <t>ACMB-246-RR07-BOB</t>
  </si>
  <si>
    <t>ACMB-246-V14-MS</t>
  </si>
  <si>
    <t>ACMB-246-V15-MS</t>
  </si>
  <si>
    <t>ACMB-246-V14-MSA</t>
  </si>
  <si>
    <t>ACMB-246-V15-MSA</t>
  </si>
  <si>
    <t>ACMB-246-V14-MSB</t>
  </si>
  <si>
    <t>ACMB-246-V15-MSB</t>
  </si>
  <si>
    <t>ACMB-247-R01-BO</t>
  </si>
  <si>
    <t>ACMB-247-RR01-BO</t>
  </si>
  <si>
    <t>ACMB-247-R01-BOA</t>
  </si>
  <si>
    <t>ACMB-247-RR01-BOA</t>
  </si>
  <si>
    <t>ACMB-247-R01-BOB</t>
  </si>
  <si>
    <t>ACMB-247-RR01-BOB</t>
  </si>
  <si>
    <t>ACMB-247-V02-MS</t>
  </si>
  <si>
    <t>ACMB-247-V03-MS</t>
  </si>
  <si>
    <t>ACMB-247-V02-MSA</t>
  </si>
  <si>
    <t>ACMB-247-V03-MSA</t>
  </si>
  <si>
    <t>ACMB-247-V02-MSB</t>
  </si>
  <si>
    <t>ACMB-247-V03-MSB</t>
  </si>
  <si>
    <t>ACMB-247-R02-BO</t>
  </si>
  <si>
    <t>ACMB-247-RR02-BO</t>
  </si>
  <si>
    <t>ACMB-247-R02-BOA</t>
  </si>
  <si>
    <t>ACMB-247-RR02-BOA</t>
  </si>
  <si>
    <t>ACMB-247-R02-BOB</t>
  </si>
  <si>
    <t>ACMB-247-RR02-BOB</t>
  </si>
  <si>
    <t>ACMB-247-V04-MS</t>
  </si>
  <si>
    <t>ACMB-247-V05-MS</t>
  </si>
  <si>
    <t>ACMB-247-V04-MSA</t>
  </si>
  <si>
    <t>ACMB-247-V05-MSA</t>
  </si>
  <si>
    <t>ACMB-247-V04-MSB</t>
  </si>
  <si>
    <t>ACMB-247-V05-MSB</t>
  </si>
  <si>
    <t>ACMB-247-R03-BO</t>
  </si>
  <si>
    <t>ACMB-247-RR03-BO</t>
  </si>
  <si>
    <t>ACMB-247-R03-BOA</t>
  </si>
  <si>
    <t>ACMB-247-RR03-BOA</t>
  </si>
  <si>
    <t>ACMB-247-R03-BOB</t>
  </si>
  <si>
    <t>ACMB-247-RR03-BOB</t>
  </si>
  <si>
    <t>ACMB-247-V06-MS</t>
  </si>
  <si>
    <t>ACMB-247-V07-MS</t>
  </si>
  <si>
    <t>ACMB-247-V06-MSA</t>
  </si>
  <si>
    <t>ACMB-247-V07-MSA</t>
  </si>
  <si>
    <t>ACMB-247-V06-MSB</t>
  </si>
  <si>
    <t>ACMB-247-V07-MSB</t>
  </si>
  <si>
    <t>ACMB-247-R04-BO</t>
  </si>
  <si>
    <t>ACMB-247-RR04-BO</t>
  </si>
  <si>
    <t>ACMB-247-R04-BOA</t>
  </si>
  <si>
    <t>ACMB-247-RR04-BOA</t>
  </si>
  <si>
    <t>ACMB-247-R04-BOB</t>
  </si>
  <si>
    <t>ACMB-247-RR04-BOB</t>
  </si>
  <si>
    <t>ACMB-247-V08-MS</t>
  </si>
  <si>
    <t>ACMB-247-V09-MS</t>
  </si>
  <si>
    <t>ACMB-247-V08-MSA</t>
  </si>
  <si>
    <t>ACMB-247-V09-MSA</t>
  </si>
  <si>
    <t>ACMB-247-V08-MSB</t>
  </si>
  <si>
    <t>ACMB-247-V09-MSB</t>
  </si>
  <si>
    <t>ACMB-247-R05-BO</t>
  </si>
  <si>
    <t>ACMB-247-RR05-BO</t>
  </si>
  <si>
    <t>ACMB-247-R05-BOA</t>
  </si>
  <si>
    <t>ACMB-247-RR05-BOA</t>
  </si>
  <si>
    <t>ACMB-247-R05-BOB</t>
  </si>
  <si>
    <t>ACMB-247-RR05-BOB</t>
  </si>
  <si>
    <t>ACMB-247-V10-MS</t>
  </si>
  <si>
    <t>ACMB-247-V11-MS</t>
  </si>
  <si>
    <t>ACMB-247-V10-MSA</t>
  </si>
  <si>
    <t>ACMB-247-V11-MSA</t>
  </si>
  <si>
    <t>ACMB-247-V10-MSB</t>
  </si>
  <si>
    <t>ACMB-247-V11-MSB</t>
  </si>
  <si>
    <t>ACMB-247-R06-BO</t>
  </si>
  <si>
    <t>ACMB-247-RR06-BO</t>
  </si>
  <si>
    <t>ACMB-247-R06-BOA</t>
  </si>
  <si>
    <t>ACMB-247-RR06-BOA</t>
  </si>
  <si>
    <t>ACMB-247-R06-BOB</t>
  </si>
  <si>
    <t>ACMB-247-RR06-BOB</t>
  </si>
  <si>
    <t>ACMB-247-V12-MS</t>
  </si>
  <si>
    <t>ACMB-247-V13-MS</t>
  </si>
  <si>
    <t>ACMB-247-V12-MSA</t>
  </si>
  <si>
    <t>ACMB-247-V13-MSA</t>
  </si>
  <si>
    <t>ACMB-247-V12-MSB</t>
  </si>
  <si>
    <t>ACMB-247-V13-MSB</t>
  </si>
  <si>
    <t>ACMB-247-R07-BO</t>
  </si>
  <si>
    <t>ACMB-247-RR07-BO</t>
  </si>
  <si>
    <t>ACMB-247-R07-BOA</t>
  </si>
  <si>
    <t>ACMB-247-RR07-BOA</t>
  </si>
  <si>
    <t>ACMB-247-R07-BOB</t>
  </si>
  <si>
    <t>ACMB-247-RR07-BOB</t>
  </si>
  <si>
    <t>ACMB-247-V14-MS</t>
  </si>
  <si>
    <t>ACMB-247-V15-MS</t>
  </si>
  <si>
    <t>ACMB-247-V14-MSA</t>
  </si>
  <si>
    <t>ACMB-247-V15-MSA</t>
  </si>
  <si>
    <t>ACMB-247-V14-MSB</t>
  </si>
  <si>
    <t>ACMB-247-V15-MSB</t>
  </si>
  <si>
    <t>ACMB-248-R01-BO</t>
  </si>
  <si>
    <t>ACMB-248-RR01-BO</t>
  </si>
  <si>
    <t>ACMB-248-R01-BOA</t>
  </si>
  <si>
    <t>ACMB-248-RR01-BOA</t>
  </si>
  <si>
    <t>ACMB-248-R01-BOB</t>
  </si>
  <si>
    <t>ACMB-248-RR01-BOB</t>
  </si>
  <si>
    <t>ACMB-248-V02-MS</t>
  </si>
  <si>
    <t>ACMB-248-V03-MS</t>
  </si>
  <si>
    <t>ACMB-248-V02-MSA</t>
  </si>
  <si>
    <t>ACMB-248-V03-MSA</t>
  </si>
  <si>
    <t>ACMB-248-V02-MSB</t>
  </si>
  <si>
    <t>ACMB-248-V03-MSB</t>
  </si>
  <si>
    <t>ACMB-248-R02-BO</t>
  </si>
  <si>
    <t>ACMB-248-RR02-BO</t>
  </si>
  <si>
    <t>ACMB-248-R02-BOA</t>
  </si>
  <si>
    <t>ACMB-248-RR02-BOA</t>
  </si>
  <si>
    <t>ACMB-248-R02-BOB</t>
  </si>
  <si>
    <t>ACMB-248-RR02-BOB</t>
  </si>
  <si>
    <t>ACMB-248-V04-MS</t>
  </si>
  <si>
    <t>ACMB-248-V05-MS</t>
  </si>
  <si>
    <t>ACMB-248-V04-MSA</t>
  </si>
  <si>
    <t>ACMB-248-V05-MSA</t>
  </si>
  <si>
    <t>ACMB-248-V04-MSB</t>
  </si>
  <si>
    <t>ACMB-248-V05-MSB</t>
  </si>
  <si>
    <t>ACMB-248-R03-BO</t>
  </si>
  <si>
    <t>ACMB-248-RR03-BO</t>
  </si>
  <si>
    <t>ACMB-248-R03-BOA</t>
  </si>
  <si>
    <t>ACMB-248-RR03-BOA</t>
  </si>
  <si>
    <t>ACMB-248-R03-BOB</t>
  </si>
  <si>
    <t>ACMB-248-RR03-BOB</t>
  </si>
  <si>
    <t>ACMB-248-V06-MS</t>
  </si>
  <si>
    <t>ACMB-248-V07-MS</t>
  </si>
  <si>
    <t>ACMB-248-V06-MSA</t>
  </si>
  <si>
    <t>ACMB-248-V07-MSA</t>
  </si>
  <si>
    <t>ACMB-248-V06-MSB</t>
  </si>
  <si>
    <t>ACMB-248-V07-MSB</t>
  </si>
  <si>
    <t>ACMB-248-R04-BO</t>
  </si>
  <si>
    <t>ACMB-248-RR04-BO</t>
  </si>
  <si>
    <t>ACMB-248-R04-BOA</t>
  </si>
  <si>
    <t>ACMB-248-RR04-BOA</t>
  </si>
  <si>
    <t>ACMB-248-R04-BOB</t>
  </si>
  <si>
    <t>ACMB-248-RR04-BOB</t>
  </si>
  <si>
    <t>ACMB-248-V08-MS</t>
  </si>
  <si>
    <t>ACMB-248-V09-MS</t>
  </si>
  <si>
    <t>ACMB-248-V08-MSA</t>
  </si>
  <si>
    <t>ACMB-248-V09-MSA</t>
  </si>
  <si>
    <t>ACMB-248-V08-MSB</t>
  </si>
  <si>
    <t>ACMB-248-V09-MSB</t>
  </si>
  <si>
    <t>ACMB-248-R05-BO</t>
  </si>
  <si>
    <t>ACMB-248-RR05-BO</t>
  </si>
  <si>
    <t>ACMB-248-R05-BOA</t>
  </si>
  <si>
    <t>ACMB-248-RR05-BOA</t>
  </si>
  <si>
    <t>ACMB-248-R05-BOB</t>
  </si>
  <si>
    <t>ACMB-248-RR05-BOB</t>
  </si>
  <si>
    <t>ACMB-248-V10-MS</t>
  </si>
  <si>
    <t>ACMB-248-V11-MS</t>
  </si>
  <si>
    <t>ACMB-248-V10-MSA</t>
  </si>
  <si>
    <t>ACMB-248-V11-MSA</t>
  </si>
  <si>
    <t>ACMB-248-V10-MSB</t>
  </si>
  <si>
    <t>ACMB-248-V11-MSB</t>
  </si>
  <si>
    <t>ACMB-248-R06-BO</t>
  </si>
  <si>
    <t>ACMB-248-RR06-BO</t>
  </si>
  <si>
    <t>ACMB-248-R06-BOA</t>
  </si>
  <si>
    <t>ACMB-248-RR06-BOA</t>
  </si>
  <si>
    <t>ACMB-248-R06-BOB</t>
  </si>
  <si>
    <t>ACMB-248-RR06-BOB</t>
  </si>
  <si>
    <t>ACMB-248-V12-MS</t>
  </si>
  <si>
    <t>ACMB-248-V13-MS</t>
  </si>
  <si>
    <t>ACMB-248-V12-MSA</t>
  </si>
  <si>
    <t>ACMB-248-V13-MSA</t>
  </si>
  <si>
    <t>ACMB-248-V12-MSB</t>
  </si>
  <si>
    <t>ACMB-248-V13-MSB</t>
  </si>
  <si>
    <t>ACMB-248-R07-BO</t>
  </si>
  <si>
    <t>ACMB-248-RR07-BO</t>
  </si>
  <si>
    <t>ACMB-248-R07-BOA</t>
  </si>
  <si>
    <t>ACMB-248-RR07-BOA</t>
  </si>
  <si>
    <t>ACMB-248-R07-BOB</t>
  </si>
  <si>
    <t>ACMB-248-RR07-BOB</t>
  </si>
  <si>
    <t>ACMB-248-V14-MS</t>
  </si>
  <si>
    <t>ACMB-248-V15-MS</t>
  </si>
  <si>
    <t>ACMB-248-V14-MSA</t>
  </si>
  <si>
    <t>ACMB-248-V15-MSA</t>
  </si>
  <si>
    <t>ACMB-248-V14-MSB</t>
  </si>
  <si>
    <t>ACMB-248-V15-MSB</t>
  </si>
  <si>
    <t>ACMB-249-R01-BO</t>
  </si>
  <si>
    <t>ACMB-249-RR01-BO</t>
  </si>
  <si>
    <t>ACMB-249-R01-BOA</t>
  </si>
  <si>
    <t>ACMB-249-RR01-BOA</t>
  </si>
  <si>
    <t>ACMB-249-R01-BOB</t>
  </si>
  <si>
    <t>ACMB-249-RR01-BOB</t>
  </si>
  <si>
    <t>ACMB-249-V02-MS</t>
  </si>
  <si>
    <t>ACMB-249-V03-MS</t>
  </si>
  <si>
    <t>ACMB-249-V02-MSA</t>
  </si>
  <si>
    <t>ACMB-249-V03-MSA</t>
  </si>
  <si>
    <t>ACMB-249-V02-MSB</t>
  </si>
  <si>
    <t>ACMB-249-V03-MSB</t>
  </si>
  <si>
    <t>ACMB-249-R02-BO</t>
  </si>
  <si>
    <t>ACMB-249-RR02-BO</t>
  </si>
  <si>
    <t>ACMB-249-R02-BOA</t>
  </si>
  <si>
    <t>ACMB-249-RR02-BOA</t>
  </si>
  <si>
    <t>ACMB-249-R02-BOB</t>
  </si>
  <si>
    <t>ACMB-249-RR02-BOB</t>
  </si>
  <si>
    <t>ACMB-249-V04-MS</t>
  </si>
  <si>
    <t>ACMB-249-V05-MS</t>
  </si>
  <si>
    <t>ACMB-249-V04-MSA</t>
  </si>
  <si>
    <t>ACMB-249-V05-MSA</t>
  </si>
  <si>
    <t>ACMB-249-V04-MSB</t>
  </si>
  <si>
    <t>ACMB-249-V05-MSB</t>
  </si>
  <si>
    <t>ACMB-249-R03-BO</t>
  </si>
  <si>
    <t>ACMB-249-RR03-BO</t>
  </si>
  <si>
    <t>ACMB-249-R03-BOA</t>
  </si>
  <si>
    <t>ACMB-249-RR03-BOA</t>
  </si>
  <si>
    <t>ACMB-249-R03-BOB</t>
  </si>
  <si>
    <t>ACMB-249-RR03-BOB</t>
  </si>
  <si>
    <t>ACMB-249-V06-MS</t>
  </si>
  <si>
    <t>ACMB-249-V07-MS</t>
  </si>
  <si>
    <t>ACMB-249-V06-MSA</t>
  </si>
  <si>
    <t>ACMB-249-V07-MSA</t>
  </si>
  <si>
    <t>ACMB-249-V06-MSB</t>
  </si>
  <si>
    <t>ACMB-249-V07-MSB</t>
  </si>
  <si>
    <t>ACMB-249-R04-BO</t>
  </si>
  <si>
    <t>ACMB-249-RR04-BO</t>
  </si>
  <si>
    <t>ACMB-249-R04-BOA</t>
  </si>
  <si>
    <t>ACMB-249-RR04-BOA</t>
  </si>
  <si>
    <t>ACMB-249-R04-BOB</t>
  </si>
  <si>
    <t>ACMB-249-RR04-BOB</t>
  </si>
  <si>
    <t>ACMB-249-V08-MS</t>
  </si>
  <si>
    <t>ACMB-249-V09-MS</t>
  </si>
  <si>
    <t>ACMB-249-V08-MSA</t>
  </si>
  <si>
    <t>ACMB-249-V09-MSA</t>
  </si>
  <si>
    <t>ACMB-249-V08-MSB</t>
  </si>
  <si>
    <t>ACMB-249-V09-MSB</t>
  </si>
  <si>
    <t>ACMB-249-R05-BO</t>
  </si>
  <si>
    <t>ACMB-249-RR05-BO</t>
  </si>
  <si>
    <t>ACMB-249-R05-BOA</t>
  </si>
  <si>
    <t>ACMB-249-RR05-BOA</t>
  </si>
  <si>
    <t>ACMB-249-R05-BOB</t>
  </si>
  <si>
    <t>ACMB-249-RR05-BOB</t>
  </si>
  <si>
    <t>ACMB-249-V10-MS</t>
  </si>
  <si>
    <t>ACMB-249-V11-MS</t>
  </si>
  <si>
    <t>ACMB-249-V10-MSA</t>
  </si>
  <si>
    <t>ACMB-249-V11-MSA</t>
  </si>
  <si>
    <t>ACMB-249-V10-MSB</t>
  </si>
  <si>
    <t>ACMB-249-V11-MSB</t>
  </si>
  <si>
    <t>ACMB-249-R06-BO</t>
  </si>
  <si>
    <t>ACMB-249-RR06-BO</t>
  </si>
  <si>
    <t>ACMB-249-R06-BOA</t>
  </si>
  <si>
    <t>ACMB-249-RR06-BOA</t>
  </si>
  <si>
    <t>ACMB-249-R06-BOB</t>
  </si>
  <si>
    <t>ACMB-249-RR06-BOB</t>
  </si>
  <si>
    <t>ACMB-249-V12-MS</t>
  </si>
  <si>
    <t>ACMB-249-V13-MS</t>
  </si>
  <si>
    <t>ACMB-249-V12-MSA</t>
  </si>
  <si>
    <t>ACMB-249-V13-MSA</t>
  </si>
  <si>
    <t>ACMB-249-V12-MSB</t>
  </si>
  <si>
    <t>ACMB-249-V13-MSB</t>
  </si>
  <si>
    <t>ACMB-249-R07-BO</t>
  </si>
  <si>
    <t>ACMB-249-RR07-BO</t>
  </si>
  <si>
    <t>ACMB-249-R07-BOA</t>
  </si>
  <si>
    <t>ACMB-249-RR07-BOA</t>
  </si>
  <si>
    <t>ACMB-249-R07-BOB</t>
  </si>
  <si>
    <t>ACMB-249-RR07-BOB</t>
  </si>
  <si>
    <t>ACMB-249-V14-MS</t>
  </si>
  <si>
    <t>ACMB-249-V15-MS</t>
  </si>
  <si>
    <t>ACMB-249-V14-MSA</t>
  </si>
  <si>
    <t>ACMB-249-V15-MSA</t>
  </si>
  <si>
    <t>ACMB-249-V14-MSB</t>
  </si>
  <si>
    <t>ACMB-249-V15-MSB</t>
  </si>
  <si>
    <t>ACMB-250-R01-BO</t>
  </si>
  <si>
    <t>ACMB-250-RR01-BO</t>
  </si>
  <si>
    <t>ACMB-250-R01-BOA</t>
  </si>
  <si>
    <t>ACMB-250-RR01-BOA</t>
  </si>
  <si>
    <t>ACMB-250-R01-BOB</t>
  </si>
  <si>
    <t>ACMB-250-RR01-BOB</t>
  </si>
  <si>
    <t>ACMB-250-V02-MS</t>
  </si>
  <si>
    <t>ACMB-250-V03-MS</t>
  </si>
  <si>
    <t>ACMB-250-V02-MSA</t>
  </si>
  <si>
    <t>ACMB-250-V03-MSA</t>
  </si>
  <si>
    <t>ACMB-250-V02-MSB</t>
  </si>
  <si>
    <t>ACMB-250-V03-MSB</t>
  </si>
  <si>
    <t>ACMB-250-R02-BO</t>
  </si>
  <si>
    <t>ACMB-250-RR02-BO</t>
  </si>
  <si>
    <t>ACMB-250-R02-BOA</t>
  </si>
  <si>
    <t>ACMB-250-RR02-BOA</t>
  </si>
  <si>
    <t>ACMB-250-R02-BOB</t>
  </si>
  <si>
    <t>ACMB-250-RR02-BOB</t>
  </si>
  <si>
    <t>ACMB-250-V04-MS</t>
  </si>
  <si>
    <t>ACMB-250-V05-MS</t>
  </si>
  <si>
    <t>ACMB-250-V04-MSA</t>
  </si>
  <si>
    <t>ACMB-250-V05-MSA</t>
  </si>
  <si>
    <t>ACMB-250-V04-MSB</t>
  </si>
  <si>
    <t>ACMB-250-V05-MSB</t>
  </si>
  <si>
    <t>ACMB-250-R03-BO</t>
  </si>
  <si>
    <t>ACMB-250-RR03-BO</t>
  </si>
  <si>
    <t>ACMB-250-R03-BOA</t>
  </si>
  <si>
    <t>ACMB-250-RR03-BOA</t>
  </si>
  <si>
    <t>ACMB-250-R03-BOB</t>
  </si>
  <si>
    <t>ACMB-250-RR03-BOB</t>
  </si>
  <si>
    <t>ACMB-250-V06-MS</t>
  </si>
  <si>
    <t>ACMB-250-V07-MS</t>
  </si>
  <si>
    <t>ACMB-250-V06-MSA</t>
  </si>
  <si>
    <t>ACMB-250-V07-MSA</t>
  </si>
  <si>
    <t>ACMB-250-V06-MSB</t>
  </si>
  <si>
    <t>ACMB-250-V07-MSB</t>
  </si>
  <si>
    <t>ACMB-250-R04-BO</t>
  </si>
  <si>
    <t>ACMB-250-RR04-BO</t>
  </si>
  <si>
    <t>ACMB-250-R04-BOA</t>
  </si>
  <si>
    <t>ACMB-250-RR04-BOA</t>
  </si>
  <si>
    <t>ACMB-250-R04-BOB</t>
  </si>
  <si>
    <t>ACMB-250-RR04-BOB</t>
  </si>
  <si>
    <t>ACMB-250-V08-MS</t>
  </si>
  <si>
    <t>ACMB-250-V09-MS</t>
  </si>
  <si>
    <t>ACMB-250-V08-MSA</t>
  </si>
  <si>
    <t>ACMB-250-V09-MSA</t>
  </si>
  <si>
    <t>ACMB-250-V08-MSB</t>
  </si>
  <si>
    <t>ACMB-250-V09-MSB</t>
  </si>
  <si>
    <t>ACMB-250-R05-BO</t>
  </si>
  <si>
    <t>ACMB-250-RR05-BO</t>
  </si>
  <si>
    <t>ACMB-250-R05-BOA</t>
  </si>
  <si>
    <t>ACMB-250-RR05-BOA</t>
  </si>
  <si>
    <t>ACMB-250-R05-BOB</t>
  </si>
  <si>
    <t>ACMB-250-RR05-BOB</t>
  </si>
  <si>
    <t>ACMB-250-V10-MS</t>
  </si>
  <si>
    <t>ACMB-250-V11-MS</t>
  </si>
  <si>
    <t>ACMB-250-V10-MSA</t>
  </si>
  <si>
    <t>ACMB-250-V11-MSA</t>
  </si>
  <si>
    <t>ACMB-250-V10-MSB</t>
  </si>
  <si>
    <t>ACMB-250-V11-MSB</t>
  </si>
  <si>
    <t>ACMB-250-R06-BO</t>
  </si>
  <si>
    <t>ACMB-250-RR06-BO</t>
  </si>
  <si>
    <t>ACMB-250-R06-BOA</t>
  </si>
  <si>
    <t>ACMB-250-RR06-BOA</t>
  </si>
  <si>
    <t>ACMB-250-R06-BOB</t>
  </si>
  <si>
    <t>ACMB-250-RR06-BOB</t>
  </si>
  <si>
    <t>ACMB-250-V12-MS</t>
  </si>
  <si>
    <t>ACMB-250-V13-MS</t>
  </si>
  <si>
    <t>ACMB-250-V12-MSA</t>
  </si>
  <si>
    <t>ACMB-250-V13-MSA</t>
  </si>
  <si>
    <t>ACMB-250-V12-MSB</t>
  </si>
  <si>
    <t>ACMB-250-V13-MSB</t>
  </si>
  <si>
    <t>ACMB-250-R07-BO</t>
  </si>
  <si>
    <t>ACMB-250-RR07-BO</t>
  </si>
  <si>
    <t>ACMB-250-R07-BOA</t>
  </si>
  <si>
    <t>ACMB-250-RR07-BOA</t>
  </si>
  <si>
    <t>ACMB-250-R07-BOB</t>
  </si>
  <si>
    <t>ACMB-250-RR07-BOB</t>
  </si>
  <si>
    <t>ACMB-250-V14-MS</t>
  </si>
  <si>
    <t>ACMB-250-V15-MS</t>
  </si>
  <si>
    <t>ACMB-250-V14-MSA</t>
  </si>
  <si>
    <t>ACMB-250-V15-MSA</t>
  </si>
  <si>
    <t>ACMB-250-V14-MSB</t>
  </si>
  <si>
    <t>ACMB-250-V15-MSB</t>
  </si>
  <si>
    <t>ACMB-251-R01-BO</t>
  </si>
  <si>
    <t>ACMB-251-RR01-BO</t>
  </si>
  <si>
    <t>ACMB-251-R01-BOA</t>
  </si>
  <si>
    <t>ACMB-251-RR01-BOA</t>
  </si>
  <si>
    <t>ACMB-251-R01-BOB</t>
  </si>
  <si>
    <t>ACMB-251-RR01-BOB</t>
  </si>
  <si>
    <t>ACMB-251-V02-MS</t>
  </si>
  <si>
    <t>ACMB-251-V03-MS</t>
  </si>
  <si>
    <t>ACMB-251-V02-MSA</t>
  </si>
  <si>
    <t>ACMB-251-V03-MSA</t>
  </si>
  <si>
    <t>ACMB-251-V02-MSB</t>
  </si>
  <si>
    <t>ACMB-251-V03-MSB</t>
  </si>
  <si>
    <t>ACMB-251-R02-BO</t>
  </si>
  <si>
    <t>ACMB-251-RR02-BO</t>
  </si>
  <si>
    <t>ACMB-251-R02-BOA</t>
  </si>
  <si>
    <t>ACMB-251-RR02-BOA</t>
  </si>
  <si>
    <t>ACMB-251-R02-BOB</t>
  </si>
  <si>
    <t>ACMB-251-RR02-BOB</t>
  </si>
  <si>
    <t>ACMB-251-V04-MS</t>
  </si>
  <si>
    <t>ACMB-251-V05-MS</t>
  </si>
  <si>
    <t>ACMB-251-V04-MSA</t>
  </si>
  <si>
    <t>ACMB-251-V05-MSA</t>
  </si>
  <si>
    <t>ACMB-251-V04-MSB</t>
  </si>
  <si>
    <t>ACMB-251-V05-MSB</t>
  </si>
  <si>
    <t>ACMB-251-R03-BO</t>
  </si>
  <si>
    <t>ACMB-251-RR03-BO</t>
  </si>
  <si>
    <t>ACMB-251-R03-BOA</t>
  </si>
  <si>
    <t>ACMB-251-RR03-BOA</t>
  </si>
  <si>
    <t>ACMB-251-R03-BOB</t>
  </si>
  <si>
    <t>ACMB-251-RR03-BOB</t>
  </si>
  <si>
    <t>ACMB-251-V06-MS</t>
  </si>
  <si>
    <t>ACMB-251-V07-MS</t>
  </si>
  <si>
    <t>ACMB-251-V06-MSA</t>
  </si>
  <si>
    <t>ACMB-251-V07-MSA</t>
  </si>
  <si>
    <t>ACMB-251-V06-MSB</t>
  </si>
  <si>
    <t>ACMB-251-V07-MSB</t>
  </si>
  <si>
    <t>ACMB-251-R04-BO</t>
  </si>
  <si>
    <t>ACMB-251-RR04-BO</t>
  </si>
  <si>
    <t>ACMB-251-R04-BOA</t>
  </si>
  <si>
    <t>ACMB-251-RR04-BOA</t>
  </si>
  <si>
    <t>ACMB-251-R04-BOB</t>
  </si>
  <si>
    <t>ACMB-251-RR04-BOB</t>
  </si>
  <si>
    <t>ACMB-251-V08-MS</t>
  </si>
  <si>
    <t>ACMB-251-V09-MS</t>
  </si>
  <si>
    <t>ACMB-251-V08-MSA</t>
  </si>
  <si>
    <t>ACMB-251-V09-MSA</t>
  </si>
  <si>
    <t>ACMB-251-V08-MSB</t>
  </si>
  <si>
    <t>ACMB-251-V09-MSB</t>
  </si>
  <si>
    <t>ACMB-251-R05-BO</t>
  </si>
  <si>
    <t>ACMB-251-RR05-BO</t>
  </si>
  <si>
    <t>ACMB-251-R05-BOA</t>
  </si>
  <si>
    <t>ACMB-251-RR05-BOA</t>
  </si>
  <si>
    <t>ACMB-251-R05-BOB</t>
  </si>
  <si>
    <t>ACMB-251-RR05-BOB</t>
  </si>
  <si>
    <t>ACMB-251-V10-MS</t>
  </si>
  <si>
    <t>ACMB-251-V11-MS</t>
  </si>
  <si>
    <t>ACMB-251-V10-MSA</t>
  </si>
  <si>
    <t>ACMB-251-V11-MSA</t>
  </si>
  <si>
    <t>ACMB-251-V10-MSB</t>
  </si>
  <si>
    <t>ACMB-251-V11-MSB</t>
  </si>
  <si>
    <t>ACMB-251-R06-BO</t>
  </si>
  <si>
    <t>ACMB-251-RR06-BO</t>
  </si>
  <si>
    <t>ACMB-251-R06-BOA</t>
  </si>
  <si>
    <t>ACMB-251-RR06-BOA</t>
  </si>
  <si>
    <t>ACMB-251-R06-BOB</t>
  </si>
  <si>
    <t>ACMB-251-RR06-BOB</t>
  </si>
  <si>
    <t>ACMB-251-V12-MS</t>
  </si>
  <si>
    <t>ACMB-251-V13-MS</t>
  </si>
  <si>
    <t>ACMB-251-V12-MSA</t>
  </si>
  <si>
    <t>ACMB-251-V13-MSA</t>
  </si>
  <si>
    <t>ACMB-251-V12-MSB</t>
  </si>
  <si>
    <t>ACMB-251-V13-MSB</t>
  </si>
  <si>
    <t>ACMB-251-R07-BO</t>
  </si>
  <si>
    <t>ACMB-251-RR07-BO</t>
  </si>
  <si>
    <t>ACMB-251-R07-BOA</t>
  </si>
  <si>
    <t>ACMB-251-RR07-BOA</t>
  </si>
  <si>
    <t>ACMB-251-R07-BOB</t>
  </si>
  <si>
    <t>ACMB-251-RR07-BOB</t>
  </si>
  <si>
    <t>ACMB-251-V14-MS</t>
  </si>
  <si>
    <t>ACMB-251-V15-MS</t>
  </si>
  <si>
    <t>ACMB-251-V14-MSA</t>
  </si>
  <si>
    <t>ACMB-251-V15-MSA</t>
  </si>
  <si>
    <t>ACMB-251-V14-MSB</t>
  </si>
  <si>
    <t>ACMB-251-V15-MSB</t>
  </si>
  <si>
    <t>ACMB-252-R01-BO</t>
  </si>
  <si>
    <t>ACMB-252-RR01-BO</t>
  </si>
  <si>
    <t>ACMB-252-R01-BOA</t>
  </si>
  <si>
    <t>ACMB-252-RR01-BOA</t>
  </si>
  <si>
    <t>ACMB-252-R01-BOB</t>
  </si>
  <si>
    <t>ACMB-252-RR01-BOB</t>
  </si>
  <si>
    <t>ACMB-252-V02-MS</t>
  </si>
  <si>
    <t>ACMB-252-V03-MS</t>
  </si>
  <si>
    <t>ACMB-252-V02-MSA</t>
  </si>
  <si>
    <t>ACMB-252-V03-MSA</t>
  </si>
  <si>
    <t>ACMB-252-V02-MSB</t>
  </si>
  <si>
    <t>ACMB-252-V03-MSB</t>
  </si>
  <si>
    <t>ACMB-252-R02-BO</t>
  </si>
  <si>
    <t>ACMB-252-RR02-BO</t>
  </si>
  <si>
    <t>ACMB-252-R02-BOA</t>
  </si>
  <si>
    <t>ACMB-252-RR02-BOA</t>
  </si>
  <si>
    <t>ACMB-252-R02-BOB</t>
  </si>
  <si>
    <t>ACMB-252-RR02-BOB</t>
  </si>
  <si>
    <t>ACMB-252-V04-MS</t>
  </si>
  <si>
    <t>ACMB-252-V05-MS</t>
  </si>
  <si>
    <t>ACMB-252-V04-MSA</t>
  </si>
  <si>
    <t>ACMB-252-V05-MSA</t>
  </si>
  <si>
    <t>ACMB-252-V04-MSB</t>
  </si>
  <si>
    <t>ACMB-252-V05-MSB</t>
  </si>
  <si>
    <t>ACMB-252-R03-BO</t>
  </si>
  <si>
    <t>ACMB-252-RR03-BO</t>
  </si>
  <si>
    <t>ACMB-252-R03-BOA</t>
  </si>
  <si>
    <t>ACMB-252-RR03-BOA</t>
  </si>
  <si>
    <t>ACMB-252-R03-BOB</t>
  </si>
  <si>
    <t>ACMB-252-RR03-BOB</t>
  </si>
  <si>
    <t>ACMB-252-V06-MS</t>
  </si>
  <si>
    <t>ACMB-252-V07-MS</t>
  </si>
  <si>
    <t>ACMB-252-V06-MSA</t>
  </si>
  <si>
    <t>ACMB-252-V07-MSA</t>
  </si>
  <si>
    <t>ACMB-252-V06-MSB</t>
  </si>
  <si>
    <t>ACMB-252-V07-MSB</t>
  </si>
  <si>
    <t>ACMB-252-R04-BO</t>
  </si>
  <si>
    <t>ACMB-252-RR04-BO</t>
  </si>
  <si>
    <t>ACMB-252-R04-BOA</t>
  </si>
  <si>
    <t>ACMB-252-RR04-BOA</t>
  </si>
  <si>
    <t>ACMB-252-R04-BOB</t>
  </si>
  <si>
    <t>ACMB-252-RR04-BOB</t>
  </si>
  <si>
    <t>ACMB-252-V08-MS</t>
  </si>
  <si>
    <t>ACMB-252-V09-MS</t>
  </si>
  <si>
    <t>ACMB-252-V08-MSA</t>
  </si>
  <si>
    <t>ACMB-252-V09-MSA</t>
  </si>
  <si>
    <t>ACMB-252-V08-MSB</t>
  </si>
  <si>
    <t>ACMB-252-V09-MSB</t>
  </si>
  <si>
    <t>ACMB-252-R05-BO</t>
  </si>
  <si>
    <t>ACMB-252-RR05-BO</t>
  </si>
  <si>
    <t>ACMB-252-R05-BOA</t>
  </si>
  <si>
    <t>ACMB-252-RR05-BOA</t>
  </si>
  <si>
    <t>ACMB-252-R05-BOB</t>
  </si>
  <si>
    <t>ACMB-252-RR05-BOB</t>
  </si>
  <si>
    <t>ACMB-252-V10-MS</t>
  </si>
  <si>
    <t>ACMB-252-V11-MS</t>
  </si>
  <si>
    <t>ACMB-252-V10-MSA</t>
  </si>
  <si>
    <t>ACMB-252-V11-MSA</t>
  </si>
  <si>
    <t>ACMB-252-V10-MSB</t>
  </si>
  <si>
    <t>ACMB-252-V11-MSB</t>
  </si>
  <si>
    <t>ACMB-252-R06-BO</t>
  </si>
  <si>
    <t>ACMB-252-RR06-BO</t>
  </si>
  <si>
    <t>ACMB-252-R06-BOA</t>
  </si>
  <si>
    <t>ACMB-252-RR06-BOA</t>
  </si>
  <si>
    <t>ACMB-252-R06-BOB</t>
  </si>
  <si>
    <t>ACMB-252-RR06-BOB</t>
  </si>
  <si>
    <t>ACMB-252-V12-MS</t>
  </si>
  <si>
    <t>ACMB-252-V13-MS</t>
  </si>
  <si>
    <t>ACMB-252-V12-MSA</t>
  </si>
  <si>
    <t>ACMB-252-V13-MSA</t>
  </si>
  <si>
    <t>ACMB-252-V12-MSB</t>
  </si>
  <si>
    <t>ACMB-252-V13-MSB</t>
  </si>
  <si>
    <t>ACMB-252-R07-BO</t>
  </si>
  <si>
    <t>ACMB-252-RR07-BO</t>
  </si>
  <si>
    <t>ACMB-252-R07-BOA</t>
  </si>
  <si>
    <t>ACMB-252-RR07-BOA</t>
  </si>
  <si>
    <t>ACMB-252-R07-BOB</t>
  </si>
  <si>
    <t>ACMB-252-RR07-BOB</t>
  </si>
  <si>
    <t>ACMB-252-V14-MS</t>
  </si>
  <si>
    <t>ACMB-252-V15-MS</t>
  </si>
  <si>
    <t>ACMB-252-V14-MSA</t>
  </si>
  <si>
    <t>ACMB-252-V15-MSA</t>
  </si>
  <si>
    <t>ACMB-252-V14-MSB</t>
  </si>
  <si>
    <t>ACMB-252-V15-MSB</t>
  </si>
  <si>
    <t>ACMB-253-R01-BO</t>
  </si>
  <si>
    <t>ACMB-253-RR01-BO</t>
  </si>
  <si>
    <t>ACMB-253-R01-BOA</t>
  </si>
  <si>
    <t>ACMB-253-RR01-BOA</t>
  </si>
  <si>
    <t>ACMB-253-R01-BOB</t>
  </si>
  <si>
    <t>ACMB-253-RR01-BOB</t>
  </si>
  <si>
    <t>ACMB-253-V02-MS</t>
  </si>
  <si>
    <t>ACMB-253-V03-MS</t>
  </si>
  <si>
    <t>ACMB-253-V02-MSA</t>
  </si>
  <si>
    <t>ACMB-253-V03-MSA</t>
  </si>
  <si>
    <t>ACMB-253-V02-MSB</t>
  </si>
  <si>
    <t>ACMB-253-V03-MSB</t>
  </si>
  <si>
    <t>ACMB-253-R02-BO</t>
  </si>
  <si>
    <t>ACMB-253-RR02-BO</t>
  </si>
  <si>
    <t>ACMB-253-R02-BOA</t>
  </si>
  <si>
    <t>ACMB-253-RR02-BOA</t>
  </si>
  <si>
    <t>ACMB-253-R02-BOB</t>
  </si>
  <si>
    <t>ACMB-253-RR02-BOB</t>
  </si>
  <si>
    <t>ACMB-253-V04-MS</t>
  </si>
  <si>
    <t>ACMB-253-V05-MS</t>
  </si>
  <si>
    <t>ACMB-253-V04-MSA</t>
  </si>
  <si>
    <t>ACMB-253-V05-MSA</t>
  </si>
  <si>
    <t>ACMB-253-V04-MSB</t>
  </si>
  <si>
    <t>ACMB-253-V05-MSB</t>
  </si>
  <si>
    <t>ACMB-253-R03-BO</t>
  </si>
  <si>
    <t>ACMB-253-RR03-BO</t>
  </si>
  <si>
    <t>ACMB-253-R03-BOA</t>
  </si>
  <si>
    <t>ACMB-253-RR03-BOA</t>
  </si>
  <si>
    <t>ACMB-253-R03-BOB</t>
  </si>
  <si>
    <t>ACMB-253-RR03-BOB</t>
  </si>
  <si>
    <t>ACMB-253-V06-MS</t>
  </si>
  <si>
    <t>ACMB-253-V07-MS</t>
  </si>
  <si>
    <t>ACMB-253-V06-MSA</t>
  </si>
  <si>
    <t>ACMB-253-V07-MSA</t>
  </si>
  <si>
    <t>ACMB-253-V06-MSB</t>
  </si>
  <si>
    <t>ACMB-253-V07-MSB</t>
  </si>
  <si>
    <t>ACMB-253-R04-BO</t>
  </si>
  <si>
    <t>ACMB-253-RR04-BO</t>
  </si>
  <si>
    <t>ACMB-253-R04-BOA</t>
  </si>
  <si>
    <t>ACMB-253-RR04-BOA</t>
  </si>
  <si>
    <t>ACMB-253-R04-BOB</t>
  </si>
  <si>
    <t>ACMB-253-RR04-BOB</t>
  </si>
  <si>
    <t>ACMB-253-V08-MS</t>
  </si>
  <si>
    <t>ACMB-253-V09-MS</t>
  </si>
  <si>
    <t>ACMB-253-V08-MSA</t>
  </si>
  <si>
    <t>ACMB-253-V09-MSA</t>
  </si>
  <si>
    <t>ACMB-253-V08-MSB</t>
  </si>
  <si>
    <t>ACMB-253-V09-MSB</t>
  </si>
  <si>
    <t>ACMB-253-R05-BO</t>
  </si>
  <si>
    <t>ACMB-253-RR05-BO</t>
  </si>
  <si>
    <t>ACMB-253-R05-BOA</t>
  </si>
  <si>
    <t>ACMB-253-RR05-BOA</t>
  </si>
  <si>
    <t>ACMB-253-R05-BOB</t>
  </si>
  <si>
    <t>ACMB-253-RR05-BOB</t>
  </si>
  <si>
    <t>ACMB-253-V10-MS</t>
  </si>
  <si>
    <t>ACMB-253-V11-MS</t>
  </si>
  <si>
    <t>ACMB-253-V10-MSA</t>
  </si>
  <si>
    <t>ACMB-253-V11-MSA</t>
  </si>
  <si>
    <t>ACMB-253-V10-MSB</t>
  </si>
  <si>
    <t>ACMB-253-V11-MSB</t>
  </si>
  <si>
    <t>ACMB-253-R06-BO</t>
  </si>
  <si>
    <t>ACMB-253-RR06-BO</t>
  </si>
  <si>
    <t>ACMB-253-R06-BOA</t>
  </si>
  <si>
    <t>ACMB-253-RR06-BOA</t>
  </si>
  <si>
    <t>ACMB-253-R06-BOB</t>
  </si>
  <si>
    <t>ACMB-253-RR06-BOB</t>
  </si>
  <si>
    <t>ACMB-253-V12-MS</t>
  </si>
  <si>
    <t>ACMB-253-V13-MS</t>
  </si>
  <si>
    <t>ACMB-253-V12-MSA</t>
  </si>
  <si>
    <t>ACMB-253-V13-MSA</t>
  </si>
  <si>
    <t>ACMB-253-V12-MSB</t>
  </si>
  <si>
    <t>ACMB-253-V13-MSB</t>
  </si>
  <si>
    <t>ACMB-253-R07-BO</t>
  </si>
  <si>
    <t>ACMB-253-RR07-BO</t>
  </si>
  <si>
    <t>ACMB-253-R07-BOA</t>
  </si>
  <si>
    <t>ACMB-253-RR07-BOA</t>
  </si>
  <si>
    <t>ACMB-253-R07-BOB</t>
  </si>
  <si>
    <t>ACMB-253-RR07-BOB</t>
  </si>
  <si>
    <t>ACMB-253-V14-MS</t>
  </si>
  <si>
    <t>ACMB-253-V15-MS</t>
  </si>
  <si>
    <t>ACMB-253-V14-MSA</t>
  </si>
  <si>
    <t>ACMB-253-V15-MSA</t>
  </si>
  <si>
    <t>ACMB-253-V14-MSB</t>
  </si>
  <si>
    <t>ACMB-253-V15-MSB</t>
  </si>
  <si>
    <t>ACMB-254-R01-BO</t>
  </si>
  <si>
    <t>ACMB-254-RR01-BO</t>
  </si>
  <si>
    <t>ACMB-254-R01-BOA</t>
  </si>
  <si>
    <t>ACMB-254-RR01-BOA</t>
  </si>
  <si>
    <t>ACMB-254-R01-BOB</t>
  </si>
  <si>
    <t>ACMB-254-RR01-BOB</t>
  </si>
  <si>
    <t>ACMB-254-V02-MS</t>
  </si>
  <si>
    <t>ACMB-254-V03-MS</t>
  </si>
  <si>
    <t>ACMB-254-V02-MSA</t>
  </si>
  <si>
    <t>ACMB-254-V03-MSA</t>
  </si>
  <si>
    <t>ACMB-254-V02-MSB</t>
  </si>
  <si>
    <t>ACMB-254-V03-MSB</t>
  </si>
  <si>
    <t>ACMB-254-R02-BO</t>
  </si>
  <si>
    <t>ACMB-254-RR02-BO</t>
  </si>
  <si>
    <t>ACMB-254-R02-BOA</t>
  </si>
  <si>
    <t>ACMB-254-RR02-BOA</t>
  </si>
  <si>
    <t>ACMB-254-R02-BOB</t>
  </si>
  <si>
    <t>ACMB-254-RR02-BOB</t>
  </si>
  <si>
    <t>ACMB-254-V04-MS</t>
  </si>
  <si>
    <t>ACMB-254-V05-MS</t>
  </si>
  <si>
    <t>ACMB-254-V04-MSA</t>
  </si>
  <si>
    <t>ACMB-254-V05-MSA</t>
  </si>
  <si>
    <t>ACMB-254-V04-MSB</t>
  </si>
  <si>
    <t>ACMB-254-V05-MSB</t>
  </si>
  <si>
    <t>ACMB-254-R03-BO</t>
  </si>
  <si>
    <t>ACMB-254-RR03-BO</t>
  </si>
  <si>
    <t>ACMB-254-R03-BOA</t>
  </si>
  <si>
    <t>ACMB-254-RR03-BOA</t>
  </si>
  <si>
    <t>ACMB-254-R03-BOB</t>
  </si>
  <si>
    <t>ACMB-254-RR03-BOB</t>
  </si>
  <si>
    <t>ACMB-254-V06-MS</t>
  </si>
  <si>
    <t>ACMB-254-V07-MS</t>
  </si>
  <si>
    <t>ACMB-254-V06-MSA</t>
  </si>
  <si>
    <t>ACMB-254-V07-MSA</t>
  </si>
  <si>
    <t>ACMB-254-V06-MSB</t>
  </si>
  <si>
    <t>ACMB-254-V07-MSB</t>
  </si>
  <si>
    <t>ACMB-254-R04-BO</t>
  </si>
  <si>
    <t>ACMB-254-RR04-BO</t>
  </si>
  <si>
    <t>ACMB-254-R04-BOA</t>
  </si>
  <si>
    <t>ACMB-254-RR04-BOA</t>
  </si>
  <si>
    <t>ACMB-254-R04-BOB</t>
  </si>
  <si>
    <t>ACMB-254-RR04-BOB</t>
  </si>
  <si>
    <t>ACMB-254-V08-MS</t>
  </si>
  <si>
    <t>ACMB-254-V09-MS</t>
  </si>
  <si>
    <t>ACMB-254-V08-MSA</t>
  </si>
  <si>
    <t>ACMB-254-V09-MSA</t>
  </si>
  <si>
    <t>ACMB-254-V08-MSB</t>
  </si>
  <si>
    <t>ACMB-254-V09-MSB</t>
  </si>
  <si>
    <t>ACMB-254-R05-BO</t>
  </si>
  <si>
    <t>ACMB-254-RR05-BO</t>
  </si>
  <si>
    <t>ACMB-254-R05-BOA</t>
  </si>
  <si>
    <t>ACMB-254-RR05-BOA</t>
  </si>
  <si>
    <t>ACMB-254-R05-BOB</t>
  </si>
  <si>
    <t>ACMB-254-RR05-BOB</t>
  </si>
  <si>
    <t>ACMB-254-V10-MS</t>
  </si>
  <si>
    <t>ACMB-254-V11-MS</t>
  </si>
  <si>
    <t>ACMB-254-V10-MSA</t>
  </si>
  <si>
    <t>ACMB-254-V11-MSA</t>
  </si>
  <si>
    <t>ACMB-254-V10-MSB</t>
  </si>
  <si>
    <t>ACMB-254-V11-MSB</t>
  </si>
  <si>
    <t>ACMB-254-R06-BO</t>
  </si>
  <si>
    <t>ACMB-254-RR06-BO</t>
  </si>
  <si>
    <t>ACMB-254-R06-BOA</t>
  </si>
  <si>
    <t>ACMB-254-RR06-BOA</t>
  </si>
  <si>
    <t>ACMB-254-R06-BOB</t>
  </si>
  <si>
    <t>ACMB-254-RR06-BOB</t>
  </si>
  <si>
    <t>ACMB-254-V12-MS</t>
  </si>
  <si>
    <t>ACMB-254-V13-MS</t>
  </si>
  <si>
    <t>ACMB-254-V12-MSA</t>
  </si>
  <si>
    <t>ACMB-254-V13-MSA</t>
  </si>
  <si>
    <t>ACMB-254-V12-MSB</t>
  </si>
  <si>
    <t>ACMB-254-V13-MSB</t>
  </si>
  <si>
    <t>ACMB-254-R07-BO</t>
  </si>
  <si>
    <t>ACMB-254-RR07-BO</t>
  </si>
  <si>
    <t>ACMB-254-R07-BOA</t>
  </si>
  <si>
    <t>ACMB-254-RR07-BOA</t>
  </si>
  <si>
    <t>ACMB-254-R07-BOB</t>
  </si>
  <si>
    <t>ACMB-254-RR07-BOB</t>
  </si>
  <si>
    <t>ACMB-254-V14-MS</t>
  </si>
  <si>
    <t>ACMB-254-V15-MS</t>
  </si>
  <si>
    <t>ACMB-254-V14-MSA</t>
  </si>
  <si>
    <t>ACMB-254-V15-MSA</t>
  </si>
  <si>
    <t>ACMB-254-V14-MSB</t>
  </si>
  <si>
    <t>ACMB-254-V15-MSB</t>
  </si>
  <si>
    <t>ACMB-255-R01-BO</t>
  </si>
  <si>
    <t>ACMB-255-RR01-BO</t>
  </si>
  <si>
    <t>ACMB-255-R01-BOA</t>
  </si>
  <si>
    <t>ACMB-255-RR01-BOA</t>
  </si>
  <si>
    <t>ACMB-255-R01-BOB</t>
  </si>
  <si>
    <t>ACMB-255-RR01-BOB</t>
  </si>
  <si>
    <t>ACMB-255-V02-MS</t>
  </si>
  <si>
    <t>ACMB-255-V03-MS</t>
  </si>
  <si>
    <t>ACMB-255-V02-MSA</t>
  </si>
  <si>
    <t>ACMB-255-V03-MSA</t>
  </si>
  <si>
    <t>ACMB-255-V02-MSB</t>
  </si>
  <si>
    <t>ACMB-255-V03-MSB</t>
  </si>
  <si>
    <t>ACMB-255-R02-BO</t>
  </si>
  <si>
    <t>ACMB-255-RR02-BO</t>
  </si>
  <si>
    <t>ACMB-255-R02-BOA</t>
  </si>
  <si>
    <t>ACMB-255-RR02-BOA</t>
  </si>
  <si>
    <t>ACMB-255-R02-BOB</t>
  </si>
  <si>
    <t>ACMB-255-RR02-BOB</t>
  </si>
  <si>
    <t>ACMB-255-V04-MS</t>
  </si>
  <si>
    <t>ACMB-255-V05-MS</t>
  </si>
  <si>
    <t>ACMB-255-V04-MSA</t>
  </si>
  <si>
    <t>ACMB-255-V05-MSA</t>
  </si>
  <si>
    <t>ACMB-255-V04-MSB</t>
  </si>
  <si>
    <t>ACMB-255-V05-MSB</t>
  </si>
  <si>
    <t>ACMB-255-R03-BO</t>
  </si>
  <si>
    <t>ACMB-255-RR03-BO</t>
  </si>
  <si>
    <t>ACMB-255-R03-BOA</t>
  </si>
  <si>
    <t>ACMB-255-RR03-BOA</t>
  </si>
  <si>
    <t>ACMB-255-R03-BOB</t>
  </si>
  <si>
    <t>ACMB-255-RR03-BOB</t>
  </si>
  <si>
    <t>ACMB-255-V06-MS</t>
  </si>
  <si>
    <t>ACMB-255-V07-MS</t>
  </si>
  <si>
    <t>ACMB-255-V06-MSA</t>
  </si>
  <si>
    <t>ACMB-255-V07-MSA</t>
  </si>
  <si>
    <t>ACMB-255-V06-MSB</t>
  </si>
  <si>
    <t>ACMB-255-V07-MSB</t>
  </si>
  <si>
    <t>ACMB-255-R04-BO</t>
  </si>
  <si>
    <t>ACMB-255-RR04-BO</t>
  </si>
  <si>
    <t>ACMB-255-R04-BOA</t>
  </si>
  <si>
    <t>ACMB-255-RR04-BOA</t>
  </si>
  <si>
    <t>ACMB-255-R04-BOB</t>
  </si>
  <si>
    <t>ACMB-255-RR04-BOB</t>
  </si>
  <si>
    <t>ACMB-255-V08-MS</t>
  </si>
  <si>
    <t>ACMB-255-V09-MS</t>
  </si>
  <si>
    <t>ACMB-255-V08-MSA</t>
  </si>
  <si>
    <t>ACMB-255-V09-MSA</t>
  </si>
  <si>
    <t>ACMB-255-V08-MSB</t>
  </si>
  <si>
    <t>ACMB-255-V09-MSB</t>
  </si>
  <si>
    <t>ACMB-255-R05-BO</t>
  </si>
  <si>
    <t>ACMB-255-RR05-BO</t>
  </si>
  <si>
    <t>ACMB-255-R05-BOA</t>
  </si>
  <si>
    <t>ACMB-255-RR05-BOA</t>
  </si>
  <si>
    <t>ACMB-255-R05-BOB</t>
  </si>
  <si>
    <t>ACMB-255-RR05-BOB</t>
  </si>
  <si>
    <t>ACMB-255-V10-MS</t>
  </si>
  <si>
    <t>ACMB-255-V11-MS</t>
  </si>
  <si>
    <t>ACMB-255-V10-MSA</t>
  </si>
  <si>
    <t>ACMB-255-V11-MSA</t>
  </si>
  <si>
    <t>ACMB-255-V10-MSB</t>
  </si>
  <si>
    <t>ACMB-255-V11-MSB</t>
  </si>
  <si>
    <t>ACMB-255-R06-BO</t>
  </si>
  <si>
    <t>ACMB-255-RR06-BO</t>
  </si>
  <si>
    <t>ACMB-255-R06-BOA</t>
  </si>
  <si>
    <t>ACMB-255-RR06-BOA</t>
  </si>
  <si>
    <t>ACMB-255-R06-BOB</t>
  </si>
  <si>
    <t>ACMB-255-RR06-BOB</t>
  </si>
  <si>
    <t>ACMB-255-V12-MS</t>
  </si>
  <si>
    <t>ACMB-255-V13-MS</t>
  </si>
  <si>
    <t>ACMB-255-V12-MSA</t>
  </si>
  <si>
    <t>ACMB-255-V13-MSA</t>
  </si>
  <si>
    <t>ACMB-255-V12-MSB</t>
  </si>
  <si>
    <t>ACMB-255-V13-MSB</t>
  </si>
  <si>
    <t>ACMB-255-R07-BO</t>
  </si>
  <si>
    <t>ACMB-255-RR07-BO</t>
  </si>
  <si>
    <t>ACMB-255-R07-BOA</t>
  </si>
  <si>
    <t>ACMB-255-RR07-BOA</t>
  </si>
  <si>
    <t>ACMB-255-R07-BOB</t>
  </si>
  <si>
    <t>ACMB-255-RR07-BOB</t>
  </si>
  <si>
    <t>ACMB-255-V14-MS</t>
  </si>
  <si>
    <t>ACMB-255-V15-MS</t>
  </si>
  <si>
    <t>ACMB-255-V14-MSA</t>
  </si>
  <si>
    <t>ACMB-255-V15-MSA</t>
  </si>
  <si>
    <t>ACMB-255-V14-MSB</t>
  </si>
  <si>
    <t>ACMB-255-V15-MSB</t>
  </si>
  <si>
    <t>ACMB-STS-NT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</si>
</sst>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8" x14ac:knownFonts="1">
    <font>
      <sz val="11"/>
      <color theme="1"/>
      <name val="Calibri"/>
      <family val="2"/>
      <scheme val="minor"/>
    </font>
    <font>
      <sz val="14"/>
      <color theme="1"/>
      <name val="Calibri"/>
      <family val="2"/>
      <scheme val="minor"/>
    </font>
    <font>
      <sz val="18"/>
      <color theme="1"/>
      <name val="Calibri"/>
      <family val="2"/>
      <scheme val="minor"/>
    </font>
    <font>
      <b/>
      <sz val="14"/>
      <color theme="1"/>
      <name val="Calibri"/>
      <family val="2"/>
      <scheme val="minor"/>
    </font>
    <font>
      <b/>
      <sz val="16"/>
      <color theme="1"/>
      <name val="Calibri"/>
      <family val="2"/>
      <scheme val="minor"/>
    </font>
    <font>
      <sz val="9"/>
      <color indexed="81"/>
      <name val="Tahoma"/>
      <family val="2"/>
    </font>
    <font>
      <b/>
      <sz val="9"/>
      <color indexed="81"/>
      <name val="Tahoma"/>
      <family val="2"/>
    </font>
    <font>
      <b/>
      <sz val="11"/>
      <color theme="1"/>
      <name val="Calibri"/>
      <family val="2"/>
      <scheme val="minor"/>
    </font>
  </fonts>
  <fills count="6">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theme="0" tint="-0.34998626667073579"/>
        <bgColor indexed="64"/>
      </patternFill>
    </fill>
  </fills>
  <borders count="4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diagonal/>
    </border>
    <border>
      <left style="thick">
        <color indexed="64"/>
      </left>
      <right/>
      <top/>
      <bottom/>
      <diagonal/>
    </border>
    <border>
      <left style="thin">
        <color indexed="64"/>
      </left>
      <right style="thick">
        <color indexed="64"/>
      </right>
      <top/>
      <bottom/>
      <diagonal/>
    </border>
  </borders>
  <cellStyleXfs count="1">
    <xf numFmtId="0" fontId="0" fillId="0" borderId="0"/>
  </cellStyleXfs>
  <cellXfs count="158">
    <xf numFmtId="0" fontId="0" fillId="0" borderId="0" xfId="0"/>
    <xf numFmtId="0" fontId="0" fillId="0" borderId="0" xfId="0" applyAlignment="1">
      <alignment vertical="center"/>
    </xf>
    <xf numFmtId="0" fontId="0" fillId="0" borderId="0" xfId="0" applyAlignment="1">
      <alignment horizontal="center" vertical="center"/>
    </xf>
    <xf numFmtId="0" fontId="0" fillId="0" borderId="0" xfId="0" applyAlignment="1">
      <alignment horizontal="center" vertical="center" wrapText="1"/>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xf numFmtId="0" fontId="0" fillId="0" borderId="8" xfId="0" applyBorder="1"/>
    <xf numFmtId="0" fontId="0" fillId="0" borderId="9" xfId="0" applyBorder="1"/>
    <xf numFmtId="0" fontId="0" fillId="0" borderId="2" xfId="0" applyBorder="1" applyAlignment="1">
      <alignment horizontal="center" vertical="center"/>
    </xf>
    <xf numFmtId="0" fontId="0" fillId="0" borderId="10" xfId="0" applyBorder="1"/>
    <xf numFmtId="0" fontId="0" fillId="0" borderId="11" xfId="0" applyBorder="1" applyAlignment="1">
      <alignment horizontal="center" vertical="center" wrapText="1"/>
    </xf>
    <xf numFmtId="0" fontId="0" fillId="0" borderId="11" xfId="0" applyBorder="1" applyAlignment="1">
      <alignment horizontal="center" vertical="center"/>
    </xf>
    <xf numFmtId="0" fontId="0" fillId="0" borderId="12" xfId="0" applyBorder="1" applyAlignment="1">
      <alignment horizontal="center" vertical="center" wrapText="1"/>
    </xf>
    <xf numFmtId="0" fontId="0" fillId="0" borderId="13" xfId="0" applyBorder="1"/>
    <xf numFmtId="0" fontId="0" fillId="0" borderId="14" xfId="0" applyBorder="1"/>
    <xf numFmtId="0" fontId="0" fillId="0" borderId="15" xfId="0" applyBorder="1"/>
    <xf numFmtId="0" fontId="0" fillId="2" borderId="11" xfId="0" applyFill="1" applyBorder="1" applyAlignment="1">
      <alignment horizontal="center" vertical="center" wrapText="1"/>
    </xf>
    <xf numFmtId="0" fontId="0" fillId="2" borderId="14" xfId="0" applyFill="1" applyBorder="1"/>
    <xf numFmtId="0" fontId="0" fillId="3" borderId="0" xfId="0" applyFill="1" applyAlignment="1">
      <alignment horizontal="center" vertical="center"/>
    </xf>
    <xf numFmtId="0" fontId="0" fillId="3" borderId="11" xfId="0" applyFill="1" applyBorder="1" applyAlignment="1">
      <alignment horizontal="center" vertical="center" wrapText="1"/>
    </xf>
    <xf numFmtId="0" fontId="0" fillId="3" borderId="14" xfId="0" applyFill="1" applyBorder="1"/>
    <xf numFmtId="0" fontId="0" fillId="3" borderId="5" xfId="0" applyFill="1" applyBorder="1" applyAlignment="1">
      <alignment horizontal="center" vertical="center"/>
    </xf>
    <xf numFmtId="0" fontId="0" fillId="3" borderId="8" xfId="0" applyFill="1" applyBorder="1"/>
    <xf numFmtId="0" fontId="0" fillId="3" borderId="0" xfId="0" applyFill="1" applyAlignment="1">
      <alignment horizontal="center"/>
    </xf>
    <xf numFmtId="0" fontId="0" fillId="2" borderId="0" xfId="0" applyFill="1" applyAlignment="1">
      <alignment horizontal="center"/>
    </xf>
    <xf numFmtId="0" fontId="0" fillId="3" borderId="16" xfId="0" applyFill="1" applyBorder="1" applyAlignment="1">
      <alignment horizontal="center" vertical="center"/>
    </xf>
    <xf numFmtId="0" fontId="0" fillId="3" borderId="17"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vertical="center"/>
    </xf>
    <xf numFmtId="0" fontId="0" fillId="3" borderId="20" xfId="0" applyFill="1" applyBorder="1" applyAlignment="1">
      <alignment horizontal="center"/>
    </xf>
    <xf numFmtId="0" fontId="1" fillId="0" borderId="0" xfId="0" applyFont="1"/>
    <xf numFmtId="0" fontId="0" fillId="4" borderId="0" xfId="0" applyFill="1" applyAlignment="1">
      <alignment horizontal="center" vertical="center"/>
    </xf>
    <xf numFmtId="0" fontId="0" fillId="4" borderId="0" xfId="0" applyFill="1"/>
    <xf numFmtId="0" fontId="0" fillId="4" borderId="11" xfId="0" applyFill="1" applyBorder="1" applyAlignment="1">
      <alignment horizontal="center" vertical="center" wrapText="1"/>
    </xf>
    <xf numFmtId="0" fontId="0" fillId="4" borderId="14" xfId="0" applyFill="1" applyBorder="1"/>
    <xf numFmtId="0" fontId="0" fillId="4" borderId="11" xfId="0" applyFill="1" applyBorder="1" applyAlignment="1">
      <alignment horizontal="center" vertical="center"/>
    </xf>
    <xf numFmtId="0" fontId="0" fillId="0" borderId="21" xfId="0" applyBorder="1"/>
    <xf numFmtId="0" fontId="0" fillId="0" borderId="22" xfId="0" applyBorder="1"/>
    <xf numFmtId="0" fontId="0" fillId="0" borderId="23" xfId="0" applyBorder="1"/>
    <xf numFmtId="164" fontId="0" fillId="0" borderId="0" xfId="0" quotePrefix="1" applyNumberFormat="1" applyAlignment="1">
      <alignment horizontal="center"/>
    </xf>
    <xf numFmtId="0" fontId="0" fillId="0" borderId="0" xfId="0" quotePrefix="1" applyAlignment="1">
      <alignment horizontal="center"/>
    </xf>
    <xf numFmtId="0" fontId="0" fillId="0" borderId="24" xfId="0" applyBorder="1"/>
    <xf numFmtId="0" fontId="0" fillId="0" borderId="25" xfId="0" applyBorder="1"/>
    <xf numFmtId="0" fontId="0" fillId="0" borderId="26" xfId="0" applyBorder="1"/>
    <xf numFmtId="0" fontId="0" fillId="0" borderId="27" xfId="0" applyBorder="1"/>
    <xf numFmtId="0" fontId="3" fillId="0" borderId="0" xfId="0" applyFont="1" applyAlignment="1">
      <alignment horizontal="center"/>
    </xf>
    <xf numFmtId="0" fontId="3" fillId="0" borderId="22" xfId="0" applyFont="1" applyBorder="1" applyAlignment="1">
      <alignment horizontal="center"/>
    </xf>
    <xf numFmtId="0" fontId="0" fillId="0" borderId="19" xfId="0" applyBorder="1"/>
    <xf numFmtId="0" fontId="0" fillId="0" borderId="28" xfId="0" applyBorder="1"/>
    <xf numFmtId="0" fontId="0" fillId="0" borderId="20" xfId="0" applyBorder="1"/>
    <xf numFmtId="0" fontId="0" fillId="0" borderId="29" xfId="0" applyBorder="1"/>
    <xf numFmtId="0" fontId="0" fillId="0" borderId="0" xfId="0" quotePrefix="1"/>
    <xf numFmtId="0" fontId="0" fillId="0" borderId="30" xfId="0" applyBorder="1"/>
    <xf numFmtId="0" fontId="0" fillId="0" borderId="16" xfId="0" applyBorder="1"/>
    <xf numFmtId="0" fontId="0" fillId="0" borderId="32" xfId="0" applyBorder="1"/>
    <xf numFmtId="0" fontId="0" fillId="0" borderId="30" xfId="0" applyBorder="1" applyAlignment="1">
      <alignment horizontal="center"/>
    </xf>
    <xf numFmtId="0" fontId="3" fillId="0" borderId="16" xfId="0" applyFont="1" applyBorder="1"/>
    <xf numFmtId="0" fontId="3" fillId="0" borderId="17" xfId="0" applyFont="1" applyBorder="1"/>
    <xf numFmtId="0" fontId="3" fillId="0" borderId="0" xfId="0" applyFont="1"/>
    <xf numFmtId="0" fontId="0" fillId="0" borderId="0" xfId="0" applyAlignment="1">
      <alignment horizontal="center"/>
    </xf>
    <xf numFmtId="0" fontId="0" fillId="0" borderId="0" xfId="0" applyAlignment="1">
      <alignment wrapText="1"/>
    </xf>
    <xf numFmtId="0" fontId="7" fillId="0" borderId="0" xfId="0" applyFont="1"/>
    <xf numFmtId="0" fontId="7" fillId="0" borderId="0" xfId="0" applyFont="1" applyAlignment="1">
      <alignment wrapText="1"/>
    </xf>
    <xf numFmtId="0" fontId="0" fillId="3" borderId="0" xfId="0" applyFill="1"/>
    <xf numFmtId="164" fontId="0" fillId="3" borderId="0" xfId="0" quotePrefix="1" applyNumberFormat="1" applyFill="1" applyAlignment="1">
      <alignment horizontal="center"/>
    </xf>
    <xf numFmtId="0" fontId="0" fillId="3" borderId="19" xfId="0" applyFill="1" applyBorder="1"/>
    <xf numFmtId="0" fontId="0" fillId="3" borderId="28" xfId="0" applyFill="1" applyBorder="1"/>
    <xf numFmtId="0" fontId="0" fillId="3" borderId="20" xfId="0" applyFill="1" applyBorder="1"/>
    <xf numFmtId="0" fontId="0" fillId="3" borderId="24" xfId="0" applyFill="1" applyBorder="1"/>
    <xf numFmtId="0" fontId="0" fillId="3" borderId="25" xfId="0" applyFill="1" applyBorder="1"/>
    <xf numFmtId="0" fontId="0" fillId="3" borderId="26" xfId="0" applyFill="1" applyBorder="1"/>
    <xf numFmtId="0" fontId="0" fillId="3" borderId="29" xfId="0" applyFill="1" applyBorder="1"/>
    <xf numFmtId="0" fontId="0" fillId="3" borderId="27" xfId="0" applyFill="1" applyBorder="1"/>
    <xf numFmtId="0" fontId="0" fillId="3" borderId="0" xfId="0" quotePrefix="1" applyFill="1" applyAlignment="1">
      <alignment horizontal="center"/>
    </xf>
    <xf numFmtId="0" fontId="0" fillId="3" borderId="21" xfId="0" applyFill="1" applyBorder="1"/>
    <xf numFmtId="0" fontId="0" fillId="3" borderId="22" xfId="0" applyFill="1" applyBorder="1"/>
    <xf numFmtId="0" fontId="0" fillId="3" borderId="23" xfId="0" applyFill="1" applyBorder="1"/>
    <xf numFmtId="0" fontId="0" fillId="2" borderId="0" xfId="0" applyFill="1"/>
    <xf numFmtId="164" fontId="0" fillId="2" borderId="0" xfId="0" quotePrefix="1" applyNumberFormat="1" applyFill="1" applyAlignment="1">
      <alignment horizontal="center"/>
    </xf>
    <xf numFmtId="0" fontId="0" fillId="2" borderId="0" xfId="0" quotePrefix="1" applyFill="1" applyAlignment="1">
      <alignment horizontal="center"/>
    </xf>
    <xf numFmtId="0" fontId="0" fillId="2" borderId="19" xfId="0" applyFill="1" applyBorder="1"/>
    <xf numFmtId="0" fontId="0" fillId="2" borderId="28" xfId="0" applyFill="1" applyBorder="1"/>
    <xf numFmtId="0" fontId="0" fillId="2" borderId="20" xfId="0" applyFill="1" applyBorder="1"/>
    <xf numFmtId="0" fontId="0" fillId="2" borderId="24" xfId="0" applyFill="1" applyBorder="1"/>
    <xf numFmtId="0" fontId="0" fillId="2" borderId="25" xfId="0" applyFill="1" applyBorder="1"/>
    <xf numFmtId="0" fontId="0" fillId="2" borderId="26" xfId="0" applyFill="1" applyBorder="1"/>
    <xf numFmtId="0" fontId="0" fillId="2" borderId="29" xfId="0" applyFill="1" applyBorder="1"/>
    <xf numFmtId="0" fontId="0" fillId="2" borderId="27" xfId="0" applyFill="1" applyBorder="1"/>
    <xf numFmtId="164" fontId="0" fillId="0" borderId="30" xfId="0" quotePrefix="1" applyNumberFormat="1" applyBorder="1" applyAlignment="1">
      <alignment horizontal="center"/>
    </xf>
    <xf numFmtId="0" fontId="0" fillId="0" borderId="5" xfId="0" applyBorder="1"/>
    <xf numFmtId="0" fontId="3" fillId="0" borderId="5" xfId="0" applyFont="1" applyBorder="1" applyAlignment="1">
      <alignment horizontal="center"/>
    </xf>
    <xf numFmtId="0" fontId="3" fillId="0" borderId="6" xfId="0" applyFont="1" applyBorder="1" applyAlignment="1">
      <alignment horizontal="center"/>
    </xf>
    <xf numFmtId="0" fontId="0" fillId="0" borderId="31" xfId="0" applyBorder="1" applyAlignment="1">
      <alignment horizontal="center"/>
    </xf>
    <xf numFmtId="0" fontId="0" fillId="0" borderId="7" xfId="0" applyBorder="1" applyAlignment="1">
      <alignment horizontal="center"/>
    </xf>
    <xf numFmtId="164" fontId="0" fillId="0" borderId="8" xfId="0" quotePrefix="1" applyNumberFormat="1" applyBorder="1" applyAlignment="1">
      <alignment horizontal="center"/>
    </xf>
    <xf numFmtId="0" fontId="0" fillId="0" borderId="10" xfId="0" applyBorder="1" applyAlignment="1">
      <alignment horizontal="center"/>
    </xf>
    <xf numFmtId="164" fontId="0" fillId="0" borderId="11" xfId="0" quotePrefix="1" applyNumberFormat="1" applyBorder="1" applyAlignment="1">
      <alignment horizontal="center"/>
    </xf>
    <xf numFmtId="0" fontId="0" fillId="0" borderId="34" xfId="0" applyBorder="1"/>
    <xf numFmtId="0" fontId="0" fillId="0" borderId="33" xfId="0" applyBorder="1" applyAlignment="1">
      <alignment horizontal="center"/>
    </xf>
    <xf numFmtId="0" fontId="0" fillId="0" borderId="13" xfId="0" applyBorder="1" applyAlignment="1">
      <alignment horizontal="center"/>
    </xf>
    <xf numFmtId="164" fontId="0" fillId="0" borderId="14" xfId="0" quotePrefix="1" applyNumberFormat="1" applyBorder="1" applyAlignment="1">
      <alignment horizontal="center"/>
    </xf>
    <xf numFmtId="0" fontId="0" fillId="0" borderId="35" xfId="0" applyBorder="1"/>
    <xf numFmtId="0" fontId="0" fillId="2" borderId="0" xfId="0" applyFill="1" applyAlignment="1">
      <alignment wrapText="1"/>
    </xf>
    <xf numFmtId="14" fontId="0" fillId="0" borderId="30" xfId="0" applyNumberFormat="1" applyBorder="1"/>
    <xf numFmtId="0" fontId="0" fillId="0" borderId="30" xfId="0" applyBorder="1" applyAlignment="1">
      <alignment wrapText="1"/>
    </xf>
    <xf numFmtId="0" fontId="3" fillId="0" borderId="24" xfId="0" applyFont="1" applyBorder="1"/>
    <xf numFmtId="0" fontId="0" fillId="5" borderId="30" xfId="0" applyFill="1" applyBorder="1"/>
    <xf numFmtId="0" fontId="0" fillId="0" borderId="21" xfId="0" applyBorder="1" applyAlignment="1">
      <alignment horizontal="center"/>
    </xf>
    <xf numFmtId="0" fontId="7" fillId="0" borderId="30" xfId="0" applyFont="1" applyBorder="1"/>
    <xf numFmtId="0" fontId="7" fillId="0" borderId="30" xfId="0" applyFont="1" applyBorder="1" applyAlignment="1">
      <alignment horizontal="center" vertical="center"/>
    </xf>
    <xf numFmtId="0" fontId="7" fillId="0" borderId="30" xfId="0" applyFont="1" applyBorder="1" applyAlignment="1">
      <alignment vertical="center" wrapText="1"/>
    </xf>
    <xf numFmtId="0" fontId="7" fillId="0" borderId="30" xfId="0" applyFont="1" applyBorder="1" applyAlignment="1">
      <alignment wrapText="1"/>
    </xf>
    <xf numFmtId="0" fontId="0" fillId="0" borderId="36" xfId="0" applyBorder="1"/>
    <xf numFmtId="0" fontId="0" fillId="0" borderId="33" xfId="0" applyBorder="1"/>
    <xf numFmtId="0" fontId="0" fillId="0" borderId="37" xfId="0" applyBorder="1"/>
    <xf numFmtId="0" fontId="0" fillId="0" borderId="18" xfId="0" applyBorder="1"/>
    <xf numFmtId="0" fontId="0" fillId="5" borderId="37" xfId="0" applyFill="1" applyBorder="1"/>
    <xf numFmtId="0" fontId="0" fillId="5" borderId="33" xfId="0" applyFill="1" applyBorder="1"/>
    <xf numFmtId="0" fontId="0" fillId="0" borderId="17" xfId="0" applyBorder="1"/>
    <xf numFmtId="0" fontId="0" fillId="5" borderId="18" xfId="0" applyFill="1" applyBorder="1"/>
    <xf numFmtId="0" fontId="7" fillId="0" borderId="24" xfId="0" applyFont="1" applyBorder="1"/>
    <xf numFmtId="0" fontId="7" fillId="0" borderId="33" xfId="0" applyFont="1" applyBorder="1"/>
    <xf numFmtId="0" fontId="7" fillId="0" borderId="37" xfId="0" applyFont="1" applyBorder="1"/>
    <xf numFmtId="0" fontId="0" fillId="0" borderId="38" xfId="0" applyBorder="1"/>
    <xf numFmtId="0" fontId="7" fillId="0" borderId="38" xfId="0" applyFont="1" applyBorder="1"/>
    <xf numFmtId="0" fontId="7" fillId="0" borderId="39" xfId="0" applyFont="1" applyBorder="1"/>
    <xf numFmtId="0" fontId="0" fillId="0" borderId="39" xfId="0" applyBorder="1"/>
    <xf numFmtId="0" fontId="3" fillId="0" borderId="30" xfId="0" applyFont="1" applyBorder="1" applyAlignment="1">
      <alignment horizontal="center"/>
    </xf>
    <xf numFmtId="0" fontId="3" fillId="0" borderId="0" xfId="0" applyFont="1" applyAlignment="1">
      <alignment horizontal="center"/>
    </xf>
    <xf numFmtId="0" fontId="7" fillId="0" borderId="0" xfId="0" applyFont="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18" xfId="0" applyFont="1" applyBorder="1" applyAlignment="1">
      <alignment horizontal="center"/>
    </xf>
    <xf numFmtId="0" fontId="3" fillId="0" borderId="33" xfId="0" applyFont="1" applyBorder="1" applyAlignment="1">
      <alignment horizontal="center"/>
    </xf>
    <xf numFmtId="0" fontId="3" fillId="0" borderId="37"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4" fillId="0" borderId="21" xfId="0" applyFont="1" applyBorder="1" applyAlignment="1">
      <alignment horizontal="center"/>
    </xf>
    <xf numFmtId="0" fontId="4" fillId="0" borderId="30" xfId="0" applyFont="1" applyBorder="1" applyAlignment="1">
      <alignment horizontal="center"/>
    </xf>
    <xf numFmtId="0" fontId="4" fillId="0" borderId="0" xfId="0" applyFont="1" applyAlignment="1">
      <alignment horizontal="center"/>
    </xf>
    <xf numFmtId="0" fontId="0" fillId="0" borderId="0" xfId="0" applyAlignment="1">
      <alignment horizontal="center"/>
    </xf>
    <xf numFmtId="0" fontId="7" fillId="0" borderId="0" xfId="0" applyFont="1" applyAlignment="1">
      <alignment vertical="center"/>
    </xf>
    <xf numFmtId="0" fontId="7" fillId="0" borderId="14" xfId="0" applyFont="1" applyBorder="1" applyAlignment="1">
      <alignment vertical="center"/>
    </xf>
    <xf numFmtId="0" fontId="7" fillId="0" borderId="25" xfId="0" applyFont="1" applyBorder="1" applyAlignment="1">
      <alignment horizontal="center"/>
    </xf>
    <xf numFmtId="0" fontId="0" fillId="0" borderId="25" xfId="0" applyBorder="1" applyAlignment="1">
      <alignment horizontal="center"/>
    </xf>
    <xf numFmtId="0" fontId="0" fillId="0" borderId="33"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4" xfId="0" applyBorder="1" applyAlignment="1">
      <alignment horizontal="center"/>
    </xf>
    <xf numFmtId="0" fontId="7" fillId="0" borderId="38" xfId="0" applyFont="1" applyBorder="1" applyAlignment="1">
      <alignment horizontal="center"/>
    </xf>
    <xf numFmtId="0" fontId="7" fillId="0" borderId="24" xfId="0" applyFont="1" applyBorder="1" applyAlignment="1">
      <alignment horizontal="center"/>
    </xf>
    <xf numFmtId="0" fontId="0" fillId="0" borderId="39" xfId="0" applyBorder="1" applyAlignment="1">
      <alignment horizontal="center"/>
    </xf>
    <xf numFmtId="0" fontId="7" fillId="0" borderId="39"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205740</xdr:colOff>
          <xdr:row>9</xdr:row>
          <xdr:rowOff>0</xdr:rowOff>
        </xdr:from>
        <xdr:to>
          <xdr:col>0</xdr:col>
          <xdr:colOff>1478280</xdr:colOff>
          <xdr:row>10</xdr:row>
          <xdr:rowOff>121920</xdr:rowOff>
        </xdr:to>
        <xdr:sp macro="" textlink="">
          <xdr:nvSpPr>
            <xdr:cNvPr id="5124" name="CommandButton21"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14</xdr:row>
          <xdr:rowOff>175260</xdr:rowOff>
        </xdr:from>
        <xdr:to>
          <xdr:col>6</xdr:col>
          <xdr:colOff>175260</xdr:colOff>
          <xdr:row>16</xdr:row>
          <xdr:rowOff>99060</xdr:rowOff>
        </xdr:to>
        <xdr:sp macro="" textlink="">
          <xdr:nvSpPr>
            <xdr:cNvPr id="36866" name="CommandButton21" hidden="1">
              <a:extLst>
                <a:ext uri="{63B3BB69-23CF-44E3-9099-C40C66FF867C}">
                  <a14:compatExt spid="_x0000_s36866"/>
                </a:ext>
                <a:ext uri="{FF2B5EF4-FFF2-40B4-BE49-F238E27FC236}">
                  <a16:creationId xmlns:a16="http://schemas.microsoft.com/office/drawing/2014/main" id="{00000000-0008-0000-12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19.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5"/>
  <dimension ref="A1:M5"/>
  <sheetViews>
    <sheetView workbookViewId="0">
      <selection activeCell="G5" sqref="G5"/>
    </sheetView>
  </sheetViews>
  <sheetFormatPr defaultRowHeight="14.4" x14ac:dyDescent="0.3"/>
  <cols>
    <col min="1" max="1" width="16.44140625" customWidth="1"/>
    <col min="2" max="2" width="26" customWidth="1"/>
    <col min="3" max="5" width="55" customWidth="1"/>
    <col min="6" max="8" width="12.44140625" customWidth="1"/>
    <col min="9" max="9" width="15.44140625" customWidth="1"/>
    <col min="10" max="10" width="15.77734375" customWidth="1"/>
    <col min="11" max="11" width="19.44140625" customWidth="1"/>
    <col min="12" max="12" width="11.5546875" customWidth="1"/>
  </cols>
  <sheetData>
    <row r="1" spans="1:13" s="66" customFormat="1" ht="25.5" customHeight="1" x14ac:dyDescent="0.3">
      <c r="A1" s="113" t="s">
        <v>452</v>
      </c>
      <c r="B1" s="113" t="s">
        <v>453</v>
      </c>
      <c r="C1" s="113" t="s">
        <v>454</v>
      </c>
      <c r="D1" s="113" t="s">
        <v>455</v>
      </c>
      <c r="E1" s="113" t="s">
        <v>456</v>
      </c>
      <c r="F1" s="113" t="s">
        <v>751</v>
      </c>
      <c r="G1" s="113" t="s">
        <v>752</v>
      </c>
      <c r="H1" s="113" t="s">
        <v>753</v>
      </c>
      <c r="I1" s="113" t="s">
        <v>754</v>
      </c>
      <c r="J1" s="113" t="s">
        <v>755</v>
      </c>
      <c r="K1" s="113" t="s">
        <v>756</v>
      </c>
      <c r="L1" s="113" t="s">
        <v>757</v>
      </c>
      <c r="M1" s="113" t="s">
        <v>71</v>
      </c>
    </row>
    <row r="2" spans="1:13" ht="57.6" x14ac:dyDescent="0.3">
      <c r="A2" s="108">
        <v>43129</v>
      </c>
      <c r="B2" s="57" t="s">
        <v>451</v>
      </c>
      <c r="C2" s="109" t="s">
        <v>458</v>
      </c>
      <c r="D2" s="109" t="s">
        <v>457</v>
      </c>
      <c r="E2" s="109" t="s">
        <v>459</v>
      </c>
      <c r="F2" s="57" t="s">
        <v>761</v>
      </c>
      <c r="G2" s="57" t="s">
        <v>761</v>
      </c>
      <c r="H2" s="57" t="s">
        <v>761</v>
      </c>
      <c r="I2" s="57" t="s">
        <v>761</v>
      </c>
      <c r="J2" s="57" t="s">
        <v>761</v>
      </c>
      <c r="K2" s="57" t="s">
        <v>761</v>
      </c>
      <c r="L2" s="57" t="s">
        <v>761</v>
      </c>
      <c r="M2" s="57" t="s">
        <v>761</v>
      </c>
    </row>
    <row r="3" spans="1:13" ht="72" x14ac:dyDescent="0.3">
      <c r="A3" s="108">
        <v>43243</v>
      </c>
      <c r="B3" s="57" t="s">
        <v>460</v>
      </c>
      <c r="C3" s="109" t="s">
        <v>461</v>
      </c>
      <c r="D3" s="57"/>
      <c r="E3" s="57"/>
      <c r="F3" s="57" t="s">
        <v>761</v>
      </c>
      <c r="G3" s="57" t="s">
        <v>761</v>
      </c>
      <c r="H3" s="57" t="s">
        <v>761</v>
      </c>
      <c r="I3" s="57" t="s">
        <v>761</v>
      </c>
      <c r="J3" s="57" t="s">
        <v>761</v>
      </c>
      <c r="K3" s="57" t="s">
        <v>761</v>
      </c>
      <c r="L3" s="57" t="s">
        <v>761</v>
      </c>
      <c r="M3" s="57" t="s">
        <v>761</v>
      </c>
    </row>
    <row r="4" spans="1:13" ht="28.8" x14ac:dyDescent="0.3">
      <c r="A4" s="108">
        <v>43269</v>
      </c>
      <c r="B4" s="57" t="s">
        <v>460</v>
      </c>
      <c r="C4" s="109" t="s">
        <v>41</v>
      </c>
      <c r="D4" s="109" t="s">
        <v>640</v>
      </c>
      <c r="E4" s="57"/>
      <c r="F4" s="57" t="s">
        <v>761</v>
      </c>
      <c r="G4" s="57" t="s">
        <v>761</v>
      </c>
      <c r="H4" s="57" t="s">
        <v>761</v>
      </c>
      <c r="I4" s="57" t="s">
        <v>761</v>
      </c>
      <c r="J4" s="57" t="s">
        <v>761</v>
      </c>
      <c r="K4" s="57" t="s">
        <v>761</v>
      </c>
      <c r="L4" s="57" t="s">
        <v>761</v>
      </c>
      <c r="M4" s="57" t="s">
        <v>761</v>
      </c>
    </row>
    <row r="5" spans="1:13" ht="72" customHeight="1" x14ac:dyDescent="0.3">
      <c r="A5" s="108">
        <v>40364</v>
      </c>
      <c r="B5" s="57" t="s">
        <v>748</v>
      </c>
      <c r="C5" s="109" t="s">
        <v>749</v>
      </c>
      <c r="D5" s="57"/>
      <c r="E5" s="109" t="s">
        <v>750</v>
      </c>
      <c r="F5" s="114">
        <v>7270</v>
      </c>
      <c r="G5" s="114">
        <v>2073</v>
      </c>
      <c r="H5" s="114">
        <v>2208</v>
      </c>
      <c r="I5" s="115" t="s">
        <v>758</v>
      </c>
      <c r="J5" s="116" t="s">
        <v>759</v>
      </c>
      <c r="K5" s="116" t="s">
        <v>760</v>
      </c>
      <c r="L5" s="113">
        <v>152</v>
      </c>
      <c r="M5" s="113">
        <v>64</v>
      </c>
    </row>
  </sheetData>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1"/>
  <dimension ref="A1:B61"/>
  <sheetViews>
    <sheetView topLeftCell="A10" workbookViewId="0">
      <selection activeCell="F9" sqref="F9"/>
    </sheetView>
  </sheetViews>
  <sheetFormatPr defaultRowHeight="14.4" x14ac:dyDescent="0.3"/>
  <cols>
    <col min="1" max="1" width="10.21875" customWidth="1"/>
    <col min="3" max="3" width="11.77734375" customWidth="1"/>
  </cols>
  <sheetData>
    <row r="1" spans="1:1" x14ac:dyDescent="0.3">
      <c r="A1" s="56" t="s">
        <v>285</v>
      </c>
    </row>
    <row r="2" spans="1:1" x14ac:dyDescent="0.3">
      <c r="A2" s="56" t="s">
        <v>287</v>
      </c>
    </row>
    <row r="3" spans="1:1" x14ac:dyDescent="0.3">
      <c r="A3" s="56"/>
    </row>
    <row r="4" spans="1:1" x14ac:dyDescent="0.3">
      <c r="A4" s="56" t="s">
        <v>288</v>
      </c>
    </row>
    <row r="5" spans="1:1" x14ac:dyDescent="0.3">
      <c r="A5" s="56" t="s">
        <v>286</v>
      </c>
    </row>
    <row r="6" spans="1:1" x14ac:dyDescent="0.3">
      <c r="A6" s="56" t="s">
        <v>289</v>
      </c>
    </row>
    <row r="7" spans="1:1" x14ac:dyDescent="0.3">
      <c r="A7" s="56" t="s">
        <v>286</v>
      </c>
    </row>
    <row r="8" spans="1:1" x14ac:dyDescent="0.3">
      <c r="A8" s="56" t="s">
        <v>290</v>
      </c>
    </row>
    <row r="9" spans="1:1" x14ac:dyDescent="0.3">
      <c r="A9" s="56" t="s">
        <v>286</v>
      </c>
    </row>
    <row r="10" spans="1:1" x14ac:dyDescent="0.3">
      <c r="A10" s="56" t="s">
        <v>291</v>
      </c>
    </row>
    <row r="11" spans="1:1" x14ac:dyDescent="0.3">
      <c r="A11" s="56" t="s">
        <v>286</v>
      </c>
    </row>
    <row r="12" spans="1:1" x14ac:dyDescent="0.3">
      <c r="A12" s="56" t="s">
        <v>292</v>
      </c>
    </row>
    <row r="13" spans="1:1" x14ac:dyDescent="0.3">
      <c r="A13" s="56" t="s">
        <v>286</v>
      </c>
    </row>
    <row r="14" spans="1:1" x14ac:dyDescent="0.3">
      <c r="A14" s="56" t="s">
        <v>293</v>
      </c>
    </row>
    <row r="15" spans="1:1" x14ac:dyDescent="0.3">
      <c r="A15" s="56"/>
    </row>
    <row r="16" spans="1:1" x14ac:dyDescent="0.3">
      <c r="A16" s="56" t="s">
        <v>294</v>
      </c>
    </row>
    <row r="17" spans="1:2" x14ac:dyDescent="0.3">
      <c r="A17" s="56" t="s">
        <v>286</v>
      </c>
    </row>
    <row r="18" spans="1:2" x14ac:dyDescent="0.3">
      <c r="A18" s="56" t="s">
        <v>295</v>
      </c>
    </row>
    <row r="19" spans="1:2" x14ac:dyDescent="0.3">
      <c r="A19" s="56" t="s">
        <v>286</v>
      </c>
    </row>
    <row r="20" spans="1:2" x14ac:dyDescent="0.3">
      <c r="A20" s="56" t="s">
        <v>296</v>
      </c>
    </row>
    <row r="21" spans="1:2" x14ac:dyDescent="0.3">
      <c r="A21" s="56"/>
    </row>
    <row r="22" spans="1:2" x14ac:dyDescent="0.3">
      <c r="A22" s="56" t="s">
        <v>881</v>
      </c>
    </row>
    <row r="23" spans="1:2" x14ac:dyDescent="0.3">
      <c r="A23" s="56"/>
    </row>
    <row r="24" spans="1:2" x14ac:dyDescent="0.3">
      <c r="A24" s="56" t="s">
        <v>883</v>
      </c>
    </row>
    <row r="25" spans="1:2" x14ac:dyDescent="0.3">
      <c r="A25" s="56"/>
    </row>
    <row r="26" spans="1:2" x14ac:dyDescent="0.3">
      <c r="A26" s="56" t="s">
        <v>882</v>
      </c>
    </row>
    <row r="27" spans="1:2" x14ac:dyDescent="0.3">
      <c r="A27" s="56"/>
    </row>
    <row r="28" spans="1:2" x14ac:dyDescent="0.3">
      <c r="A28" s="56"/>
    </row>
    <row r="29" spans="1:2" x14ac:dyDescent="0.3">
      <c r="A29" t="s">
        <v>261</v>
      </c>
      <c r="B29" s="56"/>
    </row>
    <row r="30" spans="1:2" x14ac:dyDescent="0.3">
      <c r="A30" t="s">
        <v>262</v>
      </c>
    </row>
    <row r="31" spans="1:2" x14ac:dyDescent="0.3">
      <c r="A31" t="s">
        <v>263</v>
      </c>
    </row>
    <row r="32" spans="1:2" x14ac:dyDescent="0.3">
      <c r="A32" t="s">
        <v>264</v>
      </c>
    </row>
    <row r="33" spans="1:1" x14ac:dyDescent="0.3">
      <c r="A33" t="s">
        <v>265</v>
      </c>
    </row>
    <row r="34" spans="1:1" x14ac:dyDescent="0.3">
      <c r="A34" t="s">
        <v>266</v>
      </c>
    </row>
    <row r="35" spans="1:1" x14ac:dyDescent="0.3">
      <c r="A35" t="s">
        <v>267</v>
      </c>
    </row>
    <row r="36" spans="1:1" x14ac:dyDescent="0.3">
      <c r="A36" t="s">
        <v>268</v>
      </c>
    </row>
    <row r="37" spans="1:1" x14ac:dyDescent="0.3">
      <c r="A37" t="s">
        <v>269</v>
      </c>
    </row>
    <row r="38" spans="1:1" x14ac:dyDescent="0.3">
      <c r="A38" t="s">
        <v>270</v>
      </c>
    </row>
    <row r="39" spans="1:1" x14ac:dyDescent="0.3">
      <c r="A39" t="s">
        <v>271</v>
      </c>
    </row>
    <row r="40" spans="1:1" x14ac:dyDescent="0.3">
      <c r="A40" t="s">
        <v>272</v>
      </c>
    </row>
    <row r="41" spans="1:1" x14ac:dyDescent="0.3">
      <c r="A41" t="s">
        <v>273</v>
      </c>
    </row>
    <row r="42" spans="1:1" x14ac:dyDescent="0.3">
      <c r="A42" t="s">
        <v>262</v>
      </c>
    </row>
    <row r="43" spans="1:1" x14ac:dyDescent="0.3">
      <c r="A43" t="s">
        <v>274</v>
      </c>
    </row>
    <row r="44" spans="1:1" x14ac:dyDescent="0.3">
      <c r="A44" t="s">
        <v>262</v>
      </c>
    </row>
    <row r="45" spans="1:1" x14ac:dyDescent="0.3">
      <c r="A45" t="s">
        <v>275</v>
      </c>
    </row>
    <row r="46" spans="1:1" x14ac:dyDescent="0.3">
      <c r="A46" t="s">
        <v>276</v>
      </c>
    </row>
    <row r="47" spans="1:1" x14ac:dyDescent="0.3">
      <c r="A47" t="s">
        <v>277</v>
      </c>
    </row>
    <row r="48" spans="1:1" x14ac:dyDescent="0.3">
      <c r="A48" t="s">
        <v>278</v>
      </c>
    </row>
    <row r="49" spans="1:1" x14ac:dyDescent="0.3">
      <c r="A49" t="s">
        <v>279</v>
      </c>
    </row>
    <row r="50" spans="1:1" x14ac:dyDescent="0.3">
      <c r="A50" t="s">
        <v>280</v>
      </c>
    </row>
    <row r="51" spans="1:1" x14ac:dyDescent="0.3">
      <c r="A51" t="s">
        <v>281</v>
      </c>
    </row>
    <row r="52" spans="1:1" x14ac:dyDescent="0.3">
      <c r="A52" t="s">
        <v>282</v>
      </c>
    </row>
    <row r="53" spans="1:1" x14ac:dyDescent="0.3">
      <c r="A53" t="s">
        <v>262</v>
      </c>
    </row>
    <row r="54" spans="1:1" x14ac:dyDescent="0.3">
      <c r="A54" s="56" t="s">
        <v>743</v>
      </c>
    </row>
    <row r="55" spans="1:1" x14ac:dyDescent="0.3">
      <c r="A55" s="56" t="s">
        <v>744</v>
      </c>
    </row>
    <row r="56" spans="1:1" x14ac:dyDescent="0.3">
      <c r="A56" s="56" t="s">
        <v>745</v>
      </c>
    </row>
    <row r="57" spans="1:1" x14ac:dyDescent="0.3">
      <c r="A57" t="s">
        <v>262</v>
      </c>
    </row>
    <row r="58" spans="1:1" x14ac:dyDescent="0.3">
      <c r="A58" t="s">
        <v>283</v>
      </c>
    </row>
    <row r="59" spans="1:1" x14ac:dyDescent="0.3">
      <c r="A59" t="s">
        <v>284</v>
      </c>
    </row>
    <row r="61" spans="1:1" x14ac:dyDescent="0.3">
      <c r="A61" t="s">
        <v>746</v>
      </c>
    </row>
  </sheetData>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2"/>
  <dimension ref="A1:AF30"/>
  <sheetViews>
    <sheetView workbookViewId="0">
      <pane ySplit="1" topLeftCell="A2" activePane="bottomLeft" state="frozen"/>
      <selection pane="bottomLeft" activeCell="X23" sqref="X23"/>
    </sheetView>
  </sheetViews>
  <sheetFormatPr defaultRowHeight="14.4" x14ac:dyDescent="0.3"/>
  <cols>
    <col min="1" max="1" width="18.21875" customWidth="1"/>
    <col min="2" max="2" width="3.77734375" customWidth="1"/>
    <col min="3" max="3" width="6.21875" customWidth="1"/>
    <col min="4" max="4" width="6.5546875" customWidth="1"/>
    <col min="5" max="5" width="5.77734375" customWidth="1"/>
    <col min="6" max="6" width="7" customWidth="1"/>
    <col min="7" max="7" width="4.5546875" customWidth="1"/>
    <col min="8" max="8" width="5.77734375" customWidth="1"/>
    <col min="9" max="9" width="5.44140625" customWidth="1"/>
    <col min="10" max="11" width="12" customWidth="1"/>
    <col min="12" max="12" width="7.21875" customWidth="1"/>
    <col min="13" max="13" width="8.21875" customWidth="1"/>
    <col min="14" max="14" width="7.77734375" customWidth="1"/>
    <col min="15" max="15" width="8" customWidth="1"/>
    <col min="16" max="16" width="7.77734375" customWidth="1"/>
    <col min="17" max="17" width="7.21875" customWidth="1"/>
    <col min="18" max="18" width="7.5546875" customWidth="1"/>
    <col min="19" max="22" width="7.21875" customWidth="1"/>
    <col min="23" max="23" width="12.21875" customWidth="1"/>
    <col min="24" max="24" width="8" customWidth="1"/>
    <col min="25" max="25" width="7.21875" customWidth="1"/>
    <col min="26" max="26" width="6.77734375" customWidth="1"/>
    <col min="27" max="27" width="8.44140625" customWidth="1"/>
    <col min="28" max="28" width="8" customWidth="1"/>
    <col min="29" max="29" width="7.21875" customWidth="1"/>
    <col min="30" max="30" width="9.5546875" customWidth="1"/>
    <col min="31" max="31" width="8.44140625" customWidth="1"/>
    <col min="32" max="32" width="9.21875"/>
  </cols>
  <sheetData>
    <row r="1" spans="1:32" s="1" customFormat="1" ht="60" customHeight="1" x14ac:dyDescent="0.3">
      <c r="A1" s="2" t="s">
        <v>6</v>
      </c>
      <c r="B1" s="2" t="s">
        <v>7</v>
      </c>
      <c r="C1" s="2" t="s">
        <v>8</v>
      </c>
      <c r="D1" s="2" t="s">
        <v>9</v>
      </c>
      <c r="E1" s="2" t="s">
        <v>10</v>
      </c>
      <c r="F1" s="2" t="s">
        <v>11</v>
      </c>
      <c r="G1" s="2" t="s">
        <v>12</v>
      </c>
      <c r="H1" s="2" t="s">
        <v>13</v>
      </c>
      <c r="I1" s="2" t="s">
        <v>14</v>
      </c>
      <c r="J1" s="3" t="s">
        <v>40</v>
      </c>
      <c r="K1" s="3" t="s">
        <v>52</v>
      </c>
      <c r="L1" s="3" t="s">
        <v>27</v>
      </c>
      <c r="M1" s="3" t="s">
        <v>22</v>
      </c>
      <c r="N1" s="3" t="s">
        <v>28</v>
      </c>
      <c r="O1" s="3" t="s">
        <v>23</v>
      </c>
      <c r="P1" s="2" t="s">
        <v>20</v>
      </c>
      <c r="Q1" s="2" t="s">
        <v>21</v>
      </c>
      <c r="R1" s="3" t="s">
        <v>24</v>
      </c>
      <c r="S1" s="3" t="s">
        <v>25</v>
      </c>
      <c r="T1" s="3" t="s">
        <v>44</v>
      </c>
      <c r="U1" s="3" t="s">
        <v>43</v>
      </c>
      <c r="V1" s="3" t="s">
        <v>42</v>
      </c>
      <c r="W1" s="3" t="s">
        <v>39</v>
      </c>
      <c r="X1" s="3" t="s">
        <v>29</v>
      </c>
      <c r="Y1" s="3" t="s">
        <v>30</v>
      </c>
      <c r="Z1" s="3" t="s">
        <v>26</v>
      </c>
      <c r="AA1" s="3" t="s">
        <v>31</v>
      </c>
      <c r="AB1" s="3" t="s">
        <v>32</v>
      </c>
      <c r="AC1" s="3" t="s">
        <v>36</v>
      </c>
      <c r="AD1" s="3" t="s">
        <v>34</v>
      </c>
      <c r="AE1" s="3" t="s">
        <v>33</v>
      </c>
      <c r="AF1" s="3" t="s">
        <v>35</v>
      </c>
    </row>
    <row r="2" spans="1:32" s="2" customFormat="1" x14ac:dyDescent="0.3">
      <c r="A2" s="2" t="s">
        <v>0</v>
      </c>
      <c r="B2" s="2">
        <v>13</v>
      </c>
      <c r="C2" s="2">
        <v>0</v>
      </c>
      <c r="D2" s="2">
        <v>18</v>
      </c>
      <c r="E2" s="2">
        <v>10</v>
      </c>
      <c r="F2" s="2">
        <v>1</v>
      </c>
      <c r="G2" s="2">
        <v>1</v>
      </c>
      <c r="H2" s="2">
        <v>1</v>
      </c>
      <c r="I2" s="2">
        <v>2</v>
      </c>
    </row>
    <row r="3" spans="1:32" s="2" customFormat="1" x14ac:dyDescent="0.3"/>
    <row r="4" spans="1:32" s="2" customFormat="1" ht="28.8" x14ac:dyDescent="0.3">
      <c r="A4" s="2" t="s">
        <v>1</v>
      </c>
      <c r="B4" s="2">
        <v>10</v>
      </c>
      <c r="C4" s="2">
        <v>0</v>
      </c>
      <c r="D4" s="2">
        <v>17</v>
      </c>
      <c r="E4" s="2">
        <v>8</v>
      </c>
      <c r="F4" s="2">
        <v>1</v>
      </c>
      <c r="G4" s="2">
        <v>1</v>
      </c>
      <c r="H4" s="2">
        <v>1</v>
      </c>
      <c r="I4" s="2">
        <v>2</v>
      </c>
      <c r="J4" s="2" t="s">
        <v>37</v>
      </c>
      <c r="K4" s="2">
        <v>284</v>
      </c>
      <c r="L4" s="2">
        <v>4877</v>
      </c>
      <c r="M4" s="2">
        <v>302</v>
      </c>
      <c r="N4" s="2">
        <v>3635</v>
      </c>
      <c r="O4" s="2">
        <v>940</v>
      </c>
      <c r="P4" s="2">
        <v>22</v>
      </c>
      <c r="Q4" s="2">
        <v>12</v>
      </c>
      <c r="R4" s="2">
        <v>96</v>
      </c>
      <c r="S4" s="2">
        <v>84</v>
      </c>
      <c r="T4" s="2">
        <v>16</v>
      </c>
      <c r="U4" s="2">
        <v>198</v>
      </c>
      <c r="V4" s="2">
        <v>0</v>
      </c>
      <c r="W4" s="3" t="s">
        <v>38</v>
      </c>
      <c r="X4" s="2">
        <v>698</v>
      </c>
      <c r="Y4" s="2">
        <v>354</v>
      </c>
      <c r="Z4" s="2">
        <v>0</v>
      </c>
      <c r="AA4" s="2">
        <v>1520</v>
      </c>
      <c r="AB4" s="2">
        <v>896</v>
      </c>
      <c r="AC4" s="2">
        <v>20</v>
      </c>
      <c r="AD4" s="2">
        <v>26</v>
      </c>
      <c r="AE4" s="2">
        <v>3552</v>
      </c>
      <c r="AF4" s="2">
        <v>203</v>
      </c>
    </row>
    <row r="5" spans="1:32" s="2" customFormat="1" x14ac:dyDescent="0.3"/>
    <row r="6" spans="1:32" s="2" customFormat="1" x14ac:dyDescent="0.3">
      <c r="A6" s="2" t="s">
        <v>2</v>
      </c>
      <c r="B6" s="2">
        <v>7</v>
      </c>
      <c r="C6" s="2">
        <v>0</v>
      </c>
      <c r="D6" s="2">
        <v>14</v>
      </c>
      <c r="E6" s="2">
        <v>5</v>
      </c>
      <c r="F6" s="2">
        <v>1</v>
      </c>
      <c r="G6" s="2">
        <v>1</v>
      </c>
      <c r="H6" s="2">
        <v>1</v>
      </c>
      <c r="I6" s="2">
        <v>2</v>
      </c>
    </row>
    <row r="7" spans="1:32" s="2" customFormat="1" x14ac:dyDescent="0.3"/>
    <row r="8" spans="1:32" s="2" customFormat="1" ht="21.75" customHeight="1" x14ac:dyDescent="0.3">
      <c r="A8" s="2" t="s">
        <v>3</v>
      </c>
      <c r="B8" s="2">
        <v>14</v>
      </c>
      <c r="C8" s="2">
        <v>0</v>
      </c>
      <c r="D8" s="2">
        <v>19</v>
      </c>
      <c r="E8" s="2">
        <v>11</v>
      </c>
      <c r="F8" s="2">
        <v>1</v>
      </c>
      <c r="G8" s="2">
        <v>1</v>
      </c>
      <c r="H8" s="2">
        <v>1</v>
      </c>
      <c r="I8" s="2">
        <v>2</v>
      </c>
      <c r="W8" s="3" t="s">
        <v>41</v>
      </c>
    </row>
    <row r="9" spans="1:32" s="2" customFormat="1" x14ac:dyDescent="0.3"/>
    <row r="10" spans="1:32" s="2" customFormat="1" x14ac:dyDescent="0.3">
      <c r="A10" s="2" t="s">
        <v>4</v>
      </c>
      <c r="B10" s="2">
        <v>7</v>
      </c>
      <c r="C10" s="2">
        <v>0</v>
      </c>
      <c r="D10" s="2">
        <v>27</v>
      </c>
      <c r="E10" s="2">
        <v>7</v>
      </c>
      <c r="F10" s="2">
        <v>1</v>
      </c>
      <c r="G10" s="2">
        <v>1</v>
      </c>
      <c r="H10" s="2">
        <v>1</v>
      </c>
      <c r="I10" s="2">
        <v>2</v>
      </c>
    </row>
    <row r="11" spans="1:32" s="2" customFormat="1" x14ac:dyDescent="0.3"/>
    <row r="12" spans="1:32" s="2" customFormat="1" ht="28.8" x14ac:dyDescent="0.3">
      <c r="A12" s="2" t="s">
        <v>5</v>
      </c>
      <c r="B12" s="2">
        <v>11</v>
      </c>
      <c r="C12" s="2">
        <v>0</v>
      </c>
      <c r="D12" s="2">
        <v>20</v>
      </c>
      <c r="E12" s="2">
        <v>9</v>
      </c>
      <c r="F12" s="2">
        <v>1</v>
      </c>
      <c r="G12" s="2">
        <v>1</v>
      </c>
      <c r="H12" s="2">
        <v>1</v>
      </c>
      <c r="I12" s="2">
        <v>2</v>
      </c>
      <c r="J12" s="2" t="s">
        <v>37</v>
      </c>
      <c r="K12" s="2">
        <v>357</v>
      </c>
      <c r="L12" s="2">
        <v>4984</v>
      </c>
      <c r="M12" s="2">
        <v>342</v>
      </c>
      <c r="N12" s="2">
        <v>3874</v>
      </c>
      <c r="O12" s="2">
        <v>768</v>
      </c>
      <c r="P12" s="2">
        <v>12</v>
      </c>
      <c r="Q12" s="2">
        <v>8</v>
      </c>
      <c r="R12" s="2">
        <v>84</v>
      </c>
      <c r="S12" s="2">
        <v>87</v>
      </c>
      <c r="T12" s="2">
        <v>8</v>
      </c>
      <c r="U12" s="2">
        <v>225</v>
      </c>
      <c r="V12" s="2">
        <v>0</v>
      </c>
      <c r="W12" s="3" t="s">
        <v>38</v>
      </c>
      <c r="X12" s="2">
        <v>763</v>
      </c>
      <c r="Y12" s="2">
        <v>406</v>
      </c>
      <c r="Z12" s="2">
        <v>0</v>
      </c>
      <c r="AA12" s="2">
        <v>1312</v>
      </c>
      <c r="AB12" s="2">
        <v>992</v>
      </c>
      <c r="AC12" s="2">
        <v>28</v>
      </c>
      <c r="AD12" s="2">
        <v>20</v>
      </c>
      <c r="AE12" s="2">
        <v>3940</v>
      </c>
      <c r="AF12" s="2">
        <v>219</v>
      </c>
    </row>
    <row r="13" spans="1:32" s="2" customFormat="1" x14ac:dyDescent="0.3"/>
    <row r="14" spans="1:32" s="2" customFormat="1" x14ac:dyDescent="0.3">
      <c r="A14" s="2" t="s">
        <v>15</v>
      </c>
      <c r="B14" s="2">
        <v>12</v>
      </c>
      <c r="C14" s="2">
        <v>18</v>
      </c>
      <c r="D14" s="2">
        <v>0</v>
      </c>
      <c r="E14" s="2">
        <v>9</v>
      </c>
      <c r="F14" s="2">
        <v>1</v>
      </c>
      <c r="G14" s="2">
        <v>0</v>
      </c>
      <c r="H14" s="2">
        <v>0</v>
      </c>
      <c r="I14" s="2">
        <v>2</v>
      </c>
      <c r="J14" s="2" t="s">
        <v>19</v>
      </c>
      <c r="L14" s="2">
        <v>2429</v>
      </c>
      <c r="M14" s="2">
        <v>318</v>
      </c>
      <c r="N14" s="2">
        <v>1487</v>
      </c>
      <c r="O14" s="2">
        <v>624</v>
      </c>
      <c r="P14" s="2">
        <v>16</v>
      </c>
      <c r="Q14" s="2">
        <v>57</v>
      </c>
      <c r="R14" s="2">
        <v>128</v>
      </c>
      <c r="S14" s="2">
        <v>148</v>
      </c>
      <c r="T14" s="2">
        <v>12</v>
      </c>
      <c r="U14" s="2">
        <v>39</v>
      </c>
      <c r="V14" s="2">
        <v>29</v>
      </c>
      <c r="W14" s="2">
        <v>0</v>
      </c>
      <c r="X14" s="2">
        <v>705</v>
      </c>
      <c r="Y14" s="2">
        <v>90</v>
      </c>
      <c r="Z14" s="2">
        <v>421</v>
      </c>
      <c r="AA14" s="2">
        <v>288</v>
      </c>
      <c r="AB14" s="2">
        <v>160</v>
      </c>
      <c r="AC14" s="2">
        <v>10</v>
      </c>
      <c r="AD14" s="2">
        <v>3</v>
      </c>
      <c r="AE14" s="2">
        <v>157</v>
      </c>
      <c r="AF14" s="2">
        <v>5</v>
      </c>
    </row>
    <row r="15" spans="1:32" s="2" customFormat="1" x14ac:dyDescent="0.3"/>
    <row r="16" spans="1:32" s="2" customFormat="1" x14ac:dyDescent="0.3">
      <c r="A16" s="2" t="s">
        <v>16</v>
      </c>
      <c r="B16" s="2">
        <v>13</v>
      </c>
      <c r="C16" s="2">
        <v>18</v>
      </c>
      <c r="D16" s="2">
        <v>0</v>
      </c>
      <c r="E16" s="2">
        <v>14</v>
      </c>
      <c r="F16" s="2">
        <v>1</v>
      </c>
      <c r="G16" s="2">
        <v>0</v>
      </c>
      <c r="H16" s="2">
        <v>0</v>
      </c>
      <c r="I16" s="2">
        <v>2</v>
      </c>
      <c r="J16" s="2" t="s">
        <v>19</v>
      </c>
      <c r="L16" s="2">
        <v>2692</v>
      </c>
      <c r="M16" s="2">
        <v>350</v>
      </c>
      <c r="N16" s="2">
        <v>1435</v>
      </c>
      <c r="O16" s="2">
        <v>557</v>
      </c>
      <c r="P16" s="2">
        <v>13</v>
      </c>
      <c r="Q16" s="2">
        <v>34</v>
      </c>
      <c r="R16" s="2">
        <v>160</v>
      </c>
      <c r="S16" s="2">
        <v>148</v>
      </c>
      <c r="T16" s="2">
        <v>10</v>
      </c>
      <c r="U16" s="2">
        <v>48</v>
      </c>
      <c r="V16" s="2">
        <v>16</v>
      </c>
      <c r="W16" s="2">
        <v>0</v>
      </c>
      <c r="X16" s="2">
        <v>712</v>
      </c>
      <c r="Y16" s="2">
        <v>100</v>
      </c>
      <c r="Z16" s="2">
        <v>418</v>
      </c>
      <c r="AA16" s="2">
        <v>288</v>
      </c>
      <c r="AB16" s="2">
        <v>160</v>
      </c>
      <c r="AC16" s="2">
        <v>10</v>
      </c>
      <c r="AD16" s="2">
        <v>3</v>
      </c>
      <c r="AE16" s="2">
        <v>191</v>
      </c>
      <c r="AF16" s="2">
        <v>5</v>
      </c>
    </row>
    <row r="17" spans="1:32" s="2" customFormat="1" x14ac:dyDescent="0.3"/>
    <row r="18" spans="1:32" s="2" customFormat="1" x14ac:dyDescent="0.3">
      <c r="A18" s="2" t="s">
        <v>17</v>
      </c>
      <c r="B18" s="2">
        <v>13</v>
      </c>
      <c r="C18" s="2">
        <v>18</v>
      </c>
      <c r="D18" s="2">
        <v>0</v>
      </c>
      <c r="E18" s="2">
        <v>13</v>
      </c>
      <c r="F18" s="2">
        <v>1</v>
      </c>
      <c r="G18" s="2">
        <v>0</v>
      </c>
      <c r="H18" s="2">
        <v>0</v>
      </c>
      <c r="I18" s="2">
        <v>2</v>
      </c>
      <c r="J18" s="2" t="s">
        <v>19</v>
      </c>
      <c r="L18" s="2">
        <v>2475</v>
      </c>
      <c r="M18" s="2">
        <v>350</v>
      </c>
      <c r="N18" s="2">
        <v>510</v>
      </c>
      <c r="O18" s="2">
        <v>615</v>
      </c>
      <c r="P18" s="2">
        <v>14</v>
      </c>
      <c r="Q18" s="2">
        <v>40</v>
      </c>
      <c r="R18" s="2">
        <v>158</v>
      </c>
      <c r="S18" s="2">
        <v>158</v>
      </c>
      <c r="T18" s="2">
        <v>10</v>
      </c>
      <c r="U18" s="2">
        <v>50</v>
      </c>
      <c r="V18" s="2">
        <v>18</v>
      </c>
      <c r="W18" s="2">
        <v>0</v>
      </c>
      <c r="X18" s="2">
        <v>766</v>
      </c>
      <c r="Y18" s="2">
        <v>108</v>
      </c>
      <c r="Z18" s="2">
        <v>433</v>
      </c>
      <c r="AA18" s="2">
        <v>288</v>
      </c>
      <c r="AB18" s="2">
        <v>160</v>
      </c>
      <c r="AC18" s="2">
        <v>10</v>
      </c>
      <c r="AD18" s="2">
        <v>3</v>
      </c>
      <c r="AE18" s="2">
        <v>203</v>
      </c>
      <c r="AF18" s="2">
        <v>5</v>
      </c>
    </row>
    <row r="19" spans="1:32" s="2" customFormat="1" x14ac:dyDescent="0.3"/>
    <row r="20" spans="1:32" s="2" customFormat="1" x14ac:dyDescent="0.3">
      <c r="A20" s="2" t="s">
        <v>18</v>
      </c>
      <c r="B20" s="2">
        <v>10</v>
      </c>
      <c r="C20" s="2">
        <v>17</v>
      </c>
      <c r="D20" s="2">
        <v>0</v>
      </c>
      <c r="E20" s="2">
        <v>6</v>
      </c>
      <c r="F20" s="2">
        <v>1</v>
      </c>
      <c r="G20" s="2">
        <v>0</v>
      </c>
      <c r="H20" s="2">
        <v>0</v>
      </c>
      <c r="I20" s="2">
        <v>2</v>
      </c>
      <c r="J20" s="2" t="s">
        <v>19</v>
      </c>
      <c r="L20" s="2">
        <v>2272</v>
      </c>
      <c r="M20" s="2">
        <v>278</v>
      </c>
      <c r="N20" s="2">
        <v>1380</v>
      </c>
      <c r="O20" s="2">
        <v>614</v>
      </c>
      <c r="P20" s="2">
        <v>15</v>
      </c>
      <c r="Q20" s="2">
        <v>40</v>
      </c>
      <c r="R20" s="2">
        <v>118</v>
      </c>
      <c r="S20" s="2">
        <v>148</v>
      </c>
      <c r="T20" s="2">
        <v>12</v>
      </c>
      <c r="U20" s="2">
        <v>34</v>
      </c>
      <c r="V20" s="2">
        <v>27</v>
      </c>
      <c r="W20" s="2">
        <v>0</v>
      </c>
      <c r="X20" s="2">
        <v>643</v>
      </c>
      <c r="Y20" s="2">
        <v>89</v>
      </c>
      <c r="Z20" s="2">
        <v>386</v>
      </c>
      <c r="AA20" s="2">
        <v>288</v>
      </c>
      <c r="AB20" s="2">
        <v>192</v>
      </c>
      <c r="AC20" s="2">
        <v>10</v>
      </c>
      <c r="AD20" s="2">
        <v>3</v>
      </c>
      <c r="AE20" s="2">
        <v>158</v>
      </c>
      <c r="AF20" s="2">
        <v>5</v>
      </c>
    </row>
    <row r="22" spans="1:32" ht="15" thickBot="1" x14ac:dyDescent="0.35"/>
    <row r="23" spans="1:32" ht="22.5" customHeight="1" thickBot="1" x14ac:dyDescent="0.35">
      <c r="A23" s="4" t="s">
        <v>45</v>
      </c>
      <c r="B23" s="5">
        <f>MAX(B2:B20)</f>
        <v>14</v>
      </c>
      <c r="C23" s="5">
        <f t="shared" ref="C23:AF23" si="0">MAX(C2:C20)</f>
        <v>18</v>
      </c>
      <c r="D23" s="5">
        <f t="shared" si="0"/>
        <v>27</v>
      </c>
      <c r="E23" s="5">
        <f t="shared" si="0"/>
        <v>14</v>
      </c>
      <c r="F23" s="5">
        <f t="shared" si="0"/>
        <v>1</v>
      </c>
      <c r="G23" s="5">
        <f t="shared" si="0"/>
        <v>1</v>
      </c>
      <c r="H23" s="5">
        <f t="shared" si="0"/>
        <v>1</v>
      </c>
      <c r="I23" s="5">
        <f t="shared" si="0"/>
        <v>2</v>
      </c>
      <c r="J23" s="13" t="s">
        <v>46</v>
      </c>
      <c r="K23" s="5">
        <f t="shared" si="0"/>
        <v>357</v>
      </c>
      <c r="L23" s="5">
        <f t="shared" si="0"/>
        <v>4984</v>
      </c>
      <c r="M23" s="5">
        <f t="shared" si="0"/>
        <v>350</v>
      </c>
      <c r="N23" s="5">
        <f t="shared" si="0"/>
        <v>3874</v>
      </c>
      <c r="O23" s="5">
        <f t="shared" si="0"/>
        <v>940</v>
      </c>
      <c r="P23" s="5">
        <f t="shared" si="0"/>
        <v>22</v>
      </c>
      <c r="Q23" s="5">
        <f t="shared" si="0"/>
        <v>57</v>
      </c>
      <c r="R23" s="5">
        <f t="shared" si="0"/>
        <v>160</v>
      </c>
      <c r="S23" s="5">
        <f t="shared" si="0"/>
        <v>158</v>
      </c>
      <c r="T23" s="5">
        <f t="shared" si="0"/>
        <v>16</v>
      </c>
      <c r="U23" s="5">
        <f t="shared" si="0"/>
        <v>225</v>
      </c>
      <c r="V23" s="5">
        <f t="shared" si="0"/>
        <v>29</v>
      </c>
      <c r="W23" s="5">
        <v>4</v>
      </c>
      <c r="X23" s="5">
        <f t="shared" si="0"/>
        <v>766</v>
      </c>
      <c r="Y23" s="5">
        <f t="shared" si="0"/>
        <v>406</v>
      </c>
      <c r="Z23" s="5">
        <f t="shared" si="0"/>
        <v>433</v>
      </c>
      <c r="AA23" s="5">
        <f t="shared" si="0"/>
        <v>1520</v>
      </c>
      <c r="AB23" s="5">
        <f t="shared" si="0"/>
        <v>992</v>
      </c>
      <c r="AC23" s="5">
        <f t="shared" si="0"/>
        <v>28</v>
      </c>
      <c r="AD23" s="5">
        <f t="shared" si="0"/>
        <v>26</v>
      </c>
      <c r="AE23" s="5">
        <f t="shared" si="0"/>
        <v>3940</v>
      </c>
      <c r="AF23" s="6">
        <f t="shared" si="0"/>
        <v>219</v>
      </c>
    </row>
    <row r="26" spans="1:32" x14ac:dyDescent="0.3">
      <c r="A26" t="s">
        <v>47</v>
      </c>
      <c r="B26">
        <v>14</v>
      </c>
      <c r="C26">
        <v>18</v>
      </c>
      <c r="D26">
        <v>8</v>
      </c>
      <c r="E26">
        <v>14</v>
      </c>
      <c r="F26">
        <v>1</v>
      </c>
      <c r="G26">
        <v>1</v>
      </c>
      <c r="H26">
        <v>1</v>
      </c>
      <c r="I26">
        <v>2</v>
      </c>
    </row>
    <row r="27" spans="1:32" ht="15" thickBot="1" x14ac:dyDescent="0.35"/>
    <row r="28" spans="1:32" ht="15" thickBot="1" x14ac:dyDescent="0.35">
      <c r="A28" s="4" t="s">
        <v>48</v>
      </c>
      <c r="B28" s="5">
        <v>14</v>
      </c>
      <c r="C28" s="5">
        <v>18</v>
      </c>
      <c r="D28" s="5">
        <v>8</v>
      </c>
      <c r="E28" s="5">
        <v>14</v>
      </c>
      <c r="F28" s="5">
        <v>1</v>
      </c>
      <c r="G28" s="5">
        <v>1</v>
      </c>
      <c r="H28" s="5">
        <v>1</v>
      </c>
      <c r="I28" s="6">
        <v>2</v>
      </c>
    </row>
    <row r="29" spans="1:32" ht="15" thickBot="1" x14ac:dyDescent="0.35"/>
    <row r="30" spans="1:32" ht="15" thickBot="1" x14ac:dyDescent="0.35">
      <c r="A30" s="4" t="s">
        <v>49</v>
      </c>
      <c r="B30" s="5">
        <v>11</v>
      </c>
      <c r="C30" s="5">
        <v>10</v>
      </c>
      <c r="D30" s="5">
        <v>5</v>
      </c>
      <c r="E30" s="5">
        <v>20</v>
      </c>
      <c r="F30" s="5">
        <v>1</v>
      </c>
      <c r="G30" s="5">
        <v>1</v>
      </c>
      <c r="H30" s="5">
        <v>1</v>
      </c>
      <c r="I30" s="6">
        <v>2</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dimension ref="A1:V26"/>
  <sheetViews>
    <sheetView workbookViewId="0">
      <selection activeCell="A18" sqref="A18"/>
    </sheetView>
  </sheetViews>
  <sheetFormatPr defaultRowHeight="14.4" x14ac:dyDescent="0.3"/>
  <cols>
    <col min="1" max="1" width="24" customWidth="1"/>
    <col min="2" max="7" width="11.77734375" customWidth="1"/>
    <col min="8" max="8" width="9.21875" customWidth="1"/>
    <col min="9" max="9" width="9.77734375" customWidth="1"/>
    <col min="13" max="13" width="11.21875" customWidth="1"/>
    <col min="19" max="19" width="11.5546875" customWidth="1"/>
  </cols>
  <sheetData>
    <row r="1" spans="1:22" x14ac:dyDescent="0.3">
      <c r="A1" s="7" t="s">
        <v>50</v>
      </c>
      <c r="B1" s="26" t="s">
        <v>7</v>
      </c>
      <c r="C1" s="26" t="s">
        <v>8</v>
      </c>
      <c r="D1" s="26" t="s">
        <v>9</v>
      </c>
      <c r="E1" s="26" t="s">
        <v>10</v>
      </c>
      <c r="F1" s="8" t="s">
        <v>11</v>
      </c>
      <c r="G1" s="8" t="s">
        <v>12</v>
      </c>
      <c r="H1" s="8" t="s">
        <v>13</v>
      </c>
      <c r="I1" s="9" t="s">
        <v>14</v>
      </c>
    </row>
    <row r="2" spans="1:22" ht="15" thickBot="1" x14ac:dyDescent="0.35">
      <c r="A2" s="10" t="s">
        <v>51</v>
      </c>
      <c r="B2" s="27">
        <f>('MEtrolinx and NYC'!B28)</f>
        <v>14</v>
      </c>
      <c r="C2" s="27">
        <f>('MEtrolinx and NYC'!C28)</f>
        <v>18</v>
      </c>
      <c r="D2" s="27">
        <v>7</v>
      </c>
      <c r="E2" s="27">
        <f>('MEtrolinx and NYC'!E28)</f>
        <v>14</v>
      </c>
      <c r="F2" s="11">
        <f>('MEtrolinx and NYC'!F28)</f>
        <v>1</v>
      </c>
      <c r="G2" s="11">
        <f>('MEtrolinx and NYC'!G28)</f>
        <v>1</v>
      </c>
      <c r="H2" s="11">
        <f>('MEtrolinx and NYC'!H28)</f>
        <v>1</v>
      </c>
      <c r="I2" s="12">
        <f>('MEtrolinx and NYC'!I28)</f>
        <v>2</v>
      </c>
    </row>
    <row r="4" spans="1:22" ht="15" thickBot="1" x14ac:dyDescent="0.35"/>
    <row r="5" spans="1:22" ht="43.2" x14ac:dyDescent="0.3">
      <c r="A5" s="14" t="s">
        <v>53</v>
      </c>
      <c r="B5" s="15" t="s">
        <v>27</v>
      </c>
      <c r="C5" s="24" t="s">
        <v>22</v>
      </c>
      <c r="D5" s="38" t="s">
        <v>28</v>
      </c>
      <c r="E5" s="21" t="s">
        <v>23</v>
      </c>
      <c r="F5" s="40" t="s">
        <v>20</v>
      </c>
      <c r="G5" s="16" t="s">
        <v>21</v>
      </c>
      <c r="H5" s="21" t="s">
        <v>24</v>
      </c>
      <c r="I5" s="21" t="s">
        <v>25</v>
      </c>
      <c r="J5" s="21" t="s">
        <v>44</v>
      </c>
      <c r="K5" s="38" t="s">
        <v>43</v>
      </c>
      <c r="L5" s="38" t="s">
        <v>42</v>
      </c>
      <c r="M5" s="15" t="s">
        <v>39</v>
      </c>
      <c r="N5" s="15" t="s">
        <v>29</v>
      </c>
      <c r="O5" s="15" t="s">
        <v>30</v>
      </c>
      <c r="P5" s="15" t="s">
        <v>26</v>
      </c>
      <c r="Q5" s="15" t="s">
        <v>31</v>
      </c>
      <c r="R5" s="15" t="s">
        <v>32</v>
      </c>
      <c r="S5" s="15" t="s">
        <v>36</v>
      </c>
      <c r="T5" s="15" t="s">
        <v>34</v>
      </c>
      <c r="U5" s="15" t="s">
        <v>33</v>
      </c>
      <c r="V5" s="17" t="s">
        <v>35</v>
      </c>
    </row>
    <row r="6" spans="1:22" ht="15" thickBot="1" x14ac:dyDescent="0.35">
      <c r="A6" s="18"/>
      <c r="B6" s="19">
        <f>('MEtrolinx and NYC'!L23)</f>
        <v>4984</v>
      </c>
      <c r="C6" s="25">
        <f>('MEtrolinx and NYC'!M23)</f>
        <v>350</v>
      </c>
      <c r="D6" s="39">
        <f>('MEtrolinx and NYC'!N23)</f>
        <v>3874</v>
      </c>
      <c r="E6" s="22">
        <f>('MEtrolinx and NYC'!O23)</f>
        <v>940</v>
      </c>
      <c r="F6" s="39">
        <f>('MEtrolinx and NYC'!P23)</f>
        <v>22</v>
      </c>
      <c r="G6" s="19">
        <f>('MEtrolinx and NYC'!Q23)</f>
        <v>57</v>
      </c>
      <c r="H6" s="22">
        <f>('MEtrolinx and NYC'!R23)</f>
        <v>160</v>
      </c>
      <c r="I6" s="22">
        <f>('MEtrolinx and NYC'!S23)</f>
        <v>158</v>
      </c>
      <c r="J6" s="22">
        <f>('MEtrolinx and NYC'!T23)</f>
        <v>16</v>
      </c>
      <c r="K6" s="39">
        <f>('MEtrolinx and NYC'!U23)</f>
        <v>225</v>
      </c>
      <c r="L6" s="39">
        <f>('MEtrolinx and NYC'!V23)</f>
        <v>29</v>
      </c>
      <c r="M6" s="19">
        <f>('MEtrolinx and NYC'!W23)</f>
        <v>4</v>
      </c>
      <c r="N6" s="19">
        <f>('MEtrolinx and NYC'!X23)</f>
        <v>766</v>
      </c>
      <c r="O6" s="19">
        <f>('MEtrolinx and NYC'!Y23)</f>
        <v>406</v>
      </c>
      <c r="P6" s="19">
        <f>('MEtrolinx and NYC'!Z23)</f>
        <v>433</v>
      </c>
      <c r="Q6" s="19">
        <f>('MEtrolinx and NYC'!AA23)</f>
        <v>1520</v>
      </c>
      <c r="R6" s="19">
        <f>('MEtrolinx and NYC'!AB23)</f>
        <v>992</v>
      </c>
      <c r="S6" s="19">
        <f>('MEtrolinx and NYC'!AC23)</f>
        <v>28</v>
      </c>
      <c r="T6" s="19">
        <f>('MEtrolinx and NYC'!AD23)</f>
        <v>26</v>
      </c>
      <c r="U6" s="19">
        <f>('MEtrolinx and NYC'!AE23)</f>
        <v>3940</v>
      </c>
      <c r="V6" s="20">
        <f>('MEtrolinx and NYC'!AF23)</f>
        <v>219</v>
      </c>
    </row>
    <row r="8" spans="1:22" ht="18" x14ac:dyDescent="0.35">
      <c r="A8" s="35" t="s">
        <v>66</v>
      </c>
    </row>
    <row r="10" spans="1:22" x14ac:dyDescent="0.3">
      <c r="A10" s="29" t="s">
        <v>54</v>
      </c>
      <c r="B10" s="29">
        <f>CEILING((E6)/J6,1)</f>
        <v>59</v>
      </c>
    </row>
    <row r="11" spans="1:22" x14ac:dyDescent="0.3">
      <c r="A11" s="29" t="s">
        <v>55</v>
      </c>
      <c r="B11" s="29">
        <f>(J6)</f>
        <v>16</v>
      </c>
    </row>
    <row r="14" spans="1:22" x14ac:dyDescent="0.3">
      <c r="A14" s="29" t="s">
        <v>56</v>
      </c>
      <c r="B14" s="28" t="s">
        <v>57</v>
      </c>
      <c r="C14" s="28" t="s">
        <v>59</v>
      </c>
      <c r="D14" s="28" t="s">
        <v>60</v>
      </c>
      <c r="E14" s="28" t="s">
        <v>61</v>
      </c>
      <c r="F14" s="28" t="s">
        <v>62</v>
      </c>
      <c r="G14" s="28" t="s">
        <v>63</v>
      </c>
      <c r="H14" s="28" t="s">
        <v>64</v>
      </c>
      <c r="I14" s="28" t="s">
        <v>7</v>
      </c>
    </row>
    <row r="15" spans="1:22" x14ac:dyDescent="0.3">
      <c r="A15" s="30" t="s">
        <v>8</v>
      </c>
      <c r="B15" s="32">
        <v>144</v>
      </c>
      <c r="C15" s="28"/>
      <c r="D15" s="28"/>
      <c r="E15" s="28"/>
      <c r="F15" s="28"/>
      <c r="G15" s="28"/>
      <c r="H15" s="28">
        <v>144</v>
      </c>
      <c r="I15" s="28"/>
    </row>
    <row r="16" spans="1:22" x14ac:dyDescent="0.3">
      <c r="A16" s="30" t="s">
        <v>9</v>
      </c>
      <c r="B16" s="31"/>
      <c r="C16" s="31">
        <v>56</v>
      </c>
      <c r="D16" s="31">
        <v>56</v>
      </c>
      <c r="E16" s="31">
        <v>56</v>
      </c>
      <c r="F16" s="31">
        <v>56</v>
      </c>
      <c r="G16" s="31">
        <v>56</v>
      </c>
      <c r="H16" s="32">
        <v>56</v>
      </c>
      <c r="I16" s="28"/>
    </row>
    <row r="17" spans="1:9" x14ac:dyDescent="0.3">
      <c r="A17" s="33" t="s">
        <v>10</v>
      </c>
      <c r="B17" s="34">
        <v>112</v>
      </c>
      <c r="C17" s="28"/>
      <c r="D17" s="28"/>
      <c r="E17" s="28"/>
      <c r="F17" s="28"/>
      <c r="G17" s="28"/>
      <c r="H17" s="28"/>
      <c r="I17" s="28"/>
    </row>
    <row r="18" spans="1:9" x14ac:dyDescent="0.3">
      <c r="A18" s="30" t="s">
        <v>7</v>
      </c>
      <c r="B18" s="31"/>
      <c r="C18" s="31"/>
      <c r="D18" s="31"/>
      <c r="E18" s="31"/>
      <c r="F18" s="31"/>
      <c r="G18" s="31"/>
      <c r="H18" s="31"/>
      <c r="I18" s="32">
        <v>288</v>
      </c>
    </row>
    <row r="19" spans="1:9" x14ac:dyDescent="0.3">
      <c r="A19" s="28"/>
      <c r="B19" s="28"/>
      <c r="C19" s="28"/>
      <c r="D19" s="28"/>
      <c r="E19" s="28"/>
      <c r="F19" s="28"/>
      <c r="G19" s="28"/>
      <c r="H19" s="28"/>
      <c r="I19" s="28"/>
    </row>
    <row r="20" spans="1:9" x14ac:dyDescent="0.3">
      <c r="A20" s="30" t="s">
        <v>65</v>
      </c>
      <c r="B20" s="32">
        <f>SUM(B15:I18)</f>
        <v>1024</v>
      </c>
      <c r="C20" s="28"/>
      <c r="D20" s="28"/>
      <c r="E20" s="28"/>
      <c r="F20" s="28"/>
      <c r="G20" s="28"/>
      <c r="H20" s="28"/>
      <c r="I20" s="28"/>
    </row>
    <row r="22" spans="1:9" x14ac:dyDescent="0.3">
      <c r="A22" s="23" t="s">
        <v>67</v>
      </c>
      <c r="B22" s="37"/>
    </row>
    <row r="23" spans="1:9" x14ac:dyDescent="0.3">
      <c r="A23" s="36" t="s">
        <v>68</v>
      </c>
      <c r="B23" s="37">
        <v>3900</v>
      </c>
    </row>
    <row r="24" spans="1:9" x14ac:dyDescent="0.3">
      <c r="A24" s="36" t="s">
        <v>69</v>
      </c>
      <c r="B24" s="37">
        <v>22</v>
      </c>
    </row>
    <row r="25" spans="1:9" x14ac:dyDescent="0.3">
      <c r="A25" s="37" t="s">
        <v>70</v>
      </c>
      <c r="B25" s="37">
        <v>225</v>
      </c>
    </row>
    <row r="26" spans="1:9" x14ac:dyDescent="0.3">
      <c r="A26" s="37" t="s">
        <v>71</v>
      </c>
      <c r="B26" s="37">
        <v>29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dimension ref="A1:AD141"/>
  <sheetViews>
    <sheetView topLeftCell="A94" workbookViewId="0">
      <selection activeCell="A103" sqref="A103"/>
    </sheetView>
  </sheetViews>
  <sheetFormatPr defaultRowHeight="14.4" x14ac:dyDescent="0.3"/>
  <cols>
    <col min="1" max="1" width="33.21875" customWidth="1"/>
    <col min="2" max="2" width="42.44140625" customWidth="1"/>
    <col min="3" max="3" width="43.21875" customWidth="1"/>
    <col min="4" max="4" width="42.77734375" customWidth="1"/>
    <col min="5" max="15" width="32.77734375" customWidth="1"/>
    <col min="16" max="22" width="22.44140625" customWidth="1"/>
    <col min="23" max="23" width="25" bestFit="1" customWidth="1"/>
    <col min="24" max="28" width="22.44140625" customWidth="1"/>
    <col min="29" max="29" width="25" bestFit="1" customWidth="1"/>
    <col min="30" max="34" width="22.44140625" customWidth="1"/>
  </cols>
  <sheetData>
    <row r="1" spans="1:8" ht="18" x14ac:dyDescent="0.35">
      <c r="A1" s="61" t="s">
        <v>111</v>
      </c>
      <c r="B1" s="62"/>
      <c r="C1" s="63"/>
      <c r="D1" s="63"/>
      <c r="E1" s="63"/>
      <c r="F1" s="63"/>
      <c r="G1" s="63"/>
      <c r="H1" s="63"/>
    </row>
    <row r="2" spans="1:8" ht="18" x14ac:dyDescent="0.35">
      <c r="A2" s="132" t="s">
        <v>122</v>
      </c>
      <c r="B2" s="132"/>
      <c r="C2" s="133"/>
      <c r="D2" s="133"/>
      <c r="E2" s="133"/>
      <c r="F2" s="133"/>
      <c r="G2" s="133"/>
      <c r="H2" s="133"/>
    </row>
    <row r="3" spans="1:8" x14ac:dyDescent="0.3">
      <c r="A3" s="57" t="s">
        <v>112</v>
      </c>
      <c r="B3" s="60">
        <v>2</v>
      </c>
    </row>
    <row r="4" spans="1:8" x14ac:dyDescent="0.3">
      <c r="A4" s="57" t="s">
        <v>110</v>
      </c>
      <c r="B4" s="60">
        <v>8</v>
      </c>
    </row>
    <row r="5" spans="1:8" x14ac:dyDescent="0.3">
      <c r="A5" s="57" t="s">
        <v>113</v>
      </c>
      <c r="B5" s="60" t="s">
        <v>117</v>
      </c>
    </row>
    <row r="6" spans="1:8" x14ac:dyDescent="0.3">
      <c r="A6" s="57" t="s">
        <v>120</v>
      </c>
      <c r="B6" s="112" t="s">
        <v>121</v>
      </c>
    </row>
    <row r="7" spans="1:8" x14ac:dyDescent="0.3">
      <c r="A7" s="58" t="s">
        <v>114</v>
      </c>
      <c r="B7" s="57" t="s">
        <v>878</v>
      </c>
      <c r="C7" s="57" t="s">
        <v>880</v>
      </c>
      <c r="D7" s="57" t="s">
        <v>879</v>
      </c>
      <c r="E7" s="57" t="s">
        <v>115</v>
      </c>
    </row>
    <row r="8" spans="1:8" x14ac:dyDescent="0.3">
      <c r="A8" s="57" t="s">
        <v>737</v>
      </c>
      <c r="B8" s="57">
        <v>0</v>
      </c>
      <c r="C8" s="57">
        <v>1</v>
      </c>
      <c r="D8" s="57">
        <v>2</v>
      </c>
    </row>
    <row r="9" spans="1:8" x14ac:dyDescent="0.3">
      <c r="A9" s="57" t="s">
        <v>115</v>
      </c>
      <c r="B9" s="57" t="s">
        <v>465</v>
      </c>
      <c r="C9" s="57" t="s">
        <v>473</v>
      </c>
      <c r="D9" s="57" t="s">
        <v>481</v>
      </c>
    </row>
    <row r="10" spans="1:8" x14ac:dyDescent="0.3">
      <c r="A10" s="57" t="s">
        <v>876</v>
      </c>
      <c r="B10" s="57" t="s">
        <v>466</v>
      </c>
      <c r="C10" s="57" t="s">
        <v>474</v>
      </c>
      <c r="D10" s="57" t="s">
        <v>482</v>
      </c>
    </row>
    <row r="11" spans="1:8" x14ac:dyDescent="0.3">
      <c r="A11" s="57" t="s">
        <v>877</v>
      </c>
      <c r="B11" s="57" t="s">
        <v>467</v>
      </c>
      <c r="C11" s="57" t="s">
        <v>475</v>
      </c>
      <c r="D11" s="57" t="s">
        <v>483</v>
      </c>
    </row>
    <row r="12" spans="1:8" x14ac:dyDescent="0.3">
      <c r="A12" s="57" t="s">
        <v>115</v>
      </c>
      <c r="B12" s="57" t="s">
        <v>468</v>
      </c>
      <c r="C12" s="57" t="s">
        <v>476</v>
      </c>
      <c r="D12" s="57" t="s">
        <v>484</v>
      </c>
    </row>
    <row r="13" spans="1:8" x14ac:dyDescent="0.3">
      <c r="B13" s="57" t="s">
        <v>469</v>
      </c>
      <c r="C13" s="57" t="s">
        <v>477</v>
      </c>
      <c r="D13" s="57" t="s">
        <v>485</v>
      </c>
    </row>
    <row r="14" spans="1:8" x14ac:dyDescent="0.3">
      <c r="B14" s="57" t="s">
        <v>470</v>
      </c>
      <c r="C14" s="57" t="s">
        <v>478</v>
      </c>
      <c r="D14" s="57" t="s">
        <v>486</v>
      </c>
    </row>
    <row r="15" spans="1:8" x14ac:dyDescent="0.3">
      <c r="B15" s="57" t="s">
        <v>471</v>
      </c>
      <c r="C15" s="57" t="s">
        <v>479</v>
      </c>
      <c r="D15" s="57" t="s">
        <v>487</v>
      </c>
    </row>
    <row r="16" spans="1:8" x14ac:dyDescent="0.3">
      <c r="B16" s="57" t="s">
        <v>472</v>
      </c>
      <c r="C16" s="57" t="s">
        <v>480</v>
      </c>
      <c r="D16" s="57" t="s">
        <v>488</v>
      </c>
    </row>
    <row r="17" spans="1:12" x14ac:dyDescent="0.3">
      <c r="B17" s="57" t="s">
        <v>115</v>
      </c>
      <c r="C17" s="57" t="s">
        <v>115</v>
      </c>
      <c r="D17" s="57" t="s">
        <v>115</v>
      </c>
    </row>
    <row r="18" spans="1:12" x14ac:dyDescent="0.3">
      <c r="B18" s="57"/>
      <c r="C18" s="57"/>
      <c r="D18" s="57"/>
    </row>
    <row r="21" spans="1:12" ht="18" x14ac:dyDescent="0.35">
      <c r="A21" s="132" t="s">
        <v>123</v>
      </c>
      <c r="B21" s="132"/>
      <c r="C21" s="133"/>
      <c r="D21" s="133"/>
    </row>
    <row r="22" spans="1:12" x14ac:dyDescent="0.3">
      <c r="A22" s="57" t="s">
        <v>112</v>
      </c>
      <c r="B22" s="60">
        <v>72</v>
      </c>
    </row>
    <row r="23" spans="1:12" x14ac:dyDescent="0.3">
      <c r="A23" s="57" t="s">
        <v>110</v>
      </c>
      <c r="B23" s="60">
        <v>8</v>
      </c>
    </row>
    <row r="24" spans="1:12" x14ac:dyDescent="0.3">
      <c r="A24" s="57" t="s">
        <v>113</v>
      </c>
      <c r="B24" s="60" t="s">
        <v>117</v>
      </c>
    </row>
    <row r="25" spans="1:12" x14ac:dyDescent="0.3">
      <c r="A25" s="57" t="s">
        <v>120</v>
      </c>
      <c r="B25" s="60" t="s">
        <v>121</v>
      </c>
      <c r="K25" s="58"/>
    </row>
    <row r="26" spans="1:12" x14ac:dyDescent="0.3">
      <c r="A26" s="57" t="s">
        <v>114</v>
      </c>
      <c r="B26" s="57" t="s">
        <v>118</v>
      </c>
      <c r="C26" s="58" t="s">
        <v>119</v>
      </c>
      <c r="D26" s="57" t="s">
        <v>118</v>
      </c>
      <c r="E26" s="58" t="s">
        <v>119</v>
      </c>
      <c r="F26" s="57" t="s">
        <v>118</v>
      </c>
      <c r="G26" s="58" t="s">
        <v>119</v>
      </c>
      <c r="H26" s="57" t="s">
        <v>118</v>
      </c>
      <c r="I26" s="58" t="s">
        <v>119</v>
      </c>
      <c r="J26" s="57" t="s">
        <v>118</v>
      </c>
      <c r="K26" s="58" t="s">
        <v>119</v>
      </c>
      <c r="L26" s="46" t="s">
        <v>115</v>
      </c>
    </row>
    <row r="27" spans="1:12" x14ac:dyDescent="0.3">
      <c r="A27" s="41" t="s">
        <v>253</v>
      </c>
      <c r="B27">
        <v>0</v>
      </c>
      <c r="C27">
        <v>0</v>
      </c>
      <c r="D27">
        <v>1</v>
      </c>
      <c r="E27">
        <v>1</v>
      </c>
      <c r="F27">
        <v>2</v>
      </c>
      <c r="G27">
        <v>2</v>
      </c>
      <c r="H27">
        <v>3</v>
      </c>
      <c r="I27">
        <v>3</v>
      </c>
      <c r="J27">
        <v>4</v>
      </c>
      <c r="K27">
        <v>4</v>
      </c>
    </row>
    <row r="28" spans="1:12" x14ac:dyDescent="0.3">
      <c r="A28" s="42" t="s">
        <v>115</v>
      </c>
      <c r="B28" s="52" t="s">
        <v>489</v>
      </c>
      <c r="C28" s="52" t="s">
        <v>497</v>
      </c>
      <c r="D28" s="52" t="s">
        <v>505</v>
      </c>
      <c r="E28" s="52" t="s">
        <v>513</v>
      </c>
      <c r="F28" s="52" t="s">
        <v>521</v>
      </c>
      <c r="G28" s="41" t="s">
        <v>243</v>
      </c>
      <c r="H28" s="41" t="s">
        <v>251</v>
      </c>
      <c r="I28" s="41" t="s">
        <v>529</v>
      </c>
      <c r="J28" s="41" t="s">
        <v>537</v>
      </c>
      <c r="K28" s="52" t="s">
        <v>545</v>
      </c>
    </row>
    <row r="29" spans="1:12" x14ac:dyDescent="0.3">
      <c r="A29" s="57"/>
      <c r="B29" s="46" t="s">
        <v>490</v>
      </c>
      <c r="C29" s="46" t="s">
        <v>498</v>
      </c>
      <c r="D29" s="46" t="s">
        <v>506</v>
      </c>
      <c r="E29" s="46" t="s">
        <v>514</v>
      </c>
      <c r="F29" s="46" t="s">
        <v>522</v>
      </c>
      <c r="G29" s="42" t="s">
        <v>244</v>
      </c>
      <c r="H29" s="42" t="s">
        <v>252</v>
      </c>
      <c r="I29" s="42" t="s">
        <v>530</v>
      </c>
      <c r="J29" s="42" t="s">
        <v>538</v>
      </c>
      <c r="K29" s="46" t="s">
        <v>546</v>
      </c>
    </row>
    <row r="30" spans="1:12" x14ac:dyDescent="0.3">
      <c r="A30" s="57"/>
      <c r="B30" s="46" t="s">
        <v>491</v>
      </c>
      <c r="C30" s="46" t="s">
        <v>499</v>
      </c>
      <c r="D30" s="46" t="s">
        <v>507</v>
      </c>
      <c r="E30" s="46" t="s">
        <v>515</v>
      </c>
      <c r="F30" s="46" t="s">
        <v>523</v>
      </c>
      <c r="G30" s="42" t="s">
        <v>245</v>
      </c>
      <c r="H30" s="42" t="s">
        <v>255</v>
      </c>
      <c r="I30" s="42" t="s">
        <v>531</v>
      </c>
      <c r="J30" s="42" t="s">
        <v>539</v>
      </c>
      <c r="K30" s="46" t="s">
        <v>547</v>
      </c>
    </row>
    <row r="31" spans="1:12" x14ac:dyDescent="0.3">
      <c r="A31" s="57"/>
      <c r="B31" s="46" t="s">
        <v>492</v>
      </c>
      <c r="C31" s="46" t="s">
        <v>500</v>
      </c>
      <c r="D31" s="46" t="s">
        <v>508</v>
      </c>
      <c r="E31" s="46" t="s">
        <v>516</v>
      </c>
      <c r="F31" s="46" t="s">
        <v>524</v>
      </c>
      <c r="G31" s="42" t="s">
        <v>246</v>
      </c>
      <c r="H31" s="42" t="s">
        <v>256</v>
      </c>
      <c r="I31" s="42" t="s">
        <v>532</v>
      </c>
      <c r="J31" s="42" t="s">
        <v>540</v>
      </c>
      <c r="K31" s="46" t="s">
        <v>548</v>
      </c>
    </row>
    <row r="32" spans="1:12" x14ac:dyDescent="0.3">
      <c r="A32" s="57"/>
      <c r="B32" s="46" t="s">
        <v>493</v>
      </c>
      <c r="C32" s="46" t="s">
        <v>501</v>
      </c>
      <c r="D32" s="46" t="s">
        <v>509</v>
      </c>
      <c r="E32" s="46" t="s">
        <v>517</v>
      </c>
      <c r="F32" s="46" t="s">
        <v>525</v>
      </c>
      <c r="G32" s="42" t="s">
        <v>247</v>
      </c>
      <c r="H32" s="42" t="s">
        <v>257</v>
      </c>
      <c r="I32" s="42" t="s">
        <v>533</v>
      </c>
      <c r="J32" s="42" t="s">
        <v>541</v>
      </c>
      <c r="K32" s="46" t="s">
        <v>549</v>
      </c>
    </row>
    <row r="33" spans="1:11" x14ac:dyDescent="0.3">
      <c r="A33" s="57"/>
      <c r="B33" s="46" t="s">
        <v>494</v>
      </c>
      <c r="C33" s="46" t="s">
        <v>502</v>
      </c>
      <c r="D33" s="46" t="s">
        <v>510</v>
      </c>
      <c r="E33" s="46" t="s">
        <v>518</v>
      </c>
      <c r="F33" s="46" t="s">
        <v>526</v>
      </c>
      <c r="G33" s="42" t="s">
        <v>248</v>
      </c>
      <c r="H33" s="42" t="s">
        <v>258</v>
      </c>
      <c r="I33" s="42" t="s">
        <v>534</v>
      </c>
      <c r="J33" s="42" t="s">
        <v>542</v>
      </c>
      <c r="K33" s="46" t="s">
        <v>550</v>
      </c>
    </row>
    <row r="34" spans="1:11" x14ac:dyDescent="0.3">
      <c r="A34" s="57"/>
      <c r="B34" s="46" t="s">
        <v>495</v>
      </c>
      <c r="C34" s="46" t="s">
        <v>503</v>
      </c>
      <c r="D34" s="46" t="s">
        <v>511</v>
      </c>
      <c r="E34" s="46" t="s">
        <v>519</v>
      </c>
      <c r="F34" s="46" t="s">
        <v>527</v>
      </c>
      <c r="G34" s="42" t="s">
        <v>249</v>
      </c>
      <c r="H34" s="42" t="s">
        <v>259</v>
      </c>
      <c r="I34" s="42" t="s">
        <v>535</v>
      </c>
      <c r="J34" s="42" t="s">
        <v>543</v>
      </c>
      <c r="K34" s="46" t="s">
        <v>551</v>
      </c>
    </row>
    <row r="35" spans="1:11" x14ac:dyDescent="0.3">
      <c r="A35" s="57"/>
      <c r="B35" s="48" t="s">
        <v>496</v>
      </c>
      <c r="C35" s="48" t="s">
        <v>504</v>
      </c>
      <c r="D35" s="48" t="s">
        <v>512</v>
      </c>
      <c r="E35" s="48" t="s">
        <v>520</v>
      </c>
      <c r="F35" s="48" t="s">
        <v>528</v>
      </c>
      <c r="G35" s="43" t="s">
        <v>250</v>
      </c>
      <c r="H35" s="43" t="s">
        <v>260</v>
      </c>
      <c r="I35" s="43" t="s">
        <v>536</v>
      </c>
      <c r="J35" s="43" t="s">
        <v>544</v>
      </c>
      <c r="K35" s="48" t="s">
        <v>552</v>
      </c>
    </row>
    <row r="36" spans="1:11" x14ac:dyDescent="0.3">
      <c r="A36" s="57"/>
      <c r="B36" s="57" t="s">
        <v>115</v>
      </c>
      <c r="C36" s="58" t="s">
        <v>115</v>
      </c>
      <c r="D36" s="57" t="s">
        <v>115</v>
      </c>
      <c r="E36" s="58" t="s">
        <v>115</v>
      </c>
      <c r="F36" s="57" t="s">
        <v>115</v>
      </c>
      <c r="G36" s="58" t="s">
        <v>115</v>
      </c>
      <c r="H36" s="57" t="s">
        <v>115</v>
      </c>
      <c r="I36" s="58" t="s">
        <v>115</v>
      </c>
      <c r="J36" s="57" t="s">
        <v>115</v>
      </c>
      <c r="K36" s="58" t="s">
        <v>115</v>
      </c>
    </row>
    <row r="37" spans="1:11" x14ac:dyDescent="0.3">
      <c r="A37" s="57"/>
      <c r="B37" s="57"/>
      <c r="C37" s="57"/>
    </row>
    <row r="40" spans="1:11" ht="18" x14ac:dyDescent="0.35">
      <c r="A40" s="132" t="s">
        <v>124</v>
      </c>
      <c r="B40" s="132"/>
    </row>
    <row r="41" spans="1:11" x14ac:dyDescent="0.3">
      <c r="A41" s="57" t="s">
        <v>139</v>
      </c>
      <c r="B41" s="60" t="s">
        <v>121</v>
      </c>
    </row>
    <row r="42" spans="1:11" x14ac:dyDescent="0.3">
      <c r="A42" s="57" t="s">
        <v>112</v>
      </c>
      <c r="B42" s="60">
        <v>0</v>
      </c>
    </row>
    <row r="43" spans="1:11" x14ac:dyDescent="0.3">
      <c r="A43" s="57" t="s">
        <v>110</v>
      </c>
      <c r="B43" s="60">
        <v>0</v>
      </c>
    </row>
    <row r="44" spans="1:11" x14ac:dyDescent="0.3">
      <c r="A44" s="57" t="s">
        <v>113</v>
      </c>
      <c r="B44" s="60" t="s">
        <v>117</v>
      </c>
    </row>
    <row r="45" spans="1:11" x14ac:dyDescent="0.3">
      <c r="A45" s="57" t="s">
        <v>120</v>
      </c>
      <c r="B45" s="60" t="s">
        <v>117</v>
      </c>
    </row>
    <row r="46" spans="1:11" x14ac:dyDescent="0.3">
      <c r="A46" s="57" t="s">
        <v>114</v>
      </c>
      <c r="B46" s="57" t="s">
        <v>118</v>
      </c>
      <c r="C46" s="58" t="s">
        <v>119</v>
      </c>
      <c r="D46" t="s">
        <v>115</v>
      </c>
    </row>
    <row r="47" spans="1:11" x14ac:dyDescent="0.3">
      <c r="A47" s="42" t="s">
        <v>115</v>
      </c>
      <c r="B47" s="42" t="s">
        <v>115</v>
      </c>
      <c r="C47" s="42" t="s">
        <v>115</v>
      </c>
    </row>
    <row r="50" spans="1:4" ht="18" x14ac:dyDescent="0.35">
      <c r="A50" s="132" t="s">
        <v>125</v>
      </c>
      <c r="B50" s="132"/>
    </row>
    <row r="51" spans="1:4" x14ac:dyDescent="0.3">
      <c r="A51" s="57" t="s">
        <v>139</v>
      </c>
      <c r="B51" s="60" t="s">
        <v>121</v>
      </c>
    </row>
    <row r="52" spans="1:4" x14ac:dyDescent="0.3">
      <c r="A52" s="57" t="s">
        <v>112</v>
      </c>
      <c r="B52" s="60">
        <v>20</v>
      </c>
    </row>
    <row r="53" spans="1:4" x14ac:dyDescent="0.3">
      <c r="A53" s="57" t="s">
        <v>110</v>
      </c>
      <c r="B53" s="60">
        <v>8</v>
      </c>
    </row>
    <row r="54" spans="1:4" x14ac:dyDescent="0.3">
      <c r="A54" s="57" t="s">
        <v>113</v>
      </c>
      <c r="B54" s="60" t="s">
        <v>117</v>
      </c>
    </row>
    <row r="55" spans="1:4" x14ac:dyDescent="0.3">
      <c r="A55" s="57" t="s">
        <v>120</v>
      </c>
      <c r="B55" s="60" t="s">
        <v>117</v>
      </c>
    </row>
    <row r="56" spans="1:4" x14ac:dyDescent="0.3">
      <c r="A56" s="57" t="s">
        <v>114</v>
      </c>
      <c r="B56" s="57" t="s">
        <v>118</v>
      </c>
      <c r="C56" s="58" t="s">
        <v>119</v>
      </c>
      <c r="D56" t="s">
        <v>115</v>
      </c>
    </row>
    <row r="57" spans="1:4" x14ac:dyDescent="0.3">
      <c r="A57" s="41" t="s">
        <v>464</v>
      </c>
      <c r="B57" s="52" t="s">
        <v>176</v>
      </c>
      <c r="C57" s="52" t="s">
        <v>192</v>
      </c>
    </row>
    <row r="58" spans="1:4" x14ac:dyDescent="0.3">
      <c r="A58" s="42" t="s">
        <v>115</v>
      </c>
      <c r="B58" s="46" t="s">
        <v>178</v>
      </c>
      <c r="C58" s="46" t="s">
        <v>193</v>
      </c>
    </row>
    <row r="59" spans="1:4" x14ac:dyDescent="0.3">
      <c r="A59" s="57"/>
      <c r="B59" s="46" t="s">
        <v>180</v>
      </c>
      <c r="C59" s="46" t="s">
        <v>194</v>
      </c>
    </row>
    <row r="60" spans="1:4" x14ac:dyDescent="0.3">
      <c r="A60" s="57"/>
      <c r="B60" s="46" t="s">
        <v>182</v>
      </c>
      <c r="C60" s="46" t="s">
        <v>195</v>
      </c>
    </row>
    <row r="61" spans="1:4" x14ac:dyDescent="0.3">
      <c r="A61" s="57"/>
      <c r="B61" s="46" t="s">
        <v>184</v>
      </c>
      <c r="C61" s="46" t="s">
        <v>196</v>
      </c>
    </row>
    <row r="62" spans="1:4" x14ac:dyDescent="0.3">
      <c r="A62" s="57"/>
      <c r="B62" s="46" t="s">
        <v>186</v>
      </c>
      <c r="C62" s="46" t="s">
        <v>197</v>
      </c>
    </row>
    <row r="63" spans="1:4" x14ac:dyDescent="0.3">
      <c r="A63" s="57"/>
      <c r="B63" s="46" t="s">
        <v>188</v>
      </c>
      <c r="C63" s="46" t="s">
        <v>198</v>
      </c>
    </row>
    <row r="64" spans="1:4" x14ac:dyDescent="0.3">
      <c r="A64" s="57"/>
      <c r="B64" s="48" t="s">
        <v>190</v>
      </c>
      <c r="C64" s="48" t="s">
        <v>199</v>
      </c>
    </row>
    <row r="65" spans="1:10" x14ac:dyDescent="0.3">
      <c r="A65" s="57"/>
      <c r="B65" s="42" t="s">
        <v>115</v>
      </c>
      <c r="C65" s="42" t="s">
        <v>115</v>
      </c>
    </row>
    <row r="68" spans="1:10" ht="18" x14ac:dyDescent="0.35">
      <c r="A68" s="132" t="s">
        <v>126</v>
      </c>
      <c r="B68" s="132"/>
    </row>
    <row r="69" spans="1:10" x14ac:dyDescent="0.3">
      <c r="A69" s="57" t="s">
        <v>127</v>
      </c>
      <c r="B69" s="57" t="s">
        <v>129</v>
      </c>
    </row>
    <row r="70" spans="1:10" x14ac:dyDescent="0.3">
      <c r="A70" s="57" t="s">
        <v>112</v>
      </c>
      <c r="B70" s="60">
        <v>0</v>
      </c>
    </row>
    <row r="71" spans="1:10" x14ac:dyDescent="0.3">
      <c r="A71" s="57" t="s">
        <v>110</v>
      </c>
      <c r="B71" s="60">
        <v>0</v>
      </c>
    </row>
    <row r="72" spans="1:10" x14ac:dyDescent="0.3">
      <c r="A72" s="57" t="s">
        <v>113</v>
      </c>
      <c r="B72" s="60" t="s">
        <v>117</v>
      </c>
    </row>
    <row r="73" spans="1:10" x14ac:dyDescent="0.3">
      <c r="A73" s="57" t="s">
        <v>120</v>
      </c>
      <c r="B73" s="60" t="s">
        <v>121</v>
      </c>
    </row>
    <row r="74" spans="1:10" x14ac:dyDescent="0.3">
      <c r="A74" s="57" t="s">
        <v>114</v>
      </c>
      <c r="B74" s="57" t="s">
        <v>118</v>
      </c>
      <c r="C74" s="58" t="s">
        <v>119</v>
      </c>
      <c r="D74" s="57" t="s">
        <v>118</v>
      </c>
      <c r="E74" s="58" t="s">
        <v>119</v>
      </c>
      <c r="F74" s="57" t="s">
        <v>118</v>
      </c>
      <c r="G74" s="58" t="s">
        <v>119</v>
      </c>
      <c r="H74" s="57" t="s">
        <v>118</v>
      </c>
      <c r="I74" s="58" t="s">
        <v>119</v>
      </c>
      <c r="J74" t="s">
        <v>115</v>
      </c>
    </row>
    <row r="75" spans="1:10" x14ac:dyDescent="0.3">
      <c r="A75" s="57" t="s">
        <v>128</v>
      </c>
      <c r="B75">
        <v>0</v>
      </c>
      <c r="C75">
        <v>0</v>
      </c>
      <c r="D75">
        <v>1</v>
      </c>
      <c r="E75">
        <v>1</v>
      </c>
      <c r="F75">
        <v>2</v>
      </c>
      <c r="G75">
        <v>2</v>
      </c>
      <c r="H75">
        <v>3</v>
      </c>
      <c r="I75">
        <v>3</v>
      </c>
    </row>
    <row r="78" spans="1:10" ht="18" x14ac:dyDescent="0.35">
      <c r="A78" s="132" t="s">
        <v>130</v>
      </c>
      <c r="B78" s="132"/>
    </row>
    <row r="79" spans="1:10" x14ac:dyDescent="0.3">
      <c r="A79" s="57" t="s">
        <v>127</v>
      </c>
      <c r="B79" s="57" t="s">
        <v>747</v>
      </c>
    </row>
    <row r="80" spans="1:10" x14ac:dyDescent="0.3">
      <c r="A80" s="57" t="s">
        <v>112</v>
      </c>
      <c r="B80" s="60">
        <v>85</v>
      </c>
    </row>
    <row r="81" spans="1:8" x14ac:dyDescent="0.3">
      <c r="A81" s="57" t="s">
        <v>110</v>
      </c>
      <c r="B81" s="60">
        <v>8</v>
      </c>
    </row>
    <row r="82" spans="1:8" x14ac:dyDescent="0.3">
      <c r="A82" s="57" t="s">
        <v>113</v>
      </c>
      <c r="B82" s="60" t="s">
        <v>117</v>
      </c>
    </row>
    <row r="83" spans="1:8" x14ac:dyDescent="0.3">
      <c r="A83" s="57" t="s">
        <v>120</v>
      </c>
      <c r="B83" s="60" t="s">
        <v>121</v>
      </c>
    </row>
    <row r="84" spans="1:8" x14ac:dyDescent="0.3">
      <c r="A84" s="57" t="s">
        <v>114</v>
      </c>
      <c r="B84" s="57" t="s">
        <v>118</v>
      </c>
      <c r="C84" s="58" t="s">
        <v>119</v>
      </c>
      <c r="D84" s="57" t="s">
        <v>118</v>
      </c>
      <c r="E84" s="58" t="s">
        <v>119</v>
      </c>
      <c r="F84" t="s">
        <v>115</v>
      </c>
    </row>
    <row r="85" spans="1:8" x14ac:dyDescent="0.3">
      <c r="A85" s="41" t="s">
        <v>741</v>
      </c>
      <c r="B85">
        <v>0</v>
      </c>
      <c r="C85">
        <v>0</v>
      </c>
      <c r="D85">
        <v>1</v>
      </c>
      <c r="E85">
        <v>1</v>
      </c>
    </row>
    <row r="86" spans="1:8" x14ac:dyDescent="0.3">
      <c r="A86" s="42" t="s">
        <v>115</v>
      </c>
      <c r="B86" s="42" t="s">
        <v>570</v>
      </c>
      <c r="C86" s="57" t="s">
        <v>578</v>
      </c>
      <c r="D86" t="s">
        <v>586</v>
      </c>
      <c r="E86" s="46" t="s">
        <v>594</v>
      </c>
    </row>
    <row r="87" spans="1:8" x14ac:dyDescent="0.3">
      <c r="A87" s="42"/>
      <c r="B87" s="42" t="s">
        <v>571</v>
      </c>
      <c r="C87" s="57" t="s">
        <v>579</v>
      </c>
      <c r="D87" t="s">
        <v>587</v>
      </c>
      <c r="E87" s="46" t="s">
        <v>595</v>
      </c>
    </row>
    <row r="88" spans="1:8" x14ac:dyDescent="0.3">
      <c r="A88" s="42"/>
      <c r="B88" s="42" t="s">
        <v>572</v>
      </c>
      <c r="C88" s="57" t="s">
        <v>580</v>
      </c>
      <c r="D88" t="s">
        <v>588</v>
      </c>
      <c r="E88" s="46" t="s">
        <v>596</v>
      </c>
    </row>
    <row r="89" spans="1:8" x14ac:dyDescent="0.3">
      <c r="A89" s="42"/>
      <c r="B89" s="42" t="s">
        <v>573</v>
      </c>
      <c r="C89" s="57" t="s">
        <v>581</v>
      </c>
      <c r="D89" t="s">
        <v>589</v>
      </c>
      <c r="E89" s="46" t="s">
        <v>597</v>
      </c>
    </row>
    <row r="90" spans="1:8" x14ac:dyDescent="0.3">
      <c r="A90" s="42"/>
      <c r="B90" s="42" t="s">
        <v>574</v>
      </c>
      <c r="C90" s="57" t="s">
        <v>582</v>
      </c>
      <c r="D90" t="s">
        <v>590</v>
      </c>
      <c r="E90" s="46" t="s">
        <v>598</v>
      </c>
    </row>
    <row r="91" spans="1:8" x14ac:dyDescent="0.3">
      <c r="A91" s="42"/>
      <c r="B91" s="42" t="s">
        <v>575</v>
      </c>
      <c r="C91" s="57" t="s">
        <v>583</v>
      </c>
      <c r="D91" t="s">
        <v>591</v>
      </c>
      <c r="E91" s="46" t="s">
        <v>599</v>
      </c>
    </row>
    <row r="92" spans="1:8" x14ac:dyDescent="0.3">
      <c r="A92" s="42"/>
      <c r="B92" s="42" t="s">
        <v>576</v>
      </c>
      <c r="C92" s="57" t="s">
        <v>584</v>
      </c>
      <c r="D92" t="s">
        <v>592</v>
      </c>
      <c r="E92" s="46" t="s">
        <v>600</v>
      </c>
    </row>
    <row r="93" spans="1:8" x14ac:dyDescent="0.3">
      <c r="A93" s="42"/>
      <c r="B93" s="42" t="s">
        <v>577</v>
      </c>
      <c r="C93" s="58" t="s">
        <v>585</v>
      </c>
      <c r="D93" t="s">
        <v>593</v>
      </c>
      <c r="E93" s="46" t="s">
        <v>601</v>
      </c>
    </row>
    <row r="94" spans="1:8" x14ac:dyDescent="0.3">
      <c r="A94" s="42"/>
      <c r="B94" s="58" t="s">
        <v>115</v>
      </c>
      <c r="C94" s="58" t="s">
        <v>115</v>
      </c>
      <c r="D94" s="58" t="s">
        <v>115</v>
      </c>
      <c r="E94" s="58" t="s">
        <v>115</v>
      </c>
    </row>
    <row r="98" spans="1:15" ht="18" x14ac:dyDescent="0.35">
      <c r="A98" s="132" t="s">
        <v>462</v>
      </c>
      <c r="B98" s="132"/>
      <c r="C98" s="110"/>
      <c r="D98" s="63"/>
    </row>
    <row r="99" spans="1:15" x14ac:dyDescent="0.3">
      <c r="A99" s="57" t="s">
        <v>112</v>
      </c>
      <c r="B99" s="60">
        <v>70</v>
      </c>
    </row>
    <row r="100" spans="1:15" x14ac:dyDescent="0.3">
      <c r="A100" s="57" t="s">
        <v>110</v>
      </c>
      <c r="B100" s="60">
        <v>8</v>
      </c>
    </row>
    <row r="101" spans="1:15" x14ac:dyDescent="0.3">
      <c r="A101" s="57" t="s">
        <v>113</v>
      </c>
      <c r="B101" s="60" t="s">
        <v>117</v>
      </c>
    </row>
    <row r="102" spans="1:15" x14ac:dyDescent="0.3">
      <c r="A102" s="57" t="s">
        <v>120</v>
      </c>
      <c r="B102" s="60" t="s">
        <v>121</v>
      </c>
    </row>
    <row r="103" spans="1:15" x14ac:dyDescent="0.3">
      <c r="A103" s="57" t="s">
        <v>114</v>
      </c>
      <c r="B103" s="57" t="s">
        <v>118</v>
      </c>
      <c r="C103" s="57" t="s">
        <v>119</v>
      </c>
      <c r="D103" s="57" t="s">
        <v>118</v>
      </c>
      <c r="E103" s="57" t="s">
        <v>119</v>
      </c>
      <c r="F103" s="57" t="s">
        <v>118</v>
      </c>
      <c r="G103" s="57" t="s">
        <v>119</v>
      </c>
      <c r="H103" s="57" t="s">
        <v>118</v>
      </c>
      <c r="I103" s="57" t="s">
        <v>119</v>
      </c>
      <c r="J103" s="57" t="s">
        <v>118</v>
      </c>
      <c r="K103" s="57" t="s">
        <v>119</v>
      </c>
      <c r="L103" s="46" t="s">
        <v>115</v>
      </c>
    </row>
    <row r="104" spans="1:15" x14ac:dyDescent="0.3">
      <c r="A104" s="41" t="s">
        <v>254</v>
      </c>
      <c r="B104">
        <v>0</v>
      </c>
      <c r="C104">
        <v>0</v>
      </c>
      <c r="D104" s="64">
        <v>1</v>
      </c>
      <c r="E104" s="64">
        <v>1</v>
      </c>
      <c r="F104" s="64">
        <v>2</v>
      </c>
      <c r="G104" s="64">
        <v>2</v>
      </c>
      <c r="H104" s="64">
        <v>3</v>
      </c>
      <c r="I104" s="64">
        <v>3</v>
      </c>
      <c r="J104" s="64">
        <v>4</v>
      </c>
      <c r="K104" s="64">
        <v>4</v>
      </c>
      <c r="L104" s="64"/>
      <c r="M104" s="64"/>
      <c r="N104" s="64"/>
      <c r="O104" s="64"/>
    </row>
    <row r="105" spans="1:15" x14ac:dyDescent="0.3">
      <c r="A105" s="42" t="s">
        <v>115</v>
      </c>
      <c r="B105" s="52" t="s">
        <v>387</v>
      </c>
      <c r="C105" s="52" t="s">
        <v>395</v>
      </c>
      <c r="D105" s="52" t="s">
        <v>403</v>
      </c>
      <c r="E105" s="52" t="s">
        <v>411</v>
      </c>
      <c r="F105" s="85" t="s">
        <v>419</v>
      </c>
      <c r="G105" s="85" t="s">
        <v>427</v>
      </c>
      <c r="H105" s="85" t="s">
        <v>435</v>
      </c>
      <c r="I105" s="70" t="s">
        <v>443</v>
      </c>
      <c r="J105" s="70" t="s">
        <v>553</v>
      </c>
      <c r="K105" s="70" t="s">
        <v>554</v>
      </c>
    </row>
    <row r="106" spans="1:15" x14ac:dyDescent="0.3">
      <c r="B106" s="46" t="s">
        <v>388</v>
      </c>
      <c r="C106" s="46" t="s">
        <v>396</v>
      </c>
      <c r="D106" s="46" t="s">
        <v>404</v>
      </c>
      <c r="E106" s="46" t="s">
        <v>412</v>
      </c>
      <c r="F106" s="88" t="s">
        <v>420</v>
      </c>
      <c r="G106" s="88" t="s">
        <v>428</v>
      </c>
      <c r="H106" s="88" t="s">
        <v>436</v>
      </c>
      <c r="I106" s="73" t="s">
        <v>444</v>
      </c>
      <c r="J106" s="73" t="s">
        <v>555</v>
      </c>
      <c r="K106" s="73" t="s">
        <v>556</v>
      </c>
    </row>
    <row r="107" spans="1:15" x14ac:dyDescent="0.3">
      <c r="B107" s="46" t="s">
        <v>389</v>
      </c>
      <c r="C107" s="46" t="s">
        <v>397</v>
      </c>
      <c r="D107" s="46" t="s">
        <v>405</v>
      </c>
      <c r="E107" s="46" t="s">
        <v>413</v>
      </c>
      <c r="F107" s="88" t="s">
        <v>421</v>
      </c>
      <c r="G107" s="88" t="s">
        <v>429</v>
      </c>
      <c r="H107" s="88" t="s">
        <v>437</v>
      </c>
      <c r="I107" s="73" t="s">
        <v>445</v>
      </c>
      <c r="J107" s="73" t="s">
        <v>557</v>
      </c>
      <c r="K107" s="73" t="s">
        <v>558</v>
      </c>
    </row>
    <row r="108" spans="1:15" x14ac:dyDescent="0.3">
      <c r="B108" s="46" t="s">
        <v>390</v>
      </c>
      <c r="C108" s="46" t="s">
        <v>398</v>
      </c>
      <c r="D108" s="46" t="s">
        <v>406</v>
      </c>
      <c r="E108" s="46" t="s">
        <v>414</v>
      </c>
      <c r="F108" s="88" t="s">
        <v>422</v>
      </c>
      <c r="G108" s="88" t="s">
        <v>430</v>
      </c>
      <c r="H108" s="88" t="s">
        <v>438</v>
      </c>
      <c r="I108" s="73" t="s">
        <v>446</v>
      </c>
      <c r="J108" s="73" t="s">
        <v>559</v>
      </c>
      <c r="K108" s="73" t="s">
        <v>560</v>
      </c>
    </row>
    <row r="109" spans="1:15" x14ac:dyDescent="0.3">
      <c r="B109" s="46" t="s">
        <v>391</v>
      </c>
      <c r="C109" s="46" t="s">
        <v>399</v>
      </c>
      <c r="D109" s="46" t="s">
        <v>407</v>
      </c>
      <c r="E109" s="46" t="s">
        <v>415</v>
      </c>
      <c r="F109" s="88" t="s">
        <v>423</v>
      </c>
      <c r="G109" s="88" t="s">
        <v>431</v>
      </c>
      <c r="H109" s="88" t="s">
        <v>439</v>
      </c>
      <c r="I109" s="73" t="s">
        <v>447</v>
      </c>
      <c r="J109" s="73" t="s">
        <v>561</v>
      </c>
      <c r="K109" s="73" t="s">
        <v>562</v>
      </c>
    </row>
    <row r="110" spans="1:15" x14ac:dyDescent="0.3">
      <c r="B110" s="46" t="s">
        <v>392</v>
      </c>
      <c r="C110" s="46" t="s">
        <v>400</v>
      </c>
      <c r="D110" s="46" t="s">
        <v>408</v>
      </c>
      <c r="E110" s="46" t="s">
        <v>416</v>
      </c>
      <c r="F110" s="88" t="s">
        <v>424</v>
      </c>
      <c r="G110" s="88" t="s">
        <v>432</v>
      </c>
      <c r="H110" s="88" t="s">
        <v>440</v>
      </c>
      <c r="I110" s="73" t="s">
        <v>448</v>
      </c>
      <c r="J110" s="73" t="s">
        <v>563</v>
      </c>
      <c r="K110" s="73" t="s">
        <v>564</v>
      </c>
    </row>
    <row r="111" spans="1:15" x14ac:dyDescent="0.3">
      <c r="B111" s="46" t="s">
        <v>393</v>
      </c>
      <c r="C111" s="46" t="s">
        <v>401</v>
      </c>
      <c r="D111" s="46" t="s">
        <v>409</v>
      </c>
      <c r="E111" s="46" t="s">
        <v>417</v>
      </c>
      <c r="F111" s="88" t="s">
        <v>425</v>
      </c>
      <c r="G111" s="88" t="s">
        <v>433</v>
      </c>
      <c r="H111" s="88" t="s">
        <v>441</v>
      </c>
      <c r="I111" s="73" t="s">
        <v>449</v>
      </c>
      <c r="J111" s="73" t="s">
        <v>565</v>
      </c>
      <c r="K111" s="73" t="s">
        <v>566</v>
      </c>
    </row>
    <row r="112" spans="1:15" x14ac:dyDescent="0.3">
      <c r="B112" s="48" t="s">
        <v>394</v>
      </c>
      <c r="C112" s="48" t="s">
        <v>402</v>
      </c>
      <c r="D112" s="48" t="s">
        <v>410</v>
      </c>
      <c r="E112" s="48" t="s">
        <v>418</v>
      </c>
      <c r="F112" s="90" t="s">
        <v>426</v>
      </c>
      <c r="G112" s="90" t="s">
        <v>434</v>
      </c>
      <c r="H112" s="90" t="s">
        <v>442</v>
      </c>
      <c r="I112" s="75" t="s">
        <v>450</v>
      </c>
      <c r="J112" s="75" t="s">
        <v>567</v>
      </c>
      <c r="K112" s="75" t="s">
        <v>568</v>
      </c>
    </row>
    <row r="113" spans="1:30" x14ac:dyDescent="0.3">
      <c r="B113" s="42" t="s">
        <v>115</v>
      </c>
      <c r="C113" s="42" t="s">
        <v>115</v>
      </c>
      <c r="D113" s="42" t="s">
        <v>115</v>
      </c>
      <c r="E113" s="42" t="s">
        <v>115</v>
      </c>
      <c r="F113" s="42" t="s">
        <v>115</v>
      </c>
      <c r="G113" t="s">
        <v>115</v>
      </c>
      <c r="H113" s="42" t="s">
        <v>115</v>
      </c>
      <c r="I113" t="s">
        <v>115</v>
      </c>
      <c r="J113" s="42" t="s">
        <v>115</v>
      </c>
      <c r="K113" t="s">
        <v>115</v>
      </c>
    </row>
    <row r="116" spans="1:30" ht="18" x14ac:dyDescent="0.35">
      <c r="A116" s="132" t="s">
        <v>739</v>
      </c>
      <c r="B116" s="132"/>
    </row>
    <row r="117" spans="1:30" x14ac:dyDescent="0.3">
      <c r="A117" s="57" t="s">
        <v>127</v>
      </c>
      <c r="B117" s="57" t="s">
        <v>893</v>
      </c>
    </row>
    <row r="118" spans="1:30" x14ac:dyDescent="0.3">
      <c r="A118" s="57" t="s">
        <v>112</v>
      </c>
      <c r="B118" s="60">
        <v>256</v>
      </c>
    </row>
    <row r="119" spans="1:30" x14ac:dyDescent="0.3">
      <c r="A119" s="57" t="s">
        <v>110</v>
      </c>
      <c r="B119" s="60">
        <v>8</v>
      </c>
    </row>
    <row r="120" spans="1:30" x14ac:dyDescent="0.3">
      <c r="A120" s="57" t="s">
        <v>113</v>
      </c>
      <c r="B120" s="60" t="s">
        <v>117</v>
      </c>
    </row>
    <row r="121" spans="1:30" x14ac:dyDescent="0.3">
      <c r="A121" s="57" t="s">
        <v>120</v>
      </c>
      <c r="B121" s="60" t="s">
        <v>121</v>
      </c>
    </row>
    <row r="122" spans="1:30" x14ac:dyDescent="0.3">
      <c r="A122" s="57" t="s">
        <v>114</v>
      </c>
      <c r="B122" s="57" t="s">
        <v>118</v>
      </c>
      <c r="C122" s="58" t="s">
        <v>119</v>
      </c>
      <c r="D122" s="57" t="s">
        <v>118</v>
      </c>
      <c r="E122" s="58" t="s">
        <v>119</v>
      </c>
      <c r="F122" s="58" t="s">
        <v>119</v>
      </c>
      <c r="G122" s="58" t="s">
        <v>119</v>
      </c>
      <c r="H122" s="58" t="s">
        <v>119</v>
      </c>
      <c r="I122" s="58" t="s">
        <v>119</v>
      </c>
      <c r="J122" s="58" t="s">
        <v>119</v>
      </c>
      <c r="K122" s="58" t="s">
        <v>119</v>
      </c>
      <c r="L122" s="58" t="s">
        <v>119</v>
      </c>
      <c r="M122" s="58" t="s">
        <v>119</v>
      </c>
      <c r="N122" s="58" t="s">
        <v>119</v>
      </c>
      <c r="O122" s="58" t="s">
        <v>119</v>
      </c>
      <c r="P122" s="58" t="s">
        <v>119</v>
      </c>
      <c r="Q122" s="58" t="s">
        <v>119</v>
      </c>
      <c r="R122" s="58" t="s">
        <v>119</v>
      </c>
      <c r="S122" s="58" t="s">
        <v>119</v>
      </c>
      <c r="T122" s="58" t="s">
        <v>119</v>
      </c>
      <c r="U122" s="58" t="s">
        <v>119</v>
      </c>
      <c r="V122" s="58" t="s">
        <v>119</v>
      </c>
      <c r="W122" s="58" t="s">
        <v>119</v>
      </c>
      <c r="X122" s="58" t="s">
        <v>119</v>
      </c>
      <c r="Y122" s="58" t="s">
        <v>119</v>
      </c>
      <c r="Z122" s="58" t="s">
        <v>119</v>
      </c>
      <c r="AA122" s="58" t="s">
        <v>119</v>
      </c>
      <c r="AB122" s="58" t="s">
        <v>119</v>
      </c>
      <c r="AC122" s="58" t="s">
        <v>119</v>
      </c>
      <c r="AD122" s="58" t="s">
        <v>115</v>
      </c>
    </row>
    <row r="123" spans="1:30" ht="15" thickBot="1" x14ac:dyDescent="0.35">
      <c r="A123" s="41" t="s">
        <v>742</v>
      </c>
      <c r="B123">
        <v>0</v>
      </c>
      <c r="C123">
        <v>0</v>
      </c>
      <c r="D123">
        <v>1</v>
      </c>
      <c r="E123">
        <v>1</v>
      </c>
      <c r="F123">
        <v>2</v>
      </c>
      <c r="G123">
        <v>2</v>
      </c>
      <c r="H123">
        <v>3</v>
      </c>
      <c r="I123">
        <v>3</v>
      </c>
      <c r="J123">
        <v>4</v>
      </c>
      <c r="K123">
        <v>4</v>
      </c>
      <c r="L123">
        <v>5</v>
      </c>
      <c r="M123">
        <v>5</v>
      </c>
      <c r="N123">
        <v>6</v>
      </c>
      <c r="O123">
        <v>6</v>
      </c>
      <c r="P123">
        <v>7</v>
      </c>
      <c r="Q123">
        <v>7</v>
      </c>
      <c r="R123">
        <v>8</v>
      </c>
      <c r="S123">
        <v>8</v>
      </c>
      <c r="T123">
        <v>9</v>
      </c>
      <c r="U123">
        <v>9</v>
      </c>
      <c r="V123">
        <v>10</v>
      </c>
      <c r="W123">
        <v>10</v>
      </c>
      <c r="X123">
        <v>11</v>
      </c>
      <c r="Y123">
        <v>11</v>
      </c>
      <c r="Z123">
        <v>12</v>
      </c>
      <c r="AA123">
        <v>12</v>
      </c>
      <c r="AB123">
        <v>13</v>
      </c>
      <c r="AC123">
        <v>13</v>
      </c>
    </row>
    <row r="124" spans="1:30" x14ac:dyDescent="0.3">
      <c r="A124" s="42" t="s">
        <v>115</v>
      </c>
      <c r="B124" s="102" t="s">
        <v>648</v>
      </c>
      <c r="C124" s="57" t="s">
        <v>656</v>
      </c>
      <c r="D124" t="s">
        <v>664</v>
      </c>
      <c r="E124" t="s">
        <v>672</v>
      </c>
      <c r="F124" s="42" t="s">
        <v>602</v>
      </c>
      <c r="G124" s="57" t="s">
        <v>603</v>
      </c>
      <c r="H124" t="s">
        <v>604</v>
      </c>
      <c r="I124" s="42" t="s">
        <v>605</v>
      </c>
      <c r="J124" t="s">
        <v>762</v>
      </c>
      <c r="K124" t="s">
        <v>770</v>
      </c>
      <c r="L124" t="s">
        <v>778</v>
      </c>
      <c r="M124" t="s">
        <v>786</v>
      </c>
      <c r="N124" s="42" t="s">
        <v>309</v>
      </c>
      <c r="O124" s="57" t="s">
        <v>317</v>
      </c>
      <c r="P124" t="s">
        <v>319</v>
      </c>
      <c r="Q124" s="42" t="s">
        <v>327</v>
      </c>
      <c r="R124" s="42" t="s">
        <v>794</v>
      </c>
      <c r="S124" s="57" t="s">
        <v>795</v>
      </c>
      <c r="T124" t="s">
        <v>796</v>
      </c>
      <c r="U124" s="42" t="s">
        <v>797</v>
      </c>
      <c r="V124" s="42" t="s">
        <v>335</v>
      </c>
      <c r="W124" s="57" t="s">
        <v>343</v>
      </c>
      <c r="X124" t="s">
        <v>351</v>
      </c>
      <c r="Y124" s="42" t="s">
        <v>359</v>
      </c>
      <c r="Z124" s="42" t="s">
        <v>826</v>
      </c>
      <c r="AA124" s="57" t="s">
        <v>827</v>
      </c>
      <c r="AB124" t="s">
        <v>828</v>
      </c>
      <c r="AC124" s="42" t="s">
        <v>829</v>
      </c>
    </row>
    <row r="125" spans="1:30" x14ac:dyDescent="0.3">
      <c r="A125" s="42"/>
      <c r="B125" s="42" t="s">
        <v>647</v>
      </c>
      <c r="C125" s="57" t="s">
        <v>655</v>
      </c>
      <c r="D125" t="s">
        <v>663</v>
      </c>
      <c r="E125" t="s">
        <v>671</v>
      </c>
      <c r="F125" s="42" t="s">
        <v>606</v>
      </c>
      <c r="G125" s="57" t="s">
        <v>607</v>
      </c>
      <c r="H125" t="s">
        <v>608</v>
      </c>
      <c r="I125" s="42" t="s">
        <v>609</v>
      </c>
      <c r="J125" t="s">
        <v>763</v>
      </c>
      <c r="K125" t="s">
        <v>771</v>
      </c>
      <c r="L125" t="s">
        <v>779</v>
      </c>
      <c r="M125" t="s">
        <v>787</v>
      </c>
      <c r="N125" s="42" t="s">
        <v>310</v>
      </c>
      <c r="O125" s="57" t="s">
        <v>318</v>
      </c>
      <c r="P125" t="s">
        <v>320</v>
      </c>
      <c r="Q125" s="42" t="s">
        <v>328</v>
      </c>
      <c r="R125" s="42" t="s">
        <v>798</v>
      </c>
      <c r="S125" s="57" t="s">
        <v>799</v>
      </c>
      <c r="T125" t="s">
        <v>800</v>
      </c>
      <c r="U125" s="42" t="s">
        <v>801</v>
      </c>
      <c r="V125" s="42" t="s">
        <v>336</v>
      </c>
      <c r="W125" s="57" t="s">
        <v>344</v>
      </c>
      <c r="X125" t="s">
        <v>352</v>
      </c>
      <c r="Y125" s="42" t="s">
        <v>360</v>
      </c>
      <c r="Z125" s="42" t="s">
        <v>830</v>
      </c>
      <c r="AA125" s="57" t="s">
        <v>831</v>
      </c>
      <c r="AB125" t="s">
        <v>832</v>
      </c>
      <c r="AC125" s="42" t="s">
        <v>833</v>
      </c>
    </row>
    <row r="126" spans="1:30" x14ac:dyDescent="0.3">
      <c r="A126" s="42"/>
      <c r="B126" s="42" t="s">
        <v>646</v>
      </c>
      <c r="C126" s="57" t="s">
        <v>654</v>
      </c>
      <c r="D126" t="s">
        <v>662</v>
      </c>
      <c r="E126" t="s">
        <v>670</v>
      </c>
      <c r="F126" s="42" t="s">
        <v>610</v>
      </c>
      <c r="G126" s="57" t="s">
        <v>611</v>
      </c>
      <c r="H126" t="s">
        <v>612</v>
      </c>
      <c r="I126" s="42" t="s">
        <v>613</v>
      </c>
      <c r="J126" t="s">
        <v>764</v>
      </c>
      <c r="K126" t="s">
        <v>772</v>
      </c>
      <c r="L126" t="s">
        <v>780</v>
      </c>
      <c r="M126" t="s">
        <v>788</v>
      </c>
      <c r="N126" s="42" t="s">
        <v>311</v>
      </c>
      <c r="O126" s="57" t="s">
        <v>634</v>
      </c>
      <c r="P126" t="s">
        <v>321</v>
      </c>
      <c r="Q126" s="42" t="s">
        <v>329</v>
      </c>
      <c r="R126" s="42" t="s">
        <v>802</v>
      </c>
      <c r="S126" s="57" t="s">
        <v>803</v>
      </c>
      <c r="T126" t="s">
        <v>804</v>
      </c>
      <c r="U126" s="42" t="s">
        <v>805</v>
      </c>
      <c r="V126" s="42" t="s">
        <v>337</v>
      </c>
      <c r="W126" s="57" t="s">
        <v>345</v>
      </c>
      <c r="X126" t="s">
        <v>353</v>
      </c>
      <c r="Y126" s="42" t="s">
        <v>361</v>
      </c>
      <c r="Z126" s="42" t="s">
        <v>834</v>
      </c>
      <c r="AA126" s="57" t="s">
        <v>835</v>
      </c>
      <c r="AB126" t="s">
        <v>836</v>
      </c>
      <c r="AC126" s="42" t="s">
        <v>837</v>
      </c>
    </row>
    <row r="127" spans="1:30" x14ac:dyDescent="0.3">
      <c r="A127" s="42"/>
      <c r="B127" s="42" t="s">
        <v>645</v>
      </c>
      <c r="C127" s="57" t="s">
        <v>653</v>
      </c>
      <c r="D127" t="s">
        <v>661</v>
      </c>
      <c r="E127" t="s">
        <v>669</v>
      </c>
      <c r="F127" s="42" t="s">
        <v>614</v>
      </c>
      <c r="G127" s="57" t="s">
        <v>615</v>
      </c>
      <c r="H127" t="s">
        <v>616</v>
      </c>
      <c r="I127" s="42" t="s">
        <v>617</v>
      </c>
      <c r="J127" t="s">
        <v>765</v>
      </c>
      <c r="K127" t="s">
        <v>773</v>
      </c>
      <c r="L127" t="s">
        <v>781</v>
      </c>
      <c r="M127" t="s">
        <v>789</v>
      </c>
      <c r="N127" s="42" t="s">
        <v>312</v>
      </c>
      <c r="O127" s="57" t="s">
        <v>635</v>
      </c>
      <c r="P127" t="s">
        <v>322</v>
      </c>
      <c r="Q127" s="42" t="s">
        <v>330</v>
      </c>
      <c r="R127" s="42" t="s">
        <v>806</v>
      </c>
      <c r="S127" s="57" t="s">
        <v>807</v>
      </c>
      <c r="T127" t="s">
        <v>808</v>
      </c>
      <c r="U127" s="42" t="s">
        <v>809</v>
      </c>
      <c r="V127" s="42" t="s">
        <v>338</v>
      </c>
      <c r="W127" s="57" t="s">
        <v>346</v>
      </c>
      <c r="X127" t="s">
        <v>354</v>
      </c>
      <c r="Y127" s="42" t="s">
        <v>362</v>
      </c>
      <c r="Z127" s="42" t="s">
        <v>838</v>
      </c>
      <c r="AA127" s="57" t="s">
        <v>839</v>
      </c>
      <c r="AB127" t="s">
        <v>840</v>
      </c>
      <c r="AC127" s="42" t="s">
        <v>841</v>
      </c>
    </row>
    <row r="128" spans="1:30" x14ac:dyDescent="0.3">
      <c r="A128" s="42"/>
      <c r="B128" s="42" t="s">
        <v>644</v>
      </c>
      <c r="C128" s="57" t="s">
        <v>652</v>
      </c>
      <c r="D128" t="s">
        <v>660</v>
      </c>
      <c r="E128" t="s">
        <v>668</v>
      </c>
      <c r="F128" s="42" t="s">
        <v>618</v>
      </c>
      <c r="G128" s="57" t="s">
        <v>619</v>
      </c>
      <c r="H128" t="s">
        <v>620</v>
      </c>
      <c r="I128" s="42" t="s">
        <v>621</v>
      </c>
      <c r="J128" t="s">
        <v>766</v>
      </c>
      <c r="K128" t="s">
        <v>774</v>
      </c>
      <c r="L128" t="s">
        <v>782</v>
      </c>
      <c r="M128" t="s">
        <v>790</v>
      </c>
      <c r="N128" s="42" t="s">
        <v>313</v>
      </c>
      <c r="O128" s="57" t="s">
        <v>636</v>
      </c>
      <c r="P128" t="s">
        <v>323</v>
      </c>
      <c r="Q128" s="42" t="s">
        <v>331</v>
      </c>
      <c r="R128" s="42" t="s">
        <v>810</v>
      </c>
      <c r="S128" s="57" t="s">
        <v>811</v>
      </c>
      <c r="T128" t="s">
        <v>812</v>
      </c>
      <c r="U128" s="42" t="s">
        <v>813</v>
      </c>
      <c r="V128" s="42" t="s">
        <v>339</v>
      </c>
      <c r="W128" s="57" t="s">
        <v>347</v>
      </c>
      <c r="X128" t="s">
        <v>355</v>
      </c>
      <c r="Y128" s="42" t="s">
        <v>363</v>
      </c>
      <c r="Z128" s="42" t="s">
        <v>842</v>
      </c>
      <c r="AA128" s="57" t="s">
        <v>843</v>
      </c>
      <c r="AB128" t="s">
        <v>844</v>
      </c>
      <c r="AC128" s="42" t="s">
        <v>845</v>
      </c>
    </row>
    <row r="129" spans="1:29" x14ac:dyDescent="0.3">
      <c r="A129" s="42"/>
      <c r="B129" s="42" t="s">
        <v>643</v>
      </c>
      <c r="C129" s="57" t="s">
        <v>651</v>
      </c>
      <c r="D129" t="s">
        <v>659</v>
      </c>
      <c r="E129" t="s">
        <v>667</v>
      </c>
      <c r="F129" s="42" t="s">
        <v>622</v>
      </c>
      <c r="G129" s="57" t="s">
        <v>623</v>
      </c>
      <c r="H129" t="s">
        <v>624</v>
      </c>
      <c r="I129" s="42" t="s">
        <v>625</v>
      </c>
      <c r="J129" t="s">
        <v>767</v>
      </c>
      <c r="K129" t="s">
        <v>775</v>
      </c>
      <c r="L129" t="s">
        <v>783</v>
      </c>
      <c r="M129" t="s">
        <v>791</v>
      </c>
      <c r="N129" s="42" t="s">
        <v>314</v>
      </c>
      <c r="O129" s="57" t="s">
        <v>637</v>
      </c>
      <c r="P129" t="s">
        <v>324</v>
      </c>
      <c r="Q129" s="42" t="s">
        <v>332</v>
      </c>
      <c r="R129" s="42" t="s">
        <v>814</v>
      </c>
      <c r="S129" s="57" t="s">
        <v>815</v>
      </c>
      <c r="T129" t="s">
        <v>816</v>
      </c>
      <c r="U129" s="42" t="s">
        <v>817</v>
      </c>
      <c r="V129" s="42" t="s">
        <v>340</v>
      </c>
      <c r="W129" s="57" t="s">
        <v>348</v>
      </c>
      <c r="X129" t="s">
        <v>356</v>
      </c>
      <c r="Y129" s="42" t="s">
        <v>364</v>
      </c>
      <c r="Z129" s="42" t="s">
        <v>846</v>
      </c>
      <c r="AA129" s="57" t="s">
        <v>847</v>
      </c>
      <c r="AB129" t="s">
        <v>848</v>
      </c>
      <c r="AC129" s="42" t="s">
        <v>849</v>
      </c>
    </row>
    <row r="130" spans="1:29" x14ac:dyDescent="0.3">
      <c r="A130" s="42"/>
      <c r="B130" s="42" t="s">
        <v>642</v>
      </c>
      <c r="C130" s="57" t="s">
        <v>650</v>
      </c>
      <c r="D130" t="s">
        <v>658</v>
      </c>
      <c r="E130" t="s">
        <v>666</v>
      </c>
      <c r="F130" s="42" t="s">
        <v>626</v>
      </c>
      <c r="G130" s="57" t="s">
        <v>627</v>
      </c>
      <c r="H130" t="s">
        <v>628</v>
      </c>
      <c r="I130" s="42" t="s">
        <v>629</v>
      </c>
      <c r="J130" t="s">
        <v>768</v>
      </c>
      <c r="K130" t="s">
        <v>776</v>
      </c>
      <c r="L130" t="s">
        <v>784</v>
      </c>
      <c r="M130" t="s">
        <v>792</v>
      </c>
      <c r="N130" s="42" t="s">
        <v>315</v>
      </c>
      <c r="O130" s="57" t="s">
        <v>638</v>
      </c>
      <c r="P130" t="s">
        <v>325</v>
      </c>
      <c r="Q130" s="42" t="s">
        <v>333</v>
      </c>
      <c r="R130" s="42" t="s">
        <v>818</v>
      </c>
      <c r="S130" s="57" t="s">
        <v>819</v>
      </c>
      <c r="T130" t="s">
        <v>820</v>
      </c>
      <c r="U130" s="42" t="s">
        <v>821</v>
      </c>
      <c r="V130" s="42" t="s">
        <v>341</v>
      </c>
      <c r="W130" s="57" t="s">
        <v>349</v>
      </c>
      <c r="X130" t="s">
        <v>357</v>
      </c>
      <c r="Y130" s="42" t="s">
        <v>365</v>
      </c>
      <c r="Z130" s="42" t="s">
        <v>850</v>
      </c>
      <c r="AA130" s="57" t="s">
        <v>851</v>
      </c>
      <c r="AB130" t="s">
        <v>852</v>
      </c>
      <c r="AC130" s="42" t="s">
        <v>853</v>
      </c>
    </row>
    <row r="131" spans="1:29" x14ac:dyDescent="0.3">
      <c r="A131" s="42"/>
      <c r="B131" s="42" t="s">
        <v>641</v>
      </c>
      <c r="C131" s="58" t="s">
        <v>649</v>
      </c>
      <c r="D131" s="58" t="s">
        <v>657</v>
      </c>
      <c r="E131" t="s">
        <v>665</v>
      </c>
      <c r="F131" s="42" t="s">
        <v>630</v>
      </c>
      <c r="G131" s="58" t="s">
        <v>631</v>
      </c>
      <c r="H131" t="s">
        <v>632</v>
      </c>
      <c r="I131" s="42" t="s">
        <v>633</v>
      </c>
      <c r="J131" t="s">
        <v>769</v>
      </c>
      <c r="K131" t="s">
        <v>777</v>
      </c>
      <c r="L131" t="s">
        <v>785</v>
      </c>
      <c r="M131" t="s">
        <v>793</v>
      </c>
      <c r="N131" s="42" t="s">
        <v>316</v>
      </c>
      <c r="O131" s="58" t="s">
        <v>639</v>
      </c>
      <c r="P131" t="s">
        <v>326</v>
      </c>
      <c r="Q131" s="42" t="s">
        <v>334</v>
      </c>
      <c r="R131" s="42" t="s">
        <v>822</v>
      </c>
      <c r="S131" s="58" t="s">
        <v>823</v>
      </c>
      <c r="T131" t="s">
        <v>824</v>
      </c>
      <c r="U131" s="42" t="s">
        <v>825</v>
      </c>
      <c r="V131" s="42" t="s">
        <v>342</v>
      </c>
      <c r="W131" s="58" t="s">
        <v>350</v>
      </c>
      <c r="X131" t="s">
        <v>358</v>
      </c>
      <c r="Y131" s="42" t="s">
        <v>366</v>
      </c>
      <c r="Z131" s="42" t="s">
        <v>854</v>
      </c>
      <c r="AA131" s="58" t="s">
        <v>855</v>
      </c>
      <c r="AB131" t="s">
        <v>856</v>
      </c>
      <c r="AC131" s="42" t="s">
        <v>857</v>
      </c>
    </row>
    <row r="132" spans="1:29" x14ac:dyDescent="0.3">
      <c r="B132" s="58" t="s">
        <v>115</v>
      </c>
      <c r="C132" s="58" t="s">
        <v>115</v>
      </c>
      <c r="D132" s="58" t="s">
        <v>115</v>
      </c>
      <c r="E132" s="58" t="s">
        <v>115</v>
      </c>
      <c r="F132" s="58" t="s">
        <v>115</v>
      </c>
      <c r="G132" s="58" t="s">
        <v>115</v>
      </c>
      <c r="H132" s="58" t="s">
        <v>115</v>
      </c>
      <c r="I132" s="58" t="s">
        <v>115</v>
      </c>
      <c r="J132" s="58" t="s">
        <v>115</v>
      </c>
      <c r="K132" s="58" t="s">
        <v>115</v>
      </c>
      <c r="L132" s="58" t="s">
        <v>115</v>
      </c>
      <c r="M132" s="58" t="s">
        <v>115</v>
      </c>
      <c r="N132" s="58" t="s">
        <v>115</v>
      </c>
      <c r="O132" s="58" t="s">
        <v>115</v>
      </c>
      <c r="P132" s="58" t="s">
        <v>115</v>
      </c>
      <c r="Q132" s="58" t="s">
        <v>115</v>
      </c>
      <c r="R132" s="58" t="s">
        <v>115</v>
      </c>
      <c r="S132" s="58" t="s">
        <v>115</v>
      </c>
      <c r="T132" s="58" t="s">
        <v>115</v>
      </c>
      <c r="U132" s="58" t="s">
        <v>115</v>
      </c>
      <c r="V132" s="58" t="s">
        <v>115</v>
      </c>
      <c r="W132" s="58" t="s">
        <v>115</v>
      </c>
      <c r="X132" s="58" t="s">
        <v>115</v>
      </c>
      <c r="Y132" s="58" t="s">
        <v>115</v>
      </c>
      <c r="Z132" s="58" t="s">
        <v>115</v>
      </c>
      <c r="AA132" s="58" t="s">
        <v>115</v>
      </c>
      <c r="AB132" s="58" t="s">
        <v>115</v>
      </c>
      <c r="AC132" s="58" t="s">
        <v>115</v>
      </c>
    </row>
    <row r="135" spans="1:29" ht="18" x14ac:dyDescent="0.35">
      <c r="A135" s="132" t="s">
        <v>884</v>
      </c>
      <c r="B135" s="132"/>
    </row>
    <row r="136" spans="1:29" x14ac:dyDescent="0.3">
      <c r="A136" s="57" t="s">
        <v>112</v>
      </c>
      <c r="B136" s="60">
        <v>10</v>
      </c>
    </row>
    <row r="137" spans="1:29" x14ac:dyDescent="0.3">
      <c r="A137" s="57" t="s">
        <v>110</v>
      </c>
      <c r="B137" s="60">
        <v>10</v>
      </c>
    </row>
    <row r="138" spans="1:29" x14ac:dyDescent="0.3">
      <c r="A138" s="58" t="s">
        <v>114</v>
      </c>
      <c r="B138" s="57"/>
    </row>
    <row r="139" spans="1:29" x14ac:dyDescent="0.3">
      <c r="A139" s="57" t="s">
        <v>885</v>
      </c>
      <c r="B139" s="57"/>
    </row>
    <row r="140" spans="1:29" x14ac:dyDescent="0.3">
      <c r="A140" s="57" t="s">
        <v>115</v>
      </c>
      <c r="B140" s="57"/>
    </row>
    <row r="141" spans="1:29" x14ac:dyDescent="0.3">
      <c r="B141" s="57"/>
    </row>
  </sheetData>
  <mergeCells count="13">
    <mergeCell ref="G2:H2"/>
    <mergeCell ref="A21:B21"/>
    <mergeCell ref="C21:D21"/>
    <mergeCell ref="A98:B98"/>
    <mergeCell ref="A40:B40"/>
    <mergeCell ref="A50:B50"/>
    <mergeCell ref="A68:B68"/>
    <mergeCell ref="A78:B78"/>
    <mergeCell ref="A135:B135"/>
    <mergeCell ref="A116:B116"/>
    <mergeCell ref="A2:B2"/>
    <mergeCell ref="C2:D2"/>
    <mergeCell ref="E2:F2"/>
  </mergeCells>
  <pageMargins left="0.511811024" right="0.511811024" top="0.78740157499999996" bottom="0.78740157499999996" header="0.31496062000000002" footer="0.31496062000000002"/>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dimension ref="A1:AP258"/>
  <sheetViews>
    <sheetView workbookViewId="0">
      <selection activeCell="H12" sqref="H12"/>
    </sheetView>
  </sheetViews>
  <sheetFormatPr defaultRowHeight="14.4" x14ac:dyDescent="0.3"/>
  <cols>
    <col min="4" max="5" width="17.77734375" customWidth="1"/>
    <col min="6" max="7" width="9.77734375" customWidth="1"/>
    <col min="9" max="11" width="15.77734375" customWidth="1"/>
    <col min="15" max="15" width="17.21875" customWidth="1"/>
    <col min="16" max="16" width="14.5546875" customWidth="1"/>
    <col min="17" max="17" width="13.44140625" customWidth="1"/>
    <col min="18" max="18" width="17.44140625" customWidth="1"/>
    <col min="22" max="22" width="16.21875" bestFit="1" customWidth="1"/>
    <col min="23" max="23" width="12.77734375" customWidth="1"/>
    <col min="24" max="24" width="13.77734375" customWidth="1"/>
    <col min="25" max="27" width="15.21875" customWidth="1"/>
    <col min="28" max="28" width="18.5546875" customWidth="1"/>
    <col min="29" max="29" width="19" customWidth="1"/>
    <col min="30" max="30" width="17.77734375" customWidth="1"/>
    <col min="35" max="35" width="13.77734375" customWidth="1"/>
    <col min="36" max="36" width="12.77734375" customWidth="1"/>
    <col min="41" max="41" width="16.44140625" customWidth="1"/>
    <col min="42" max="42" width="14.77734375" customWidth="1"/>
  </cols>
  <sheetData>
    <row r="1" spans="1:42" ht="24" thickBot="1" x14ac:dyDescent="0.5">
      <c r="A1" s="135" t="s">
        <v>7</v>
      </c>
      <c r="B1" s="136"/>
      <c r="C1" s="136"/>
      <c r="D1" s="136"/>
      <c r="E1" s="137"/>
      <c r="F1" s="135" t="s">
        <v>8</v>
      </c>
      <c r="G1" s="136"/>
      <c r="H1" s="136"/>
      <c r="I1" s="136"/>
      <c r="J1" s="136"/>
      <c r="K1" s="137"/>
      <c r="L1" s="135" t="s">
        <v>10</v>
      </c>
      <c r="M1" s="136"/>
      <c r="N1" s="136"/>
      <c r="O1" s="136"/>
      <c r="P1" s="136"/>
      <c r="Q1" s="136"/>
      <c r="R1" s="137"/>
      <c r="S1" s="135" t="s">
        <v>97</v>
      </c>
      <c r="T1" s="136"/>
      <c r="U1" s="136"/>
      <c r="V1" s="136"/>
      <c r="W1" s="136"/>
      <c r="X1" s="136"/>
      <c r="Y1" s="136"/>
      <c r="Z1" s="136"/>
      <c r="AA1" s="136"/>
      <c r="AB1" s="136"/>
      <c r="AC1" s="136"/>
      <c r="AD1" s="137"/>
      <c r="AF1" s="134" t="s">
        <v>12</v>
      </c>
      <c r="AG1" s="134"/>
      <c r="AH1" s="134"/>
      <c r="AI1" s="134"/>
      <c r="AJ1" s="134"/>
      <c r="AL1" s="134" t="s">
        <v>13</v>
      </c>
      <c r="AM1" s="134"/>
      <c r="AN1" s="134"/>
      <c r="AO1" s="134"/>
      <c r="AP1" s="134"/>
    </row>
    <row r="2" spans="1:42" ht="18" x14ac:dyDescent="0.35">
      <c r="A2" t="s">
        <v>72</v>
      </c>
      <c r="B2" t="s">
        <v>91</v>
      </c>
      <c r="C2" t="s">
        <v>57</v>
      </c>
      <c r="D2" s="51" t="s">
        <v>89</v>
      </c>
      <c r="E2" s="51" t="s">
        <v>92</v>
      </c>
      <c r="F2" t="s">
        <v>72</v>
      </c>
      <c r="G2" t="s">
        <v>91</v>
      </c>
      <c r="H2" t="s">
        <v>57</v>
      </c>
      <c r="I2" s="50" t="s">
        <v>90</v>
      </c>
      <c r="J2" s="50" t="s">
        <v>93</v>
      </c>
      <c r="K2" s="50" t="s">
        <v>64</v>
      </c>
      <c r="L2" t="s">
        <v>72</v>
      </c>
      <c r="M2" t="s">
        <v>91</v>
      </c>
      <c r="N2" t="s">
        <v>57</v>
      </c>
      <c r="O2" s="50" t="s">
        <v>94</v>
      </c>
      <c r="P2" s="50" t="s">
        <v>95</v>
      </c>
      <c r="Q2" s="50" t="s">
        <v>96</v>
      </c>
      <c r="R2" s="50" t="s">
        <v>58</v>
      </c>
      <c r="S2" t="s">
        <v>72</v>
      </c>
      <c r="T2" t="s">
        <v>91</v>
      </c>
      <c r="U2" t="s">
        <v>57</v>
      </c>
      <c r="W2" s="50" t="s">
        <v>95</v>
      </c>
      <c r="X2" s="50" t="s">
        <v>96</v>
      </c>
      <c r="Y2" s="50" t="s">
        <v>58</v>
      </c>
      <c r="Z2" s="50" t="s">
        <v>64</v>
      </c>
      <c r="AA2" s="50" t="s">
        <v>98</v>
      </c>
      <c r="AB2" s="50" t="s">
        <v>99</v>
      </c>
      <c r="AC2" s="50" t="s">
        <v>100</v>
      </c>
      <c r="AD2" s="50" t="s">
        <v>101</v>
      </c>
      <c r="AF2" t="s">
        <v>72</v>
      </c>
      <c r="AG2" t="s">
        <v>91</v>
      </c>
      <c r="AH2" t="s">
        <v>57</v>
      </c>
      <c r="AI2" s="51" t="s">
        <v>89</v>
      </c>
      <c r="AJ2" s="51" t="s">
        <v>92</v>
      </c>
      <c r="AL2" s="7" t="s">
        <v>72</v>
      </c>
      <c r="AM2" s="94" t="s">
        <v>91</v>
      </c>
      <c r="AN2" s="94" t="s">
        <v>57</v>
      </c>
      <c r="AO2" s="95" t="s">
        <v>89</v>
      </c>
      <c r="AP2" s="96" t="s">
        <v>92</v>
      </c>
    </row>
    <row r="3" spans="1:42" x14ac:dyDescent="0.3">
      <c r="A3" s="64">
        <v>1</v>
      </c>
      <c r="B3" s="44" t="s">
        <v>78</v>
      </c>
      <c r="C3" s="44" t="s">
        <v>75</v>
      </c>
      <c r="D3" s="42" t="s">
        <v>102</v>
      </c>
      <c r="E3" s="42" t="s">
        <v>103</v>
      </c>
      <c r="F3" s="64">
        <v>2</v>
      </c>
      <c r="G3" s="64">
        <v>12</v>
      </c>
      <c r="H3" s="45" t="s">
        <v>175</v>
      </c>
      <c r="I3" s="41" t="str">
        <f t="shared" ref="I3:I26" si="0">("ACO-M"&amp;F3&amp;"B"&amp;G3&amp;"P"&amp;H3)</f>
        <v>ACO-M2B12P1</v>
      </c>
      <c r="J3" s="41" t="str">
        <f>("M"&amp;$F3&amp;"B"&amp;$G3&amp;"P"&amp;$H3)</f>
        <v>M2B12P1</v>
      </c>
      <c r="K3" s="41" t="str">
        <f>("M"&amp;$F3&amp;"B"&amp;$G3&amp;"P"&amp;$H3&amp;"-CK")</f>
        <v>M2B12P1-CK</v>
      </c>
      <c r="L3">
        <v>2</v>
      </c>
      <c r="M3" s="45" t="s">
        <v>76</v>
      </c>
      <c r="N3" s="45" t="s">
        <v>175</v>
      </c>
      <c r="O3" s="52" t="str">
        <f>("DBO-M"&amp;$L3&amp;"B"&amp;$M3&amp;"P"&amp;$N3)</f>
        <v>DBO-M2B02P1</v>
      </c>
      <c r="P3" s="53" t="str">
        <f>("M"&amp;$L3&amp;"B"&amp;$M3&amp;"P"&amp;$N3&amp;"-1")</f>
        <v>M2B02P1-1</v>
      </c>
      <c r="Q3" s="53" t="str">
        <f>("M"&amp;$L3&amp;"B"&amp;$M3&amp;"P"&amp;$N3&amp;"-2")</f>
        <v>M2B02P1-2</v>
      </c>
      <c r="R3" s="54" t="str">
        <f>("M"&amp;$L3&amp;"B"&amp;$M3&amp;"P"&amp;$N3&amp;"-FLASH")</f>
        <v>M2B02P1-FLASH</v>
      </c>
      <c r="S3">
        <v>2</v>
      </c>
      <c r="T3" s="64">
        <v>17</v>
      </c>
      <c r="U3" s="45" t="s">
        <v>175</v>
      </c>
      <c r="V3" s="52" t="s">
        <v>176</v>
      </c>
      <c r="W3" s="53" t="str">
        <f>("M"&amp;$S3&amp;"B"&amp;$T3&amp;"P"&amp;$U3&amp;"-1")</f>
        <v>M2B17P1-1</v>
      </c>
      <c r="X3" s="53" t="str">
        <f>("M"&amp;$S3&amp;"B"&amp;$T3&amp;"P"&amp;$U3&amp;"-2")</f>
        <v>M2B17P1-2</v>
      </c>
      <c r="Y3" s="53" t="str">
        <f>("M"&amp;$S3&amp;"B"&amp;$T3&amp;"P"&amp;$U3&amp;"-FLASH")</f>
        <v>M2B17P1-FLASH</v>
      </c>
      <c r="Z3" s="53" t="str">
        <f>("M"&amp;$S3&amp;"B"&amp;$T3&amp;"P"&amp;$U3&amp;"-CK")</f>
        <v>M2B17P1-CK</v>
      </c>
      <c r="AA3" s="53" t="str">
        <f>("M"&amp;$S3&amp;"B"&amp;$T3&amp;"P"&amp;$U3&amp;"-ON")</f>
        <v>M2B17P1-ON</v>
      </c>
      <c r="AB3" s="53" t="str">
        <f>("M"&amp;$S3&amp;"B"&amp;$T3&amp;"P"&amp;$U3&amp;"-NONPROT")</f>
        <v>M2B17P1-NONPROT</v>
      </c>
      <c r="AC3" s="53" t="str">
        <f>("M"&amp;$S3&amp;"B"&amp;$T3&amp;"P"&amp;$U3&amp;"-ONSTATE")</f>
        <v>M2B17P1-ONSTATE</v>
      </c>
      <c r="AD3" s="54" t="str">
        <f>("M"&amp;$S3&amp;"B"&amp;$T3&amp;"P"&amp;$U3&amp;"-FLSTATE")</f>
        <v>M2B17P1-FLSTATE</v>
      </c>
      <c r="AF3" s="64">
        <v>1</v>
      </c>
      <c r="AG3" s="44">
        <v>14</v>
      </c>
      <c r="AH3" s="44" t="s">
        <v>75</v>
      </c>
      <c r="AI3" s="42" t="str">
        <f t="shared" ref="AI3:AI8" si="1">("NVI-M"&amp;AF3&amp;"B"&amp;AG3&amp;"P"&amp;AH3)</f>
        <v>NVI-M1B14P01</v>
      </c>
      <c r="AJ3" s="42" t="str">
        <f>("M"&amp;$A3&amp;"B"&amp;$B3&amp;"P"&amp;$C3)</f>
        <v>M1B04P01</v>
      </c>
      <c r="AL3" s="97">
        <v>1</v>
      </c>
      <c r="AM3" s="93">
        <v>14</v>
      </c>
      <c r="AN3" s="93" t="s">
        <v>75</v>
      </c>
      <c r="AO3" s="57" t="str">
        <f>("NVO-M"&amp;AL3&amp;"B"&amp;AM3&amp;"P"&amp;AN3)</f>
        <v>NVO-M1B14P01</v>
      </c>
      <c r="AP3" s="59" t="str">
        <f>("M"&amp;$AL3&amp;"B"&amp;AM3&amp;"P"&amp;AN3)</f>
        <v>M1B14P01</v>
      </c>
    </row>
    <row r="4" spans="1:42" x14ac:dyDescent="0.3">
      <c r="A4" s="64">
        <v>1</v>
      </c>
      <c r="B4" s="44" t="s">
        <v>78</v>
      </c>
      <c r="C4" s="44" t="s">
        <v>76</v>
      </c>
      <c r="D4" s="57" t="s">
        <v>134</v>
      </c>
      <c r="E4" s="57" t="s">
        <v>134</v>
      </c>
      <c r="F4" s="64">
        <v>2</v>
      </c>
      <c r="G4" s="64">
        <v>12</v>
      </c>
      <c r="H4" s="45" t="s">
        <v>177</v>
      </c>
      <c r="I4" s="42" t="str">
        <f t="shared" si="0"/>
        <v>ACO-M2B12P2</v>
      </c>
      <c r="J4" s="42" t="str">
        <f t="shared" ref="J4:J26" si="2">("M"&amp;$F4&amp;"B"&amp;$G4&amp;"P"&amp;$H4)</f>
        <v>M2B12P2</v>
      </c>
      <c r="K4" s="42" t="str">
        <f t="shared" ref="K4:K26" si="3">("M"&amp;$F4&amp;"B"&amp;$G4&amp;"P"&amp;$H4&amp;"-CK")</f>
        <v>M2B12P2-CK</v>
      </c>
      <c r="L4">
        <v>2</v>
      </c>
      <c r="M4" s="45" t="s">
        <v>76</v>
      </c>
      <c r="N4" s="45" t="s">
        <v>177</v>
      </c>
      <c r="O4" s="46" t="str">
        <f t="shared" ref="O4:O68" si="4">("DBO-M"&amp;$L4&amp;"B"&amp;$M4&amp;"P"&amp;$N4)</f>
        <v>DBO-M2B02P2</v>
      </c>
      <c r="P4" t="str">
        <f t="shared" ref="P4:P68" si="5">("M"&amp;$L4&amp;"B"&amp;$M4&amp;"P"&amp;$N4&amp;"-1")</f>
        <v>M2B02P2-1</v>
      </c>
      <c r="Q4" t="str">
        <f t="shared" ref="Q4:Q68" si="6">("M"&amp;$L4&amp;"B"&amp;$M4&amp;"P"&amp;$N4&amp;"-2")</f>
        <v>M2B02P2-2</v>
      </c>
      <c r="R4" s="47" t="str">
        <f t="shared" ref="R4:R68" si="7">("M"&amp;$L4&amp;"B"&amp;$M4&amp;"P"&amp;$N4&amp;"-FLASH")</f>
        <v>M2B02P2-FLASH</v>
      </c>
      <c r="S4">
        <v>2</v>
      </c>
      <c r="T4" s="64">
        <v>17</v>
      </c>
      <c r="U4" s="45" t="s">
        <v>177</v>
      </c>
      <c r="V4" s="46" t="s">
        <v>178</v>
      </c>
      <c r="W4" t="str">
        <f t="shared" ref="W4:W58" si="8">("M"&amp;$S4&amp;"B"&amp;$T4&amp;"P"&amp;$U4&amp;"-1")</f>
        <v>M2B17P2-1</v>
      </c>
      <c r="X4" t="str">
        <f t="shared" ref="X4:X58" si="9">("M"&amp;$S4&amp;"B"&amp;$T4&amp;"P"&amp;$U4&amp;"-2")</f>
        <v>M2B17P2-2</v>
      </c>
      <c r="Y4" t="str">
        <f t="shared" ref="Y4:Y58" si="10">("M"&amp;$S4&amp;"B"&amp;$T4&amp;"P"&amp;$U4&amp;"-FLASH")</f>
        <v>M2B17P2-FLASH</v>
      </c>
      <c r="Z4" t="str">
        <f t="shared" ref="Z4:Z58" si="11">("M"&amp;$S4&amp;"B"&amp;$T4&amp;"P"&amp;$U4&amp;"-CK")</f>
        <v>M2B17P2-CK</v>
      </c>
      <c r="AA4" t="str">
        <f t="shared" ref="AA4:AA58" si="12">("M"&amp;$S4&amp;"B"&amp;$T4&amp;"P"&amp;$U4&amp;"-ON")</f>
        <v>M2B17P2-ON</v>
      </c>
      <c r="AB4" t="str">
        <f t="shared" ref="AB4:AB58" si="13">("M"&amp;$S4&amp;"B"&amp;$T4&amp;"P"&amp;$U4&amp;"-NONPROT")</f>
        <v>M2B17P2-NONPROT</v>
      </c>
      <c r="AC4" t="str">
        <f t="shared" ref="AC4:AC58" si="14">("M"&amp;$S4&amp;"B"&amp;$T4&amp;"P"&amp;$U4&amp;"-ONSTATE")</f>
        <v>M2B17P2-ONSTATE</v>
      </c>
      <c r="AD4" s="47" t="str">
        <f t="shared" ref="AD4:AD58" si="15">("M"&amp;$S4&amp;"B"&amp;$T4&amp;"P"&amp;$U4&amp;"-FLSTATE")</f>
        <v>M2B17P2-FLSTATE</v>
      </c>
      <c r="AF4" s="64">
        <v>1</v>
      </c>
      <c r="AG4" s="44">
        <v>14</v>
      </c>
      <c r="AH4" s="44" t="s">
        <v>76</v>
      </c>
      <c r="AI4" s="42" t="str">
        <f t="shared" si="1"/>
        <v>NVI-M1B14P02</v>
      </c>
      <c r="AJ4" s="42" t="str">
        <f>("M"&amp;$A4&amp;"B"&amp;$B4&amp;"P"&amp;$C4)</f>
        <v>M1B04P02</v>
      </c>
      <c r="AL4" s="97">
        <v>1</v>
      </c>
      <c r="AM4" s="93">
        <v>14</v>
      </c>
      <c r="AN4" s="93" t="s">
        <v>76</v>
      </c>
      <c r="AO4" s="57" t="str">
        <f t="shared" ref="AO4:AO34" si="16">("NVO-M"&amp;AL4&amp;"B"&amp;AM4&amp;"P"&amp;AN4)</f>
        <v>NVO-M1B14P02</v>
      </c>
      <c r="AP4" s="59" t="str">
        <f t="shared" ref="AP4:AP67" si="17">("M"&amp;$AL4&amp;"B"&amp;AM4&amp;"P"&amp;AN4)</f>
        <v>M1B14P02</v>
      </c>
    </row>
    <row r="5" spans="1:42" x14ac:dyDescent="0.3">
      <c r="A5" s="64">
        <v>1</v>
      </c>
      <c r="B5" s="44" t="s">
        <v>78</v>
      </c>
      <c r="C5" s="44" t="s">
        <v>77</v>
      </c>
      <c r="D5" s="57" t="s">
        <v>133</v>
      </c>
      <c r="E5" s="57" t="s">
        <v>133</v>
      </c>
      <c r="F5" s="64">
        <v>2</v>
      </c>
      <c r="G5" s="64">
        <v>12</v>
      </c>
      <c r="H5" s="45" t="s">
        <v>179</v>
      </c>
      <c r="I5" s="42" t="str">
        <f t="shared" si="0"/>
        <v>ACO-M2B12P3</v>
      </c>
      <c r="J5" s="42" t="str">
        <f t="shared" si="2"/>
        <v>M2B12P3</v>
      </c>
      <c r="K5" s="42" t="str">
        <f t="shared" si="3"/>
        <v>M2B12P3-CK</v>
      </c>
      <c r="L5">
        <v>2</v>
      </c>
      <c r="M5" s="45" t="s">
        <v>76</v>
      </c>
      <c r="N5" s="45" t="s">
        <v>179</v>
      </c>
      <c r="O5" s="46" t="str">
        <f t="shared" si="4"/>
        <v>DBO-M2B02P3</v>
      </c>
      <c r="P5" t="str">
        <f t="shared" si="5"/>
        <v>M2B02P3-1</v>
      </c>
      <c r="Q5" t="str">
        <f t="shared" si="6"/>
        <v>M2B02P3-2</v>
      </c>
      <c r="R5" s="47" t="str">
        <f t="shared" si="7"/>
        <v>M2B02P3-FLASH</v>
      </c>
      <c r="S5">
        <v>2</v>
      </c>
      <c r="T5" s="64">
        <v>17</v>
      </c>
      <c r="U5" s="45" t="s">
        <v>179</v>
      </c>
      <c r="V5" s="46" t="s">
        <v>180</v>
      </c>
      <c r="W5" t="str">
        <f t="shared" si="8"/>
        <v>M2B17P3-1</v>
      </c>
      <c r="X5" t="str">
        <f t="shared" si="9"/>
        <v>M2B17P3-2</v>
      </c>
      <c r="Y5" t="str">
        <f t="shared" si="10"/>
        <v>M2B17P3-FLASH</v>
      </c>
      <c r="Z5" t="str">
        <f t="shared" si="11"/>
        <v>M2B17P3-CK</v>
      </c>
      <c r="AA5" t="str">
        <f t="shared" si="12"/>
        <v>M2B17P3-ON</v>
      </c>
      <c r="AB5" t="str">
        <f t="shared" si="13"/>
        <v>M2B17P3-NONPROT</v>
      </c>
      <c r="AC5" t="str">
        <f t="shared" si="14"/>
        <v>M2B17P3-ONSTATE</v>
      </c>
      <c r="AD5" s="47" t="str">
        <f t="shared" si="15"/>
        <v>M2B17P3-FLSTATE</v>
      </c>
      <c r="AF5" s="64">
        <v>1</v>
      </c>
      <c r="AG5" s="44">
        <v>14</v>
      </c>
      <c r="AH5" s="44" t="s">
        <v>77</v>
      </c>
      <c r="AI5" s="42" t="str">
        <f t="shared" si="1"/>
        <v>NVI-M1B14P03</v>
      </c>
      <c r="AJ5" s="42" t="str">
        <f>("M"&amp;$A5&amp;"B"&amp;$B5&amp;"P"&amp;$C5)</f>
        <v>M1B04P03</v>
      </c>
      <c r="AL5" s="97">
        <v>1</v>
      </c>
      <c r="AM5" s="93">
        <v>14</v>
      </c>
      <c r="AN5" s="93" t="s">
        <v>77</v>
      </c>
      <c r="AO5" s="57" t="str">
        <f t="shared" si="16"/>
        <v>NVO-M1B14P03</v>
      </c>
      <c r="AP5" s="59" t="str">
        <f t="shared" si="17"/>
        <v>M1B14P03</v>
      </c>
    </row>
    <row r="6" spans="1:42" x14ac:dyDescent="0.3">
      <c r="A6" s="64">
        <v>1</v>
      </c>
      <c r="B6" s="44" t="s">
        <v>78</v>
      </c>
      <c r="C6" s="44" t="s">
        <v>78</v>
      </c>
      <c r="D6" s="42" t="str">
        <f>("DI-M"&amp;A6&amp;"B"&amp;B6&amp;"P"&amp;C6)</f>
        <v>DI-M1B04P04</v>
      </c>
      <c r="E6" s="42" t="str">
        <f t="shared" ref="E6:E69" si="18">("M"&amp;$A6&amp;"B"&amp;$B6&amp;"P"&amp;$C6)</f>
        <v>M1B04P04</v>
      </c>
      <c r="F6" s="64">
        <v>2</v>
      </c>
      <c r="G6" s="64">
        <v>12</v>
      </c>
      <c r="H6" s="45" t="s">
        <v>181</v>
      </c>
      <c r="I6" s="42" t="str">
        <f t="shared" si="0"/>
        <v>ACO-M2B12P4</v>
      </c>
      <c r="J6" s="42" t="str">
        <f t="shared" si="2"/>
        <v>M2B12P4</v>
      </c>
      <c r="K6" s="42" t="str">
        <f t="shared" si="3"/>
        <v>M2B12P4-CK</v>
      </c>
      <c r="L6">
        <v>2</v>
      </c>
      <c r="M6" s="45" t="s">
        <v>76</v>
      </c>
      <c r="N6" s="45" t="s">
        <v>181</v>
      </c>
      <c r="O6" s="46" t="str">
        <f t="shared" si="4"/>
        <v>DBO-M2B02P4</v>
      </c>
      <c r="P6" t="str">
        <f t="shared" si="5"/>
        <v>M2B02P4-1</v>
      </c>
      <c r="Q6" t="str">
        <f t="shared" si="6"/>
        <v>M2B02P4-2</v>
      </c>
      <c r="R6" s="47" t="str">
        <f t="shared" si="7"/>
        <v>M2B02P4-FLASH</v>
      </c>
      <c r="S6">
        <v>2</v>
      </c>
      <c r="T6" s="64">
        <v>17</v>
      </c>
      <c r="U6" s="45" t="s">
        <v>181</v>
      </c>
      <c r="V6" s="46" t="s">
        <v>182</v>
      </c>
      <c r="W6" t="str">
        <f t="shared" si="8"/>
        <v>M2B17P4-1</v>
      </c>
      <c r="X6" t="str">
        <f t="shared" si="9"/>
        <v>M2B17P4-2</v>
      </c>
      <c r="Y6" t="str">
        <f t="shared" si="10"/>
        <v>M2B17P4-FLASH</v>
      </c>
      <c r="Z6" t="str">
        <f t="shared" si="11"/>
        <v>M2B17P4-CK</v>
      </c>
      <c r="AA6" t="str">
        <f t="shared" si="12"/>
        <v>M2B17P4-ON</v>
      </c>
      <c r="AB6" t="str">
        <f t="shared" si="13"/>
        <v>M2B17P4-NONPROT</v>
      </c>
      <c r="AC6" t="str">
        <f t="shared" si="14"/>
        <v>M2B17P4-ONSTATE</v>
      </c>
      <c r="AD6" s="47" t="str">
        <f t="shared" si="15"/>
        <v>M2B17P4-FLSTATE</v>
      </c>
      <c r="AF6" s="64">
        <v>1</v>
      </c>
      <c r="AG6" s="44">
        <v>14</v>
      </c>
      <c r="AH6" s="44" t="s">
        <v>78</v>
      </c>
      <c r="AI6" s="42" t="str">
        <f t="shared" si="1"/>
        <v>NVI-M1B14P04</v>
      </c>
      <c r="AJ6" s="42" t="str">
        <f t="shared" ref="AJ6:AJ34" si="19">("M"&amp;$A6&amp;"B"&amp;$B6&amp;"P"&amp;$C6)</f>
        <v>M1B04P04</v>
      </c>
      <c r="AL6" s="97">
        <v>1</v>
      </c>
      <c r="AM6" s="93">
        <v>14</v>
      </c>
      <c r="AN6" s="93" t="s">
        <v>78</v>
      </c>
      <c r="AO6" s="57" t="str">
        <f t="shared" si="16"/>
        <v>NVO-M1B14P04</v>
      </c>
      <c r="AP6" s="59" t="str">
        <f t="shared" si="17"/>
        <v>M1B14P04</v>
      </c>
    </row>
    <row r="7" spans="1:42" x14ac:dyDescent="0.3">
      <c r="A7" s="64">
        <v>1</v>
      </c>
      <c r="B7" s="44" t="s">
        <v>78</v>
      </c>
      <c r="C7" s="44" t="s">
        <v>79</v>
      </c>
      <c r="D7" s="42" t="str">
        <f t="shared" ref="D7:D70" si="20">("DI-M"&amp;A7&amp;"B"&amp;B7&amp;"P"&amp;C7)</f>
        <v>DI-M1B04P05</v>
      </c>
      <c r="E7" s="42" t="str">
        <f t="shared" si="18"/>
        <v>M1B04P05</v>
      </c>
      <c r="F7" s="64">
        <v>2</v>
      </c>
      <c r="G7" s="64">
        <v>12</v>
      </c>
      <c r="H7" s="45" t="s">
        <v>183</v>
      </c>
      <c r="I7" s="42" t="str">
        <f t="shared" si="0"/>
        <v>ACO-M2B12P5</v>
      </c>
      <c r="J7" s="42" t="str">
        <f t="shared" si="2"/>
        <v>M2B12P5</v>
      </c>
      <c r="K7" s="42" t="str">
        <f t="shared" si="3"/>
        <v>M2B12P5-CK</v>
      </c>
      <c r="L7">
        <v>2</v>
      </c>
      <c r="M7" s="45" t="s">
        <v>76</v>
      </c>
      <c r="N7" s="45" t="s">
        <v>183</v>
      </c>
      <c r="O7" s="46" t="str">
        <f t="shared" si="4"/>
        <v>DBO-M2B02P5</v>
      </c>
      <c r="P7" t="str">
        <f t="shared" si="5"/>
        <v>M2B02P5-1</v>
      </c>
      <c r="Q7" t="str">
        <f t="shared" si="6"/>
        <v>M2B02P5-2</v>
      </c>
      <c r="R7" s="47" t="str">
        <f t="shared" si="7"/>
        <v>M2B02P5-FLASH</v>
      </c>
      <c r="S7">
        <v>2</v>
      </c>
      <c r="T7" s="64">
        <v>17</v>
      </c>
      <c r="U7" s="45" t="s">
        <v>183</v>
      </c>
      <c r="V7" s="46" t="s">
        <v>184</v>
      </c>
      <c r="W7" t="str">
        <f t="shared" si="8"/>
        <v>M2B17P5-1</v>
      </c>
      <c r="X7" t="str">
        <f t="shared" si="9"/>
        <v>M2B17P5-2</v>
      </c>
      <c r="Y7" t="str">
        <f t="shared" si="10"/>
        <v>M2B17P5-FLASH</v>
      </c>
      <c r="Z7" t="str">
        <f t="shared" si="11"/>
        <v>M2B17P5-CK</v>
      </c>
      <c r="AA7" t="str">
        <f t="shared" si="12"/>
        <v>M2B17P5-ON</v>
      </c>
      <c r="AB7" t="str">
        <f t="shared" si="13"/>
        <v>M2B17P5-NONPROT</v>
      </c>
      <c r="AC7" t="str">
        <f t="shared" si="14"/>
        <v>M2B17P5-ONSTATE</v>
      </c>
      <c r="AD7" s="47" t="str">
        <f t="shared" si="15"/>
        <v>M2B17P5-FLSTATE</v>
      </c>
      <c r="AF7" s="64">
        <v>1</v>
      </c>
      <c r="AG7" s="44">
        <v>14</v>
      </c>
      <c r="AH7" s="44" t="s">
        <v>79</v>
      </c>
      <c r="AI7" s="42" t="str">
        <f t="shared" si="1"/>
        <v>NVI-M1B14P05</v>
      </c>
      <c r="AJ7" s="42" t="str">
        <f t="shared" si="19"/>
        <v>M1B04P05</v>
      </c>
      <c r="AL7" s="97">
        <v>1</v>
      </c>
      <c r="AM7" s="93">
        <v>14</v>
      </c>
      <c r="AN7" s="93" t="s">
        <v>79</v>
      </c>
      <c r="AO7" s="57" t="str">
        <f t="shared" si="16"/>
        <v>NVO-M1B14P05</v>
      </c>
      <c r="AP7" s="59" t="str">
        <f t="shared" si="17"/>
        <v>M1B14P05</v>
      </c>
    </row>
    <row r="8" spans="1:42" x14ac:dyDescent="0.3">
      <c r="A8" s="64">
        <v>1</v>
      </c>
      <c r="B8" s="44" t="s">
        <v>78</v>
      </c>
      <c r="C8" s="44" t="s">
        <v>73</v>
      </c>
      <c r="D8" s="42" t="str">
        <f t="shared" si="20"/>
        <v>DI-M1B04P06</v>
      </c>
      <c r="E8" s="42" t="str">
        <f t="shared" si="18"/>
        <v>M1B04P06</v>
      </c>
      <c r="F8" s="64">
        <v>2</v>
      </c>
      <c r="G8" s="64">
        <v>12</v>
      </c>
      <c r="H8" s="45" t="s">
        <v>185</v>
      </c>
      <c r="I8" s="42" t="str">
        <f t="shared" si="0"/>
        <v>ACO-M2B12P6</v>
      </c>
      <c r="J8" s="42" t="str">
        <f t="shared" si="2"/>
        <v>M2B12P6</v>
      </c>
      <c r="K8" s="42" t="str">
        <f t="shared" si="3"/>
        <v>M2B12P6-CK</v>
      </c>
      <c r="L8">
        <v>2</v>
      </c>
      <c r="M8" s="45" t="s">
        <v>76</v>
      </c>
      <c r="N8" s="45" t="s">
        <v>185</v>
      </c>
      <c r="O8" s="46" t="str">
        <f t="shared" si="4"/>
        <v>DBO-M2B02P6</v>
      </c>
      <c r="P8" t="str">
        <f t="shared" si="5"/>
        <v>M2B02P6-1</v>
      </c>
      <c r="Q8" t="str">
        <f t="shared" si="6"/>
        <v>M2B02P6-2</v>
      </c>
      <c r="R8" s="47" t="str">
        <f t="shared" si="7"/>
        <v>M2B02P6-FLASH</v>
      </c>
      <c r="S8">
        <v>2</v>
      </c>
      <c r="T8" s="64">
        <v>17</v>
      </c>
      <c r="U8" s="45" t="s">
        <v>185</v>
      </c>
      <c r="V8" s="46" t="s">
        <v>186</v>
      </c>
      <c r="W8" t="str">
        <f t="shared" si="8"/>
        <v>M2B17P6-1</v>
      </c>
      <c r="X8" t="str">
        <f t="shared" si="9"/>
        <v>M2B17P6-2</v>
      </c>
      <c r="Y8" t="str">
        <f t="shared" si="10"/>
        <v>M2B17P6-FLASH</v>
      </c>
      <c r="Z8" t="str">
        <f t="shared" si="11"/>
        <v>M2B17P6-CK</v>
      </c>
      <c r="AA8" t="str">
        <f t="shared" si="12"/>
        <v>M2B17P6-ON</v>
      </c>
      <c r="AB8" t="str">
        <f t="shared" si="13"/>
        <v>M2B17P6-NONPROT</v>
      </c>
      <c r="AC8" t="str">
        <f t="shared" si="14"/>
        <v>M2B17P6-ONSTATE</v>
      </c>
      <c r="AD8" s="47" t="str">
        <f t="shared" si="15"/>
        <v>M2B17P6-FLSTATE</v>
      </c>
      <c r="AF8" s="64">
        <v>1</v>
      </c>
      <c r="AG8" s="44">
        <v>14</v>
      </c>
      <c r="AH8" s="44" t="s">
        <v>73</v>
      </c>
      <c r="AI8" s="42" t="str">
        <f t="shared" si="1"/>
        <v>NVI-M1B14P06</v>
      </c>
      <c r="AJ8" s="42" t="str">
        <f t="shared" si="19"/>
        <v>M1B04P06</v>
      </c>
      <c r="AL8" s="97">
        <v>1</v>
      </c>
      <c r="AM8" s="93">
        <v>14</v>
      </c>
      <c r="AN8" s="93" t="s">
        <v>73</v>
      </c>
      <c r="AO8" s="57" t="str">
        <f t="shared" si="16"/>
        <v>NVO-M1B14P06</v>
      </c>
      <c r="AP8" s="59" t="str">
        <f t="shared" si="17"/>
        <v>M1B14P06</v>
      </c>
    </row>
    <row r="9" spans="1:42" x14ac:dyDescent="0.3">
      <c r="A9" s="64">
        <v>1</v>
      </c>
      <c r="B9" s="44" t="s">
        <v>78</v>
      </c>
      <c r="C9" s="44" t="s">
        <v>74</v>
      </c>
      <c r="D9" s="42" t="str">
        <f t="shared" si="20"/>
        <v>DI-M1B04P07</v>
      </c>
      <c r="E9" s="42" t="str">
        <f>("M"&amp;$A9&amp;"B"&amp;$B9&amp;"P"&amp;$C9)</f>
        <v>M1B04P07</v>
      </c>
      <c r="F9" s="64">
        <v>2</v>
      </c>
      <c r="G9" s="64">
        <v>12</v>
      </c>
      <c r="H9" s="45" t="s">
        <v>187</v>
      </c>
      <c r="I9" s="42" t="str">
        <f t="shared" si="0"/>
        <v>ACO-M2B12P7</v>
      </c>
      <c r="J9" s="42" t="str">
        <f t="shared" si="2"/>
        <v>M2B12P7</v>
      </c>
      <c r="K9" s="42" t="str">
        <f t="shared" si="3"/>
        <v>M2B12P7-CK</v>
      </c>
      <c r="L9">
        <v>2</v>
      </c>
      <c r="M9" s="45" t="s">
        <v>76</v>
      </c>
      <c r="N9" s="45" t="s">
        <v>187</v>
      </c>
      <c r="O9" s="46" t="str">
        <f t="shared" si="4"/>
        <v>DBO-M2B02P7</v>
      </c>
      <c r="P9" t="str">
        <f t="shared" si="5"/>
        <v>M2B02P7-1</v>
      </c>
      <c r="Q9" t="str">
        <f t="shared" si="6"/>
        <v>M2B02P7-2</v>
      </c>
      <c r="R9" s="47" t="str">
        <f t="shared" si="7"/>
        <v>M2B02P7-FLASH</v>
      </c>
      <c r="S9">
        <v>2</v>
      </c>
      <c r="T9" s="64">
        <v>17</v>
      </c>
      <c r="U9" s="45" t="s">
        <v>187</v>
      </c>
      <c r="V9" s="46" t="s">
        <v>188</v>
      </c>
      <c r="W9" t="str">
        <f t="shared" si="8"/>
        <v>M2B17P7-1</v>
      </c>
      <c r="X9" t="str">
        <f t="shared" si="9"/>
        <v>M2B17P7-2</v>
      </c>
      <c r="Y9" t="str">
        <f t="shared" si="10"/>
        <v>M2B17P7-FLASH</v>
      </c>
      <c r="Z9" t="str">
        <f t="shared" si="11"/>
        <v>M2B17P7-CK</v>
      </c>
      <c r="AA9" t="str">
        <f t="shared" si="12"/>
        <v>M2B17P7-ON</v>
      </c>
      <c r="AB9" t="str">
        <f t="shared" si="13"/>
        <v>M2B17P7-NONPROT</v>
      </c>
      <c r="AC9" t="str">
        <f t="shared" si="14"/>
        <v>M2B17P7-ONSTATE</v>
      </c>
      <c r="AD9" s="47" t="str">
        <f t="shared" si="15"/>
        <v>M2B17P7-FLSTATE</v>
      </c>
      <c r="AF9" s="64">
        <v>1</v>
      </c>
      <c r="AG9" s="44">
        <v>14</v>
      </c>
      <c r="AH9" s="44" t="s">
        <v>74</v>
      </c>
      <c r="AI9" s="42" t="str">
        <f t="shared" ref="AI9:AI34" si="21">("NVI-M"&amp;AF9&amp;"B"&amp;AG9&amp;"P"&amp;AH9)</f>
        <v>NVI-M1B14P07</v>
      </c>
      <c r="AJ9" s="42" t="str">
        <f t="shared" si="19"/>
        <v>M1B04P07</v>
      </c>
      <c r="AL9" s="97">
        <v>1</v>
      </c>
      <c r="AM9" s="93">
        <v>14</v>
      </c>
      <c r="AN9" s="93" t="s">
        <v>74</v>
      </c>
      <c r="AO9" s="57" t="str">
        <f t="shared" si="16"/>
        <v>NVO-M1B14P07</v>
      </c>
      <c r="AP9" s="59" t="str">
        <f t="shared" si="17"/>
        <v>M1B14P07</v>
      </c>
    </row>
    <row r="10" spans="1:42" x14ac:dyDescent="0.3">
      <c r="A10" s="64">
        <v>1</v>
      </c>
      <c r="B10" s="44" t="s">
        <v>78</v>
      </c>
      <c r="C10" s="44" t="s">
        <v>80</v>
      </c>
      <c r="D10" s="42" t="str">
        <f t="shared" si="20"/>
        <v>DI-M1B04P08</v>
      </c>
      <c r="E10" s="42" t="str">
        <f t="shared" si="18"/>
        <v>M1B04P08</v>
      </c>
      <c r="F10" s="64">
        <v>2</v>
      </c>
      <c r="G10" s="64">
        <v>12</v>
      </c>
      <c r="H10" s="45" t="s">
        <v>189</v>
      </c>
      <c r="I10" s="43" t="str">
        <f t="shared" si="0"/>
        <v>ACO-M2B12P8</v>
      </c>
      <c r="J10" s="43" t="str">
        <f t="shared" si="2"/>
        <v>M2B12P8</v>
      </c>
      <c r="K10" s="43" t="str">
        <f t="shared" si="3"/>
        <v>M2B12P8-CK</v>
      </c>
      <c r="L10">
        <v>2</v>
      </c>
      <c r="M10" s="45" t="s">
        <v>76</v>
      </c>
      <c r="N10" s="45" t="s">
        <v>189</v>
      </c>
      <c r="O10" s="48" t="str">
        <f t="shared" si="4"/>
        <v>DBO-M2B02P8</v>
      </c>
      <c r="P10" s="55" t="str">
        <f t="shared" si="5"/>
        <v>M2B02P8-1</v>
      </c>
      <c r="Q10" s="55" t="str">
        <f t="shared" si="6"/>
        <v>M2B02P8-2</v>
      </c>
      <c r="R10" s="49" t="str">
        <f t="shared" si="7"/>
        <v>M2B02P8-FLASH</v>
      </c>
      <c r="S10">
        <v>2</v>
      </c>
      <c r="T10" s="64">
        <v>17</v>
      </c>
      <c r="U10" s="45" t="s">
        <v>189</v>
      </c>
      <c r="V10" s="48" t="s">
        <v>190</v>
      </c>
      <c r="W10" s="55" t="str">
        <f t="shared" si="8"/>
        <v>M2B17P8-1</v>
      </c>
      <c r="X10" s="55" t="str">
        <f t="shared" si="9"/>
        <v>M2B17P8-2</v>
      </c>
      <c r="Y10" s="55" t="str">
        <f t="shared" si="10"/>
        <v>M2B17P8-FLASH</v>
      </c>
      <c r="Z10" s="55" t="str">
        <f t="shared" si="11"/>
        <v>M2B17P8-CK</v>
      </c>
      <c r="AA10" s="55" t="str">
        <f t="shared" si="12"/>
        <v>M2B17P8-ON</v>
      </c>
      <c r="AB10" s="55" t="str">
        <f t="shared" si="13"/>
        <v>M2B17P8-NONPROT</v>
      </c>
      <c r="AC10" s="55" t="str">
        <f t="shared" si="14"/>
        <v>M2B17P8-ONSTATE</v>
      </c>
      <c r="AD10" s="49" t="str">
        <f t="shared" si="15"/>
        <v>M2B17P8-FLSTATE</v>
      </c>
      <c r="AF10" s="64">
        <v>1</v>
      </c>
      <c r="AG10" s="44">
        <v>14</v>
      </c>
      <c r="AH10" s="44" t="s">
        <v>80</v>
      </c>
      <c r="AI10" s="42" t="str">
        <f t="shared" si="21"/>
        <v>NVI-M1B14P08</v>
      </c>
      <c r="AJ10" s="42" t="str">
        <f t="shared" si="19"/>
        <v>M1B04P08</v>
      </c>
      <c r="AL10" s="97">
        <v>1</v>
      </c>
      <c r="AM10" s="93">
        <v>14</v>
      </c>
      <c r="AN10" s="93" t="s">
        <v>80</v>
      </c>
      <c r="AO10" s="57" t="str">
        <f t="shared" si="16"/>
        <v>NVO-M1B14P08</v>
      </c>
      <c r="AP10" s="59" t="str">
        <f t="shared" si="17"/>
        <v>M1B14P08</v>
      </c>
    </row>
    <row r="11" spans="1:42" x14ac:dyDescent="0.3">
      <c r="A11" s="64">
        <v>1</v>
      </c>
      <c r="B11" s="44" t="s">
        <v>78</v>
      </c>
      <c r="C11" s="44" t="s">
        <v>81</v>
      </c>
      <c r="D11" s="42" t="str">
        <f t="shared" si="20"/>
        <v>DI-M1B04P09</v>
      </c>
      <c r="E11" s="42" t="str">
        <f t="shared" si="18"/>
        <v>M1B04P09</v>
      </c>
      <c r="F11" s="64">
        <v>2</v>
      </c>
      <c r="G11" s="64">
        <v>13</v>
      </c>
      <c r="H11" s="45" t="s">
        <v>175</v>
      </c>
      <c r="I11" s="41" t="str">
        <f t="shared" si="0"/>
        <v>ACO-M2B13P1</v>
      </c>
      <c r="J11" s="41" t="str">
        <f>("M"&amp;$F11&amp;"B"&amp;$G11&amp;"P"&amp;$H11)</f>
        <v>M2B13P1</v>
      </c>
      <c r="K11" s="41" t="str">
        <f>("M"&amp;$F11&amp;"B"&amp;$G11&amp;"P"&amp;$H11&amp;"-CK")</f>
        <v>M2B13P1-CK</v>
      </c>
      <c r="L11">
        <v>2</v>
      </c>
      <c r="M11" s="45" t="s">
        <v>77</v>
      </c>
      <c r="N11" s="45" t="s">
        <v>175</v>
      </c>
      <c r="O11" s="52" t="str">
        <f>("DBO-M"&amp;$L11&amp;"B"&amp;$M11&amp;"P"&amp;$N11)</f>
        <v>DBO-M2B03P1</v>
      </c>
      <c r="P11" s="53" t="str">
        <f>("M"&amp;$L11&amp;"B"&amp;$M11&amp;"P"&amp;$N11&amp;"-1")</f>
        <v>M2B03P1-1</v>
      </c>
      <c r="Q11" s="53" t="str">
        <f>("M"&amp;$L11&amp;"B"&amp;$M11&amp;"P"&amp;$N11&amp;"-2")</f>
        <v>M2B03P1-2</v>
      </c>
      <c r="R11" s="54" t="str">
        <f>("M"&amp;$L11&amp;"B"&amp;$M11&amp;"P"&amp;$N11&amp;"-FLASH")</f>
        <v>M2B03P1-FLASH</v>
      </c>
      <c r="S11">
        <v>2</v>
      </c>
      <c r="T11" s="45" t="s">
        <v>191</v>
      </c>
      <c r="U11" s="45" t="s">
        <v>175</v>
      </c>
      <c r="V11" s="52" t="s">
        <v>192</v>
      </c>
      <c r="W11" s="53" t="str">
        <f t="shared" si="8"/>
        <v>M2B18P1-1</v>
      </c>
      <c r="X11" s="53" t="str">
        <f t="shared" si="9"/>
        <v>M2B18P1-2</v>
      </c>
      <c r="Y11" s="53" t="str">
        <f t="shared" si="10"/>
        <v>M2B18P1-FLASH</v>
      </c>
      <c r="Z11" s="53" t="str">
        <f t="shared" si="11"/>
        <v>M2B18P1-CK</v>
      </c>
      <c r="AA11" s="53" t="str">
        <f t="shared" si="12"/>
        <v>M2B18P1-ON</v>
      </c>
      <c r="AB11" s="53" t="str">
        <f t="shared" si="13"/>
        <v>M2B18P1-NONPROT</v>
      </c>
      <c r="AC11" s="53" t="str">
        <f t="shared" si="14"/>
        <v>M2B18P1-ONSTATE</v>
      </c>
      <c r="AD11" s="54" t="str">
        <f t="shared" si="15"/>
        <v>M2B18P1-FLSTATE</v>
      </c>
      <c r="AF11" s="64">
        <v>1</v>
      </c>
      <c r="AG11" s="44">
        <v>14</v>
      </c>
      <c r="AH11" s="44" t="s">
        <v>81</v>
      </c>
      <c r="AI11" s="42" t="str">
        <f t="shared" si="21"/>
        <v>NVI-M1B14P09</v>
      </c>
      <c r="AJ11" s="42" t="str">
        <f t="shared" si="19"/>
        <v>M1B04P09</v>
      </c>
      <c r="AL11" s="97">
        <v>1</v>
      </c>
      <c r="AM11" s="93">
        <v>14</v>
      </c>
      <c r="AN11" s="93" t="s">
        <v>81</v>
      </c>
      <c r="AO11" s="57" t="str">
        <f t="shared" si="16"/>
        <v>NVO-M1B14P09</v>
      </c>
      <c r="AP11" s="59" t="str">
        <f t="shared" si="17"/>
        <v>M1B14P09</v>
      </c>
    </row>
    <row r="12" spans="1:42" x14ac:dyDescent="0.3">
      <c r="A12" s="64">
        <v>1</v>
      </c>
      <c r="B12" s="44" t="s">
        <v>78</v>
      </c>
      <c r="C12" s="44" t="s">
        <v>82</v>
      </c>
      <c r="D12" s="42" t="str">
        <f t="shared" si="20"/>
        <v>DI-M1B04P10</v>
      </c>
      <c r="E12" s="42" t="str">
        <f t="shared" si="18"/>
        <v>M1B04P10</v>
      </c>
      <c r="F12" s="64">
        <v>2</v>
      </c>
      <c r="G12" s="64">
        <v>13</v>
      </c>
      <c r="H12" s="45" t="s">
        <v>177</v>
      </c>
      <c r="I12" s="42" t="str">
        <f t="shared" si="0"/>
        <v>ACO-M2B13P2</v>
      </c>
      <c r="J12" s="42" t="str">
        <f t="shared" si="2"/>
        <v>M2B13P2</v>
      </c>
      <c r="K12" s="42" t="str">
        <f t="shared" si="3"/>
        <v>M2B13P2-CK</v>
      </c>
      <c r="L12">
        <v>2</v>
      </c>
      <c r="M12" s="45" t="s">
        <v>77</v>
      </c>
      <c r="N12" s="45" t="s">
        <v>177</v>
      </c>
      <c r="O12" s="46" t="str">
        <f t="shared" si="4"/>
        <v>DBO-M2B03P2</v>
      </c>
      <c r="P12" t="str">
        <f t="shared" si="5"/>
        <v>M2B03P2-1</v>
      </c>
      <c r="Q12" t="str">
        <f t="shared" si="6"/>
        <v>M2B03P2-2</v>
      </c>
      <c r="R12" s="47" t="str">
        <f t="shared" si="7"/>
        <v>M2B03P2-FLASH</v>
      </c>
      <c r="S12">
        <v>2</v>
      </c>
      <c r="T12" s="45" t="s">
        <v>191</v>
      </c>
      <c r="U12" s="45" t="s">
        <v>177</v>
      </c>
      <c r="V12" s="46" t="s">
        <v>193</v>
      </c>
      <c r="W12" t="str">
        <f t="shared" si="8"/>
        <v>M2B18P2-1</v>
      </c>
      <c r="X12" t="str">
        <f t="shared" si="9"/>
        <v>M2B18P2-2</v>
      </c>
      <c r="Y12" t="str">
        <f t="shared" si="10"/>
        <v>M2B18P2-FLASH</v>
      </c>
      <c r="Z12" t="str">
        <f t="shared" si="11"/>
        <v>M2B18P2-CK</v>
      </c>
      <c r="AA12" t="str">
        <f t="shared" si="12"/>
        <v>M2B18P2-ON</v>
      </c>
      <c r="AB12" t="str">
        <f t="shared" si="13"/>
        <v>M2B18P2-NONPROT</v>
      </c>
      <c r="AC12" t="str">
        <f t="shared" si="14"/>
        <v>M2B18P2-ONSTATE</v>
      </c>
      <c r="AD12" s="47" t="str">
        <f t="shared" si="15"/>
        <v>M2B18P2-FLSTATE</v>
      </c>
      <c r="AF12" s="64">
        <v>1</v>
      </c>
      <c r="AG12" s="44">
        <v>14</v>
      </c>
      <c r="AH12" s="44" t="s">
        <v>82</v>
      </c>
      <c r="AI12" s="42" t="str">
        <f t="shared" si="21"/>
        <v>NVI-M1B14P10</v>
      </c>
      <c r="AJ12" s="42" t="str">
        <f t="shared" si="19"/>
        <v>M1B04P10</v>
      </c>
      <c r="AL12" s="97">
        <v>1</v>
      </c>
      <c r="AM12" s="93">
        <v>14</v>
      </c>
      <c r="AN12" s="93" t="s">
        <v>82</v>
      </c>
      <c r="AO12" s="57" t="str">
        <f t="shared" si="16"/>
        <v>NVO-M1B14P10</v>
      </c>
      <c r="AP12" s="59" t="str">
        <f t="shared" si="17"/>
        <v>M1B14P10</v>
      </c>
    </row>
    <row r="13" spans="1:42" x14ac:dyDescent="0.3">
      <c r="A13" s="64">
        <v>1</v>
      </c>
      <c r="B13" s="44" t="s">
        <v>78</v>
      </c>
      <c r="C13" s="44" t="s">
        <v>83</v>
      </c>
      <c r="D13" s="42" t="str">
        <f t="shared" si="20"/>
        <v>DI-M1B04P11</v>
      </c>
      <c r="E13" s="42" t="str">
        <f t="shared" si="18"/>
        <v>M1B04P11</v>
      </c>
      <c r="F13" s="64">
        <v>2</v>
      </c>
      <c r="G13" s="64">
        <v>13</v>
      </c>
      <c r="H13" s="45" t="s">
        <v>179</v>
      </c>
      <c r="I13" s="42" t="str">
        <f t="shared" si="0"/>
        <v>ACO-M2B13P3</v>
      </c>
      <c r="J13" s="42" t="str">
        <f t="shared" si="2"/>
        <v>M2B13P3</v>
      </c>
      <c r="K13" s="42" t="str">
        <f t="shared" si="3"/>
        <v>M2B13P3-CK</v>
      </c>
      <c r="L13">
        <v>2</v>
      </c>
      <c r="M13" s="45" t="s">
        <v>77</v>
      </c>
      <c r="N13" s="45" t="s">
        <v>179</v>
      </c>
      <c r="O13" s="46" t="str">
        <f t="shared" si="4"/>
        <v>DBO-M2B03P3</v>
      </c>
      <c r="P13" t="str">
        <f t="shared" si="5"/>
        <v>M2B03P3-1</v>
      </c>
      <c r="Q13" t="str">
        <f t="shared" si="6"/>
        <v>M2B03P3-2</v>
      </c>
      <c r="R13" s="47" t="str">
        <f t="shared" si="7"/>
        <v>M2B03P3-FLASH</v>
      </c>
      <c r="S13">
        <v>2</v>
      </c>
      <c r="T13" s="45" t="s">
        <v>191</v>
      </c>
      <c r="U13" s="45" t="s">
        <v>179</v>
      </c>
      <c r="V13" s="46" t="s">
        <v>194</v>
      </c>
      <c r="W13" t="str">
        <f t="shared" si="8"/>
        <v>M2B18P3-1</v>
      </c>
      <c r="X13" t="str">
        <f t="shared" si="9"/>
        <v>M2B18P3-2</v>
      </c>
      <c r="Y13" t="str">
        <f t="shared" si="10"/>
        <v>M2B18P3-FLASH</v>
      </c>
      <c r="Z13" t="str">
        <f t="shared" si="11"/>
        <v>M2B18P3-CK</v>
      </c>
      <c r="AA13" t="str">
        <f t="shared" si="12"/>
        <v>M2B18P3-ON</v>
      </c>
      <c r="AB13" t="str">
        <f t="shared" si="13"/>
        <v>M2B18P3-NONPROT</v>
      </c>
      <c r="AC13" t="str">
        <f t="shared" si="14"/>
        <v>M2B18P3-ONSTATE</v>
      </c>
      <c r="AD13" s="47" t="str">
        <f t="shared" si="15"/>
        <v>M2B18P3-FLSTATE</v>
      </c>
      <c r="AF13" s="64">
        <v>1</v>
      </c>
      <c r="AG13" s="44">
        <v>14</v>
      </c>
      <c r="AH13" s="44" t="s">
        <v>83</v>
      </c>
      <c r="AI13" s="42" t="str">
        <f t="shared" si="21"/>
        <v>NVI-M1B14P11</v>
      </c>
      <c r="AJ13" s="42" t="str">
        <f t="shared" si="19"/>
        <v>M1B04P11</v>
      </c>
      <c r="AL13" s="97">
        <v>1</v>
      </c>
      <c r="AM13" s="93">
        <v>14</v>
      </c>
      <c r="AN13" s="93" t="s">
        <v>83</v>
      </c>
      <c r="AO13" s="57" t="str">
        <f t="shared" si="16"/>
        <v>NVO-M1B14P11</v>
      </c>
      <c r="AP13" s="59" t="str">
        <f t="shared" si="17"/>
        <v>M1B14P11</v>
      </c>
    </row>
    <row r="14" spans="1:42" x14ac:dyDescent="0.3">
      <c r="A14" s="64">
        <v>1</v>
      </c>
      <c r="B14" s="44" t="s">
        <v>78</v>
      </c>
      <c r="C14" s="44" t="s">
        <v>84</v>
      </c>
      <c r="D14" s="42" t="str">
        <f t="shared" si="20"/>
        <v>DI-M1B04P12</v>
      </c>
      <c r="E14" s="42" t="str">
        <f t="shared" si="18"/>
        <v>M1B04P12</v>
      </c>
      <c r="F14" s="64">
        <v>2</v>
      </c>
      <c r="G14" s="64">
        <v>13</v>
      </c>
      <c r="H14" s="45" t="s">
        <v>181</v>
      </c>
      <c r="I14" s="42" t="str">
        <f t="shared" si="0"/>
        <v>ACO-M2B13P4</v>
      </c>
      <c r="J14" s="42" t="str">
        <f t="shared" si="2"/>
        <v>M2B13P4</v>
      </c>
      <c r="K14" s="42" t="str">
        <f t="shared" si="3"/>
        <v>M2B13P4-CK</v>
      </c>
      <c r="L14">
        <v>2</v>
      </c>
      <c r="M14" s="45" t="s">
        <v>77</v>
      </c>
      <c r="N14" s="45" t="s">
        <v>181</v>
      </c>
      <c r="O14" s="46" t="str">
        <f t="shared" si="4"/>
        <v>DBO-M2B03P4</v>
      </c>
      <c r="P14" t="str">
        <f t="shared" si="5"/>
        <v>M2B03P4-1</v>
      </c>
      <c r="Q14" t="str">
        <f t="shared" si="6"/>
        <v>M2B03P4-2</v>
      </c>
      <c r="R14" s="47" t="str">
        <f t="shared" si="7"/>
        <v>M2B03P4-FLASH</v>
      </c>
      <c r="S14">
        <v>2</v>
      </c>
      <c r="T14" s="45" t="s">
        <v>191</v>
      </c>
      <c r="U14" s="45" t="s">
        <v>181</v>
      </c>
      <c r="V14" s="46" t="s">
        <v>195</v>
      </c>
      <c r="W14" t="str">
        <f t="shared" si="8"/>
        <v>M2B18P4-1</v>
      </c>
      <c r="X14" t="str">
        <f t="shared" si="9"/>
        <v>M2B18P4-2</v>
      </c>
      <c r="Y14" t="str">
        <f t="shared" si="10"/>
        <v>M2B18P4-FLASH</v>
      </c>
      <c r="Z14" t="str">
        <f t="shared" si="11"/>
        <v>M2B18P4-CK</v>
      </c>
      <c r="AA14" t="str">
        <f t="shared" si="12"/>
        <v>M2B18P4-ON</v>
      </c>
      <c r="AB14" t="str">
        <f t="shared" si="13"/>
        <v>M2B18P4-NONPROT</v>
      </c>
      <c r="AC14" t="str">
        <f t="shared" si="14"/>
        <v>M2B18P4-ONSTATE</v>
      </c>
      <c r="AD14" s="47" t="str">
        <f t="shared" si="15"/>
        <v>M2B18P4-FLSTATE</v>
      </c>
      <c r="AF14" s="64">
        <v>1</v>
      </c>
      <c r="AG14" s="44">
        <v>14</v>
      </c>
      <c r="AH14" s="44" t="s">
        <v>84</v>
      </c>
      <c r="AI14" s="42" t="str">
        <f t="shared" si="21"/>
        <v>NVI-M1B14P12</v>
      </c>
      <c r="AJ14" s="42" t="str">
        <f t="shared" si="19"/>
        <v>M1B04P12</v>
      </c>
      <c r="AL14" s="97">
        <v>1</v>
      </c>
      <c r="AM14" s="93">
        <v>14</v>
      </c>
      <c r="AN14" s="93" t="s">
        <v>84</v>
      </c>
      <c r="AO14" s="57" t="str">
        <f t="shared" si="16"/>
        <v>NVO-M1B14P12</v>
      </c>
      <c r="AP14" s="59" t="str">
        <f t="shared" si="17"/>
        <v>M1B14P12</v>
      </c>
    </row>
    <row r="15" spans="1:42" x14ac:dyDescent="0.3">
      <c r="A15" s="64">
        <v>1</v>
      </c>
      <c r="B15" s="44" t="s">
        <v>78</v>
      </c>
      <c r="C15" s="44" t="s">
        <v>85</v>
      </c>
      <c r="D15" s="42" t="str">
        <f t="shared" si="20"/>
        <v>DI-M1B04P13</v>
      </c>
      <c r="E15" s="42" t="str">
        <f t="shared" si="18"/>
        <v>M1B04P13</v>
      </c>
      <c r="F15" s="64">
        <v>2</v>
      </c>
      <c r="G15" s="64">
        <v>13</v>
      </c>
      <c r="H15" s="45" t="s">
        <v>183</v>
      </c>
      <c r="I15" s="42" t="str">
        <f t="shared" si="0"/>
        <v>ACO-M2B13P5</v>
      </c>
      <c r="J15" s="42" t="str">
        <f t="shared" si="2"/>
        <v>M2B13P5</v>
      </c>
      <c r="K15" s="42" t="str">
        <f t="shared" si="3"/>
        <v>M2B13P5-CK</v>
      </c>
      <c r="L15">
        <v>2</v>
      </c>
      <c r="M15" s="45" t="s">
        <v>77</v>
      </c>
      <c r="N15" s="45" t="s">
        <v>183</v>
      </c>
      <c r="O15" s="46" t="str">
        <f t="shared" si="4"/>
        <v>DBO-M2B03P5</v>
      </c>
      <c r="P15" t="str">
        <f t="shared" si="5"/>
        <v>M2B03P5-1</v>
      </c>
      <c r="Q15" t="str">
        <f t="shared" si="6"/>
        <v>M2B03P5-2</v>
      </c>
      <c r="R15" s="47" t="str">
        <f t="shared" si="7"/>
        <v>M2B03P5-FLASH</v>
      </c>
      <c r="S15">
        <v>2</v>
      </c>
      <c r="T15" s="45" t="s">
        <v>191</v>
      </c>
      <c r="U15" s="45" t="s">
        <v>183</v>
      </c>
      <c r="V15" s="46" t="s">
        <v>196</v>
      </c>
      <c r="W15" t="str">
        <f t="shared" si="8"/>
        <v>M2B18P5-1</v>
      </c>
      <c r="X15" t="str">
        <f t="shared" si="9"/>
        <v>M2B18P5-2</v>
      </c>
      <c r="Y15" t="str">
        <f t="shared" si="10"/>
        <v>M2B18P5-FLASH</v>
      </c>
      <c r="Z15" t="str">
        <f t="shared" si="11"/>
        <v>M2B18P5-CK</v>
      </c>
      <c r="AA15" t="str">
        <f t="shared" si="12"/>
        <v>M2B18P5-ON</v>
      </c>
      <c r="AB15" t="str">
        <f t="shared" si="13"/>
        <v>M2B18P5-NONPROT</v>
      </c>
      <c r="AC15" t="str">
        <f t="shared" si="14"/>
        <v>M2B18P5-ONSTATE</v>
      </c>
      <c r="AD15" s="47" t="str">
        <f t="shared" si="15"/>
        <v>M2B18P5-FLSTATE</v>
      </c>
      <c r="AF15" s="64">
        <v>1</v>
      </c>
      <c r="AG15" s="44">
        <v>14</v>
      </c>
      <c r="AH15" s="44" t="s">
        <v>85</v>
      </c>
      <c r="AI15" s="42" t="str">
        <f t="shared" si="21"/>
        <v>NVI-M1B14P13</v>
      </c>
      <c r="AJ15" s="42" t="str">
        <f t="shared" si="19"/>
        <v>M1B04P13</v>
      </c>
      <c r="AL15" s="97">
        <v>1</v>
      </c>
      <c r="AM15" s="93">
        <v>14</v>
      </c>
      <c r="AN15" s="93" t="s">
        <v>85</v>
      </c>
      <c r="AO15" s="57" t="str">
        <f t="shared" si="16"/>
        <v>NVO-M1B14P13</v>
      </c>
      <c r="AP15" s="59" t="str">
        <f t="shared" si="17"/>
        <v>M1B14P13</v>
      </c>
    </row>
    <row r="16" spans="1:42" x14ac:dyDescent="0.3">
      <c r="A16" s="64">
        <v>1</v>
      </c>
      <c r="B16" s="44" t="s">
        <v>78</v>
      </c>
      <c r="C16" s="44" t="s">
        <v>86</v>
      </c>
      <c r="D16" s="42" t="str">
        <f t="shared" si="20"/>
        <v>DI-M1B04P14</v>
      </c>
      <c r="E16" s="42" t="str">
        <f t="shared" si="18"/>
        <v>M1B04P14</v>
      </c>
      <c r="F16" s="64">
        <v>2</v>
      </c>
      <c r="G16" s="64">
        <v>13</v>
      </c>
      <c r="H16" s="45" t="s">
        <v>185</v>
      </c>
      <c r="I16" s="42" t="str">
        <f t="shared" si="0"/>
        <v>ACO-M2B13P6</v>
      </c>
      <c r="J16" s="42" t="str">
        <f t="shared" si="2"/>
        <v>M2B13P6</v>
      </c>
      <c r="K16" s="42" t="str">
        <f t="shared" si="3"/>
        <v>M2B13P6-CK</v>
      </c>
      <c r="L16">
        <v>2</v>
      </c>
      <c r="M16" s="45" t="s">
        <v>77</v>
      </c>
      <c r="N16" s="45" t="s">
        <v>185</v>
      </c>
      <c r="O16" s="46" t="str">
        <f t="shared" si="4"/>
        <v>DBO-M2B03P6</v>
      </c>
      <c r="P16" t="str">
        <f t="shared" si="5"/>
        <v>M2B03P6-1</v>
      </c>
      <c r="Q16" t="str">
        <f t="shared" si="6"/>
        <v>M2B03P6-2</v>
      </c>
      <c r="R16" s="47" t="str">
        <f t="shared" si="7"/>
        <v>M2B03P6-FLASH</v>
      </c>
      <c r="S16">
        <v>2</v>
      </c>
      <c r="T16" s="45" t="s">
        <v>191</v>
      </c>
      <c r="U16" s="45" t="s">
        <v>185</v>
      </c>
      <c r="V16" s="46" t="s">
        <v>197</v>
      </c>
      <c r="W16" t="str">
        <f t="shared" si="8"/>
        <v>M2B18P6-1</v>
      </c>
      <c r="X16" t="str">
        <f t="shared" si="9"/>
        <v>M2B18P6-2</v>
      </c>
      <c r="Y16" t="str">
        <f t="shared" si="10"/>
        <v>M2B18P6-FLASH</v>
      </c>
      <c r="Z16" t="str">
        <f t="shared" si="11"/>
        <v>M2B18P6-CK</v>
      </c>
      <c r="AA16" t="str">
        <f t="shared" si="12"/>
        <v>M2B18P6-ON</v>
      </c>
      <c r="AB16" t="str">
        <f t="shared" si="13"/>
        <v>M2B18P6-NONPROT</v>
      </c>
      <c r="AC16" t="str">
        <f t="shared" si="14"/>
        <v>M2B18P6-ONSTATE</v>
      </c>
      <c r="AD16" s="47" t="str">
        <f t="shared" si="15"/>
        <v>M2B18P6-FLSTATE</v>
      </c>
      <c r="AF16" s="64">
        <v>1</v>
      </c>
      <c r="AG16" s="44">
        <v>14</v>
      </c>
      <c r="AH16" s="44" t="s">
        <v>86</v>
      </c>
      <c r="AI16" s="42" t="str">
        <f t="shared" si="21"/>
        <v>NVI-M1B14P14</v>
      </c>
      <c r="AJ16" s="42" t="str">
        <f t="shared" si="19"/>
        <v>M1B04P14</v>
      </c>
      <c r="AL16" s="97">
        <v>1</v>
      </c>
      <c r="AM16" s="93">
        <v>14</v>
      </c>
      <c r="AN16" s="93" t="s">
        <v>86</v>
      </c>
      <c r="AO16" s="57" t="str">
        <f t="shared" si="16"/>
        <v>NVO-M1B14P14</v>
      </c>
      <c r="AP16" s="59" t="str">
        <f t="shared" si="17"/>
        <v>M1B14P14</v>
      </c>
    </row>
    <row r="17" spans="1:42" x14ac:dyDescent="0.3">
      <c r="A17" s="64">
        <v>1</v>
      </c>
      <c r="B17" s="44" t="s">
        <v>78</v>
      </c>
      <c r="C17" s="44" t="s">
        <v>87</v>
      </c>
      <c r="D17" s="42" t="str">
        <f t="shared" si="20"/>
        <v>DI-M1B04P15</v>
      </c>
      <c r="E17" s="42" t="str">
        <f t="shared" si="18"/>
        <v>M1B04P15</v>
      </c>
      <c r="F17" s="64">
        <v>2</v>
      </c>
      <c r="G17" s="64">
        <v>13</v>
      </c>
      <c r="H17" s="45" t="s">
        <v>187</v>
      </c>
      <c r="I17" s="42" t="str">
        <f t="shared" si="0"/>
        <v>ACO-M2B13P7</v>
      </c>
      <c r="J17" s="42" t="str">
        <f t="shared" si="2"/>
        <v>M2B13P7</v>
      </c>
      <c r="K17" s="42" t="str">
        <f t="shared" si="3"/>
        <v>M2B13P7-CK</v>
      </c>
      <c r="L17">
        <v>2</v>
      </c>
      <c r="M17" s="45" t="s">
        <v>77</v>
      </c>
      <c r="N17" s="45" t="s">
        <v>187</v>
      </c>
      <c r="O17" s="46" t="str">
        <f t="shared" si="4"/>
        <v>DBO-M2B03P7</v>
      </c>
      <c r="P17" t="str">
        <f t="shared" si="5"/>
        <v>M2B03P7-1</v>
      </c>
      <c r="Q17" t="str">
        <f t="shared" si="6"/>
        <v>M2B03P7-2</v>
      </c>
      <c r="R17" s="47" t="str">
        <f t="shared" si="7"/>
        <v>M2B03P7-FLASH</v>
      </c>
      <c r="S17">
        <v>2</v>
      </c>
      <c r="T17" s="45" t="s">
        <v>191</v>
      </c>
      <c r="U17" s="45" t="s">
        <v>187</v>
      </c>
      <c r="V17" s="46" t="s">
        <v>198</v>
      </c>
      <c r="W17" t="str">
        <f t="shared" si="8"/>
        <v>M2B18P7-1</v>
      </c>
      <c r="X17" t="str">
        <f t="shared" si="9"/>
        <v>M2B18P7-2</v>
      </c>
      <c r="Y17" t="str">
        <f t="shared" si="10"/>
        <v>M2B18P7-FLASH</v>
      </c>
      <c r="Z17" t="str">
        <f t="shared" si="11"/>
        <v>M2B18P7-CK</v>
      </c>
      <c r="AA17" t="str">
        <f t="shared" si="12"/>
        <v>M2B18P7-ON</v>
      </c>
      <c r="AB17" t="str">
        <f t="shared" si="13"/>
        <v>M2B18P7-NONPROT</v>
      </c>
      <c r="AC17" t="str">
        <f t="shared" si="14"/>
        <v>M2B18P7-ONSTATE</v>
      </c>
      <c r="AD17" s="47" t="str">
        <f t="shared" si="15"/>
        <v>M2B18P7-FLSTATE</v>
      </c>
      <c r="AF17" s="64">
        <v>1</v>
      </c>
      <c r="AG17" s="44">
        <v>14</v>
      </c>
      <c r="AH17" s="44" t="s">
        <v>87</v>
      </c>
      <c r="AI17" s="42" t="str">
        <f t="shared" si="21"/>
        <v>NVI-M1B14P15</v>
      </c>
      <c r="AJ17" s="42" t="str">
        <f t="shared" si="19"/>
        <v>M1B04P15</v>
      </c>
      <c r="AL17" s="97">
        <v>1</v>
      </c>
      <c r="AM17" s="93">
        <v>14</v>
      </c>
      <c r="AN17" s="93" t="s">
        <v>87</v>
      </c>
      <c r="AO17" s="57" t="str">
        <f t="shared" si="16"/>
        <v>NVO-M1B14P15</v>
      </c>
      <c r="AP17" s="59" t="str">
        <f t="shared" si="17"/>
        <v>M1B14P15</v>
      </c>
    </row>
    <row r="18" spans="1:42" x14ac:dyDescent="0.3">
      <c r="A18" s="64">
        <v>1</v>
      </c>
      <c r="B18" s="44" t="s">
        <v>78</v>
      </c>
      <c r="C18" s="44" t="s">
        <v>88</v>
      </c>
      <c r="D18" s="43" t="str">
        <f t="shared" si="20"/>
        <v>DI-M1B04P16</v>
      </c>
      <c r="E18" s="43" t="str">
        <f t="shared" si="18"/>
        <v>M1B04P16</v>
      </c>
      <c r="F18" s="64">
        <v>2</v>
      </c>
      <c r="G18" s="64">
        <v>13</v>
      </c>
      <c r="H18" s="45" t="s">
        <v>189</v>
      </c>
      <c r="I18" s="43" t="str">
        <f t="shared" si="0"/>
        <v>ACO-M2B13P8</v>
      </c>
      <c r="J18" s="43" t="str">
        <f t="shared" si="2"/>
        <v>M2B13P8</v>
      </c>
      <c r="K18" s="43" t="str">
        <f t="shared" si="3"/>
        <v>M2B13P8-CK</v>
      </c>
      <c r="L18">
        <v>2</v>
      </c>
      <c r="M18" s="45" t="s">
        <v>77</v>
      </c>
      <c r="N18" s="45" t="s">
        <v>189</v>
      </c>
      <c r="O18" s="48" t="str">
        <f t="shared" si="4"/>
        <v>DBO-M2B03P8</v>
      </c>
      <c r="P18" s="55" t="str">
        <f t="shared" si="5"/>
        <v>M2B03P8-1</v>
      </c>
      <c r="Q18" s="55" t="str">
        <f t="shared" si="6"/>
        <v>M2B03P8-2</v>
      </c>
      <c r="R18" s="49" t="str">
        <f t="shared" si="7"/>
        <v>M2B03P8-FLASH</v>
      </c>
      <c r="S18">
        <v>2</v>
      </c>
      <c r="T18" s="45" t="s">
        <v>191</v>
      </c>
      <c r="U18" s="45" t="s">
        <v>189</v>
      </c>
      <c r="V18" s="48" t="s">
        <v>199</v>
      </c>
      <c r="W18" s="55" t="str">
        <f t="shared" si="8"/>
        <v>M2B18P8-1</v>
      </c>
      <c r="X18" s="55" t="str">
        <f t="shared" si="9"/>
        <v>M2B18P8-2</v>
      </c>
      <c r="Y18" s="55" t="str">
        <f t="shared" si="10"/>
        <v>M2B18P8-FLASH</v>
      </c>
      <c r="Z18" s="55" t="str">
        <f t="shared" si="11"/>
        <v>M2B18P8-CK</v>
      </c>
      <c r="AA18" s="55" t="str">
        <f t="shared" si="12"/>
        <v>M2B18P8-ON</v>
      </c>
      <c r="AB18" s="55" t="str">
        <f t="shared" si="13"/>
        <v>M2B18P8-NONPROT</v>
      </c>
      <c r="AC18" s="55" t="str">
        <f t="shared" si="14"/>
        <v>M2B18P8-ONSTATE</v>
      </c>
      <c r="AD18" s="49" t="str">
        <f t="shared" si="15"/>
        <v>M2B18P8-FLSTATE</v>
      </c>
      <c r="AF18" s="64">
        <v>1</v>
      </c>
      <c r="AG18" s="44">
        <v>14</v>
      </c>
      <c r="AH18" s="44" t="s">
        <v>88</v>
      </c>
      <c r="AI18" s="42" t="str">
        <f t="shared" si="21"/>
        <v>NVI-M1B14P16</v>
      </c>
      <c r="AJ18" s="42" t="str">
        <f t="shared" si="19"/>
        <v>M1B04P16</v>
      </c>
      <c r="AL18" s="97">
        <v>1</v>
      </c>
      <c r="AM18" s="93">
        <v>14</v>
      </c>
      <c r="AN18" s="93" t="s">
        <v>88</v>
      </c>
      <c r="AO18" s="57" t="str">
        <f t="shared" si="16"/>
        <v>NVO-M1B14P16</v>
      </c>
      <c r="AP18" s="59" t="str">
        <f t="shared" si="17"/>
        <v>M1B14P16</v>
      </c>
    </row>
    <row r="19" spans="1:42" x14ac:dyDescent="0.3">
      <c r="A19" s="64">
        <v>1</v>
      </c>
      <c r="B19" s="44" t="s">
        <v>79</v>
      </c>
      <c r="C19" s="44" t="s">
        <v>75</v>
      </c>
      <c r="D19" s="41" t="str">
        <f t="shared" si="20"/>
        <v>DI-M1B05P01</v>
      </c>
      <c r="E19" s="41" t="str">
        <f t="shared" si="18"/>
        <v>M1B05P01</v>
      </c>
      <c r="F19" s="64">
        <v>2</v>
      </c>
      <c r="G19" s="64">
        <v>14</v>
      </c>
      <c r="H19" s="45" t="s">
        <v>175</v>
      </c>
      <c r="I19" s="41" t="str">
        <f t="shared" si="0"/>
        <v>ACO-M2B14P1</v>
      </c>
      <c r="J19" s="41" t="str">
        <f>("M"&amp;$F19&amp;"B"&amp;$G19&amp;"P"&amp;$H19)</f>
        <v>M2B14P1</v>
      </c>
      <c r="K19" s="41" t="str">
        <f>("M"&amp;$F19&amp;"B"&amp;$G19&amp;"P"&amp;$H19&amp;"-CK")</f>
        <v>M2B14P1-CK</v>
      </c>
      <c r="L19">
        <v>2</v>
      </c>
      <c r="M19" s="45" t="s">
        <v>78</v>
      </c>
      <c r="N19" s="45" t="s">
        <v>175</v>
      </c>
      <c r="O19" s="52" t="str">
        <f>("DBO-M"&amp;$L19&amp;"B"&amp;$M19&amp;"P"&amp;$N19)</f>
        <v>DBO-M2B04P1</v>
      </c>
      <c r="P19" s="53" t="str">
        <f>("M"&amp;$L19&amp;"B"&amp;$M19&amp;"P"&amp;$N19&amp;"-1")</f>
        <v>M2B04P1-1</v>
      </c>
      <c r="Q19" s="53" t="str">
        <f>("M"&amp;$L19&amp;"B"&amp;$M19&amp;"P"&amp;$N19&amp;"-2")</f>
        <v>M2B04P1-2</v>
      </c>
      <c r="R19" s="54" t="str">
        <f>("M"&amp;$L19&amp;"B"&amp;$M19&amp;"P"&amp;$N19&amp;"-FLASH")</f>
        <v>M2B04P1-FLASH</v>
      </c>
      <c r="S19">
        <v>3</v>
      </c>
      <c r="T19" s="45" t="s">
        <v>200</v>
      </c>
      <c r="U19" s="45" t="s">
        <v>175</v>
      </c>
      <c r="V19" s="52" t="s">
        <v>201</v>
      </c>
      <c r="W19" s="53" t="str">
        <f t="shared" si="8"/>
        <v>M3B19P1-1</v>
      </c>
      <c r="X19" s="53" t="str">
        <f t="shared" si="9"/>
        <v>M3B19P1-2</v>
      </c>
      <c r="Y19" s="53" t="str">
        <f t="shared" si="10"/>
        <v>M3B19P1-FLASH</v>
      </c>
      <c r="Z19" s="53" t="str">
        <f t="shared" si="11"/>
        <v>M3B19P1-CK</v>
      </c>
      <c r="AA19" s="53" t="str">
        <f t="shared" si="12"/>
        <v>M3B19P1-ON</v>
      </c>
      <c r="AB19" s="53" t="str">
        <f t="shared" si="13"/>
        <v>M3B19P1-NONPROT</v>
      </c>
      <c r="AC19" s="53" t="str">
        <f t="shared" si="14"/>
        <v>M3B19P1-ONSTATE</v>
      </c>
      <c r="AD19" s="54" t="str">
        <f t="shared" si="15"/>
        <v>M3B19P1-FLSTATE</v>
      </c>
      <c r="AF19" s="64">
        <v>1</v>
      </c>
      <c r="AG19" s="44">
        <v>14</v>
      </c>
      <c r="AH19" s="44" t="s">
        <v>297</v>
      </c>
      <c r="AI19" s="42" t="str">
        <f t="shared" si="21"/>
        <v>NVI-M1B14P17</v>
      </c>
      <c r="AJ19" s="42" t="str">
        <f t="shared" si="19"/>
        <v>M1B05P01</v>
      </c>
      <c r="AL19" s="97">
        <v>1</v>
      </c>
      <c r="AM19" s="93">
        <v>14</v>
      </c>
      <c r="AN19" s="93" t="s">
        <v>297</v>
      </c>
      <c r="AO19" s="57" t="str">
        <f t="shared" si="16"/>
        <v>NVO-M1B14P17</v>
      </c>
      <c r="AP19" s="59" t="str">
        <f t="shared" si="17"/>
        <v>M1B14P17</v>
      </c>
    </row>
    <row r="20" spans="1:42" x14ac:dyDescent="0.3">
      <c r="A20" s="64">
        <v>1</v>
      </c>
      <c r="B20" s="44" t="s">
        <v>79</v>
      </c>
      <c r="C20" s="44" t="s">
        <v>76</v>
      </c>
      <c r="D20" s="42" t="str">
        <f t="shared" si="20"/>
        <v>DI-M1B05P02</v>
      </c>
      <c r="E20" s="42" t="str">
        <f t="shared" si="18"/>
        <v>M1B05P02</v>
      </c>
      <c r="F20" s="64">
        <v>2</v>
      </c>
      <c r="G20" s="64">
        <v>14</v>
      </c>
      <c r="H20" s="45" t="s">
        <v>177</v>
      </c>
      <c r="I20" s="42" t="str">
        <f t="shared" si="0"/>
        <v>ACO-M2B14P2</v>
      </c>
      <c r="J20" s="42" t="str">
        <f t="shared" si="2"/>
        <v>M2B14P2</v>
      </c>
      <c r="K20" s="42" t="str">
        <f t="shared" si="3"/>
        <v>M2B14P2-CK</v>
      </c>
      <c r="L20">
        <v>2</v>
      </c>
      <c r="M20" s="45" t="s">
        <v>78</v>
      </c>
      <c r="N20" s="45" t="s">
        <v>177</v>
      </c>
      <c r="O20" s="46" t="str">
        <f t="shared" si="4"/>
        <v>DBO-M2B04P2</v>
      </c>
      <c r="P20" t="str">
        <f t="shared" si="5"/>
        <v>M2B04P2-1</v>
      </c>
      <c r="Q20" t="str">
        <f t="shared" si="6"/>
        <v>M2B04P2-2</v>
      </c>
      <c r="R20" s="47" t="str">
        <f t="shared" si="7"/>
        <v>M2B04P2-FLASH</v>
      </c>
      <c r="S20">
        <v>3</v>
      </c>
      <c r="T20" s="45" t="s">
        <v>200</v>
      </c>
      <c r="U20" s="45" t="s">
        <v>177</v>
      </c>
      <c r="V20" s="46" t="s">
        <v>202</v>
      </c>
      <c r="W20" t="str">
        <f t="shared" si="8"/>
        <v>M3B19P2-1</v>
      </c>
      <c r="X20" t="str">
        <f t="shared" si="9"/>
        <v>M3B19P2-2</v>
      </c>
      <c r="Y20" t="str">
        <f t="shared" si="10"/>
        <v>M3B19P2-FLASH</v>
      </c>
      <c r="Z20" t="str">
        <f t="shared" si="11"/>
        <v>M3B19P2-CK</v>
      </c>
      <c r="AA20" t="str">
        <f t="shared" si="12"/>
        <v>M3B19P2-ON</v>
      </c>
      <c r="AB20" t="str">
        <f t="shared" si="13"/>
        <v>M3B19P2-NONPROT</v>
      </c>
      <c r="AC20" t="str">
        <f t="shared" si="14"/>
        <v>M3B19P2-ONSTATE</v>
      </c>
      <c r="AD20" s="47" t="str">
        <f t="shared" si="15"/>
        <v>M3B19P2-FLSTATE</v>
      </c>
      <c r="AF20" s="64">
        <v>1</v>
      </c>
      <c r="AG20" s="44">
        <v>14</v>
      </c>
      <c r="AH20" s="44" t="s">
        <v>191</v>
      </c>
      <c r="AI20" s="42" t="str">
        <f t="shared" si="21"/>
        <v>NVI-M1B14P18</v>
      </c>
      <c r="AJ20" s="42" t="str">
        <f t="shared" si="19"/>
        <v>M1B05P02</v>
      </c>
      <c r="AL20" s="97">
        <v>1</v>
      </c>
      <c r="AM20" s="93">
        <v>14</v>
      </c>
      <c r="AN20" s="93" t="s">
        <v>191</v>
      </c>
      <c r="AO20" s="57" t="str">
        <f t="shared" si="16"/>
        <v>NVO-M1B14P18</v>
      </c>
      <c r="AP20" s="59" t="str">
        <f t="shared" si="17"/>
        <v>M1B14P18</v>
      </c>
    </row>
    <row r="21" spans="1:42" x14ac:dyDescent="0.3">
      <c r="A21" s="64">
        <v>1</v>
      </c>
      <c r="B21" s="44" t="s">
        <v>79</v>
      </c>
      <c r="C21" s="44" t="s">
        <v>77</v>
      </c>
      <c r="D21" s="42" t="str">
        <f t="shared" si="20"/>
        <v>DI-M1B05P03</v>
      </c>
      <c r="E21" s="42" t="str">
        <f t="shared" si="18"/>
        <v>M1B05P03</v>
      </c>
      <c r="F21" s="64">
        <v>2</v>
      </c>
      <c r="G21" s="64">
        <v>14</v>
      </c>
      <c r="H21" s="45" t="s">
        <v>179</v>
      </c>
      <c r="I21" s="42" t="str">
        <f t="shared" si="0"/>
        <v>ACO-M2B14P3</v>
      </c>
      <c r="J21" s="42" t="str">
        <f t="shared" si="2"/>
        <v>M2B14P3</v>
      </c>
      <c r="K21" s="42" t="str">
        <f t="shared" si="3"/>
        <v>M2B14P3-CK</v>
      </c>
      <c r="L21">
        <v>2</v>
      </c>
      <c r="M21" s="45" t="s">
        <v>78</v>
      </c>
      <c r="N21" s="45" t="s">
        <v>179</v>
      </c>
      <c r="O21" s="46" t="str">
        <f t="shared" si="4"/>
        <v>DBO-M2B04P3</v>
      </c>
      <c r="P21" t="str">
        <f t="shared" si="5"/>
        <v>M2B04P3-1</v>
      </c>
      <c r="Q21" t="str">
        <f t="shared" si="6"/>
        <v>M2B04P3-2</v>
      </c>
      <c r="R21" s="47" t="str">
        <f t="shared" si="7"/>
        <v>M2B04P3-FLASH</v>
      </c>
      <c r="S21">
        <v>3</v>
      </c>
      <c r="T21" s="45" t="s">
        <v>200</v>
      </c>
      <c r="U21" s="45" t="s">
        <v>179</v>
      </c>
      <c r="V21" s="46" t="s">
        <v>203</v>
      </c>
      <c r="W21" t="str">
        <f t="shared" si="8"/>
        <v>M3B19P3-1</v>
      </c>
      <c r="X21" t="str">
        <f t="shared" si="9"/>
        <v>M3B19P3-2</v>
      </c>
      <c r="Y21" t="str">
        <f t="shared" si="10"/>
        <v>M3B19P3-FLASH</v>
      </c>
      <c r="Z21" t="str">
        <f t="shared" si="11"/>
        <v>M3B19P3-CK</v>
      </c>
      <c r="AA21" t="str">
        <f t="shared" si="12"/>
        <v>M3B19P3-ON</v>
      </c>
      <c r="AB21" t="str">
        <f t="shared" si="13"/>
        <v>M3B19P3-NONPROT</v>
      </c>
      <c r="AC21" t="str">
        <f t="shared" si="14"/>
        <v>M3B19P3-ONSTATE</v>
      </c>
      <c r="AD21" s="47" t="str">
        <f t="shared" si="15"/>
        <v>M3B19P3-FLSTATE</v>
      </c>
      <c r="AF21" s="64">
        <v>1</v>
      </c>
      <c r="AG21" s="44">
        <v>14</v>
      </c>
      <c r="AH21" s="44" t="s">
        <v>200</v>
      </c>
      <c r="AI21" s="42" t="str">
        <f t="shared" si="21"/>
        <v>NVI-M1B14P19</v>
      </c>
      <c r="AJ21" s="42" t="str">
        <f t="shared" si="19"/>
        <v>M1B05P03</v>
      </c>
      <c r="AL21" s="97">
        <v>1</v>
      </c>
      <c r="AM21" s="93">
        <v>14</v>
      </c>
      <c r="AN21" s="93" t="s">
        <v>200</v>
      </c>
      <c r="AO21" s="57" t="str">
        <f t="shared" si="16"/>
        <v>NVO-M1B14P19</v>
      </c>
      <c r="AP21" s="59" t="str">
        <f t="shared" si="17"/>
        <v>M1B14P19</v>
      </c>
    </row>
    <row r="22" spans="1:42" x14ac:dyDescent="0.3">
      <c r="A22" s="64">
        <v>1</v>
      </c>
      <c r="B22" s="44" t="s">
        <v>79</v>
      </c>
      <c r="C22" s="44" t="s">
        <v>78</v>
      </c>
      <c r="D22" s="42" t="str">
        <f t="shared" si="20"/>
        <v>DI-M1B05P04</v>
      </c>
      <c r="E22" s="42" t="str">
        <f t="shared" si="18"/>
        <v>M1B05P04</v>
      </c>
      <c r="F22" s="64">
        <v>2</v>
      </c>
      <c r="G22" s="64">
        <v>14</v>
      </c>
      <c r="H22" s="45" t="s">
        <v>181</v>
      </c>
      <c r="I22" s="42" t="str">
        <f t="shared" si="0"/>
        <v>ACO-M2B14P4</v>
      </c>
      <c r="J22" s="42" t="str">
        <f t="shared" si="2"/>
        <v>M2B14P4</v>
      </c>
      <c r="K22" s="42" t="str">
        <f t="shared" si="3"/>
        <v>M2B14P4-CK</v>
      </c>
      <c r="L22">
        <v>2</v>
      </c>
      <c r="M22" s="45" t="s">
        <v>78</v>
      </c>
      <c r="N22" s="45" t="s">
        <v>181</v>
      </c>
      <c r="O22" s="46" t="str">
        <f t="shared" si="4"/>
        <v>DBO-M2B04P4</v>
      </c>
      <c r="P22" t="str">
        <f t="shared" si="5"/>
        <v>M2B04P4-1</v>
      </c>
      <c r="Q22" t="str">
        <f t="shared" si="6"/>
        <v>M2B04P4-2</v>
      </c>
      <c r="R22" s="47" t="str">
        <f t="shared" si="7"/>
        <v>M2B04P4-FLASH</v>
      </c>
      <c r="S22">
        <v>3</v>
      </c>
      <c r="T22" s="45" t="s">
        <v>200</v>
      </c>
      <c r="U22" s="45" t="s">
        <v>181</v>
      </c>
      <c r="V22" s="46" t="s">
        <v>204</v>
      </c>
      <c r="W22" t="str">
        <f t="shared" si="8"/>
        <v>M3B19P4-1</v>
      </c>
      <c r="X22" t="str">
        <f t="shared" si="9"/>
        <v>M3B19P4-2</v>
      </c>
      <c r="Y22" t="str">
        <f t="shared" si="10"/>
        <v>M3B19P4-FLASH</v>
      </c>
      <c r="Z22" t="str">
        <f t="shared" si="11"/>
        <v>M3B19P4-CK</v>
      </c>
      <c r="AA22" t="str">
        <f t="shared" si="12"/>
        <v>M3B19P4-ON</v>
      </c>
      <c r="AB22" t="str">
        <f t="shared" si="13"/>
        <v>M3B19P4-NONPROT</v>
      </c>
      <c r="AC22" t="str">
        <f t="shared" si="14"/>
        <v>M3B19P4-ONSTATE</v>
      </c>
      <c r="AD22" s="47" t="str">
        <f t="shared" si="15"/>
        <v>M3B19P4-FLSTATE</v>
      </c>
      <c r="AF22" s="64">
        <v>1</v>
      </c>
      <c r="AG22" s="44">
        <v>14</v>
      </c>
      <c r="AH22" s="44" t="s">
        <v>209</v>
      </c>
      <c r="AI22" s="42" t="str">
        <f t="shared" si="21"/>
        <v>NVI-M1B14P20</v>
      </c>
      <c r="AJ22" s="42" t="str">
        <f t="shared" si="19"/>
        <v>M1B05P04</v>
      </c>
      <c r="AL22" s="97">
        <v>1</v>
      </c>
      <c r="AM22" s="93">
        <v>14</v>
      </c>
      <c r="AN22" s="93" t="s">
        <v>209</v>
      </c>
      <c r="AO22" s="57" t="str">
        <f t="shared" si="16"/>
        <v>NVO-M1B14P20</v>
      </c>
      <c r="AP22" s="59" t="str">
        <f t="shared" si="17"/>
        <v>M1B14P20</v>
      </c>
    </row>
    <row r="23" spans="1:42" x14ac:dyDescent="0.3">
      <c r="A23" s="64">
        <v>1</v>
      </c>
      <c r="B23" s="44" t="s">
        <v>79</v>
      </c>
      <c r="C23" s="44" t="s">
        <v>79</v>
      </c>
      <c r="D23" s="42" t="str">
        <f t="shared" si="20"/>
        <v>DI-M1B05P05</v>
      </c>
      <c r="E23" s="42" t="str">
        <f t="shared" si="18"/>
        <v>M1B05P05</v>
      </c>
      <c r="F23" s="64">
        <v>2</v>
      </c>
      <c r="G23" s="64">
        <v>14</v>
      </c>
      <c r="H23" s="45" t="s">
        <v>183</v>
      </c>
      <c r="I23" s="42" t="str">
        <f t="shared" si="0"/>
        <v>ACO-M2B14P5</v>
      </c>
      <c r="J23" s="42" t="str">
        <f t="shared" si="2"/>
        <v>M2B14P5</v>
      </c>
      <c r="K23" s="42" t="str">
        <f t="shared" si="3"/>
        <v>M2B14P5-CK</v>
      </c>
      <c r="L23">
        <v>2</v>
      </c>
      <c r="M23" s="45" t="s">
        <v>78</v>
      </c>
      <c r="N23" s="45" t="s">
        <v>183</v>
      </c>
      <c r="O23" s="46" t="str">
        <f t="shared" si="4"/>
        <v>DBO-M2B04P5</v>
      </c>
      <c r="P23" t="str">
        <f t="shared" si="5"/>
        <v>M2B04P5-1</v>
      </c>
      <c r="Q23" t="str">
        <f t="shared" si="6"/>
        <v>M2B04P5-2</v>
      </c>
      <c r="R23" s="47" t="str">
        <f t="shared" si="7"/>
        <v>M2B04P5-FLASH</v>
      </c>
      <c r="S23">
        <v>3</v>
      </c>
      <c r="T23" s="45" t="s">
        <v>200</v>
      </c>
      <c r="U23" s="45" t="s">
        <v>183</v>
      </c>
      <c r="V23" s="46" t="s">
        <v>205</v>
      </c>
      <c r="W23" t="str">
        <f t="shared" si="8"/>
        <v>M3B19P5-1</v>
      </c>
      <c r="X23" t="str">
        <f t="shared" si="9"/>
        <v>M3B19P5-2</v>
      </c>
      <c r="Y23" t="str">
        <f t="shared" si="10"/>
        <v>M3B19P5-FLASH</v>
      </c>
      <c r="Z23" t="str">
        <f t="shared" si="11"/>
        <v>M3B19P5-CK</v>
      </c>
      <c r="AA23" t="str">
        <f t="shared" si="12"/>
        <v>M3B19P5-ON</v>
      </c>
      <c r="AB23" t="str">
        <f t="shared" si="13"/>
        <v>M3B19P5-NONPROT</v>
      </c>
      <c r="AC23" t="str">
        <f t="shared" si="14"/>
        <v>M3B19P5-ONSTATE</v>
      </c>
      <c r="AD23" s="47" t="str">
        <f t="shared" si="15"/>
        <v>M3B19P5-FLSTATE</v>
      </c>
      <c r="AF23" s="64">
        <v>1</v>
      </c>
      <c r="AG23" s="44">
        <v>14</v>
      </c>
      <c r="AH23" s="44" t="s">
        <v>218</v>
      </c>
      <c r="AI23" s="42" t="str">
        <f t="shared" si="21"/>
        <v>NVI-M1B14P21</v>
      </c>
      <c r="AJ23" s="42" t="str">
        <f t="shared" si="19"/>
        <v>M1B05P05</v>
      </c>
      <c r="AL23" s="97">
        <v>1</v>
      </c>
      <c r="AM23" s="93">
        <v>14</v>
      </c>
      <c r="AN23" s="93" t="s">
        <v>218</v>
      </c>
      <c r="AO23" s="57" t="str">
        <f t="shared" si="16"/>
        <v>NVO-M1B14P21</v>
      </c>
      <c r="AP23" s="59" t="str">
        <f t="shared" si="17"/>
        <v>M1B14P21</v>
      </c>
    </row>
    <row r="24" spans="1:42" x14ac:dyDescent="0.3">
      <c r="A24" s="64">
        <v>1</v>
      </c>
      <c r="B24" s="44" t="s">
        <v>79</v>
      </c>
      <c r="C24" s="44" t="s">
        <v>73</v>
      </c>
      <c r="D24" s="42" t="str">
        <f t="shared" si="20"/>
        <v>DI-M1B05P06</v>
      </c>
      <c r="E24" s="42" t="str">
        <f t="shared" si="18"/>
        <v>M1B05P06</v>
      </c>
      <c r="F24" s="64">
        <v>2</v>
      </c>
      <c r="G24" s="64">
        <v>14</v>
      </c>
      <c r="H24" s="45" t="s">
        <v>185</v>
      </c>
      <c r="I24" s="42" t="str">
        <f t="shared" si="0"/>
        <v>ACO-M2B14P6</v>
      </c>
      <c r="J24" s="42" t="str">
        <f t="shared" si="2"/>
        <v>M2B14P6</v>
      </c>
      <c r="K24" s="42" t="str">
        <f t="shared" si="3"/>
        <v>M2B14P6-CK</v>
      </c>
      <c r="L24">
        <v>2</v>
      </c>
      <c r="M24" s="45" t="s">
        <v>78</v>
      </c>
      <c r="N24" s="45" t="s">
        <v>185</v>
      </c>
      <c r="O24" s="46" t="str">
        <f t="shared" si="4"/>
        <v>DBO-M2B04P6</v>
      </c>
      <c r="P24" t="str">
        <f t="shared" si="5"/>
        <v>M2B04P6-1</v>
      </c>
      <c r="Q24" t="str">
        <f t="shared" si="6"/>
        <v>M2B04P6-2</v>
      </c>
      <c r="R24" s="47" t="str">
        <f t="shared" si="7"/>
        <v>M2B04P6-FLASH</v>
      </c>
      <c r="S24">
        <v>3</v>
      </c>
      <c r="T24" s="45" t="s">
        <v>200</v>
      </c>
      <c r="U24" s="45" t="s">
        <v>185</v>
      </c>
      <c r="V24" s="46" t="s">
        <v>206</v>
      </c>
      <c r="W24" t="str">
        <f t="shared" si="8"/>
        <v>M3B19P6-1</v>
      </c>
      <c r="X24" t="str">
        <f t="shared" si="9"/>
        <v>M3B19P6-2</v>
      </c>
      <c r="Y24" t="str">
        <f t="shared" si="10"/>
        <v>M3B19P6-FLASH</v>
      </c>
      <c r="Z24" t="str">
        <f t="shared" si="11"/>
        <v>M3B19P6-CK</v>
      </c>
      <c r="AA24" t="str">
        <f t="shared" si="12"/>
        <v>M3B19P6-ON</v>
      </c>
      <c r="AB24" t="str">
        <f t="shared" si="13"/>
        <v>M3B19P6-NONPROT</v>
      </c>
      <c r="AC24" t="str">
        <f t="shared" si="14"/>
        <v>M3B19P6-ONSTATE</v>
      </c>
      <c r="AD24" s="47" t="str">
        <f t="shared" si="15"/>
        <v>M3B19P6-FLSTATE</v>
      </c>
      <c r="AF24" s="64">
        <v>1</v>
      </c>
      <c r="AG24" s="44">
        <v>14</v>
      </c>
      <c r="AH24" s="44" t="s">
        <v>298</v>
      </c>
      <c r="AI24" s="42" t="str">
        <f t="shared" si="21"/>
        <v>NVI-M1B14P22</v>
      </c>
      <c r="AJ24" s="42" t="str">
        <f t="shared" si="19"/>
        <v>M1B05P06</v>
      </c>
      <c r="AL24" s="97">
        <v>1</v>
      </c>
      <c r="AM24" s="93">
        <v>14</v>
      </c>
      <c r="AN24" s="93" t="s">
        <v>298</v>
      </c>
      <c r="AO24" s="57" t="str">
        <f t="shared" si="16"/>
        <v>NVO-M1B14P22</v>
      </c>
      <c r="AP24" s="59" t="str">
        <f t="shared" si="17"/>
        <v>M1B14P22</v>
      </c>
    </row>
    <row r="25" spans="1:42" x14ac:dyDescent="0.3">
      <c r="A25" s="64">
        <v>1</v>
      </c>
      <c r="B25" s="44" t="s">
        <v>79</v>
      </c>
      <c r="C25" s="44" t="s">
        <v>74</v>
      </c>
      <c r="D25" s="42" t="str">
        <f t="shared" si="20"/>
        <v>DI-M1B05P07</v>
      </c>
      <c r="E25" s="42" t="str">
        <f t="shared" si="18"/>
        <v>M1B05P07</v>
      </c>
      <c r="F25" s="64">
        <v>2</v>
      </c>
      <c r="G25" s="64">
        <v>14</v>
      </c>
      <c r="H25" s="45" t="s">
        <v>187</v>
      </c>
      <c r="I25" s="42" t="str">
        <f t="shared" si="0"/>
        <v>ACO-M2B14P7</v>
      </c>
      <c r="J25" s="42" t="str">
        <f t="shared" si="2"/>
        <v>M2B14P7</v>
      </c>
      <c r="K25" s="42" t="str">
        <f t="shared" si="3"/>
        <v>M2B14P7-CK</v>
      </c>
      <c r="L25">
        <v>2</v>
      </c>
      <c r="M25" s="45" t="s">
        <v>78</v>
      </c>
      <c r="N25" s="45" t="s">
        <v>187</v>
      </c>
      <c r="O25" s="46" t="str">
        <f t="shared" si="4"/>
        <v>DBO-M2B04P7</v>
      </c>
      <c r="P25" t="str">
        <f t="shared" si="5"/>
        <v>M2B04P7-1</v>
      </c>
      <c r="Q25" t="str">
        <f t="shared" si="6"/>
        <v>M2B04P7-2</v>
      </c>
      <c r="R25" s="47" t="str">
        <f t="shared" si="7"/>
        <v>M2B04P7-FLASH</v>
      </c>
      <c r="S25">
        <v>3</v>
      </c>
      <c r="T25" s="45" t="s">
        <v>200</v>
      </c>
      <c r="U25" s="45" t="s">
        <v>187</v>
      </c>
      <c r="V25" s="46" t="s">
        <v>207</v>
      </c>
      <c r="W25" t="str">
        <f t="shared" si="8"/>
        <v>M3B19P7-1</v>
      </c>
      <c r="X25" t="str">
        <f t="shared" si="9"/>
        <v>M3B19P7-2</v>
      </c>
      <c r="Y25" t="str">
        <f t="shared" si="10"/>
        <v>M3B19P7-FLASH</v>
      </c>
      <c r="Z25" t="str">
        <f t="shared" si="11"/>
        <v>M3B19P7-CK</v>
      </c>
      <c r="AA25" t="str">
        <f t="shared" si="12"/>
        <v>M3B19P7-ON</v>
      </c>
      <c r="AB25" t="str">
        <f t="shared" si="13"/>
        <v>M3B19P7-NONPROT</v>
      </c>
      <c r="AC25" t="str">
        <f t="shared" si="14"/>
        <v>M3B19P7-ONSTATE</v>
      </c>
      <c r="AD25" s="47" t="str">
        <f t="shared" si="15"/>
        <v>M3B19P7-FLSTATE</v>
      </c>
      <c r="AF25" s="64">
        <v>1</v>
      </c>
      <c r="AG25" s="44">
        <v>14</v>
      </c>
      <c r="AH25" s="44" t="s">
        <v>299</v>
      </c>
      <c r="AI25" s="42" t="str">
        <f t="shared" si="21"/>
        <v>NVI-M1B14P23</v>
      </c>
      <c r="AJ25" s="42" t="str">
        <f t="shared" si="19"/>
        <v>M1B05P07</v>
      </c>
      <c r="AL25" s="97">
        <v>1</v>
      </c>
      <c r="AM25" s="93">
        <v>14</v>
      </c>
      <c r="AN25" s="93" t="s">
        <v>299</v>
      </c>
      <c r="AO25" s="57" t="str">
        <f t="shared" si="16"/>
        <v>NVO-M1B14P23</v>
      </c>
      <c r="AP25" s="59" t="str">
        <f t="shared" si="17"/>
        <v>M1B14P23</v>
      </c>
    </row>
    <row r="26" spans="1:42" x14ac:dyDescent="0.3">
      <c r="A26" s="64">
        <v>1</v>
      </c>
      <c r="B26" s="44" t="s">
        <v>79</v>
      </c>
      <c r="C26" s="44" t="s">
        <v>80</v>
      </c>
      <c r="D26" s="42" t="str">
        <f t="shared" si="20"/>
        <v>DI-M1B05P08</v>
      </c>
      <c r="E26" s="42" t="str">
        <f t="shared" si="18"/>
        <v>M1B05P08</v>
      </c>
      <c r="F26" s="64">
        <v>2</v>
      </c>
      <c r="G26" s="64">
        <v>14</v>
      </c>
      <c r="H26" s="45" t="s">
        <v>189</v>
      </c>
      <c r="I26" s="43" t="str">
        <f t="shared" si="0"/>
        <v>ACO-M2B14P8</v>
      </c>
      <c r="J26" s="43" t="str">
        <f t="shared" si="2"/>
        <v>M2B14P8</v>
      </c>
      <c r="K26" s="43" t="str">
        <f t="shared" si="3"/>
        <v>M2B14P8-CK</v>
      </c>
      <c r="L26">
        <v>2</v>
      </c>
      <c r="M26" s="45" t="s">
        <v>78</v>
      </c>
      <c r="N26" s="45" t="s">
        <v>189</v>
      </c>
      <c r="O26" s="48" t="str">
        <f t="shared" si="4"/>
        <v>DBO-M2B04P8</v>
      </c>
      <c r="P26" s="55" t="str">
        <f t="shared" si="5"/>
        <v>M2B04P8-1</v>
      </c>
      <c r="Q26" s="55" t="str">
        <f t="shared" si="6"/>
        <v>M2B04P8-2</v>
      </c>
      <c r="R26" s="49" t="str">
        <f t="shared" si="7"/>
        <v>M2B04P8-FLASH</v>
      </c>
      <c r="S26">
        <v>3</v>
      </c>
      <c r="T26" s="45" t="s">
        <v>200</v>
      </c>
      <c r="U26" s="45" t="s">
        <v>189</v>
      </c>
      <c r="V26" s="48" t="s">
        <v>208</v>
      </c>
      <c r="W26" s="55" t="str">
        <f t="shared" si="8"/>
        <v>M3B19P8-1</v>
      </c>
      <c r="X26" s="55" t="str">
        <f t="shared" si="9"/>
        <v>M3B19P8-2</v>
      </c>
      <c r="Y26" s="55" t="str">
        <f t="shared" si="10"/>
        <v>M3B19P8-FLASH</v>
      </c>
      <c r="Z26" s="55" t="str">
        <f t="shared" si="11"/>
        <v>M3B19P8-CK</v>
      </c>
      <c r="AA26" s="55" t="str">
        <f t="shared" si="12"/>
        <v>M3B19P8-ON</v>
      </c>
      <c r="AB26" s="55" t="str">
        <f t="shared" si="13"/>
        <v>M3B19P8-NONPROT</v>
      </c>
      <c r="AC26" s="55" t="str">
        <f t="shared" si="14"/>
        <v>M3B19P8-ONSTATE</v>
      </c>
      <c r="AD26" s="49" t="str">
        <f t="shared" si="15"/>
        <v>M3B19P8-FLSTATE</v>
      </c>
      <c r="AF26" s="64">
        <v>1</v>
      </c>
      <c r="AG26" s="44">
        <v>14</v>
      </c>
      <c r="AH26" s="44" t="s">
        <v>300</v>
      </c>
      <c r="AI26" s="42" t="str">
        <f t="shared" si="21"/>
        <v>NVI-M1B14P24</v>
      </c>
      <c r="AJ26" s="42" t="str">
        <f t="shared" si="19"/>
        <v>M1B05P08</v>
      </c>
      <c r="AL26" s="97">
        <v>1</v>
      </c>
      <c r="AM26" s="93">
        <v>14</v>
      </c>
      <c r="AN26" s="93" t="s">
        <v>300</v>
      </c>
      <c r="AO26" s="57" t="str">
        <f t="shared" si="16"/>
        <v>NVO-M1B14P24</v>
      </c>
      <c r="AP26" s="59" t="str">
        <f t="shared" si="17"/>
        <v>M1B14P24</v>
      </c>
    </row>
    <row r="27" spans="1:42" x14ac:dyDescent="0.3">
      <c r="A27" s="64">
        <v>1</v>
      </c>
      <c r="B27" s="44" t="s">
        <v>79</v>
      </c>
      <c r="C27" s="44" t="s">
        <v>81</v>
      </c>
      <c r="D27" s="42" t="str">
        <f t="shared" si="20"/>
        <v>DI-M1B05P09</v>
      </c>
      <c r="E27" s="42" t="str">
        <f t="shared" si="18"/>
        <v>M1B05P09</v>
      </c>
      <c r="F27" s="64">
        <v>2</v>
      </c>
      <c r="G27" s="64">
        <v>15</v>
      </c>
      <c r="H27" s="45" t="s">
        <v>175</v>
      </c>
      <c r="I27" s="41" t="str">
        <f t="shared" ref="I27:I66" si="22">("ACO-M"&amp;F27&amp;"B"&amp;G27&amp;"P"&amp;H27)</f>
        <v>ACO-M2B15P1</v>
      </c>
      <c r="J27" s="41" t="str">
        <f t="shared" ref="J27:J58" si="23">("M"&amp;$F27&amp;"B"&amp;$G27&amp;"P"&amp;$H27)</f>
        <v>M2B15P1</v>
      </c>
      <c r="K27" s="41" t="str">
        <f t="shared" ref="K27:K58" si="24">("M"&amp;$F27&amp;"B"&amp;$G27&amp;"P"&amp;$H27&amp;"-CK")</f>
        <v>M2B15P1-CK</v>
      </c>
      <c r="L27">
        <v>2</v>
      </c>
      <c r="M27" s="45" t="s">
        <v>79</v>
      </c>
      <c r="N27" s="45" t="s">
        <v>175</v>
      </c>
      <c r="O27" s="52" t="str">
        <f>("DBO-M"&amp;$L27&amp;"B"&amp;$M27&amp;"P"&amp;$N27)</f>
        <v>DBO-M2B05P1</v>
      </c>
      <c r="P27" s="53" t="str">
        <f>("M"&amp;$L27&amp;"B"&amp;$M27&amp;"P"&amp;$N27&amp;"-1")</f>
        <v>M2B05P1-1</v>
      </c>
      <c r="Q27" s="53" t="str">
        <f>("M"&amp;$L27&amp;"B"&amp;$M27&amp;"P"&amp;$N27&amp;"-2")</f>
        <v>M2B05P1-2</v>
      </c>
      <c r="R27" s="54" t="str">
        <f>("M"&amp;$L27&amp;"B"&amp;$M27&amp;"P"&amp;$N27&amp;"-FLASH")</f>
        <v>M2B05P1-FLASH</v>
      </c>
      <c r="S27">
        <v>3</v>
      </c>
      <c r="T27" s="44" t="s">
        <v>209</v>
      </c>
      <c r="U27" s="45" t="s">
        <v>175</v>
      </c>
      <c r="V27" s="52" t="s">
        <v>210</v>
      </c>
      <c r="W27" s="53" t="str">
        <f t="shared" si="8"/>
        <v>M3B20P1-1</v>
      </c>
      <c r="X27" s="53" t="str">
        <f t="shared" si="9"/>
        <v>M3B20P1-2</v>
      </c>
      <c r="Y27" s="53" t="str">
        <f t="shared" si="10"/>
        <v>M3B20P1-FLASH</v>
      </c>
      <c r="Z27" s="53" t="str">
        <f t="shared" si="11"/>
        <v>M3B20P1-CK</v>
      </c>
      <c r="AA27" s="53" t="str">
        <f t="shared" si="12"/>
        <v>M3B20P1-ON</v>
      </c>
      <c r="AB27" s="53" t="str">
        <f t="shared" si="13"/>
        <v>M3B20P1-NONPROT</v>
      </c>
      <c r="AC27" s="53" t="str">
        <f t="shared" si="14"/>
        <v>M3B20P1-ONSTATE</v>
      </c>
      <c r="AD27" s="54" t="str">
        <f t="shared" si="15"/>
        <v>M3B20P1-FLSTATE</v>
      </c>
      <c r="AF27" s="64">
        <v>1</v>
      </c>
      <c r="AG27" s="44">
        <v>14</v>
      </c>
      <c r="AH27" s="44" t="s">
        <v>301</v>
      </c>
      <c r="AI27" s="42" t="str">
        <f t="shared" si="21"/>
        <v>NVI-M1B14P25</v>
      </c>
      <c r="AJ27" s="42" t="str">
        <f t="shared" si="19"/>
        <v>M1B05P09</v>
      </c>
      <c r="AL27" s="97">
        <v>1</v>
      </c>
      <c r="AM27" s="93">
        <v>14</v>
      </c>
      <c r="AN27" s="93" t="s">
        <v>301</v>
      </c>
      <c r="AO27" s="57" t="str">
        <f t="shared" si="16"/>
        <v>NVO-M1B14P25</v>
      </c>
      <c r="AP27" s="59" t="str">
        <f t="shared" si="17"/>
        <v>M1B14P25</v>
      </c>
    </row>
    <row r="28" spans="1:42" x14ac:dyDescent="0.3">
      <c r="A28" s="64">
        <v>1</v>
      </c>
      <c r="B28" s="44" t="s">
        <v>79</v>
      </c>
      <c r="C28" s="44" t="s">
        <v>82</v>
      </c>
      <c r="D28" s="42" t="str">
        <f t="shared" si="20"/>
        <v>DI-M1B05P10</v>
      </c>
      <c r="E28" s="42" t="str">
        <f t="shared" si="18"/>
        <v>M1B05P10</v>
      </c>
      <c r="F28" s="64">
        <v>2</v>
      </c>
      <c r="G28" s="64">
        <v>15</v>
      </c>
      <c r="H28" s="45" t="s">
        <v>177</v>
      </c>
      <c r="I28" s="42" t="str">
        <f t="shared" si="22"/>
        <v>ACO-M2B15P2</v>
      </c>
      <c r="J28" s="42" t="str">
        <f t="shared" si="23"/>
        <v>M2B15P2</v>
      </c>
      <c r="K28" s="42" t="str">
        <f t="shared" si="24"/>
        <v>M2B15P2-CK</v>
      </c>
      <c r="L28">
        <v>2</v>
      </c>
      <c r="M28" s="45" t="s">
        <v>79</v>
      </c>
      <c r="N28" s="45" t="s">
        <v>177</v>
      </c>
      <c r="O28" s="46" t="str">
        <f t="shared" si="4"/>
        <v>DBO-M2B05P2</v>
      </c>
      <c r="P28" t="str">
        <f t="shared" si="5"/>
        <v>M2B05P2-1</v>
      </c>
      <c r="Q28" t="str">
        <f t="shared" si="6"/>
        <v>M2B05P2-2</v>
      </c>
      <c r="R28" s="47" t="str">
        <f t="shared" si="7"/>
        <v>M2B05P2-FLASH</v>
      </c>
      <c r="S28">
        <v>3</v>
      </c>
      <c r="T28" s="44" t="s">
        <v>209</v>
      </c>
      <c r="U28" s="45" t="s">
        <v>177</v>
      </c>
      <c r="V28" s="46" t="s">
        <v>211</v>
      </c>
      <c r="W28" t="str">
        <f t="shared" si="8"/>
        <v>M3B20P2-1</v>
      </c>
      <c r="X28" t="str">
        <f t="shared" si="9"/>
        <v>M3B20P2-2</v>
      </c>
      <c r="Y28" t="str">
        <f t="shared" si="10"/>
        <v>M3B20P2-FLASH</v>
      </c>
      <c r="Z28" t="str">
        <f t="shared" si="11"/>
        <v>M3B20P2-CK</v>
      </c>
      <c r="AA28" t="str">
        <f t="shared" si="12"/>
        <v>M3B20P2-ON</v>
      </c>
      <c r="AB28" t="str">
        <f t="shared" si="13"/>
        <v>M3B20P2-NONPROT</v>
      </c>
      <c r="AC28" t="str">
        <f t="shared" si="14"/>
        <v>M3B20P2-ONSTATE</v>
      </c>
      <c r="AD28" s="47" t="str">
        <f t="shared" si="15"/>
        <v>M3B20P2-FLSTATE</v>
      </c>
      <c r="AF28" s="64">
        <v>1</v>
      </c>
      <c r="AG28" s="44">
        <v>14</v>
      </c>
      <c r="AH28" s="44" t="s">
        <v>302</v>
      </c>
      <c r="AI28" s="42" t="str">
        <f t="shared" si="21"/>
        <v>NVI-M1B14P26</v>
      </c>
      <c r="AJ28" s="42" t="str">
        <f t="shared" si="19"/>
        <v>M1B05P10</v>
      </c>
      <c r="AL28" s="97">
        <v>1</v>
      </c>
      <c r="AM28" s="93">
        <v>14</v>
      </c>
      <c r="AN28" s="93" t="s">
        <v>302</v>
      </c>
      <c r="AO28" s="57" t="str">
        <f t="shared" si="16"/>
        <v>NVO-M1B14P26</v>
      </c>
      <c r="AP28" s="59" t="str">
        <f t="shared" si="17"/>
        <v>M1B14P26</v>
      </c>
    </row>
    <row r="29" spans="1:42" x14ac:dyDescent="0.3">
      <c r="A29" s="64">
        <v>1</v>
      </c>
      <c r="B29" s="44" t="s">
        <v>79</v>
      </c>
      <c r="C29" s="44" t="s">
        <v>83</v>
      </c>
      <c r="D29" s="42" t="str">
        <f t="shared" si="20"/>
        <v>DI-M1B05P11</v>
      </c>
      <c r="E29" s="42" t="str">
        <f t="shared" si="18"/>
        <v>M1B05P11</v>
      </c>
      <c r="F29" s="64">
        <v>2</v>
      </c>
      <c r="G29" s="64">
        <v>15</v>
      </c>
      <c r="H29" s="45" t="s">
        <v>179</v>
      </c>
      <c r="I29" s="42" t="str">
        <f t="shared" si="22"/>
        <v>ACO-M2B15P3</v>
      </c>
      <c r="J29" s="42" t="str">
        <f t="shared" si="23"/>
        <v>M2B15P3</v>
      </c>
      <c r="K29" s="42" t="str">
        <f t="shared" si="24"/>
        <v>M2B15P3-CK</v>
      </c>
      <c r="L29">
        <v>2</v>
      </c>
      <c r="M29" s="45" t="s">
        <v>79</v>
      </c>
      <c r="N29" s="45" t="s">
        <v>179</v>
      </c>
      <c r="O29" s="46" t="str">
        <f t="shared" si="4"/>
        <v>DBO-M2B05P3</v>
      </c>
      <c r="P29" t="str">
        <f t="shared" si="5"/>
        <v>M2B05P3-1</v>
      </c>
      <c r="Q29" t="str">
        <f t="shared" si="6"/>
        <v>M2B05P3-2</v>
      </c>
      <c r="R29" s="47" t="str">
        <f t="shared" si="7"/>
        <v>M2B05P3-FLASH</v>
      </c>
      <c r="S29">
        <v>3</v>
      </c>
      <c r="T29" s="44" t="s">
        <v>209</v>
      </c>
      <c r="U29" s="45" t="s">
        <v>179</v>
      </c>
      <c r="V29" s="46" t="s">
        <v>212</v>
      </c>
      <c r="W29" t="str">
        <f t="shared" si="8"/>
        <v>M3B20P3-1</v>
      </c>
      <c r="X29" t="str">
        <f t="shared" si="9"/>
        <v>M3B20P3-2</v>
      </c>
      <c r="Y29" t="str">
        <f t="shared" si="10"/>
        <v>M3B20P3-FLASH</v>
      </c>
      <c r="Z29" t="str">
        <f t="shared" si="11"/>
        <v>M3B20P3-CK</v>
      </c>
      <c r="AA29" t="str">
        <f t="shared" si="12"/>
        <v>M3B20P3-ON</v>
      </c>
      <c r="AB29" t="str">
        <f t="shared" si="13"/>
        <v>M3B20P3-NONPROT</v>
      </c>
      <c r="AC29" t="str">
        <f t="shared" si="14"/>
        <v>M3B20P3-ONSTATE</v>
      </c>
      <c r="AD29" s="47" t="str">
        <f t="shared" si="15"/>
        <v>M3B20P3-FLSTATE</v>
      </c>
      <c r="AF29" s="64">
        <v>1</v>
      </c>
      <c r="AG29" s="44">
        <v>14</v>
      </c>
      <c r="AH29" s="44" t="s">
        <v>303</v>
      </c>
      <c r="AI29" s="42" t="str">
        <f t="shared" si="21"/>
        <v>NVI-M1B14P27</v>
      </c>
      <c r="AJ29" s="42" t="str">
        <f t="shared" si="19"/>
        <v>M1B05P11</v>
      </c>
      <c r="AL29" s="97">
        <v>1</v>
      </c>
      <c r="AM29" s="93">
        <v>14</v>
      </c>
      <c r="AN29" s="93" t="s">
        <v>303</v>
      </c>
      <c r="AO29" s="57" t="str">
        <f t="shared" si="16"/>
        <v>NVO-M1B14P27</v>
      </c>
      <c r="AP29" s="59" t="str">
        <f t="shared" si="17"/>
        <v>M1B14P27</v>
      </c>
    </row>
    <row r="30" spans="1:42" x14ac:dyDescent="0.3">
      <c r="A30" s="64">
        <v>1</v>
      </c>
      <c r="B30" s="44" t="s">
        <v>79</v>
      </c>
      <c r="C30" s="44" t="s">
        <v>84</v>
      </c>
      <c r="D30" s="42" t="str">
        <f t="shared" si="20"/>
        <v>DI-M1B05P12</v>
      </c>
      <c r="E30" s="42" t="str">
        <f t="shared" si="18"/>
        <v>M1B05P12</v>
      </c>
      <c r="F30" s="64">
        <v>2</v>
      </c>
      <c r="G30" s="64">
        <v>15</v>
      </c>
      <c r="H30" s="45" t="s">
        <v>181</v>
      </c>
      <c r="I30" s="42" t="str">
        <f t="shared" si="22"/>
        <v>ACO-M2B15P4</v>
      </c>
      <c r="J30" s="42" t="str">
        <f t="shared" si="23"/>
        <v>M2B15P4</v>
      </c>
      <c r="K30" s="42" t="str">
        <f t="shared" si="24"/>
        <v>M2B15P4-CK</v>
      </c>
      <c r="L30">
        <v>2</v>
      </c>
      <c r="M30" s="45" t="s">
        <v>79</v>
      </c>
      <c r="N30" s="45" t="s">
        <v>181</v>
      </c>
      <c r="O30" s="46" t="str">
        <f t="shared" si="4"/>
        <v>DBO-M2B05P4</v>
      </c>
      <c r="P30" t="str">
        <f t="shared" si="5"/>
        <v>M2B05P4-1</v>
      </c>
      <c r="Q30" t="str">
        <f t="shared" si="6"/>
        <v>M2B05P4-2</v>
      </c>
      <c r="R30" s="47" t="str">
        <f t="shared" si="7"/>
        <v>M2B05P4-FLASH</v>
      </c>
      <c r="S30">
        <v>3</v>
      </c>
      <c r="T30" s="44" t="s">
        <v>209</v>
      </c>
      <c r="U30" s="45" t="s">
        <v>181</v>
      </c>
      <c r="V30" s="46" t="s">
        <v>213</v>
      </c>
      <c r="W30" t="str">
        <f t="shared" si="8"/>
        <v>M3B20P4-1</v>
      </c>
      <c r="X30" t="str">
        <f t="shared" si="9"/>
        <v>M3B20P4-2</v>
      </c>
      <c r="Y30" t="str">
        <f t="shared" si="10"/>
        <v>M3B20P4-FLASH</v>
      </c>
      <c r="Z30" t="str">
        <f t="shared" si="11"/>
        <v>M3B20P4-CK</v>
      </c>
      <c r="AA30" t="str">
        <f t="shared" si="12"/>
        <v>M3B20P4-ON</v>
      </c>
      <c r="AB30" t="str">
        <f t="shared" si="13"/>
        <v>M3B20P4-NONPROT</v>
      </c>
      <c r="AC30" t="str">
        <f t="shared" si="14"/>
        <v>M3B20P4-ONSTATE</v>
      </c>
      <c r="AD30" s="47" t="str">
        <f t="shared" si="15"/>
        <v>M3B20P4-FLSTATE</v>
      </c>
      <c r="AF30" s="64">
        <v>1</v>
      </c>
      <c r="AG30" s="44">
        <v>14</v>
      </c>
      <c r="AH30" s="44" t="s">
        <v>304</v>
      </c>
      <c r="AI30" s="42" t="str">
        <f t="shared" si="21"/>
        <v>NVI-M1B14P28</v>
      </c>
      <c r="AJ30" s="42" t="str">
        <f t="shared" si="19"/>
        <v>M1B05P12</v>
      </c>
      <c r="AL30" s="97">
        <v>1</v>
      </c>
      <c r="AM30" s="93">
        <v>14</v>
      </c>
      <c r="AN30" s="93" t="s">
        <v>304</v>
      </c>
      <c r="AO30" s="57" t="str">
        <f t="shared" si="16"/>
        <v>NVO-M1B14P28</v>
      </c>
      <c r="AP30" s="59" t="str">
        <f t="shared" si="17"/>
        <v>M1B14P28</v>
      </c>
    </row>
    <row r="31" spans="1:42" x14ac:dyDescent="0.3">
      <c r="A31" s="64">
        <v>1</v>
      </c>
      <c r="B31" s="44" t="s">
        <v>79</v>
      </c>
      <c r="C31" s="44" t="s">
        <v>85</v>
      </c>
      <c r="D31" s="42" t="str">
        <f t="shared" si="20"/>
        <v>DI-M1B05P13</v>
      </c>
      <c r="E31" s="42" t="str">
        <f t="shared" si="18"/>
        <v>M1B05P13</v>
      </c>
      <c r="F31" s="64">
        <v>2</v>
      </c>
      <c r="G31" s="64">
        <v>15</v>
      </c>
      <c r="H31" s="45" t="s">
        <v>183</v>
      </c>
      <c r="I31" s="42" t="str">
        <f t="shared" si="22"/>
        <v>ACO-M2B15P5</v>
      </c>
      <c r="J31" s="42" t="str">
        <f t="shared" si="23"/>
        <v>M2B15P5</v>
      </c>
      <c r="K31" s="42" t="str">
        <f t="shared" si="24"/>
        <v>M2B15P5-CK</v>
      </c>
      <c r="L31">
        <v>2</v>
      </c>
      <c r="M31" s="45" t="s">
        <v>79</v>
      </c>
      <c r="N31" s="45" t="s">
        <v>183</v>
      </c>
      <c r="O31" s="46" t="str">
        <f t="shared" si="4"/>
        <v>DBO-M2B05P5</v>
      </c>
      <c r="P31" t="str">
        <f t="shared" si="5"/>
        <v>M2B05P5-1</v>
      </c>
      <c r="Q31" t="str">
        <f t="shared" si="6"/>
        <v>M2B05P5-2</v>
      </c>
      <c r="R31" s="47" t="str">
        <f t="shared" si="7"/>
        <v>M2B05P5-FLASH</v>
      </c>
      <c r="S31">
        <v>3</v>
      </c>
      <c r="T31" s="44" t="s">
        <v>209</v>
      </c>
      <c r="U31" s="45" t="s">
        <v>183</v>
      </c>
      <c r="V31" s="46" t="s">
        <v>214</v>
      </c>
      <c r="W31" t="str">
        <f t="shared" si="8"/>
        <v>M3B20P5-1</v>
      </c>
      <c r="X31" t="str">
        <f t="shared" si="9"/>
        <v>M3B20P5-2</v>
      </c>
      <c r="Y31" t="str">
        <f t="shared" si="10"/>
        <v>M3B20P5-FLASH</v>
      </c>
      <c r="Z31" t="str">
        <f t="shared" si="11"/>
        <v>M3B20P5-CK</v>
      </c>
      <c r="AA31" t="str">
        <f t="shared" si="12"/>
        <v>M3B20P5-ON</v>
      </c>
      <c r="AB31" t="str">
        <f t="shared" si="13"/>
        <v>M3B20P5-NONPROT</v>
      </c>
      <c r="AC31" t="str">
        <f t="shared" si="14"/>
        <v>M3B20P5-ONSTATE</v>
      </c>
      <c r="AD31" s="47" t="str">
        <f t="shared" si="15"/>
        <v>M3B20P5-FLSTATE</v>
      </c>
      <c r="AF31" s="64">
        <v>1</v>
      </c>
      <c r="AG31" s="44">
        <v>14</v>
      </c>
      <c r="AH31" s="44" t="s">
        <v>305</v>
      </c>
      <c r="AI31" s="42" t="str">
        <f t="shared" si="21"/>
        <v>NVI-M1B14P29</v>
      </c>
      <c r="AJ31" s="42" t="str">
        <f t="shared" si="19"/>
        <v>M1B05P13</v>
      </c>
      <c r="AL31" s="97">
        <v>1</v>
      </c>
      <c r="AM31" s="93">
        <v>14</v>
      </c>
      <c r="AN31" s="93" t="s">
        <v>305</v>
      </c>
      <c r="AO31" s="57" t="str">
        <f t="shared" si="16"/>
        <v>NVO-M1B14P29</v>
      </c>
      <c r="AP31" s="59" t="str">
        <f t="shared" si="17"/>
        <v>M1B14P29</v>
      </c>
    </row>
    <row r="32" spans="1:42" x14ac:dyDescent="0.3">
      <c r="A32" s="64">
        <v>1</v>
      </c>
      <c r="B32" s="44" t="s">
        <v>79</v>
      </c>
      <c r="C32" s="44" t="s">
        <v>86</v>
      </c>
      <c r="D32" s="42" t="str">
        <f t="shared" si="20"/>
        <v>DI-M1B05P14</v>
      </c>
      <c r="E32" s="42" t="str">
        <f t="shared" si="18"/>
        <v>M1B05P14</v>
      </c>
      <c r="F32" s="64">
        <v>2</v>
      </c>
      <c r="G32" s="64">
        <v>15</v>
      </c>
      <c r="H32" s="45" t="s">
        <v>185</v>
      </c>
      <c r="I32" s="42" t="str">
        <f t="shared" si="22"/>
        <v>ACO-M2B15P6</v>
      </c>
      <c r="J32" s="42" t="str">
        <f t="shared" si="23"/>
        <v>M2B15P6</v>
      </c>
      <c r="K32" s="42" t="str">
        <f t="shared" si="24"/>
        <v>M2B15P6-CK</v>
      </c>
      <c r="L32">
        <v>2</v>
      </c>
      <c r="M32" s="45" t="s">
        <v>79</v>
      </c>
      <c r="N32" s="45" t="s">
        <v>185</v>
      </c>
      <c r="O32" s="46" t="str">
        <f t="shared" si="4"/>
        <v>DBO-M2B05P6</v>
      </c>
      <c r="P32" t="str">
        <f t="shared" si="5"/>
        <v>M2B05P6-1</v>
      </c>
      <c r="Q32" t="str">
        <f t="shared" si="6"/>
        <v>M2B05P6-2</v>
      </c>
      <c r="R32" s="47" t="str">
        <f t="shared" si="7"/>
        <v>M2B05P6-FLASH</v>
      </c>
      <c r="S32">
        <v>3</v>
      </c>
      <c r="T32" s="44" t="s">
        <v>209</v>
      </c>
      <c r="U32" s="45" t="s">
        <v>185</v>
      </c>
      <c r="V32" s="46" t="s">
        <v>215</v>
      </c>
      <c r="W32" t="str">
        <f t="shared" si="8"/>
        <v>M3B20P6-1</v>
      </c>
      <c r="X32" t="str">
        <f t="shared" si="9"/>
        <v>M3B20P6-2</v>
      </c>
      <c r="Y32" t="str">
        <f t="shared" si="10"/>
        <v>M3B20P6-FLASH</v>
      </c>
      <c r="Z32" t="str">
        <f t="shared" si="11"/>
        <v>M3B20P6-CK</v>
      </c>
      <c r="AA32" t="str">
        <f t="shared" si="12"/>
        <v>M3B20P6-ON</v>
      </c>
      <c r="AB32" t="str">
        <f t="shared" si="13"/>
        <v>M3B20P6-NONPROT</v>
      </c>
      <c r="AC32" t="str">
        <f t="shared" si="14"/>
        <v>M3B20P6-ONSTATE</v>
      </c>
      <c r="AD32" s="47" t="str">
        <f t="shared" si="15"/>
        <v>M3B20P6-FLSTATE</v>
      </c>
      <c r="AF32" s="64">
        <v>1</v>
      </c>
      <c r="AG32" s="44">
        <v>14</v>
      </c>
      <c r="AH32" s="44" t="s">
        <v>306</v>
      </c>
      <c r="AI32" s="42" t="str">
        <f t="shared" si="21"/>
        <v>NVI-M1B14P30</v>
      </c>
      <c r="AJ32" s="42" t="str">
        <f t="shared" si="19"/>
        <v>M1B05P14</v>
      </c>
      <c r="AL32" s="97">
        <v>1</v>
      </c>
      <c r="AM32" s="93">
        <v>14</v>
      </c>
      <c r="AN32" s="93" t="s">
        <v>306</v>
      </c>
      <c r="AO32" s="57" t="str">
        <f t="shared" si="16"/>
        <v>NVO-M1B14P30</v>
      </c>
      <c r="AP32" s="59" t="str">
        <f t="shared" si="17"/>
        <v>M1B14P30</v>
      </c>
    </row>
    <row r="33" spans="1:42" x14ac:dyDescent="0.3">
      <c r="A33" s="64">
        <v>1</v>
      </c>
      <c r="B33" s="44" t="s">
        <v>79</v>
      </c>
      <c r="C33" s="44" t="s">
        <v>87</v>
      </c>
      <c r="D33" s="42" t="str">
        <f t="shared" si="20"/>
        <v>DI-M1B05P15</v>
      </c>
      <c r="E33" s="42" t="str">
        <f t="shared" si="18"/>
        <v>M1B05P15</v>
      </c>
      <c r="F33" s="64">
        <v>2</v>
      </c>
      <c r="G33" s="64">
        <v>15</v>
      </c>
      <c r="H33" s="45" t="s">
        <v>187</v>
      </c>
      <c r="I33" s="42" t="str">
        <f t="shared" si="22"/>
        <v>ACO-M2B15P7</v>
      </c>
      <c r="J33" s="42" t="str">
        <f t="shared" si="23"/>
        <v>M2B15P7</v>
      </c>
      <c r="K33" s="42" t="str">
        <f t="shared" si="24"/>
        <v>M2B15P7-CK</v>
      </c>
      <c r="L33">
        <v>2</v>
      </c>
      <c r="M33" s="45" t="s">
        <v>79</v>
      </c>
      <c r="N33" s="45" t="s">
        <v>187</v>
      </c>
      <c r="O33" s="46" t="str">
        <f t="shared" si="4"/>
        <v>DBO-M2B05P7</v>
      </c>
      <c r="P33" t="str">
        <f t="shared" si="5"/>
        <v>M2B05P7-1</v>
      </c>
      <c r="Q33" t="str">
        <f t="shared" si="6"/>
        <v>M2B05P7-2</v>
      </c>
      <c r="R33" s="47" t="str">
        <f t="shared" si="7"/>
        <v>M2B05P7-FLASH</v>
      </c>
      <c r="S33">
        <v>3</v>
      </c>
      <c r="T33" s="44" t="s">
        <v>209</v>
      </c>
      <c r="U33" s="45" t="s">
        <v>187</v>
      </c>
      <c r="V33" s="46" t="s">
        <v>216</v>
      </c>
      <c r="W33" t="str">
        <f t="shared" si="8"/>
        <v>M3B20P7-1</v>
      </c>
      <c r="X33" t="str">
        <f t="shared" si="9"/>
        <v>M3B20P7-2</v>
      </c>
      <c r="Y33" t="str">
        <f t="shared" si="10"/>
        <v>M3B20P7-FLASH</v>
      </c>
      <c r="Z33" t="str">
        <f t="shared" si="11"/>
        <v>M3B20P7-CK</v>
      </c>
      <c r="AA33" t="str">
        <f t="shared" si="12"/>
        <v>M3B20P7-ON</v>
      </c>
      <c r="AB33" t="str">
        <f t="shared" si="13"/>
        <v>M3B20P7-NONPROT</v>
      </c>
      <c r="AC33" t="str">
        <f t="shared" si="14"/>
        <v>M3B20P7-ONSTATE</v>
      </c>
      <c r="AD33" s="47" t="str">
        <f t="shared" si="15"/>
        <v>M3B20P7-FLSTATE</v>
      </c>
      <c r="AF33" s="64">
        <v>1</v>
      </c>
      <c r="AG33" s="44">
        <v>14</v>
      </c>
      <c r="AH33" s="44" t="s">
        <v>307</v>
      </c>
      <c r="AI33" s="42" t="str">
        <f t="shared" si="21"/>
        <v>NVI-M1B14P31</v>
      </c>
      <c r="AJ33" s="42" t="str">
        <f t="shared" si="19"/>
        <v>M1B05P15</v>
      </c>
      <c r="AL33" s="97">
        <v>1</v>
      </c>
      <c r="AM33" s="93">
        <v>14</v>
      </c>
      <c r="AN33" s="93" t="s">
        <v>307</v>
      </c>
      <c r="AO33" s="57" t="str">
        <f t="shared" si="16"/>
        <v>NVO-M1B14P31</v>
      </c>
      <c r="AP33" s="59" t="str">
        <f t="shared" si="17"/>
        <v>M1B14P31</v>
      </c>
    </row>
    <row r="34" spans="1:42" ht="15" thickBot="1" x14ac:dyDescent="0.35">
      <c r="A34" s="64">
        <v>1</v>
      </c>
      <c r="B34" s="44" t="s">
        <v>79</v>
      </c>
      <c r="C34" s="44" t="s">
        <v>88</v>
      </c>
      <c r="D34" s="43" t="str">
        <f t="shared" si="20"/>
        <v>DI-M1B05P16</v>
      </c>
      <c r="E34" s="43" t="str">
        <f t="shared" si="18"/>
        <v>M1B05P16</v>
      </c>
      <c r="F34" s="64">
        <v>2</v>
      </c>
      <c r="G34" s="64">
        <v>15</v>
      </c>
      <c r="H34" s="45" t="s">
        <v>189</v>
      </c>
      <c r="I34" s="43" t="str">
        <f t="shared" si="22"/>
        <v>ACO-M2B15P8</v>
      </c>
      <c r="J34" s="43" t="str">
        <f t="shared" si="23"/>
        <v>M2B15P8</v>
      </c>
      <c r="K34" s="43" t="str">
        <f t="shared" si="24"/>
        <v>M2B15P8-CK</v>
      </c>
      <c r="L34">
        <v>2</v>
      </c>
      <c r="M34" s="45" t="s">
        <v>79</v>
      </c>
      <c r="N34" s="45" t="s">
        <v>189</v>
      </c>
      <c r="O34" s="48" t="str">
        <f t="shared" si="4"/>
        <v>DBO-M2B05P8</v>
      </c>
      <c r="P34" s="55" t="str">
        <f t="shared" si="5"/>
        <v>M2B05P8-1</v>
      </c>
      <c r="Q34" s="55" t="str">
        <f t="shared" si="6"/>
        <v>M2B05P8-2</v>
      </c>
      <c r="R34" s="49" t="str">
        <f t="shared" si="7"/>
        <v>M2B05P8-FLASH</v>
      </c>
      <c r="S34">
        <v>3</v>
      </c>
      <c r="T34" s="44" t="s">
        <v>209</v>
      </c>
      <c r="U34" s="45" t="s">
        <v>189</v>
      </c>
      <c r="V34" s="48" t="s">
        <v>217</v>
      </c>
      <c r="W34" s="55" t="str">
        <f t="shared" si="8"/>
        <v>M3B20P8-1</v>
      </c>
      <c r="X34" s="55" t="str">
        <f t="shared" si="9"/>
        <v>M3B20P8-2</v>
      </c>
      <c r="Y34" s="55" t="str">
        <f t="shared" si="10"/>
        <v>M3B20P8-FLASH</v>
      </c>
      <c r="Z34" s="55" t="str">
        <f t="shared" si="11"/>
        <v>M3B20P8-CK</v>
      </c>
      <c r="AA34" s="55" t="str">
        <f t="shared" si="12"/>
        <v>M3B20P8-ON</v>
      </c>
      <c r="AB34" s="55" t="str">
        <f t="shared" si="13"/>
        <v>M3B20P8-NONPROT</v>
      </c>
      <c r="AC34" s="55" t="str">
        <f t="shared" si="14"/>
        <v>M3B20P8-ONSTATE</v>
      </c>
      <c r="AD34" s="49" t="str">
        <f t="shared" si="15"/>
        <v>M3B20P8-FLSTATE</v>
      </c>
      <c r="AF34" s="64">
        <v>1</v>
      </c>
      <c r="AG34" s="44">
        <v>14</v>
      </c>
      <c r="AH34" s="44" t="s">
        <v>308</v>
      </c>
      <c r="AI34" s="42" t="str">
        <f t="shared" si="21"/>
        <v>NVI-M1B14P32</v>
      </c>
      <c r="AJ34" s="42" t="str">
        <f t="shared" si="19"/>
        <v>M1B05P16</v>
      </c>
      <c r="AL34" s="98">
        <v>1</v>
      </c>
      <c r="AM34" s="93">
        <v>14</v>
      </c>
      <c r="AN34" s="99" t="s">
        <v>308</v>
      </c>
      <c r="AO34" s="11" t="str">
        <f t="shared" si="16"/>
        <v>NVO-M1B14P32</v>
      </c>
      <c r="AP34" s="59" t="str">
        <f t="shared" si="17"/>
        <v>M1B14P32</v>
      </c>
    </row>
    <row r="35" spans="1:42" ht="15" thickBot="1" x14ac:dyDescent="0.35">
      <c r="A35" s="64">
        <v>1</v>
      </c>
      <c r="B35" s="44" t="s">
        <v>73</v>
      </c>
      <c r="C35" s="44" t="s">
        <v>75</v>
      </c>
      <c r="D35" s="41" t="str">
        <f t="shared" si="20"/>
        <v>DI-M1B06P01</v>
      </c>
      <c r="E35" s="41" t="str">
        <f t="shared" si="18"/>
        <v>M1B06P01</v>
      </c>
      <c r="F35" s="64">
        <v>2</v>
      </c>
      <c r="G35" s="64">
        <v>16</v>
      </c>
      <c r="H35" s="45" t="s">
        <v>175</v>
      </c>
      <c r="I35" s="41" t="str">
        <f t="shared" si="22"/>
        <v>ACO-M2B16P1</v>
      </c>
      <c r="J35" s="41" t="str">
        <f t="shared" si="23"/>
        <v>M2B16P1</v>
      </c>
      <c r="K35" s="41" t="str">
        <f t="shared" si="24"/>
        <v>M2B16P1-CK</v>
      </c>
      <c r="L35">
        <v>2</v>
      </c>
      <c r="M35" s="44" t="s">
        <v>73</v>
      </c>
      <c r="N35" s="45" t="s">
        <v>175</v>
      </c>
      <c r="O35" s="52" t="str">
        <f>("DBO-M"&amp;$L35&amp;"B"&amp;$M35&amp;"P"&amp;$N35)</f>
        <v>DBO-M2B06P1</v>
      </c>
      <c r="P35" s="53" t="str">
        <f>("M"&amp;$L35&amp;"B"&amp;$M35&amp;"P"&amp;$N35&amp;"-1")</f>
        <v>M2B06P1-1</v>
      </c>
      <c r="Q35" s="53" t="str">
        <f>("M"&amp;$L35&amp;"B"&amp;$M35&amp;"P"&amp;$N35&amp;"-2")</f>
        <v>M2B06P1-2</v>
      </c>
      <c r="R35" s="54" t="str">
        <f>("M"&amp;$L35&amp;"B"&amp;$M35&amp;"P"&amp;$N35&amp;"-FLASH")</f>
        <v>M2B06P1-FLASH</v>
      </c>
      <c r="S35">
        <v>3</v>
      </c>
      <c r="T35" s="44" t="s">
        <v>218</v>
      </c>
      <c r="U35" s="45" t="s">
        <v>175</v>
      </c>
      <c r="V35" s="52" t="s">
        <v>219</v>
      </c>
      <c r="W35" s="53" t="str">
        <f t="shared" si="8"/>
        <v>M3B21P1-1</v>
      </c>
      <c r="X35" s="53" t="str">
        <f t="shared" si="9"/>
        <v>M3B21P1-2</v>
      </c>
      <c r="Y35" s="53" t="str">
        <f t="shared" si="10"/>
        <v>M3B21P1-FLASH</v>
      </c>
      <c r="Z35" s="53" t="str">
        <f t="shared" si="11"/>
        <v>M3B21P1-CK</v>
      </c>
      <c r="AA35" s="53" t="str">
        <f t="shared" si="12"/>
        <v>M3B21P1-ON</v>
      </c>
      <c r="AB35" s="53" t="str">
        <f t="shared" si="13"/>
        <v>M3B21P1-NONPROT</v>
      </c>
      <c r="AC35" s="53" t="str">
        <f t="shared" si="14"/>
        <v>M3B21P1-ONSTATE</v>
      </c>
      <c r="AD35" s="54" t="str">
        <f t="shared" si="15"/>
        <v>M3B21P1-FLSTATE</v>
      </c>
      <c r="AL35" s="100">
        <v>1</v>
      </c>
      <c r="AM35" s="101">
        <v>15</v>
      </c>
      <c r="AN35" s="101" t="s">
        <v>75</v>
      </c>
      <c r="AO35" s="102" t="str">
        <f>("NVO-M"&amp;AL35&amp;"B"&amp;AM35&amp;"P"&amp;AN35)</f>
        <v>NVO-M1B15P01</v>
      </c>
      <c r="AP35" s="59" t="str">
        <f t="shared" si="17"/>
        <v>M1B15P01</v>
      </c>
    </row>
    <row r="36" spans="1:42" ht="15" thickBot="1" x14ac:dyDescent="0.35">
      <c r="A36" s="64">
        <v>1</v>
      </c>
      <c r="B36" s="44" t="s">
        <v>73</v>
      </c>
      <c r="C36" s="44" t="s">
        <v>76</v>
      </c>
      <c r="D36" s="42" t="str">
        <f t="shared" si="20"/>
        <v>DI-M1B06P02</v>
      </c>
      <c r="E36" s="42" t="str">
        <f t="shared" si="18"/>
        <v>M1B06P02</v>
      </c>
      <c r="F36" s="64">
        <v>2</v>
      </c>
      <c r="G36" s="64">
        <v>16</v>
      </c>
      <c r="H36" s="45" t="s">
        <v>177</v>
      </c>
      <c r="I36" s="42" t="str">
        <f t="shared" si="22"/>
        <v>ACO-M2B16P2</v>
      </c>
      <c r="J36" s="42" t="str">
        <f t="shared" si="23"/>
        <v>M2B16P2</v>
      </c>
      <c r="K36" s="42" t="str">
        <f t="shared" si="24"/>
        <v>M2B16P2-CK</v>
      </c>
      <c r="L36">
        <v>2</v>
      </c>
      <c r="M36" s="44" t="s">
        <v>73</v>
      </c>
      <c r="N36" s="45" t="s">
        <v>177</v>
      </c>
      <c r="O36" s="46" t="str">
        <f t="shared" si="4"/>
        <v>DBO-M2B06P2</v>
      </c>
      <c r="P36" t="str">
        <f t="shared" si="5"/>
        <v>M2B06P2-1</v>
      </c>
      <c r="Q36" t="str">
        <f t="shared" si="6"/>
        <v>M2B06P2-2</v>
      </c>
      <c r="R36" s="47" t="str">
        <f t="shared" si="7"/>
        <v>M2B06P2-FLASH</v>
      </c>
      <c r="S36">
        <v>3</v>
      </c>
      <c r="T36" s="44" t="s">
        <v>218</v>
      </c>
      <c r="U36" s="45" t="s">
        <v>177</v>
      </c>
      <c r="V36" s="46" t="s">
        <v>220</v>
      </c>
      <c r="W36" t="str">
        <f t="shared" si="8"/>
        <v>M3B21P2-1</v>
      </c>
      <c r="X36" t="str">
        <f t="shared" si="9"/>
        <v>M3B21P2-2</v>
      </c>
      <c r="Y36" t="str">
        <f t="shared" si="10"/>
        <v>M3B21P2-FLASH</v>
      </c>
      <c r="Z36" t="str">
        <f t="shared" si="11"/>
        <v>M3B21P2-CK</v>
      </c>
      <c r="AA36" t="str">
        <f t="shared" si="12"/>
        <v>M3B21P2-ON</v>
      </c>
      <c r="AB36" t="str">
        <f t="shared" si="13"/>
        <v>M3B21P2-NONPROT</v>
      </c>
      <c r="AC36" t="str">
        <f t="shared" si="14"/>
        <v>M3B21P2-ONSTATE</v>
      </c>
      <c r="AD36" s="47" t="str">
        <f t="shared" si="15"/>
        <v>M3B21P2-FLSTATE</v>
      </c>
      <c r="AL36" s="103">
        <v>1</v>
      </c>
      <c r="AM36" s="101">
        <v>15</v>
      </c>
      <c r="AN36" s="44" t="s">
        <v>76</v>
      </c>
      <c r="AO36" s="42" t="str">
        <f t="shared" ref="AO36:AO66" si="25">("NVO-M"&amp;AL36&amp;"B"&amp;AM36&amp;"P"&amp;AN36)</f>
        <v>NVO-M1B15P02</v>
      </c>
      <c r="AP36" s="59" t="str">
        <f t="shared" si="17"/>
        <v>M1B15P02</v>
      </c>
    </row>
    <row r="37" spans="1:42" ht="15" thickBot="1" x14ac:dyDescent="0.35">
      <c r="A37" s="64">
        <v>1</v>
      </c>
      <c r="B37" s="44" t="s">
        <v>73</v>
      </c>
      <c r="C37" s="44" t="s">
        <v>77</v>
      </c>
      <c r="D37" s="42" t="str">
        <f t="shared" si="20"/>
        <v>DI-M1B06P03</v>
      </c>
      <c r="E37" s="42" t="str">
        <f t="shared" si="18"/>
        <v>M1B06P03</v>
      </c>
      <c r="F37" s="64">
        <v>2</v>
      </c>
      <c r="G37" s="64">
        <v>16</v>
      </c>
      <c r="H37" s="45" t="s">
        <v>179</v>
      </c>
      <c r="I37" s="42" t="str">
        <f t="shared" si="22"/>
        <v>ACO-M2B16P3</v>
      </c>
      <c r="J37" s="42" t="str">
        <f t="shared" si="23"/>
        <v>M2B16P3</v>
      </c>
      <c r="K37" s="42" t="str">
        <f t="shared" si="24"/>
        <v>M2B16P3-CK</v>
      </c>
      <c r="L37">
        <v>2</v>
      </c>
      <c r="M37" s="44" t="s">
        <v>73</v>
      </c>
      <c r="N37" s="45" t="s">
        <v>179</v>
      </c>
      <c r="O37" s="46" t="str">
        <f t="shared" si="4"/>
        <v>DBO-M2B06P3</v>
      </c>
      <c r="P37" t="str">
        <f t="shared" si="5"/>
        <v>M2B06P3-1</v>
      </c>
      <c r="Q37" t="str">
        <f t="shared" si="6"/>
        <v>M2B06P3-2</v>
      </c>
      <c r="R37" s="47" t="str">
        <f t="shared" si="7"/>
        <v>M2B06P3-FLASH</v>
      </c>
      <c r="S37">
        <v>3</v>
      </c>
      <c r="T37" s="44" t="s">
        <v>218</v>
      </c>
      <c r="U37" s="45" t="s">
        <v>179</v>
      </c>
      <c r="V37" s="46" t="s">
        <v>221</v>
      </c>
      <c r="W37" t="str">
        <f t="shared" si="8"/>
        <v>M3B21P3-1</v>
      </c>
      <c r="X37" t="str">
        <f t="shared" si="9"/>
        <v>M3B21P3-2</v>
      </c>
      <c r="Y37" t="str">
        <f t="shared" si="10"/>
        <v>M3B21P3-FLASH</v>
      </c>
      <c r="Z37" t="str">
        <f t="shared" si="11"/>
        <v>M3B21P3-CK</v>
      </c>
      <c r="AA37" t="str">
        <f t="shared" si="12"/>
        <v>M3B21P3-ON</v>
      </c>
      <c r="AB37" t="str">
        <f t="shared" si="13"/>
        <v>M3B21P3-NONPROT</v>
      </c>
      <c r="AC37" t="str">
        <f t="shared" si="14"/>
        <v>M3B21P3-ONSTATE</v>
      </c>
      <c r="AD37" s="47" t="str">
        <f t="shared" si="15"/>
        <v>M3B21P3-FLSTATE</v>
      </c>
      <c r="AL37" s="103">
        <v>1</v>
      </c>
      <c r="AM37" s="101">
        <v>15</v>
      </c>
      <c r="AN37" s="44" t="s">
        <v>77</v>
      </c>
      <c r="AO37" s="42" t="str">
        <f t="shared" si="25"/>
        <v>NVO-M1B15P03</v>
      </c>
      <c r="AP37" s="59" t="str">
        <f t="shared" si="17"/>
        <v>M1B15P03</v>
      </c>
    </row>
    <row r="38" spans="1:42" ht="15" thickBot="1" x14ac:dyDescent="0.35">
      <c r="A38" s="64">
        <v>1</v>
      </c>
      <c r="B38" s="44" t="s">
        <v>73</v>
      </c>
      <c r="C38" s="44" t="s">
        <v>78</v>
      </c>
      <c r="D38" s="42" t="str">
        <f t="shared" si="20"/>
        <v>DI-M1B06P04</v>
      </c>
      <c r="E38" s="42" t="str">
        <f t="shared" si="18"/>
        <v>M1B06P04</v>
      </c>
      <c r="F38" s="64">
        <v>2</v>
      </c>
      <c r="G38" s="64">
        <v>16</v>
      </c>
      <c r="H38" s="45" t="s">
        <v>181</v>
      </c>
      <c r="I38" s="42" t="str">
        <f t="shared" si="22"/>
        <v>ACO-M2B16P4</v>
      </c>
      <c r="J38" s="42" t="str">
        <f t="shared" si="23"/>
        <v>M2B16P4</v>
      </c>
      <c r="K38" s="42" t="str">
        <f t="shared" si="24"/>
        <v>M2B16P4-CK</v>
      </c>
      <c r="L38">
        <v>2</v>
      </c>
      <c r="M38" s="44" t="s">
        <v>73</v>
      </c>
      <c r="N38" s="45" t="s">
        <v>181</v>
      </c>
      <c r="O38" s="46" t="str">
        <f t="shared" si="4"/>
        <v>DBO-M2B06P4</v>
      </c>
      <c r="P38" t="str">
        <f t="shared" si="5"/>
        <v>M2B06P4-1</v>
      </c>
      <c r="Q38" t="str">
        <f t="shared" si="6"/>
        <v>M2B06P4-2</v>
      </c>
      <c r="R38" s="47" t="str">
        <f t="shared" si="7"/>
        <v>M2B06P4-FLASH</v>
      </c>
      <c r="S38">
        <v>3</v>
      </c>
      <c r="T38" s="44" t="s">
        <v>218</v>
      </c>
      <c r="U38" s="45" t="s">
        <v>181</v>
      </c>
      <c r="V38" s="46" t="s">
        <v>222</v>
      </c>
      <c r="W38" t="str">
        <f t="shared" si="8"/>
        <v>M3B21P4-1</v>
      </c>
      <c r="X38" t="str">
        <f t="shared" si="9"/>
        <v>M3B21P4-2</v>
      </c>
      <c r="Y38" t="str">
        <f t="shared" si="10"/>
        <v>M3B21P4-FLASH</v>
      </c>
      <c r="Z38" t="str">
        <f t="shared" si="11"/>
        <v>M3B21P4-CK</v>
      </c>
      <c r="AA38" t="str">
        <f t="shared" si="12"/>
        <v>M3B21P4-ON</v>
      </c>
      <c r="AB38" t="str">
        <f t="shared" si="13"/>
        <v>M3B21P4-NONPROT</v>
      </c>
      <c r="AC38" t="str">
        <f t="shared" si="14"/>
        <v>M3B21P4-ONSTATE</v>
      </c>
      <c r="AD38" s="47" t="str">
        <f t="shared" si="15"/>
        <v>M3B21P4-FLSTATE</v>
      </c>
      <c r="AL38" s="103">
        <v>1</v>
      </c>
      <c r="AM38" s="101">
        <v>15</v>
      </c>
      <c r="AN38" s="44" t="s">
        <v>78</v>
      </c>
      <c r="AO38" s="42" t="str">
        <f t="shared" si="25"/>
        <v>NVO-M1B15P04</v>
      </c>
      <c r="AP38" s="59" t="str">
        <f t="shared" si="17"/>
        <v>M1B15P04</v>
      </c>
    </row>
    <row r="39" spans="1:42" ht="15" thickBot="1" x14ac:dyDescent="0.35">
      <c r="A39" s="64">
        <v>1</v>
      </c>
      <c r="B39" s="44" t="s">
        <v>73</v>
      </c>
      <c r="C39" s="44" t="s">
        <v>79</v>
      </c>
      <c r="D39" s="42" t="str">
        <f t="shared" si="20"/>
        <v>DI-M1B06P05</v>
      </c>
      <c r="E39" s="42" t="str">
        <f t="shared" si="18"/>
        <v>M1B06P05</v>
      </c>
      <c r="F39" s="64">
        <v>2</v>
      </c>
      <c r="G39" s="64">
        <v>16</v>
      </c>
      <c r="H39" s="45" t="s">
        <v>183</v>
      </c>
      <c r="I39" s="42" t="str">
        <f t="shared" si="22"/>
        <v>ACO-M2B16P5</v>
      </c>
      <c r="J39" s="42" t="str">
        <f t="shared" si="23"/>
        <v>M2B16P5</v>
      </c>
      <c r="K39" s="42" t="str">
        <f t="shared" si="24"/>
        <v>M2B16P5-CK</v>
      </c>
      <c r="L39">
        <v>2</v>
      </c>
      <c r="M39" s="44" t="s">
        <v>73</v>
      </c>
      <c r="N39" s="45" t="s">
        <v>183</v>
      </c>
      <c r="O39" s="46" t="str">
        <f t="shared" si="4"/>
        <v>DBO-M2B06P5</v>
      </c>
      <c r="P39" t="str">
        <f t="shared" si="5"/>
        <v>M2B06P5-1</v>
      </c>
      <c r="Q39" t="str">
        <f t="shared" si="6"/>
        <v>M2B06P5-2</v>
      </c>
      <c r="R39" s="47" t="str">
        <f t="shared" si="7"/>
        <v>M2B06P5-FLASH</v>
      </c>
      <c r="S39">
        <v>3</v>
      </c>
      <c r="T39" s="44" t="s">
        <v>218</v>
      </c>
      <c r="U39" s="45" t="s">
        <v>183</v>
      </c>
      <c r="V39" s="46" t="s">
        <v>223</v>
      </c>
      <c r="W39" t="str">
        <f t="shared" si="8"/>
        <v>M3B21P5-1</v>
      </c>
      <c r="X39" t="str">
        <f t="shared" si="9"/>
        <v>M3B21P5-2</v>
      </c>
      <c r="Y39" t="str">
        <f t="shared" si="10"/>
        <v>M3B21P5-FLASH</v>
      </c>
      <c r="Z39" t="str">
        <f t="shared" si="11"/>
        <v>M3B21P5-CK</v>
      </c>
      <c r="AA39" t="str">
        <f t="shared" si="12"/>
        <v>M3B21P5-ON</v>
      </c>
      <c r="AB39" t="str">
        <f t="shared" si="13"/>
        <v>M3B21P5-NONPROT</v>
      </c>
      <c r="AC39" t="str">
        <f t="shared" si="14"/>
        <v>M3B21P5-ONSTATE</v>
      </c>
      <c r="AD39" s="47" t="str">
        <f t="shared" si="15"/>
        <v>M3B21P5-FLSTATE</v>
      </c>
      <c r="AL39" s="103">
        <v>1</v>
      </c>
      <c r="AM39" s="101">
        <v>15</v>
      </c>
      <c r="AN39" s="44" t="s">
        <v>79</v>
      </c>
      <c r="AO39" s="42" t="str">
        <f t="shared" si="25"/>
        <v>NVO-M1B15P05</v>
      </c>
      <c r="AP39" s="59" t="str">
        <f t="shared" si="17"/>
        <v>M1B15P05</v>
      </c>
    </row>
    <row r="40" spans="1:42" ht="15" thickBot="1" x14ac:dyDescent="0.35">
      <c r="A40" s="64">
        <v>1</v>
      </c>
      <c r="B40" s="44" t="s">
        <v>73</v>
      </c>
      <c r="C40" s="44" t="s">
        <v>73</v>
      </c>
      <c r="D40" s="42" t="str">
        <f t="shared" si="20"/>
        <v>DI-M1B06P06</v>
      </c>
      <c r="E40" s="42" t="str">
        <f t="shared" si="18"/>
        <v>M1B06P06</v>
      </c>
      <c r="F40" s="64">
        <v>2</v>
      </c>
      <c r="G40" s="64">
        <v>16</v>
      </c>
      <c r="H40" s="45" t="s">
        <v>185</v>
      </c>
      <c r="I40" s="42" t="str">
        <f t="shared" si="22"/>
        <v>ACO-M2B16P6</v>
      </c>
      <c r="J40" s="42" t="str">
        <f t="shared" si="23"/>
        <v>M2B16P6</v>
      </c>
      <c r="K40" s="42" t="str">
        <f t="shared" si="24"/>
        <v>M2B16P6-CK</v>
      </c>
      <c r="L40">
        <v>2</v>
      </c>
      <c r="M40" s="44" t="s">
        <v>73</v>
      </c>
      <c r="N40" s="45" t="s">
        <v>185</v>
      </c>
      <c r="O40" s="46" t="str">
        <f t="shared" si="4"/>
        <v>DBO-M2B06P6</v>
      </c>
      <c r="P40" t="str">
        <f t="shared" si="5"/>
        <v>M2B06P6-1</v>
      </c>
      <c r="Q40" t="str">
        <f t="shared" si="6"/>
        <v>M2B06P6-2</v>
      </c>
      <c r="R40" s="47" t="str">
        <f t="shared" si="7"/>
        <v>M2B06P6-FLASH</v>
      </c>
      <c r="S40">
        <v>3</v>
      </c>
      <c r="T40" s="44" t="s">
        <v>218</v>
      </c>
      <c r="U40" s="45" t="s">
        <v>185</v>
      </c>
      <c r="V40" s="46" t="s">
        <v>224</v>
      </c>
      <c r="W40" t="str">
        <f t="shared" si="8"/>
        <v>M3B21P6-1</v>
      </c>
      <c r="X40" t="str">
        <f t="shared" si="9"/>
        <v>M3B21P6-2</v>
      </c>
      <c r="Y40" t="str">
        <f t="shared" si="10"/>
        <v>M3B21P6-FLASH</v>
      </c>
      <c r="Z40" t="str">
        <f t="shared" si="11"/>
        <v>M3B21P6-CK</v>
      </c>
      <c r="AA40" t="str">
        <f t="shared" si="12"/>
        <v>M3B21P6-ON</v>
      </c>
      <c r="AB40" t="str">
        <f t="shared" si="13"/>
        <v>M3B21P6-NONPROT</v>
      </c>
      <c r="AC40" t="str">
        <f t="shared" si="14"/>
        <v>M3B21P6-ONSTATE</v>
      </c>
      <c r="AD40" s="47" t="str">
        <f t="shared" si="15"/>
        <v>M3B21P6-FLSTATE</v>
      </c>
      <c r="AL40" s="103">
        <v>1</v>
      </c>
      <c r="AM40" s="101">
        <v>15</v>
      </c>
      <c r="AN40" s="44" t="s">
        <v>73</v>
      </c>
      <c r="AO40" s="42" t="str">
        <f t="shared" si="25"/>
        <v>NVO-M1B15P06</v>
      </c>
      <c r="AP40" s="59" t="str">
        <f t="shared" si="17"/>
        <v>M1B15P06</v>
      </c>
    </row>
    <row r="41" spans="1:42" ht="15" thickBot="1" x14ac:dyDescent="0.35">
      <c r="A41" s="64">
        <v>1</v>
      </c>
      <c r="B41" s="44" t="s">
        <v>73</v>
      </c>
      <c r="C41" s="44" t="s">
        <v>74</v>
      </c>
      <c r="D41" s="42" t="str">
        <f t="shared" si="20"/>
        <v>DI-M1B06P07</v>
      </c>
      <c r="E41" s="42" t="str">
        <f t="shared" si="18"/>
        <v>M1B06P07</v>
      </c>
      <c r="F41" s="64">
        <v>2</v>
      </c>
      <c r="G41" s="64">
        <v>16</v>
      </c>
      <c r="H41" s="45" t="s">
        <v>187</v>
      </c>
      <c r="I41" s="42" t="str">
        <f t="shared" si="22"/>
        <v>ACO-M2B16P7</v>
      </c>
      <c r="J41" s="42" t="str">
        <f t="shared" si="23"/>
        <v>M2B16P7</v>
      </c>
      <c r="K41" s="42" t="str">
        <f t="shared" si="24"/>
        <v>M2B16P7-CK</v>
      </c>
      <c r="L41">
        <v>2</v>
      </c>
      <c r="M41" s="44" t="s">
        <v>73</v>
      </c>
      <c r="N41" s="45" t="s">
        <v>187</v>
      </c>
      <c r="O41" s="46" t="str">
        <f t="shared" si="4"/>
        <v>DBO-M2B06P7</v>
      </c>
      <c r="P41" t="str">
        <f t="shared" si="5"/>
        <v>M2B06P7-1</v>
      </c>
      <c r="Q41" t="str">
        <f t="shared" si="6"/>
        <v>M2B06P7-2</v>
      </c>
      <c r="R41" s="47" t="str">
        <f t="shared" si="7"/>
        <v>M2B06P7-FLASH</v>
      </c>
      <c r="S41">
        <v>3</v>
      </c>
      <c r="T41" s="44" t="s">
        <v>218</v>
      </c>
      <c r="U41" s="45" t="s">
        <v>187</v>
      </c>
      <c r="V41" s="46" t="s">
        <v>225</v>
      </c>
      <c r="W41" t="str">
        <f t="shared" si="8"/>
        <v>M3B21P7-1</v>
      </c>
      <c r="X41" t="str">
        <f t="shared" si="9"/>
        <v>M3B21P7-2</v>
      </c>
      <c r="Y41" t="str">
        <f t="shared" si="10"/>
        <v>M3B21P7-FLASH</v>
      </c>
      <c r="Z41" t="str">
        <f t="shared" si="11"/>
        <v>M3B21P7-CK</v>
      </c>
      <c r="AA41" t="str">
        <f t="shared" si="12"/>
        <v>M3B21P7-ON</v>
      </c>
      <c r="AB41" t="str">
        <f t="shared" si="13"/>
        <v>M3B21P7-NONPROT</v>
      </c>
      <c r="AC41" t="str">
        <f t="shared" si="14"/>
        <v>M3B21P7-ONSTATE</v>
      </c>
      <c r="AD41" s="47" t="str">
        <f t="shared" si="15"/>
        <v>M3B21P7-FLSTATE</v>
      </c>
      <c r="AL41" s="103">
        <v>1</v>
      </c>
      <c r="AM41" s="101">
        <v>15</v>
      </c>
      <c r="AN41" s="44" t="s">
        <v>74</v>
      </c>
      <c r="AO41" s="42" t="str">
        <f t="shared" si="25"/>
        <v>NVO-M1B15P07</v>
      </c>
      <c r="AP41" s="59" t="str">
        <f t="shared" si="17"/>
        <v>M1B15P07</v>
      </c>
    </row>
    <row r="42" spans="1:42" ht="15" thickBot="1" x14ac:dyDescent="0.35">
      <c r="A42" s="64">
        <v>1</v>
      </c>
      <c r="B42" s="44" t="s">
        <v>73</v>
      </c>
      <c r="C42" s="44" t="s">
        <v>80</v>
      </c>
      <c r="D42" s="42" t="str">
        <f t="shared" si="20"/>
        <v>DI-M1B06P08</v>
      </c>
      <c r="E42" s="42" t="str">
        <f t="shared" si="18"/>
        <v>M1B06P08</v>
      </c>
      <c r="F42" s="64">
        <v>2</v>
      </c>
      <c r="G42" s="64">
        <v>16</v>
      </c>
      <c r="H42" s="45" t="s">
        <v>189</v>
      </c>
      <c r="I42" s="43" t="str">
        <f t="shared" si="22"/>
        <v>ACO-M2B16P8</v>
      </c>
      <c r="J42" s="43" t="str">
        <f t="shared" si="23"/>
        <v>M2B16P8</v>
      </c>
      <c r="K42" s="43" t="str">
        <f t="shared" si="24"/>
        <v>M2B16P8-CK</v>
      </c>
      <c r="L42">
        <v>2</v>
      </c>
      <c r="M42" s="44" t="s">
        <v>73</v>
      </c>
      <c r="N42" s="45" t="s">
        <v>189</v>
      </c>
      <c r="O42" s="48" t="str">
        <f t="shared" si="4"/>
        <v>DBO-M2B06P8</v>
      </c>
      <c r="P42" s="55" t="str">
        <f t="shared" si="5"/>
        <v>M2B06P8-1</v>
      </c>
      <c r="Q42" s="55" t="str">
        <f t="shared" si="6"/>
        <v>M2B06P8-2</v>
      </c>
      <c r="R42" s="49" t="str">
        <f t="shared" si="7"/>
        <v>M2B06P8-FLASH</v>
      </c>
      <c r="S42">
        <v>3</v>
      </c>
      <c r="T42" s="44" t="s">
        <v>218</v>
      </c>
      <c r="U42" s="45" t="s">
        <v>189</v>
      </c>
      <c r="V42" s="48" t="s">
        <v>226</v>
      </c>
      <c r="W42" s="55" t="str">
        <f t="shared" si="8"/>
        <v>M3B21P8-1</v>
      </c>
      <c r="X42" s="55" t="str">
        <f t="shared" si="9"/>
        <v>M3B21P8-2</v>
      </c>
      <c r="Y42" s="55" t="str">
        <f t="shared" si="10"/>
        <v>M3B21P8-FLASH</v>
      </c>
      <c r="Z42" s="55" t="str">
        <f t="shared" si="11"/>
        <v>M3B21P8-CK</v>
      </c>
      <c r="AA42" s="55" t="str">
        <f t="shared" si="12"/>
        <v>M3B21P8-ON</v>
      </c>
      <c r="AB42" s="55" t="str">
        <f t="shared" si="13"/>
        <v>M3B21P8-NONPROT</v>
      </c>
      <c r="AC42" s="55" t="str">
        <f t="shared" si="14"/>
        <v>M3B21P8-ONSTATE</v>
      </c>
      <c r="AD42" s="49" t="str">
        <f t="shared" si="15"/>
        <v>M3B21P8-FLSTATE</v>
      </c>
      <c r="AL42" s="103">
        <v>1</v>
      </c>
      <c r="AM42" s="101">
        <v>15</v>
      </c>
      <c r="AN42" s="44" t="s">
        <v>80</v>
      </c>
      <c r="AO42" s="42" t="str">
        <f t="shared" si="25"/>
        <v>NVO-M1B15P08</v>
      </c>
      <c r="AP42" s="59" t="str">
        <f t="shared" si="17"/>
        <v>M1B15P08</v>
      </c>
    </row>
    <row r="43" spans="1:42" ht="15" thickBot="1" x14ac:dyDescent="0.35">
      <c r="A43" s="64">
        <v>1</v>
      </c>
      <c r="B43" s="44" t="s">
        <v>73</v>
      </c>
      <c r="C43" s="44" t="s">
        <v>81</v>
      </c>
      <c r="D43" s="42" t="str">
        <f t="shared" si="20"/>
        <v>DI-M1B06P09</v>
      </c>
      <c r="E43" s="42" t="str">
        <f t="shared" si="18"/>
        <v>M1B06P09</v>
      </c>
      <c r="F43" s="64">
        <v>2</v>
      </c>
      <c r="G43" s="64">
        <v>17</v>
      </c>
      <c r="H43" s="45" t="s">
        <v>175</v>
      </c>
      <c r="I43" s="41" t="str">
        <f t="shared" si="22"/>
        <v>ACO-M2B17P1</v>
      </c>
      <c r="J43" s="41" t="str">
        <f t="shared" si="23"/>
        <v>M2B17P1</v>
      </c>
      <c r="K43" s="41" t="str">
        <f t="shared" si="24"/>
        <v>M2B17P1-CK</v>
      </c>
      <c r="L43">
        <v>2</v>
      </c>
      <c r="M43" s="44" t="s">
        <v>74</v>
      </c>
      <c r="N43" s="45" t="s">
        <v>175</v>
      </c>
      <c r="O43" s="52" t="str">
        <f>("DBO-M"&amp;$L43&amp;"B"&amp;$M43&amp;"P"&amp;$N43)</f>
        <v>DBO-M2B07P1</v>
      </c>
      <c r="P43" s="53" t="str">
        <f>("M"&amp;$L43&amp;"B"&amp;$M43&amp;"P"&amp;$N43&amp;"-1")</f>
        <v>M2B07P1-1</v>
      </c>
      <c r="Q43" s="53" t="str">
        <f>("M"&amp;$L43&amp;"B"&amp;$M43&amp;"P"&amp;$N43&amp;"-2")</f>
        <v>M2B07P1-2</v>
      </c>
      <c r="R43" s="54" t="str">
        <f>("M"&amp;$L43&amp;"B"&amp;$M43&amp;"P"&amp;$N43&amp;"-FLASH")</f>
        <v>M2B07P1-FLASH</v>
      </c>
      <c r="S43" s="68">
        <v>3</v>
      </c>
      <c r="T43" s="69" t="s">
        <v>80</v>
      </c>
      <c r="U43" s="45" t="s">
        <v>175</v>
      </c>
      <c r="V43" s="70" t="s">
        <v>227</v>
      </c>
      <c r="W43" s="71" t="str">
        <f t="shared" si="8"/>
        <v>M3B08P1-1</v>
      </c>
      <c r="X43" s="71" t="str">
        <f t="shared" si="9"/>
        <v>M3B08P1-2</v>
      </c>
      <c r="Y43" s="71" t="str">
        <f t="shared" si="10"/>
        <v>M3B08P1-FLASH</v>
      </c>
      <c r="Z43" s="71" t="str">
        <f t="shared" si="11"/>
        <v>M3B08P1-CK</v>
      </c>
      <c r="AA43" s="71" t="str">
        <f t="shared" si="12"/>
        <v>M3B08P1-ON</v>
      </c>
      <c r="AB43" s="71" t="str">
        <f t="shared" si="13"/>
        <v>M3B08P1-NONPROT</v>
      </c>
      <c r="AC43" s="71" t="str">
        <f t="shared" si="14"/>
        <v>M3B08P1-ONSTATE</v>
      </c>
      <c r="AD43" s="72" t="str">
        <f t="shared" si="15"/>
        <v>M3B08P1-FLSTATE</v>
      </c>
      <c r="AL43" s="103">
        <v>1</v>
      </c>
      <c r="AM43" s="101">
        <v>15</v>
      </c>
      <c r="AN43" s="44" t="s">
        <v>81</v>
      </c>
      <c r="AO43" s="42" t="str">
        <f t="shared" si="25"/>
        <v>NVO-M1B15P09</v>
      </c>
      <c r="AP43" s="59" t="str">
        <f t="shared" si="17"/>
        <v>M1B15P09</v>
      </c>
    </row>
    <row r="44" spans="1:42" ht="15" thickBot="1" x14ac:dyDescent="0.35">
      <c r="A44" s="64">
        <v>1</v>
      </c>
      <c r="B44" s="44" t="s">
        <v>73</v>
      </c>
      <c r="C44" s="44" t="s">
        <v>82</v>
      </c>
      <c r="D44" s="42" t="str">
        <f t="shared" si="20"/>
        <v>DI-M1B06P10</v>
      </c>
      <c r="E44" s="42" t="str">
        <f t="shared" si="18"/>
        <v>M1B06P10</v>
      </c>
      <c r="F44" s="64">
        <v>2</v>
      </c>
      <c r="G44" s="64">
        <v>17</v>
      </c>
      <c r="H44" s="45" t="s">
        <v>177</v>
      </c>
      <c r="I44" s="42" t="str">
        <f t="shared" si="22"/>
        <v>ACO-M2B17P2</v>
      </c>
      <c r="J44" s="42" t="str">
        <f t="shared" si="23"/>
        <v>M2B17P2</v>
      </c>
      <c r="K44" s="42" t="str">
        <f t="shared" si="24"/>
        <v>M2B17P2-CK</v>
      </c>
      <c r="L44">
        <v>2</v>
      </c>
      <c r="M44" s="44" t="s">
        <v>74</v>
      </c>
      <c r="N44" s="45" t="s">
        <v>177</v>
      </c>
      <c r="O44" s="46" t="str">
        <f t="shared" si="4"/>
        <v>DBO-M2B07P2</v>
      </c>
      <c r="P44" t="str">
        <f t="shared" si="5"/>
        <v>M2B07P2-1</v>
      </c>
      <c r="Q44" t="str">
        <f t="shared" si="6"/>
        <v>M2B07P2-2</v>
      </c>
      <c r="R44" s="47" t="str">
        <f t="shared" si="7"/>
        <v>M2B07P2-FLASH</v>
      </c>
      <c r="S44" s="68">
        <v>3</v>
      </c>
      <c r="T44" s="69" t="s">
        <v>80</v>
      </c>
      <c r="U44" s="45" t="s">
        <v>177</v>
      </c>
      <c r="V44" s="73" t="s">
        <v>228</v>
      </c>
      <c r="W44" s="68" t="str">
        <f t="shared" si="8"/>
        <v>M3B08P2-1</v>
      </c>
      <c r="X44" s="68" t="str">
        <f t="shared" si="9"/>
        <v>M3B08P2-2</v>
      </c>
      <c r="Y44" s="68" t="str">
        <f t="shared" si="10"/>
        <v>M3B08P2-FLASH</v>
      </c>
      <c r="Z44" s="68" t="str">
        <f t="shared" si="11"/>
        <v>M3B08P2-CK</v>
      </c>
      <c r="AA44" s="68" t="str">
        <f t="shared" si="12"/>
        <v>M3B08P2-ON</v>
      </c>
      <c r="AB44" s="68" t="str">
        <f t="shared" si="13"/>
        <v>M3B08P2-NONPROT</v>
      </c>
      <c r="AC44" s="68" t="str">
        <f t="shared" si="14"/>
        <v>M3B08P2-ONSTATE</v>
      </c>
      <c r="AD44" s="74" t="str">
        <f t="shared" si="15"/>
        <v>M3B08P2-FLSTATE</v>
      </c>
      <c r="AL44" s="103">
        <v>1</v>
      </c>
      <c r="AM44" s="101">
        <v>15</v>
      </c>
      <c r="AN44" s="44" t="s">
        <v>82</v>
      </c>
      <c r="AO44" s="42" t="str">
        <f t="shared" si="25"/>
        <v>NVO-M1B15P10</v>
      </c>
      <c r="AP44" s="59" t="str">
        <f t="shared" si="17"/>
        <v>M1B15P10</v>
      </c>
    </row>
    <row r="45" spans="1:42" ht="15" thickBot="1" x14ac:dyDescent="0.35">
      <c r="A45" s="64">
        <v>1</v>
      </c>
      <c r="B45" s="44" t="s">
        <v>73</v>
      </c>
      <c r="C45" s="44" t="s">
        <v>83</v>
      </c>
      <c r="D45" s="42" t="str">
        <f t="shared" si="20"/>
        <v>DI-M1B06P11</v>
      </c>
      <c r="E45" s="42" t="str">
        <f t="shared" si="18"/>
        <v>M1B06P11</v>
      </c>
      <c r="F45" s="64">
        <v>2</v>
      </c>
      <c r="G45" s="64">
        <v>17</v>
      </c>
      <c r="H45" s="45" t="s">
        <v>179</v>
      </c>
      <c r="I45" s="42" t="str">
        <f t="shared" si="22"/>
        <v>ACO-M2B17P3</v>
      </c>
      <c r="J45" s="42" t="str">
        <f t="shared" si="23"/>
        <v>M2B17P3</v>
      </c>
      <c r="K45" s="42" t="str">
        <f t="shared" si="24"/>
        <v>M2B17P3-CK</v>
      </c>
      <c r="L45">
        <v>2</v>
      </c>
      <c r="M45" s="44" t="s">
        <v>74</v>
      </c>
      <c r="N45" s="45" t="s">
        <v>179</v>
      </c>
      <c r="O45" s="46" t="str">
        <f t="shared" si="4"/>
        <v>DBO-M2B07P3</v>
      </c>
      <c r="P45" t="str">
        <f t="shared" si="5"/>
        <v>M2B07P3-1</v>
      </c>
      <c r="Q45" t="str">
        <f t="shared" si="6"/>
        <v>M2B07P3-2</v>
      </c>
      <c r="R45" s="47" t="str">
        <f t="shared" si="7"/>
        <v>M2B07P3-FLASH</v>
      </c>
      <c r="S45" s="68">
        <v>3</v>
      </c>
      <c r="T45" s="69" t="s">
        <v>80</v>
      </c>
      <c r="U45" s="45" t="s">
        <v>179</v>
      </c>
      <c r="V45" s="73" t="s">
        <v>229</v>
      </c>
      <c r="W45" s="68" t="str">
        <f t="shared" si="8"/>
        <v>M3B08P3-1</v>
      </c>
      <c r="X45" s="68" t="str">
        <f t="shared" si="9"/>
        <v>M3B08P3-2</v>
      </c>
      <c r="Y45" s="68" t="str">
        <f t="shared" si="10"/>
        <v>M3B08P3-FLASH</v>
      </c>
      <c r="Z45" s="68" t="str">
        <f t="shared" si="11"/>
        <v>M3B08P3-CK</v>
      </c>
      <c r="AA45" s="68" t="str">
        <f t="shared" si="12"/>
        <v>M3B08P3-ON</v>
      </c>
      <c r="AB45" s="68" t="str">
        <f t="shared" si="13"/>
        <v>M3B08P3-NONPROT</v>
      </c>
      <c r="AC45" s="68" t="str">
        <f t="shared" si="14"/>
        <v>M3B08P3-ONSTATE</v>
      </c>
      <c r="AD45" s="74" t="str">
        <f t="shared" si="15"/>
        <v>M3B08P3-FLSTATE</v>
      </c>
      <c r="AL45" s="103">
        <v>1</v>
      </c>
      <c r="AM45" s="101">
        <v>15</v>
      </c>
      <c r="AN45" s="44" t="s">
        <v>83</v>
      </c>
      <c r="AO45" s="42" t="str">
        <f t="shared" si="25"/>
        <v>NVO-M1B15P11</v>
      </c>
      <c r="AP45" s="59" t="str">
        <f t="shared" si="17"/>
        <v>M1B15P11</v>
      </c>
    </row>
    <row r="46" spans="1:42" ht="15" thickBot="1" x14ac:dyDescent="0.35">
      <c r="A46" s="64">
        <v>1</v>
      </c>
      <c r="B46" s="44" t="s">
        <v>73</v>
      </c>
      <c r="C46" s="44" t="s">
        <v>84</v>
      </c>
      <c r="D46" s="42" t="str">
        <f t="shared" si="20"/>
        <v>DI-M1B06P12</v>
      </c>
      <c r="E46" s="42" t="str">
        <f t="shared" si="18"/>
        <v>M1B06P12</v>
      </c>
      <c r="F46" s="64">
        <v>2</v>
      </c>
      <c r="G46" s="64">
        <v>17</v>
      </c>
      <c r="H46" s="45" t="s">
        <v>181</v>
      </c>
      <c r="I46" s="42" t="str">
        <f t="shared" si="22"/>
        <v>ACO-M2B17P4</v>
      </c>
      <c r="J46" s="42" t="str">
        <f t="shared" si="23"/>
        <v>M2B17P4</v>
      </c>
      <c r="K46" s="42" t="str">
        <f t="shared" si="24"/>
        <v>M2B17P4-CK</v>
      </c>
      <c r="L46">
        <v>2</v>
      </c>
      <c r="M46" s="44" t="s">
        <v>74</v>
      </c>
      <c r="N46" s="45" t="s">
        <v>181</v>
      </c>
      <c r="O46" s="46" t="str">
        <f t="shared" si="4"/>
        <v>DBO-M2B07P4</v>
      </c>
      <c r="P46" t="str">
        <f t="shared" si="5"/>
        <v>M2B07P4-1</v>
      </c>
      <c r="Q46" t="str">
        <f t="shared" si="6"/>
        <v>M2B07P4-2</v>
      </c>
      <c r="R46" s="47" t="str">
        <f t="shared" si="7"/>
        <v>M2B07P4-FLASH</v>
      </c>
      <c r="S46" s="68">
        <v>3</v>
      </c>
      <c r="T46" s="69" t="s">
        <v>80</v>
      </c>
      <c r="U46" s="45" t="s">
        <v>181</v>
      </c>
      <c r="V46" s="73" t="s">
        <v>230</v>
      </c>
      <c r="W46" s="68" t="str">
        <f t="shared" si="8"/>
        <v>M3B08P4-1</v>
      </c>
      <c r="X46" s="68" t="str">
        <f t="shared" si="9"/>
        <v>M3B08P4-2</v>
      </c>
      <c r="Y46" s="68" t="str">
        <f t="shared" si="10"/>
        <v>M3B08P4-FLASH</v>
      </c>
      <c r="Z46" s="68" t="str">
        <f t="shared" si="11"/>
        <v>M3B08P4-CK</v>
      </c>
      <c r="AA46" s="68" t="str">
        <f t="shared" si="12"/>
        <v>M3B08P4-ON</v>
      </c>
      <c r="AB46" s="68" t="str">
        <f t="shared" si="13"/>
        <v>M3B08P4-NONPROT</v>
      </c>
      <c r="AC46" s="68" t="str">
        <f t="shared" si="14"/>
        <v>M3B08P4-ONSTATE</v>
      </c>
      <c r="AD46" s="74" t="str">
        <f t="shared" si="15"/>
        <v>M3B08P4-FLSTATE</v>
      </c>
      <c r="AL46" s="103">
        <v>1</v>
      </c>
      <c r="AM46" s="101">
        <v>15</v>
      </c>
      <c r="AN46" s="44" t="s">
        <v>84</v>
      </c>
      <c r="AO46" s="42" t="str">
        <f t="shared" si="25"/>
        <v>NVO-M1B15P12</v>
      </c>
      <c r="AP46" s="59" t="str">
        <f t="shared" si="17"/>
        <v>M1B15P12</v>
      </c>
    </row>
    <row r="47" spans="1:42" ht="15" thickBot="1" x14ac:dyDescent="0.35">
      <c r="A47" s="64">
        <v>1</v>
      </c>
      <c r="B47" s="44" t="s">
        <v>73</v>
      </c>
      <c r="C47" s="44" t="s">
        <v>85</v>
      </c>
      <c r="D47" s="42" t="str">
        <f t="shared" si="20"/>
        <v>DI-M1B06P13</v>
      </c>
      <c r="E47" s="42" t="str">
        <f t="shared" si="18"/>
        <v>M1B06P13</v>
      </c>
      <c r="F47" s="64">
        <v>2</v>
      </c>
      <c r="G47" s="64">
        <v>17</v>
      </c>
      <c r="H47" s="45" t="s">
        <v>183</v>
      </c>
      <c r="I47" s="42" t="str">
        <f t="shared" si="22"/>
        <v>ACO-M2B17P5</v>
      </c>
      <c r="J47" s="42" t="str">
        <f t="shared" si="23"/>
        <v>M2B17P5</v>
      </c>
      <c r="K47" s="42" t="str">
        <f t="shared" si="24"/>
        <v>M2B17P5-CK</v>
      </c>
      <c r="L47">
        <v>2</v>
      </c>
      <c r="M47" s="44" t="s">
        <v>74</v>
      </c>
      <c r="N47" s="45" t="s">
        <v>183</v>
      </c>
      <c r="O47" s="46" t="str">
        <f t="shared" si="4"/>
        <v>DBO-M2B07P5</v>
      </c>
      <c r="P47" t="str">
        <f t="shared" si="5"/>
        <v>M2B07P5-1</v>
      </c>
      <c r="Q47" t="str">
        <f t="shared" si="6"/>
        <v>M2B07P5-2</v>
      </c>
      <c r="R47" s="47" t="str">
        <f t="shared" si="7"/>
        <v>M2B07P5-FLASH</v>
      </c>
      <c r="S47" s="68">
        <v>3</v>
      </c>
      <c r="T47" s="69" t="s">
        <v>80</v>
      </c>
      <c r="U47" s="45" t="s">
        <v>183</v>
      </c>
      <c r="V47" s="73" t="s">
        <v>231</v>
      </c>
      <c r="W47" s="68" t="str">
        <f t="shared" si="8"/>
        <v>M3B08P5-1</v>
      </c>
      <c r="X47" s="68" t="str">
        <f t="shared" si="9"/>
        <v>M3B08P5-2</v>
      </c>
      <c r="Y47" s="68" t="str">
        <f t="shared" si="10"/>
        <v>M3B08P5-FLASH</v>
      </c>
      <c r="Z47" s="68" t="str">
        <f t="shared" si="11"/>
        <v>M3B08P5-CK</v>
      </c>
      <c r="AA47" s="68" t="str">
        <f t="shared" si="12"/>
        <v>M3B08P5-ON</v>
      </c>
      <c r="AB47" s="68" t="str">
        <f t="shared" si="13"/>
        <v>M3B08P5-NONPROT</v>
      </c>
      <c r="AC47" s="68" t="str">
        <f t="shared" si="14"/>
        <v>M3B08P5-ONSTATE</v>
      </c>
      <c r="AD47" s="74" t="str">
        <f t="shared" si="15"/>
        <v>M3B08P5-FLSTATE</v>
      </c>
      <c r="AL47" s="103">
        <v>1</v>
      </c>
      <c r="AM47" s="101">
        <v>15</v>
      </c>
      <c r="AN47" s="44" t="s">
        <v>85</v>
      </c>
      <c r="AO47" s="42" t="str">
        <f t="shared" si="25"/>
        <v>NVO-M1B15P13</v>
      </c>
      <c r="AP47" s="59" t="str">
        <f t="shared" si="17"/>
        <v>M1B15P13</v>
      </c>
    </row>
    <row r="48" spans="1:42" ht="15" thickBot="1" x14ac:dyDescent="0.35">
      <c r="A48" s="64">
        <v>1</v>
      </c>
      <c r="B48" s="44" t="s">
        <v>73</v>
      </c>
      <c r="C48" s="44" t="s">
        <v>86</v>
      </c>
      <c r="D48" s="42" t="str">
        <f t="shared" si="20"/>
        <v>DI-M1B06P14</v>
      </c>
      <c r="E48" s="42" t="str">
        <f t="shared" si="18"/>
        <v>M1B06P14</v>
      </c>
      <c r="F48" s="64">
        <v>2</v>
      </c>
      <c r="G48" s="64">
        <v>17</v>
      </c>
      <c r="H48" s="45" t="s">
        <v>185</v>
      </c>
      <c r="I48" s="42" t="str">
        <f t="shared" si="22"/>
        <v>ACO-M2B17P6</v>
      </c>
      <c r="J48" s="42" t="str">
        <f t="shared" si="23"/>
        <v>M2B17P6</v>
      </c>
      <c r="K48" s="42" t="str">
        <f t="shared" si="24"/>
        <v>M2B17P6-CK</v>
      </c>
      <c r="L48">
        <v>2</v>
      </c>
      <c r="M48" s="44" t="s">
        <v>74</v>
      </c>
      <c r="N48" s="45" t="s">
        <v>185</v>
      </c>
      <c r="O48" s="46" t="str">
        <f t="shared" si="4"/>
        <v>DBO-M2B07P6</v>
      </c>
      <c r="P48" t="str">
        <f t="shared" si="5"/>
        <v>M2B07P6-1</v>
      </c>
      <c r="Q48" t="str">
        <f t="shared" si="6"/>
        <v>M2B07P6-2</v>
      </c>
      <c r="R48" s="47" t="str">
        <f t="shared" si="7"/>
        <v>M2B07P6-FLASH</v>
      </c>
      <c r="S48" s="68">
        <v>3</v>
      </c>
      <c r="T48" s="69" t="s">
        <v>80</v>
      </c>
      <c r="U48" s="45" t="s">
        <v>185</v>
      </c>
      <c r="V48" s="73" t="s">
        <v>232</v>
      </c>
      <c r="W48" s="68" t="str">
        <f t="shared" si="8"/>
        <v>M3B08P6-1</v>
      </c>
      <c r="X48" s="68" t="str">
        <f t="shared" si="9"/>
        <v>M3B08P6-2</v>
      </c>
      <c r="Y48" s="68" t="str">
        <f t="shared" si="10"/>
        <v>M3B08P6-FLASH</v>
      </c>
      <c r="Z48" s="68" t="str">
        <f t="shared" si="11"/>
        <v>M3B08P6-CK</v>
      </c>
      <c r="AA48" s="68" t="str">
        <f t="shared" si="12"/>
        <v>M3B08P6-ON</v>
      </c>
      <c r="AB48" s="68" t="str">
        <f t="shared" si="13"/>
        <v>M3B08P6-NONPROT</v>
      </c>
      <c r="AC48" s="68" t="str">
        <f t="shared" si="14"/>
        <v>M3B08P6-ONSTATE</v>
      </c>
      <c r="AD48" s="74" t="str">
        <f t="shared" si="15"/>
        <v>M3B08P6-FLSTATE</v>
      </c>
      <c r="AL48" s="103">
        <v>1</v>
      </c>
      <c r="AM48" s="101">
        <v>15</v>
      </c>
      <c r="AN48" s="44" t="s">
        <v>86</v>
      </c>
      <c r="AO48" s="42" t="str">
        <f t="shared" si="25"/>
        <v>NVO-M1B15P14</v>
      </c>
      <c r="AP48" s="59" t="str">
        <f t="shared" si="17"/>
        <v>M1B15P14</v>
      </c>
    </row>
    <row r="49" spans="1:42" ht="15" thickBot="1" x14ac:dyDescent="0.35">
      <c r="A49" s="64">
        <v>1</v>
      </c>
      <c r="B49" s="44" t="s">
        <v>73</v>
      </c>
      <c r="C49" s="44" t="s">
        <v>87</v>
      </c>
      <c r="D49" s="42" t="str">
        <f t="shared" si="20"/>
        <v>DI-M1B06P15</v>
      </c>
      <c r="E49" s="42" t="str">
        <f t="shared" si="18"/>
        <v>M1B06P15</v>
      </c>
      <c r="F49" s="64">
        <v>2</v>
      </c>
      <c r="G49" s="64">
        <v>17</v>
      </c>
      <c r="H49" s="45" t="s">
        <v>187</v>
      </c>
      <c r="I49" s="42" t="str">
        <f t="shared" si="22"/>
        <v>ACO-M2B17P7</v>
      </c>
      <c r="J49" s="42" t="str">
        <f t="shared" si="23"/>
        <v>M2B17P7</v>
      </c>
      <c r="K49" s="42" t="str">
        <f t="shared" si="24"/>
        <v>M2B17P7-CK</v>
      </c>
      <c r="L49">
        <v>2</v>
      </c>
      <c r="M49" s="44" t="s">
        <v>74</v>
      </c>
      <c r="N49" s="45" t="s">
        <v>187</v>
      </c>
      <c r="O49" s="46" t="str">
        <f t="shared" si="4"/>
        <v>DBO-M2B07P7</v>
      </c>
      <c r="P49" t="str">
        <f t="shared" si="5"/>
        <v>M2B07P7-1</v>
      </c>
      <c r="Q49" t="str">
        <f t="shared" si="6"/>
        <v>M2B07P7-2</v>
      </c>
      <c r="R49" s="47" t="str">
        <f t="shared" si="7"/>
        <v>M2B07P7-FLASH</v>
      </c>
      <c r="S49" s="68">
        <v>3</v>
      </c>
      <c r="T49" s="69" t="s">
        <v>80</v>
      </c>
      <c r="U49" s="45" t="s">
        <v>187</v>
      </c>
      <c r="V49" s="73" t="s">
        <v>233</v>
      </c>
      <c r="W49" s="68" t="str">
        <f t="shared" si="8"/>
        <v>M3B08P7-1</v>
      </c>
      <c r="X49" s="68" t="str">
        <f t="shared" si="9"/>
        <v>M3B08P7-2</v>
      </c>
      <c r="Y49" s="68" t="str">
        <f t="shared" si="10"/>
        <v>M3B08P7-FLASH</v>
      </c>
      <c r="Z49" s="68" t="str">
        <f t="shared" si="11"/>
        <v>M3B08P7-CK</v>
      </c>
      <c r="AA49" s="68" t="str">
        <f t="shared" si="12"/>
        <v>M3B08P7-ON</v>
      </c>
      <c r="AB49" s="68" t="str">
        <f t="shared" si="13"/>
        <v>M3B08P7-NONPROT</v>
      </c>
      <c r="AC49" s="68" t="str">
        <f t="shared" si="14"/>
        <v>M3B08P7-ONSTATE</v>
      </c>
      <c r="AD49" s="74" t="str">
        <f t="shared" si="15"/>
        <v>M3B08P7-FLSTATE</v>
      </c>
      <c r="AL49" s="103">
        <v>1</v>
      </c>
      <c r="AM49" s="101">
        <v>15</v>
      </c>
      <c r="AN49" s="44" t="s">
        <v>87</v>
      </c>
      <c r="AO49" s="42" t="str">
        <f t="shared" si="25"/>
        <v>NVO-M1B15P15</v>
      </c>
      <c r="AP49" s="59" t="str">
        <f t="shared" si="17"/>
        <v>M1B15P15</v>
      </c>
    </row>
    <row r="50" spans="1:42" ht="15" thickBot="1" x14ac:dyDescent="0.35">
      <c r="A50" s="64">
        <v>1</v>
      </c>
      <c r="B50" s="44" t="s">
        <v>73</v>
      </c>
      <c r="C50" s="44" t="s">
        <v>88</v>
      </c>
      <c r="D50" s="43" t="str">
        <f t="shared" si="20"/>
        <v>DI-M1B06P16</v>
      </c>
      <c r="E50" s="43" t="str">
        <f t="shared" si="18"/>
        <v>M1B06P16</v>
      </c>
      <c r="F50" s="64">
        <v>2</v>
      </c>
      <c r="G50" s="64">
        <v>17</v>
      </c>
      <c r="H50" s="45" t="s">
        <v>189</v>
      </c>
      <c r="I50" s="43" t="str">
        <f t="shared" si="22"/>
        <v>ACO-M2B17P8</v>
      </c>
      <c r="J50" s="43" t="str">
        <f t="shared" si="23"/>
        <v>M2B17P8</v>
      </c>
      <c r="K50" s="43" t="str">
        <f t="shared" si="24"/>
        <v>M2B17P8-CK</v>
      </c>
      <c r="L50">
        <v>2</v>
      </c>
      <c r="M50" s="44" t="s">
        <v>74</v>
      </c>
      <c r="N50" s="45" t="s">
        <v>189</v>
      </c>
      <c r="O50" s="48" t="str">
        <f t="shared" si="4"/>
        <v>DBO-M2B07P8</v>
      </c>
      <c r="P50" s="55" t="str">
        <f t="shared" si="5"/>
        <v>M2B07P8-1</v>
      </c>
      <c r="Q50" s="55" t="str">
        <f t="shared" si="6"/>
        <v>M2B07P8-2</v>
      </c>
      <c r="R50" s="49" t="str">
        <f t="shared" si="7"/>
        <v>M2B07P8-FLASH</v>
      </c>
      <c r="S50" s="68">
        <v>3</v>
      </c>
      <c r="T50" s="69" t="s">
        <v>80</v>
      </c>
      <c r="U50" s="45" t="s">
        <v>189</v>
      </c>
      <c r="V50" s="75" t="s">
        <v>234</v>
      </c>
      <c r="W50" s="76" t="str">
        <f t="shared" si="8"/>
        <v>M3B08P8-1</v>
      </c>
      <c r="X50" s="76" t="str">
        <f t="shared" si="9"/>
        <v>M3B08P8-2</v>
      </c>
      <c r="Y50" s="76" t="str">
        <f t="shared" si="10"/>
        <v>M3B08P8-FLASH</v>
      </c>
      <c r="Z50" s="76" t="str">
        <f t="shared" si="11"/>
        <v>M3B08P8-CK</v>
      </c>
      <c r="AA50" s="76" t="str">
        <f t="shared" si="12"/>
        <v>M3B08P8-ON</v>
      </c>
      <c r="AB50" s="76" t="str">
        <f t="shared" si="13"/>
        <v>M3B08P8-NONPROT</v>
      </c>
      <c r="AC50" s="76" t="str">
        <f t="shared" si="14"/>
        <v>M3B08P8-ONSTATE</v>
      </c>
      <c r="AD50" s="77" t="str">
        <f t="shared" si="15"/>
        <v>M3B08P8-FLSTATE</v>
      </c>
      <c r="AL50" s="103">
        <v>1</v>
      </c>
      <c r="AM50" s="101">
        <v>15</v>
      </c>
      <c r="AN50" s="44" t="s">
        <v>88</v>
      </c>
      <c r="AO50" s="42" t="str">
        <f t="shared" si="25"/>
        <v>NVO-M1B15P16</v>
      </c>
      <c r="AP50" s="59" t="str">
        <f t="shared" si="17"/>
        <v>M1B15P16</v>
      </c>
    </row>
    <row r="51" spans="1:42" ht="15" thickBot="1" x14ac:dyDescent="0.35">
      <c r="A51" s="64">
        <v>1</v>
      </c>
      <c r="B51" s="44" t="s">
        <v>74</v>
      </c>
      <c r="C51" s="44" t="s">
        <v>75</v>
      </c>
      <c r="D51" s="41" t="str">
        <f t="shared" si="20"/>
        <v>DI-M1B07P01</v>
      </c>
      <c r="E51" s="41" t="str">
        <f t="shared" si="18"/>
        <v>M1B07P01</v>
      </c>
      <c r="F51" s="64">
        <v>2</v>
      </c>
      <c r="G51" s="64">
        <v>18</v>
      </c>
      <c r="H51" s="45" t="s">
        <v>175</v>
      </c>
      <c r="I51" s="41" t="str">
        <f t="shared" si="22"/>
        <v>ACO-M2B18P1</v>
      </c>
      <c r="J51" s="41" t="str">
        <f t="shared" si="23"/>
        <v>M2B18P1</v>
      </c>
      <c r="K51" s="41" t="str">
        <f t="shared" si="24"/>
        <v>M2B18P1-CK</v>
      </c>
      <c r="L51">
        <v>2</v>
      </c>
      <c r="M51" s="44" t="s">
        <v>80</v>
      </c>
      <c r="N51" s="45" t="s">
        <v>175</v>
      </c>
      <c r="O51" s="52" t="str">
        <f>("DBO-M"&amp;$L51&amp;"B"&amp;$M51&amp;"P"&amp;$N51)</f>
        <v>DBO-M2B08P1</v>
      </c>
      <c r="P51" s="53" t="str">
        <f>("M"&amp;$L51&amp;"B"&amp;$M51&amp;"P"&amp;$N51&amp;"-1")</f>
        <v>M2B08P1-1</v>
      </c>
      <c r="Q51" s="53" t="str">
        <f>("M"&amp;$L51&amp;"B"&amp;$M51&amp;"P"&amp;$N51&amp;"-2")</f>
        <v>M2B08P1-2</v>
      </c>
      <c r="R51" s="54" t="str">
        <f>("M"&amp;$L51&amp;"B"&amp;$M51&amp;"P"&amp;$N51&amp;"-FLASH")</f>
        <v>M2B08P1-FLASH</v>
      </c>
      <c r="S51" s="68">
        <v>3</v>
      </c>
      <c r="T51" s="69" t="s">
        <v>81</v>
      </c>
      <c r="U51" s="45" t="s">
        <v>175</v>
      </c>
      <c r="V51" s="70" t="s">
        <v>235</v>
      </c>
      <c r="W51" s="71" t="str">
        <f t="shared" si="8"/>
        <v>M3B09P1-1</v>
      </c>
      <c r="X51" s="71" t="str">
        <f t="shared" si="9"/>
        <v>M3B09P1-2</v>
      </c>
      <c r="Y51" s="71" t="str">
        <f t="shared" si="10"/>
        <v>M3B09P1-FLASH</v>
      </c>
      <c r="Z51" s="71" t="str">
        <f t="shared" si="11"/>
        <v>M3B09P1-CK</v>
      </c>
      <c r="AA51" s="71" t="str">
        <f t="shared" si="12"/>
        <v>M3B09P1-ON</v>
      </c>
      <c r="AB51" s="71" t="str">
        <f t="shared" si="13"/>
        <v>M3B09P1-NONPROT</v>
      </c>
      <c r="AC51" s="71" t="str">
        <f t="shared" si="14"/>
        <v>M3B09P1-ONSTATE</v>
      </c>
      <c r="AD51" s="72" t="str">
        <f t="shared" si="15"/>
        <v>M3B09P1-FLSTATE</v>
      </c>
      <c r="AL51" s="103">
        <v>1</v>
      </c>
      <c r="AM51" s="101">
        <v>15</v>
      </c>
      <c r="AN51" s="44" t="s">
        <v>297</v>
      </c>
      <c r="AO51" s="42" t="str">
        <f t="shared" si="25"/>
        <v>NVO-M1B15P17</v>
      </c>
      <c r="AP51" s="59" t="str">
        <f t="shared" si="17"/>
        <v>M1B15P17</v>
      </c>
    </row>
    <row r="52" spans="1:42" ht="15" thickBot="1" x14ac:dyDescent="0.35">
      <c r="A52" s="64">
        <v>1</v>
      </c>
      <c r="B52" s="44" t="s">
        <v>74</v>
      </c>
      <c r="C52" s="44" t="s">
        <v>76</v>
      </c>
      <c r="D52" s="42" t="str">
        <f t="shared" si="20"/>
        <v>DI-M1B07P02</v>
      </c>
      <c r="E52" s="42" t="str">
        <f t="shared" si="18"/>
        <v>M1B07P02</v>
      </c>
      <c r="F52" s="64">
        <v>2</v>
      </c>
      <c r="G52" s="64">
        <v>18</v>
      </c>
      <c r="H52" s="45" t="s">
        <v>177</v>
      </c>
      <c r="I52" s="42" t="str">
        <f t="shared" si="22"/>
        <v>ACO-M2B18P2</v>
      </c>
      <c r="J52" s="42" t="str">
        <f t="shared" si="23"/>
        <v>M2B18P2</v>
      </c>
      <c r="K52" s="42" t="str">
        <f t="shared" si="24"/>
        <v>M2B18P2-CK</v>
      </c>
      <c r="L52">
        <v>2</v>
      </c>
      <c r="M52" s="44" t="s">
        <v>80</v>
      </c>
      <c r="N52" s="45" t="s">
        <v>177</v>
      </c>
      <c r="O52" s="46" t="str">
        <f t="shared" si="4"/>
        <v>DBO-M2B08P2</v>
      </c>
      <c r="P52" t="str">
        <f t="shared" si="5"/>
        <v>M2B08P2-1</v>
      </c>
      <c r="Q52" t="str">
        <f t="shared" si="6"/>
        <v>M2B08P2-2</v>
      </c>
      <c r="R52" s="47" t="str">
        <f t="shared" si="7"/>
        <v>M2B08P2-FLASH</v>
      </c>
      <c r="S52" s="68">
        <v>3</v>
      </c>
      <c r="T52" s="69" t="s">
        <v>81</v>
      </c>
      <c r="U52" s="45" t="s">
        <v>177</v>
      </c>
      <c r="V52" s="73" t="s">
        <v>236</v>
      </c>
      <c r="W52" s="68" t="str">
        <f t="shared" si="8"/>
        <v>M3B09P2-1</v>
      </c>
      <c r="X52" s="68" t="str">
        <f t="shared" si="9"/>
        <v>M3B09P2-2</v>
      </c>
      <c r="Y52" s="68" t="str">
        <f t="shared" si="10"/>
        <v>M3B09P2-FLASH</v>
      </c>
      <c r="Z52" s="68" t="str">
        <f t="shared" si="11"/>
        <v>M3B09P2-CK</v>
      </c>
      <c r="AA52" s="68" t="str">
        <f t="shared" si="12"/>
        <v>M3B09P2-ON</v>
      </c>
      <c r="AB52" s="68" t="str">
        <f t="shared" si="13"/>
        <v>M3B09P2-NONPROT</v>
      </c>
      <c r="AC52" s="68" t="str">
        <f t="shared" si="14"/>
        <v>M3B09P2-ONSTATE</v>
      </c>
      <c r="AD52" s="74" t="str">
        <f t="shared" si="15"/>
        <v>M3B09P2-FLSTATE</v>
      </c>
      <c r="AL52" s="103">
        <v>1</v>
      </c>
      <c r="AM52" s="101">
        <v>15</v>
      </c>
      <c r="AN52" s="44" t="s">
        <v>191</v>
      </c>
      <c r="AO52" s="42" t="str">
        <f t="shared" si="25"/>
        <v>NVO-M1B15P18</v>
      </c>
      <c r="AP52" s="59" t="str">
        <f t="shared" si="17"/>
        <v>M1B15P18</v>
      </c>
    </row>
    <row r="53" spans="1:42" ht="15" thickBot="1" x14ac:dyDescent="0.35">
      <c r="A53" s="64">
        <v>1</v>
      </c>
      <c r="B53" s="44" t="s">
        <v>74</v>
      </c>
      <c r="C53" s="44" t="s">
        <v>77</v>
      </c>
      <c r="D53" s="42" t="str">
        <f t="shared" si="20"/>
        <v>DI-M1B07P03</v>
      </c>
      <c r="E53" s="42" t="str">
        <f t="shared" si="18"/>
        <v>M1B07P03</v>
      </c>
      <c r="F53" s="64">
        <v>2</v>
      </c>
      <c r="G53" s="64">
        <v>18</v>
      </c>
      <c r="H53" s="45" t="s">
        <v>179</v>
      </c>
      <c r="I53" s="42" t="str">
        <f t="shared" si="22"/>
        <v>ACO-M2B18P3</v>
      </c>
      <c r="J53" s="42" t="str">
        <f t="shared" si="23"/>
        <v>M2B18P3</v>
      </c>
      <c r="K53" s="42" t="str">
        <f t="shared" si="24"/>
        <v>M2B18P3-CK</v>
      </c>
      <c r="L53">
        <v>2</v>
      </c>
      <c r="M53" s="44" t="s">
        <v>80</v>
      </c>
      <c r="N53" s="45" t="s">
        <v>179</v>
      </c>
      <c r="O53" s="46" t="str">
        <f t="shared" si="4"/>
        <v>DBO-M2B08P3</v>
      </c>
      <c r="P53" t="str">
        <f t="shared" si="5"/>
        <v>M2B08P3-1</v>
      </c>
      <c r="Q53" t="str">
        <f t="shared" si="6"/>
        <v>M2B08P3-2</v>
      </c>
      <c r="R53" s="47" t="str">
        <f t="shared" si="7"/>
        <v>M2B08P3-FLASH</v>
      </c>
      <c r="S53" s="68">
        <v>3</v>
      </c>
      <c r="T53" s="69" t="s">
        <v>81</v>
      </c>
      <c r="U53" s="45" t="s">
        <v>179</v>
      </c>
      <c r="V53" s="73" t="s">
        <v>237</v>
      </c>
      <c r="W53" s="68" t="str">
        <f t="shared" si="8"/>
        <v>M3B09P3-1</v>
      </c>
      <c r="X53" s="68" t="str">
        <f t="shared" si="9"/>
        <v>M3B09P3-2</v>
      </c>
      <c r="Y53" s="68" t="str">
        <f t="shared" si="10"/>
        <v>M3B09P3-FLASH</v>
      </c>
      <c r="Z53" s="68" t="str">
        <f t="shared" si="11"/>
        <v>M3B09P3-CK</v>
      </c>
      <c r="AA53" s="68" t="str">
        <f t="shared" si="12"/>
        <v>M3B09P3-ON</v>
      </c>
      <c r="AB53" s="68" t="str">
        <f t="shared" si="13"/>
        <v>M3B09P3-NONPROT</v>
      </c>
      <c r="AC53" s="68" t="str">
        <f t="shared" si="14"/>
        <v>M3B09P3-ONSTATE</v>
      </c>
      <c r="AD53" s="74" t="str">
        <f t="shared" si="15"/>
        <v>M3B09P3-FLSTATE</v>
      </c>
      <c r="AL53" s="103">
        <v>1</v>
      </c>
      <c r="AM53" s="101">
        <v>15</v>
      </c>
      <c r="AN53" s="44" t="s">
        <v>200</v>
      </c>
      <c r="AO53" s="42" t="str">
        <f t="shared" si="25"/>
        <v>NVO-M1B15P19</v>
      </c>
      <c r="AP53" s="59" t="str">
        <f t="shared" si="17"/>
        <v>M1B15P19</v>
      </c>
    </row>
    <row r="54" spans="1:42" ht="15" thickBot="1" x14ac:dyDescent="0.35">
      <c r="A54" s="64">
        <v>1</v>
      </c>
      <c r="B54" s="44" t="s">
        <v>74</v>
      </c>
      <c r="C54" s="44" t="s">
        <v>78</v>
      </c>
      <c r="D54" s="42" t="str">
        <f t="shared" si="20"/>
        <v>DI-M1B07P04</v>
      </c>
      <c r="E54" s="42" t="str">
        <f t="shared" si="18"/>
        <v>M1B07P04</v>
      </c>
      <c r="F54" s="64">
        <v>2</v>
      </c>
      <c r="G54" s="64">
        <v>18</v>
      </c>
      <c r="H54" s="45" t="s">
        <v>181</v>
      </c>
      <c r="I54" s="42" t="str">
        <f t="shared" si="22"/>
        <v>ACO-M2B18P4</v>
      </c>
      <c r="J54" s="42" t="str">
        <f t="shared" si="23"/>
        <v>M2B18P4</v>
      </c>
      <c r="K54" s="42" t="str">
        <f t="shared" si="24"/>
        <v>M2B18P4-CK</v>
      </c>
      <c r="L54">
        <v>2</v>
      </c>
      <c r="M54" s="44" t="s">
        <v>80</v>
      </c>
      <c r="N54" s="45" t="s">
        <v>181</v>
      </c>
      <c r="O54" s="46" t="str">
        <f t="shared" si="4"/>
        <v>DBO-M2B08P4</v>
      </c>
      <c r="P54" t="str">
        <f t="shared" si="5"/>
        <v>M2B08P4-1</v>
      </c>
      <c r="Q54" t="str">
        <f t="shared" si="6"/>
        <v>M2B08P4-2</v>
      </c>
      <c r="R54" s="47" t="str">
        <f t="shared" si="7"/>
        <v>M2B08P4-FLASH</v>
      </c>
      <c r="S54" s="68">
        <v>3</v>
      </c>
      <c r="T54" s="69" t="s">
        <v>81</v>
      </c>
      <c r="U54" s="45" t="s">
        <v>181</v>
      </c>
      <c r="V54" s="73" t="s">
        <v>238</v>
      </c>
      <c r="W54" s="68" t="str">
        <f t="shared" si="8"/>
        <v>M3B09P4-1</v>
      </c>
      <c r="X54" s="68" t="str">
        <f t="shared" si="9"/>
        <v>M3B09P4-2</v>
      </c>
      <c r="Y54" s="68" t="str">
        <f t="shared" si="10"/>
        <v>M3B09P4-FLASH</v>
      </c>
      <c r="Z54" s="68" t="str">
        <f t="shared" si="11"/>
        <v>M3B09P4-CK</v>
      </c>
      <c r="AA54" s="68" t="str">
        <f t="shared" si="12"/>
        <v>M3B09P4-ON</v>
      </c>
      <c r="AB54" s="68" t="str">
        <f t="shared" si="13"/>
        <v>M3B09P4-NONPROT</v>
      </c>
      <c r="AC54" s="68" t="str">
        <f t="shared" si="14"/>
        <v>M3B09P4-ONSTATE</v>
      </c>
      <c r="AD54" s="74" t="str">
        <f t="shared" si="15"/>
        <v>M3B09P4-FLSTATE</v>
      </c>
      <c r="AL54" s="103">
        <v>1</v>
      </c>
      <c r="AM54" s="101">
        <v>15</v>
      </c>
      <c r="AN54" s="44" t="s">
        <v>209</v>
      </c>
      <c r="AO54" s="42" t="str">
        <f t="shared" si="25"/>
        <v>NVO-M1B15P20</v>
      </c>
      <c r="AP54" s="59" t="str">
        <f t="shared" si="17"/>
        <v>M1B15P20</v>
      </c>
    </row>
    <row r="55" spans="1:42" ht="15" thickBot="1" x14ac:dyDescent="0.35">
      <c r="A55" s="64">
        <v>1</v>
      </c>
      <c r="B55" s="44" t="s">
        <v>74</v>
      </c>
      <c r="C55" s="44" t="s">
        <v>79</v>
      </c>
      <c r="D55" s="42" t="str">
        <f t="shared" si="20"/>
        <v>DI-M1B07P05</v>
      </c>
      <c r="E55" s="42" t="str">
        <f t="shared" si="18"/>
        <v>M1B07P05</v>
      </c>
      <c r="F55" s="64">
        <v>2</v>
      </c>
      <c r="G55" s="64">
        <v>18</v>
      </c>
      <c r="H55" s="45" t="s">
        <v>183</v>
      </c>
      <c r="I55" s="42" t="str">
        <f t="shared" si="22"/>
        <v>ACO-M2B18P5</v>
      </c>
      <c r="J55" s="42" t="str">
        <f t="shared" si="23"/>
        <v>M2B18P5</v>
      </c>
      <c r="K55" s="42" t="str">
        <f t="shared" si="24"/>
        <v>M2B18P5-CK</v>
      </c>
      <c r="L55">
        <v>2</v>
      </c>
      <c r="M55" s="44" t="s">
        <v>80</v>
      </c>
      <c r="N55" s="45" t="s">
        <v>183</v>
      </c>
      <c r="O55" s="46" t="str">
        <f t="shared" si="4"/>
        <v>DBO-M2B08P5</v>
      </c>
      <c r="P55" t="str">
        <f t="shared" si="5"/>
        <v>M2B08P5-1</v>
      </c>
      <c r="Q55" t="str">
        <f t="shared" si="6"/>
        <v>M2B08P5-2</v>
      </c>
      <c r="R55" s="47" t="str">
        <f t="shared" si="7"/>
        <v>M2B08P5-FLASH</v>
      </c>
      <c r="S55" s="68">
        <v>3</v>
      </c>
      <c r="T55" s="69" t="s">
        <v>81</v>
      </c>
      <c r="U55" s="45" t="s">
        <v>183</v>
      </c>
      <c r="V55" s="73" t="s">
        <v>239</v>
      </c>
      <c r="W55" s="68" t="str">
        <f t="shared" si="8"/>
        <v>M3B09P5-1</v>
      </c>
      <c r="X55" s="68" t="str">
        <f t="shared" si="9"/>
        <v>M3B09P5-2</v>
      </c>
      <c r="Y55" s="68" t="str">
        <f t="shared" si="10"/>
        <v>M3B09P5-FLASH</v>
      </c>
      <c r="Z55" s="68" t="str">
        <f t="shared" si="11"/>
        <v>M3B09P5-CK</v>
      </c>
      <c r="AA55" s="68" t="str">
        <f t="shared" si="12"/>
        <v>M3B09P5-ON</v>
      </c>
      <c r="AB55" s="68" t="str">
        <f t="shared" si="13"/>
        <v>M3B09P5-NONPROT</v>
      </c>
      <c r="AC55" s="68" t="str">
        <f t="shared" si="14"/>
        <v>M3B09P5-ONSTATE</v>
      </c>
      <c r="AD55" s="74" t="str">
        <f t="shared" si="15"/>
        <v>M3B09P5-FLSTATE</v>
      </c>
      <c r="AL55" s="103">
        <v>1</v>
      </c>
      <c r="AM55" s="101">
        <v>15</v>
      </c>
      <c r="AN55" s="44" t="s">
        <v>218</v>
      </c>
      <c r="AO55" s="42" t="str">
        <f t="shared" si="25"/>
        <v>NVO-M1B15P21</v>
      </c>
      <c r="AP55" s="59" t="str">
        <f t="shared" si="17"/>
        <v>M1B15P21</v>
      </c>
    </row>
    <row r="56" spans="1:42" ht="15" thickBot="1" x14ac:dyDescent="0.35">
      <c r="A56" s="64">
        <v>1</v>
      </c>
      <c r="B56" s="44" t="s">
        <v>74</v>
      </c>
      <c r="C56" s="44" t="s">
        <v>73</v>
      </c>
      <c r="D56" s="42" t="str">
        <f t="shared" si="20"/>
        <v>DI-M1B07P06</v>
      </c>
      <c r="E56" s="42" t="str">
        <f t="shared" si="18"/>
        <v>M1B07P06</v>
      </c>
      <c r="F56" s="64">
        <v>2</v>
      </c>
      <c r="G56" s="64">
        <v>18</v>
      </c>
      <c r="H56" s="45" t="s">
        <v>185</v>
      </c>
      <c r="I56" s="42" t="str">
        <f t="shared" si="22"/>
        <v>ACO-M2B18P6</v>
      </c>
      <c r="J56" s="42" t="str">
        <f t="shared" si="23"/>
        <v>M2B18P6</v>
      </c>
      <c r="K56" s="42" t="str">
        <f t="shared" si="24"/>
        <v>M2B18P6-CK</v>
      </c>
      <c r="L56">
        <v>2</v>
      </c>
      <c r="M56" s="44" t="s">
        <v>80</v>
      </c>
      <c r="N56" s="45" t="s">
        <v>185</v>
      </c>
      <c r="O56" s="46" t="str">
        <f t="shared" si="4"/>
        <v>DBO-M2B08P6</v>
      </c>
      <c r="P56" t="str">
        <f t="shared" si="5"/>
        <v>M2B08P6-1</v>
      </c>
      <c r="Q56" t="str">
        <f t="shared" si="6"/>
        <v>M2B08P6-2</v>
      </c>
      <c r="R56" s="47" t="str">
        <f t="shared" si="7"/>
        <v>M2B08P6-FLASH</v>
      </c>
      <c r="S56" s="68">
        <v>3</v>
      </c>
      <c r="T56" s="69" t="s">
        <v>81</v>
      </c>
      <c r="U56" s="45" t="s">
        <v>185</v>
      </c>
      <c r="V56" s="73" t="s">
        <v>240</v>
      </c>
      <c r="W56" s="68" t="str">
        <f t="shared" si="8"/>
        <v>M3B09P6-1</v>
      </c>
      <c r="X56" s="68" t="str">
        <f t="shared" si="9"/>
        <v>M3B09P6-2</v>
      </c>
      <c r="Y56" s="68" t="str">
        <f t="shared" si="10"/>
        <v>M3B09P6-FLASH</v>
      </c>
      <c r="Z56" s="68" t="str">
        <f t="shared" si="11"/>
        <v>M3B09P6-CK</v>
      </c>
      <c r="AA56" s="68" t="str">
        <f t="shared" si="12"/>
        <v>M3B09P6-ON</v>
      </c>
      <c r="AB56" s="68" t="str">
        <f t="shared" si="13"/>
        <v>M3B09P6-NONPROT</v>
      </c>
      <c r="AC56" s="68" t="str">
        <f t="shared" si="14"/>
        <v>M3B09P6-ONSTATE</v>
      </c>
      <c r="AD56" s="74" t="str">
        <f t="shared" si="15"/>
        <v>M3B09P6-FLSTATE</v>
      </c>
      <c r="AL56" s="103">
        <v>1</v>
      </c>
      <c r="AM56" s="101">
        <v>15</v>
      </c>
      <c r="AN56" s="44" t="s">
        <v>298</v>
      </c>
      <c r="AO56" s="42" t="str">
        <f t="shared" si="25"/>
        <v>NVO-M1B15P22</v>
      </c>
      <c r="AP56" s="59" t="str">
        <f t="shared" si="17"/>
        <v>M1B15P22</v>
      </c>
    </row>
    <row r="57" spans="1:42" ht="15" thickBot="1" x14ac:dyDescent="0.35">
      <c r="A57" s="64">
        <v>1</v>
      </c>
      <c r="B57" s="44" t="s">
        <v>74</v>
      </c>
      <c r="C57" s="44" t="s">
        <v>74</v>
      </c>
      <c r="D57" s="42" t="str">
        <f t="shared" si="20"/>
        <v>DI-M1B07P07</v>
      </c>
      <c r="E57" s="42" t="str">
        <f t="shared" si="18"/>
        <v>M1B07P07</v>
      </c>
      <c r="F57" s="64">
        <v>2</v>
      </c>
      <c r="G57" s="64">
        <v>18</v>
      </c>
      <c r="H57" s="45" t="s">
        <v>187</v>
      </c>
      <c r="I57" s="42" t="str">
        <f t="shared" si="22"/>
        <v>ACO-M2B18P7</v>
      </c>
      <c r="J57" s="42" t="str">
        <f t="shared" si="23"/>
        <v>M2B18P7</v>
      </c>
      <c r="K57" s="42" t="str">
        <f t="shared" si="24"/>
        <v>M2B18P7-CK</v>
      </c>
      <c r="L57">
        <v>2</v>
      </c>
      <c r="M57" s="44" t="s">
        <v>80</v>
      </c>
      <c r="N57" s="45" t="s">
        <v>187</v>
      </c>
      <c r="O57" s="46" t="str">
        <f t="shared" si="4"/>
        <v>DBO-M2B08P7</v>
      </c>
      <c r="P57" t="str">
        <f t="shared" si="5"/>
        <v>M2B08P7-1</v>
      </c>
      <c r="Q57" t="str">
        <f t="shared" si="6"/>
        <v>M2B08P7-2</v>
      </c>
      <c r="R57" s="47" t="str">
        <f t="shared" si="7"/>
        <v>M2B08P7-FLASH</v>
      </c>
      <c r="S57" s="68">
        <v>3</v>
      </c>
      <c r="T57" s="69" t="s">
        <v>81</v>
      </c>
      <c r="U57" s="45" t="s">
        <v>187</v>
      </c>
      <c r="V57" s="73" t="s">
        <v>241</v>
      </c>
      <c r="W57" s="68" t="str">
        <f t="shared" si="8"/>
        <v>M3B09P7-1</v>
      </c>
      <c r="X57" s="68" t="str">
        <f t="shared" si="9"/>
        <v>M3B09P7-2</v>
      </c>
      <c r="Y57" s="68" t="str">
        <f t="shared" si="10"/>
        <v>M3B09P7-FLASH</v>
      </c>
      <c r="Z57" s="68" t="str">
        <f t="shared" si="11"/>
        <v>M3B09P7-CK</v>
      </c>
      <c r="AA57" s="68" t="str">
        <f t="shared" si="12"/>
        <v>M3B09P7-ON</v>
      </c>
      <c r="AB57" s="68" t="str">
        <f t="shared" si="13"/>
        <v>M3B09P7-NONPROT</v>
      </c>
      <c r="AC57" s="68" t="str">
        <f t="shared" si="14"/>
        <v>M3B09P7-ONSTATE</v>
      </c>
      <c r="AD57" s="74" t="str">
        <f t="shared" si="15"/>
        <v>M3B09P7-FLSTATE</v>
      </c>
      <c r="AL57" s="103">
        <v>1</v>
      </c>
      <c r="AM57" s="101">
        <v>15</v>
      </c>
      <c r="AN57" s="44" t="s">
        <v>299</v>
      </c>
      <c r="AO57" s="42" t="str">
        <f t="shared" si="25"/>
        <v>NVO-M1B15P23</v>
      </c>
      <c r="AP57" s="59" t="str">
        <f t="shared" si="17"/>
        <v>M1B15P23</v>
      </c>
    </row>
    <row r="58" spans="1:42" ht="15" thickBot="1" x14ac:dyDescent="0.35">
      <c r="A58" s="64">
        <v>1</v>
      </c>
      <c r="B58" s="44" t="s">
        <v>74</v>
      </c>
      <c r="C58" s="44" t="s">
        <v>80</v>
      </c>
      <c r="D58" s="42" t="str">
        <f t="shared" si="20"/>
        <v>DI-M1B07P08</v>
      </c>
      <c r="E58" s="42" t="str">
        <f t="shared" si="18"/>
        <v>M1B07P08</v>
      </c>
      <c r="F58" s="64">
        <v>2</v>
      </c>
      <c r="G58" s="64">
        <v>18</v>
      </c>
      <c r="H58" s="45" t="s">
        <v>189</v>
      </c>
      <c r="I58" s="43" t="str">
        <f t="shared" si="22"/>
        <v>ACO-M2B18P8</v>
      </c>
      <c r="J58" s="43" t="str">
        <f t="shared" si="23"/>
        <v>M2B18P8</v>
      </c>
      <c r="K58" s="43" t="str">
        <f t="shared" si="24"/>
        <v>M2B18P8-CK</v>
      </c>
      <c r="L58">
        <v>2</v>
      </c>
      <c r="M58" s="44" t="s">
        <v>80</v>
      </c>
      <c r="N58" s="45" t="s">
        <v>189</v>
      </c>
      <c r="O58" s="48" t="str">
        <f t="shared" si="4"/>
        <v>DBO-M2B08P8</v>
      </c>
      <c r="P58" s="55" t="str">
        <f t="shared" si="5"/>
        <v>M2B08P8-1</v>
      </c>
      <c r="Q58" s="55" t="str">
        <f t="shared" si="6"/>
        <v>M2B08P8-2</v>
      </c>
      <c r="R58" s="49" t="str">
        <f t="shared" si="7"/>
        <v>M2B08P8-FLASH</v>
      </c>
      <c r="S58" s="68">
        <v>3</v>
      </c>
      <c r="T58" s="69" t="s">
        <v>81</v>
      </c>
      <c r="U58" s="45" t="s">
        <v>189</v>
      </c>
      <c r="V58" s="75" t="s">
        <v>242</v>
      </c>
      <c r="W58" s="76" t="str">
        <f t="shared" si="8"/>
        <v>M3B09P8-1</v>
      </c>
      <c r="X58" s="76" t="str">
        <f t="shared" si="9"/>
        <v>M3B09P8-2</v>
      </c>
      <c r="Y58" s="76" t="str">
        <f t="shared" si="10"/>
        <v>M3B09P8-FLASH</v>
      </c>
      <c r="Z58" s="76" t="str">
        <f t="shared" si="11"/>
        <v>M3B09P8-CK</v>
      </c>
      <c r="AA58" s="76" t="str">
        <f t="shared" si="12"/>
        <v>M3B09P8-ON</v>
      </c>
      <c r="AB58" s="76" t="str">
        <f t="shared" si="13"/>
        <v>M3B09P8-NONPROT</v>
      </c>
      <c r="AC58" s="76" t="str">
        <f t="shared" si="14"/>
        <v>M3B09P8-ONSTATE</v>
      </c>
      <c r="AD58" s="77" t="str">
        <f t="shared" si="15"/>
        <v>M3B09P8-FLSTATE</v>
      </c>
      <c r="AL58" s="103">
        <v>1</v>
      </c>
      <c r="AM58" s="101">
        <v>15</v>
      </c>
      <c r="AN58" s="44" t="s">
        <v>300</v>
      </c>
      <c r="AO58" s="42" t="str">
        <f t="shared" si="25"/>
        <v>NVO-M1B15P24</v>
      </c>
      <c r="AP58" s="59" t="str">
        <f t="shared" si="17"/>
        <v>M1B15P24</v>
      </c>
    </row>
    <row r="59" spans="1:42" ht="15" thickBot="1" x14ac:dyDescent="0.35">
      <c r="A59" s="64">
        <v>1</v>
      </c>
      <c r="B59" s="44" t="s">
        <v>74</v>
      </c>
      <c r="C59" s="44" t="s">
        <v>81</v>
      </c>
      <c r="D59" s="42" t="str">
        <f t="shared" si="20"/>
        <v>DI-M1B07P09</v>
      </c>
      <c r="E59" s="42" t="str">
        <f t="shared" si="18"/>
        <v>M1B07P09</v>
      </c>
      <c r="F59" s="64">
        <v>2</v>
      </c>
      <c r="G59" s="64">
        <v>19</v>
      </c>
      <c r="H59" s="45" t="s">
        <v>175</v>
      </c>
      <c r="I59" s="41" t="str">
        <f t="shared" si="22"/>
        <v>ACO-M2B19P1</v>
      </c>
      <c r="J59" s="41" t="str">
        <f t="shared" ref="J59:J90" si="26">("M"&amp;$F59&amp;"B"&amp;$G59&amp;"P"&amp;$H59)</f>
        <v>M2B19P1</v>
      </c>
      <c r="K59" s="41" t="str">
        <f t="shared" ref="K59:K90" si="27">("M"&amp;$F59&amp;"B"&amp;$G59&amp;"P"&amp;$H59&amp;"-CK")</f>
        <v>M2B19P1-CK</v>
      </c>
      <c r="L59">
        <v>2</v>
      </c>
      <c r="M59" s="44" t="s">
        <v>81</v>
      </c>
      <c r="N59" s="45" t="s">
        <v>175</v>
      </c>
      <c r="O59" s="52" t="str">
        <f>("DBO-M"&amp;$L59&amp;"B"&amp;$M59&amp;"P"&amp;$N59)</f>
        <v>DBO-M2B09P1</v>
      </c>
      <c r="P59" s="53" t="str">
        <f>("M"&amp;$L59&amp;"B"&amp;$M59&amp;"P"&amp;$N59&amp;"-1")</f>
        <v>M2B09P1-1</v>
      </c>
      <c r="Q59" s="53" t="str">
        <f>("M"&amp;$L59&amp;"B"&amp;$M59&amp;"P"&amp;$N59&amp;"-2")</f>
        <v>M2B09P1-2</v>
      </c>
      <c r="R59" s="54" t="str">
        <f>("M"&amp;$L59&amp;"B"&amp;$M59&amp;"P"&amp;$N59&amp;"-FLASH")</f>
        <v>M2B09P1-FLASH</v>
      </c>
      <c r="AL59" s="103">
        <v>1</v>
      </c>
      <c r="AM59" s="101">
        <v>15</v>
      </c>
      <c r="AN59" s="44" t="s">
        <v>301</v>
      </c>
      <c r="AO59" s="42" t="str">
        <f t="shared" si="25"/>
        <v>NVO-M1B15P25</v>
      </c>
      <c r="AP59" s="59" t="str">
        <f t="shared" si="17"/>
        <v>M1B15P25</v>
      </c>
    </row>
    <row r="60" spans="1:42" ht="15" thickBot="1" x14ac:dyDescent="0.35">
      <c r="A60" s="64">
        <v>1</v>
      </c>
      <c r="B60" s="44" t="s">
        <v>74</v>
      </c>
      <c r="C60" s="44" t="s">
        <v>82</v>
      </c>
      <c r="D60" s="42" t="str">
        <f t="shared" si="20"/>
        <v>DI-M1B07P10</v>
      </c>
      <c r="E60" s="42" t="str">
        <f t="shared" si="18"/>
        <v>M1B07P10</v>
      </c>
      <c r="F60" s="64">
        <v>2</v>
      </c>
      <c r="G60" s="64">
        <v>19</v>
      </c>
      <c r="H60" s="45" t="s">
        <v>177</v>
      </c>
      <c r="I60" s="42" t="str">
        <f t="shared" si="22"/>
        <v>ACO-M2B19P2</v>
      </c>
      <c r="J60" s="42" t="str">
        <f t="shared" si="26"/>
        <v>M2B19P2</v>
      </c>
      <c r="K60" s="42" t="str">
        <f t="shared" si="27"/>
        <v>M2B19P2-CK</v>
      </c>
      <c r="L60">
        <v>2</v>
      </c>
      <c r="M60" s="44" t="s">
        <v>81</v>
      </c>
      <c r="N60" s="45" t="s">
        <v>177</v>
      </c>
      <c r="O60" s="46" t="str">
        <f t="shared" si="4"/>
        <v>DBO-M2B09P2</v>
      </c>
      <c r="P60" t="str">
        <f t="shared" si="5"/>
        <v>M2B09P2-1</v>
      </c>
      <c r="Q60" t="str">
        <f t="shared" si="6"/>
        <v>M2B09P2-2</v>
      </c>
      <c r="R60" s="47" t="str">
        <f t="shared" si="7"/>
        <v>M2B09P2-FLASH</v>
      </c>
      <c r="AL60" s="103">
        <v>1</v>
      </c>
      <c r="AM60" s="101">
        <v>15</v>
      </c>
      <c r="AN60" s="44" t="s">
        <v>302</v>
      </c>
      <c r="AO60" s="42" t="str">
        <f t="shared" si="25"/>
        <v>NVO-M1B15P26</v>
      </c>
      <c r="AP60" s="59" t="str">
        <f t="shared" si="17"/>
        <v>M1B15P26</v>
      </c>
    </row>
    <row r="61" spans="1:42" ht="15" thickBot="1" x14ac:dyDescent="0.35">
      <c r="A61" s="64">
        <v>1</v>
      </c>
      <c r="B61" s="44" t="s">
        <v>74</v>
      </c>
      <c r="C61" s="44" t="s">
        <v>83</v>
      </c>
      <c r="D61" s="42" t="str">
        <f t="shared" si="20"/>
        <v>DI-M1B07P11</v>
      </c>
      <c r="E61" s="42" t="str">
        <f t="shared" si="18"/>
        <v>M1B07P11</v>
      </c>
      <c r="F61" s="64">
        <v>2</v>
      </c>
      <c r="G61" s="64">
        <v>19</v>
      </c>
      <c r="H61" s="45" t="s">
        <v>179</v>
      </c>
      <c r="I61" s="42" t="str">
        <f t="shared" si="22"/>
        <v>ACO-M2B19P3</v>
      </c>
      <c r="J61" s="42" t="str">
        <f t="shared" si="26"/>
        <v>M2B19P3</v>
      </c>
      <c r="K61" s="42" t="str">
        <f t="shared" si="27"/>
        <v>M2B19P3-CK</v>
      </c>
      <c r="L61">
        <v>2</v>
      </c>
      <c r="M61" s="44" t="s">
        <v>81</v>
      </c>
      <c r="N61" s="45" t="s">
        <v>179</v>
      </c>
      <c r="O61" s="46" t="str">
        <f t="shared" si="4"/>
        <v>DBO-M2B09P3</v>
      </c>
      <c r="P61" t="str">
        <f t="shared" si="5"/>
        <v>M2B09P3-1</v>
      </c>
      <c r="Q61" t="str">
        <f t="shared" si="6"/>
        <v>M2B09P3-2</v>
      </c>
      <c r="R61" s="47" t="str">
        <f t="shared" si="7"/>
        <v>M2B09P3-FLASH</v>
      </c>
      <c r="AL61" s="103">
        <v>1</v>
      </c>
      <c r="AM61" s="101">
        <v>15</v>
      </c>
      <c r="AN61" s="44" t="s">
        <v>303</v>
      </c>
      <c r="AO61" s="42" t="str">
        <f t="shared" si="25"/>
        <v>NVO-M1B15P27</v>
      </c>
      <c r="AP61" s="59" t="str">
        <f t="shared" si="17"/>
        <v>M1B15P27</v>
      </c>
    </row>
    <row r="62" spans="1:42" ht="15" thickBot="1" x14ac:dyDescent="0.35">
      <c r="A62" s="64">
        <v>1</v>
      </c>
      <c r="B62" s="44" t="s">
        <v>74</v>
      </c>
      <c r="C62" s="44" t="s">
        <v>84</v>
      </c>
      <c r="D62" s="42" t="str">
        <f t="shared" si="20"/>
        <v>DI-M1B07P12</v>
      </c>
      <c r="E62" s="42" t="str">
        <f t="shared" si="18"/>
        <v>M1B07P12</v>
      </c>
      <c r="F62" s="64">
        <v>2</v>
      </c>
      <c r="G62" s="64">
        <v>19</v>
      </c>
      <c r="H62" s="45" t="s">
        <v>181</v>
      </c>
      <c r="I62" s="42" t="str">
        <f t="shared" si="22"/>
        <v>ACO-M2B19P4</v>
      </c>
      <c r="J62" s="42" t="str">
        <f t="shared" si="26"/>
        <v>M2B19P4</v>
      </c>
      <c r="K62" s="42" t="str">
        <f t="shared" si="27"/>
        <v>M2B19P4-CK</v>
      </c>
      <c r="L62">
        <v>2</v>
      </c>
      <c r="M62" s="44" t="s">
        <v>81</v>
      </c>
      <c r="N62" s="45" t="s">
        <v>181</v>
      </c>
      <c r="O62" s="46" t="str">
        <f t="shared" si="4"/>
        <v>DBO-M2B09P4</v>
      </c>
      <c r="P62" t="str">
        <f t="shared" si="5"/>
        <v>M2B09P4-1</v>
      </c>
      <c r="Q62" t="str">
        <f t="shared" si="6"/>
        <v>M2B09P4-2</v>
      </c>
      <c r="R62" s="47" t="str">
        <f t="shared" si="7"/>
        <v>M2B09P4-FLASH</v>
      </c>
      <c r="AL62" s="103">
        <v>1</v>
      </c>
      <c r="AM62" s="101">
        <v>15</v>
      </c>
      <c r="AN62" s="44" t="s">
        <v>304</v>
      </c>
      <c r="AO62" s="42" t="str">
        <f t="shared" si="25"/>
        <v>NVO-M1B15P28</v>
      </c>
      <c r="AP62" s="59" t="str">
        <f t="shared" si="17"/>
        <v>M1B15P28</v>
      </c>
    </row>
    <row r="63" spans="1:42" ht="15" thickBot="1" x14ac:dyDescent="0.35">
      <c r="A63" s="64">
        <v>1</v>
      </c>
      <c r="B63" s="44" t="s">
        <v>74</v>
      </c>
      <c r="C63" s="44" t="s">
        <v>85</v>
      </c>
      <c r="D63" s="42" t="str">
        <f t="shared" si="20"/>
        <v>DI-M1B07P13</v>
      </c>
      <c r="E63" s="42" t="str">
        <f t="shared" si="18"/>
        <v>M1B07P13</v>
      </c>
      <c r="F63" s="64">
        <v>2</v>
      </c>
      <c r="G63" s="64">
        <v>19</v>
      </c>
      <c r="H63" s="45" t="s">
        <v>183</v>
      </c>
      <c r="I63" s="42" t="str">
        <f t="shared" si="22"/>
        <v>ACO-M2B19P5</v>
      </c>
      <c r="J63" s="42" t="str">
        <f t="shared" si="26"/>
        <v>M2B19P5</v>
      </c>
      <c r="K63" s="42" t="str">
        <f t="shared" si="27"/>
        <v>M2B19P5-CK</v>
      </c>
      <c r="L63">
        <v>2</v>
      </c>
      <c r="M63" s="44" t="s">
        <v>81</v>
      </c>
      <c r="N63" s="45" t="s">
        <v>183</v>
      </c>
      <c r="O63" s="46" t="str">
        <f t="shared" si="4"/>
        <v>DBO-M2B09P5</v>
      </c>
      <c r="P63" t="str">
        <f t="shared" si="5"/>
        <v>M2B09P5-1</v>
      </c>
      <c r="Q63" t="str">
        <f t="shared" si="6"/>
        <v>M2B09P5-2</v>
      </c>
      <c r="R63" s="47" t="str">
        <f t="shared" si="7"/>
        <v>M2B09P5-FLASH</v>
      </c>
      <c r="AL63" s="103">
        <v>1</v>
      </c>
      <c r="AM63" s="101">
        <v>15</v>
      </c>
      <c r="AN63" s="44" t="s">
        <v>305</v>
      </c>
      <c r="AO63" s="42" t="str">
        <f t="shared" si="25"/>
        <v>NVO-M1B15P29</v>
      </c>
      <c r="AP63" s="59" t="str">
        <f t="shared" si="17"/>
        <v>M1B15P29</v>
      </c>
    </row>
    <row r="64" spans="1:42" ht="15" thickBot="1" x14ac:dyDescent="0.35">
      <c r="A64" s="64">
        <v>1</v>
      </c>
      <c r="B64" s="44" t="s">
        <v>74</v>
      </c>
      <c r="C64" s="44" t="s">
        <v>86</v>
      </c>
      <c r="D64" s="42" t="str">
        <f t="shared" si="20"/>
        <v>DI-M1B07P14</v>
      </c>
      <c r="E64" s="42" t="str">
        <f t="shared" si="18"/>
        <v>M1B07P14</v>
      </c>
      <c r="F64" s="64">
        <v>2</v>
      </c>
      <c r="G64" s="64">
        <v>19</v>
      </c>
      <c r="H64" s="45" t="s">
        <v>185</v>
      </c>
      <c r="I64" s="42" t="str">
        <f t="shared" si="22"/>
        <v>ACO-M2B19P6</v>
      </c>
      <c r="J64" s="42" t="str">
        <f t="shared" si="26"/>
        <v>M2B19P6</v>
      </c>
      <c r="K64" s="42" t="str">
        <f t="shared" si="27"/>
        <v>M2B19P6-CK</v>
      </c>
      <c r="L64">
        <v>2</v>
      </c>
      <c r="M64" s="44" t="s">
        <v>81</v>
      </c>
      <c r="N64" s="45" t="s">
        <v>185</v>
      </c>
      <c r="O64" s="46" t="str">
        <f t="shared" si="4"/>
        <v>DBO-M2B09P6</v>
      </c>
      <c r="P64" t="str">
        <f t="shared" si="5"/>
        <v>M2B09P6-1</v>
      </c>
      <c r="Q64" t="str">
        <f t="shared" si="6"/>
        <v>M2B09P6-2</v>
      </c>
      <c r="R64" s="47" t="str">
        <f t="shared" si="7"/>
        <v>M2B09P6-FLASH</v>
      </c>
      <c r="AL64" s="103">
        <v>1</v>
      </c>
      <c r="AM64" s="101">
        <v>15</v>
      </c>
      <c r="AN64" s="44" t="s">
        <v>306</v>
      </c>
      <c r="AO64" s="42" t="str">
        <f t="shared" si="25"/>
        <v>NVO-M1B15P30</v>
      </c>
      <c r="AP64" s="59" t="str">
        <f t="shared" si="17"/>
        <v>M1B15P30</v>
      </c>
    </row>
    <row r="65" spans="1:42" ht="15" thickBot="1" x14ac:dyDescent="0.35">
      <c r="A65" s="64">
        <v>1</v>
      </c>
      <c r="B65" s="44" t="s">
        <v>74</v>
      </c>
      <c r="C65" s="44" t="s">
        <v>87</v>
      </c>
      <c r="D65" s="42" t="str">
        <f t="shared" si="20"/>
        <v>DI-M1B07P15</v>
      </c>
      <c r="E65" s="42" t="str">
        <f t="shared" si="18"/>
        <v>M1B07P15</v>
      </c>
      <c r="F65" s="64">
        <v>2</v>
      </c>
      <c r="G65" s="64">
        <v>19</v>
      </c>
      <c r="H65" s="45" t="s">
        <v>187</v>
      </c>
      <c r="I65" s="42" t="str">
        <f t="shared" si="22"/>
        <v>ACO-M2B19P7</v>
      </c>
      <c r="J65" s="42" t="str">
        <f t="shared" si="26"/>
        <v>M2B19P7</v>
      </c>
      <c r="K65" s="42" t="str">
        <f t="shared" si="27"/>
        <v>M2B19P7-CK</v>
      </c>
      <c r="L65">
        <v>2</v>
      </c>
      <c r="M65" s="44" t="s">
        <v>81</v>
      </c>
      <c r="N65" s="45" t="s">
        <v>187</v>
      </c>
      <c r="O65" s="46" t="str">
        <f t="shared" si="4"/>
        <v>DBO-M2B09P7</v>
      </c>
      <c r="P65" t="str">
        <f t="shared" si="5"/>
        <v>M2B09P7-1</v>
      </c>
      <c r="Q65" t="str">
        <f t="shared" si="6"/>
        <v>M2B09P7-2</v>
      </c>
      <c r="R65" s="47" t="str">
        <f t="shared" si="7"/>
        <v>M2B09P7-FLASH</v>
      </c>
      <c r="AL65" s="103">
        <v>1</v>
      </c>
      <c r="AM65" s="101">
        <v>15</v>
      </c>
      <c r="AN65" s="44" t="s">
        <v>307</v>
      </c>
      <c r="AO65" s="42" t="str">
        <f t="shared" si="25"/>
        <v>NVO-M1B15P31</v>
      </c>
      <c r="AP65" s="59" t="str">
        <f t="shared" si="17"/>
        <v>M1B15P31</v>
      </c>
    </row>
    <row r="66" spans="1:42" ht="15" thickBot="1" x14ac:dyDescent="0.35">
      <c r="A66" s="64">
        <v>1</v>
      </c>
      <c r="B66" s="44" t="s">
        <v>74</v>
      </c>
      <c r="C66" s="44" t="s">
        <v>88</v>
      </c>
      <c r="D66" s="43" t="str">
        <f t="shared" si="20"/>
        <v>DI-M1B07P16</v>
      </c>
      <c r="E66" s="43" t="str">
        <f t="shared" si="18"/>
        <v>M1B07P16</v>
      </c>
      <c r="F66" s="64">
        <v>2</v>
      </c>
      <c r="G66" s="64">
        <v>19</v>
      </c>
      <c r="H66" s="45" t="s">
        <v>189</v>
      </c>
      <c r="I66" s="43" t="str">
        <f t="shared" si="22"/>
        <v>ACO-M2B19P8</v>
      </c>
      <c r="J66" s="43" t="str">
        <f t="shared" si="26"/>
        <v>M2B19P8</v>
      </c>
      <c r="K66" s="43" t="str">
        <f t="shared" si="27"/>
        <v>M2B19P8-CK</v>
      </c>
      <c r="L66">
        <v>2</v>
      </c>
      <c r="M66" s="44" t="s">
        <v>81</v>
      </c>
      <c r="N66" s="45" t="s">
        <v>189</v>
      </c>
      <c r="O66" s="48" t="str">
        <f t="shared" si="4"/>
        <v>DBO-M2B09P8</v>
      </c>
      <c r="P66" s="55" t="str">
        <f t="shared" si="5"/>
        <v>M2B09P8-1</v>
      </c>
      <c r="Q66" s="55" t="str">
        <f t="shared" si="6"/>
        <v>M2B09P8-2</v>
      </c>
      <c r="R66" s="49" t="str">
        <f t="shared" si="7"/>
        <v>M2B09P8-FLASH</v>
      </c>
      <c r="AL66" s="103">
        <v>1</v>
      </c>
      <c r="AM66" s="101">
        <v>15</v>
      </c>
      <c r="AN66" s="44" t="s">
        <v>308</v>
      </c>
      <c r="AO66" s="42" t="str">
        <f t="shared" si="25"/>
        <v>NVO-M1B15P32</v>
      </c>
      <c r="AP66" s="59" t="str">
        <f t="shared" si="17"/>
        <v>M1B15P32</v>
      </c>
    </row>
    <row r="67" spans="1:42" ht="15" thickBot="1" x14ac:dyDescent="0.35">
      <c r="A67" s="64">
        <v>1</v>
      </c>
      <c r="B67" s="44" t="s">
        <v>80</v>
      </c>
      <c r="C67" s="44" t="s">
        <v>75</v>
      </c>
      <c r="D67" s="41" t="str">
        <f t="shared" si="20"/>
        <v>DI-M1B08P01</v>
      </c>
      <c r="E67" s="41" t="str">
        <f t="shared" si="18"/>
        <v>M1B08P01</v>
      </c>
      <c r="F67" s="64">
        <v>2</v>
      </c>
      <c r="G67" s="64">
        <v>20</v>
      </c>
      <c r="H67" s="45" t="s">
        <v>175</v>
      </c>
      <c r="I67" s="41" t="str">
        <f t="shared" ref="I67:I82" si="28">("ACO-M"&amp;F67&amp;"B"&amp;G67&amp;"P"&amp;H67)</f>
        <v>ACO-M2B20P1</v>
      </c>
      <c r="J67" s="41" t="str">
        <f t="shared" si="26"/>
        <v>M2B20P1</v>
      </c>
      <c r="K67" s="41" t="str">
        <f t="shared" si="27"/>
        <v>M2B20P1-CK</v>
      </c>
      <c r="L67">
        <v>2</v>
      </c>
      <c r="M67" s="44" t="s">
        <v>82</v>
      </c>
      <c r="N67" s="45" t="s">
        <v>175</v>
      </c>
      <c r="O67" s="52" t="str">
        <f>("DBO-M"&amp;$L67&amp;"B"&amp;$M67&amp;"P"&amp;$N67)</f>
        <v>DBO-M2B10P1</v>
      </c>
      <c r="P67" s="53" t="str">
        <f>("M"&amp;$L67&amp;"B"&amp;$M67&amp;"P"&amp;$N67&amp;"-1")</f>
        <v>M2B10P1-1</v>
      </c>
      <c r="Q67" s="53" t="str">
        <f>("M"&amp;$L67&amp;"B"&amp;$M67&amp;"P"&amp;$N67&amp;"-2")</f>
        <v>M2B10P1-2</v>
      </c>
      <c r="R67" s="54" t="str">
        <f>("M"&amp;$L67&amp;"B"&amp;$M67&amp;"P"&amp;$N67&amp;"-FLASH")</f>
        <v>M2B10P1-FLASH</v>
      </c>
      <c r="AL67" s="100">
        <v>1</v>
      </c>
      <c r="AM67" s="101">
        <v>16</v>
      </c>
      <c r="AN67" s="101" t="s">
        <v>75</v>
      </c>
      <c r="AO67" s="102" t="str">
        <f>("NVO-M"&amp;AL67&amp;"B"&amp;AM67&amp;"P"&amp;AN67)</f>
        <v>NVO-M1B16P01</v>
      </c>
      <c r="AP67" s="59" t="str">
        <f t="shared" si="17"/>
        <v>M1B16P01</v>
      </c>
    </row>
    <row r="68" spans="1:42" ht="15" thickBot="1" x14ac:dyDescent="0.35">
      <c r="A68" s="64">
        <v>1</v>
      </c>
      <c r="B68" s="44" t="s">
        <v>80</v>
      </c>
      <c r="C68" s="44" t="s">
        <v>76</v>
      </c>
      <c r="D68" s="42" t="str">
        <f t="shared" si="20"/>
        <v>DI-M1B08P02</v>
      </c>
      <c r="E68" s="42" t="str">
        <f t="shared" si="18"/>
        <v>M1B08P02</v>
      </c>
      <c r="F68" s="64">
        <v>2</v>
      </c>
      <c r="G68" s="64">
        <v>20</v>
      </c>
      <c r="H68" s="45" t="s">
        <v>177</v>
      </c>
      <c r="I68" s="42" t="str">
        <f t="shared" si="28"/>
        <v>ACO-M2B20P2</v>
      </c>
      <c r="J68" s="42" t="str">
        <f t="shared" si="26"/>
        <v>M2B20P2</v>
      </c>
      <c r="K68" s="42" t="str">
        <f t="shared" si="27"/>
        <v>M2B20P2-CK</v>
      </c>
      <c r="L68">
        <v>2</v>
      </c>
      <c r="M68" s="44" t="s">
        <v>82</v>
      </c>
      <c r="N68" s="45" t="s">
        <v>177</v>
      </c>
      <c r="O68" s="46" t="str">
        <f t="shared" si="4"/>
        <v>DBO-M2B10P2</v>
      </c>
      <c r="P68" t="str">
        <f t="shared" si="5"/>
        <v>M2B10P2-1</v>
      </c>
      <c r="Q68" t="str">
        <f t="shared" si="6"/>
        <v>M2B10P2-2</v>
      </c>
      <c r="R68" s="47" t="str">
        <f t="shared" si="7"/>
        <v>M2B10P2-FLASH</v>
      </c>
      <c r="AL68" s="103">
        <v>1</v>
      </c>
      <c r="AM68" s="101">
        <v>16</v>
      </c>
      <c r="AN68" s="44" t="s">
        <v>76</v>
      </c>
      <c r="AO68" s="42" t="str">
        <f t="shared" ref="AO68:AO98" si="29">("NVO-M"&amp;AL68&amp;"B"&amp;AM68&amp;"P"&amp;AN68)</f>
        <v>NVO-M1B16P02</v>
      </c>
      <c r="AP68" s="59" t="str">
        <f t="shared" ref="AP68:AP130" si="30">("M"&amp;$AL68&amp;"B"&amp;AM68&amp;"P"&amp;AN68)</f>
        <v>M1B16P02</v>
      </c>
    </row>
    <row r="69" spans="1:42" ht="15" thickBot="1" x14ac:dyDescent="0.35">
      <c r="A69" s="64">
        <v>1</v>
      </c>
      <c r="B69" s="44" t="s">
        <v>80</v>
      </c>
      <c r="C69" s="44" t="s">
        <v>77</v>
      </c>
      <c r="D69" s="42" t="str">
        <f t="shared" si="20"/>
        <v>DI-M1B08P03</v>
      </c>
      <c r="E69" s="42" t="str">
        <f t="shared" si="18"/>
        <v>M1B08P03</v>
      </c>
      <c r="F69" s="64">
        <v>2</v>
      </c>
      <c r="G69" s="64">
        <v>20</v>
      </c>
      <c r="H69" s="45" t="s">
        <v>179</v>
      </c>
      <c r="I69" s="42" t="str">
        <f t="shared" si="28"/>
        <v>ACO-M2B20P3</v>
      </c>
      <c r="J69" s="42" t="str">
        <f t="shared" si="26"/>
        <v>M2B20P3</v>
      </c>
      <c r="K69" s="42" t="str">
        <f t="shared" si="27"/>
        <v>M2B20P3-CK</v>
      </c>
      <c r="L69">
        <v>2</v>
      </c>
      <c r="M69" s="44" t="s">
        <v>82</v>
      </c>
      <c r="N69" s="45" t="s">
        <v>179</v>
      </c>
      <c r="O69" s="46" t="str">
        <f t="shared" ref="O69:O74" si="31">("DBO-M"&amp;$L69&amp;"B"&amp;$M69&amp;"P"&amp;$N69)</f>
        <v>DBO-M2B10P3</v>
      </c>
      <c r="P69" t="str">
        <f t="shared" ref="P69:P74" si="32">("M"&amp;$L69&amp;"B"&amp;$M69&amp;"P"&amp;$N69&amp;"-1")</f>
        <v>M2B10P3-1</v>
      </c>
      <c r="Q69" t="str">
        <f t="shared" ref="Q69:Q74" si="33">("M"&amp;$L69&amp;"B"&amp;$M69&amp;"P"&amp;$N69&amp;"-2")</f>
        <v>M2B10P3-2</v>
      </c>
      <c r="R69" s="47" t="str">
        <f t="shared" ref="R69:R74" si="34">("M"&amp;$L69&amp;"B"&amp;$M69&amp;"P"&amp;$N69&amp;"-FLASH")</f>
        <v>M2B10P3-FLASH</v>
      </c>
      <c r="AL69" s="103">
        <v>1</v>
      </c>
      <c r="AM69" s="101">
        <v>16</v>
      </c>
      <c r="AN69" s="44" t="s">
        <v>77</v>
      </c>
      <c r="AO69" s="42" t="str">
        <f t="shared" si="29"/>
        <v>NVO-M1B16P03</v>
      </c>
      <c r="AP69" s="59" t="str">
        <f t="shared" si="30"/>
        <v>M1B16P03</v>
      </c>
    </row>
    <row r="70" spans="1:42" ht="15" thickBot="1" x14ac:dyDescent="0.35">
      <c r="A70" s="64">
        <v>1</v>
      </c>
      <c r="B70" s="44" t="s">
        <v>80</v>
      </c>
      <c r="C70" s="44" t="s">
        <v>78</v>
      </c>
      <c r="D70" s="42" t="str">
        <f t="shared" si="20"/>
        <v>DI-M1B08P04</v>
      </c>
      <c r="E70" s="42" t="str">
        <f t="shared" ref="E70:E133" si="35">("M"&amp;$A70&amp;"B"&amp;$B70&amp;"P"&amp;$C70)</f>
        <v>M1B08P04</v>
      </c>
      <c r="F70" s="64">
        <v>2</v>
      </c>
      <c r="G70" s="64">
        <v>20</v>
      </c>
      <c r="H70" s="45" t="s">
        <v>181</v>
      </c>
      <c r="I70" s="42" t="str">
        <f t="shared" si="28"/>
        <v>ACO-M2B20P4</v>
      </c>
      <c r="J70" s="42" t="str">
        <f t="shared" si="26"/>
        <v>M2B20P4</v>
      </c>
      <c r="K70" s="42" t="str">
        <f t="shared" si="27"/>
        <v>M2B20P4-CK</v>
      </c>
      <c r="L70">
        <v>2</v>
      </c>
      <c r="M70" s="44" t="s">
        <v>82</v>
      </c>
      <c r="N70" s="45" t="s">
        <v>181</v>
      </c>
      <c r="O70" s="46" t="str">
        <f t="shared" si="31"/>
        <v>DBO-M2B10P4</v>
      </c>
      <c r="P70" t="str">
        <f t="shared" si="32"/>
        <v>M2B10P4-1</v>
      </c>
      <c r="Q70" t="str">
        <f t="shared" si="33"/>
        <v>M2B10P4-2</v>
      </c>
      <c r="R70" s="47" t="str">
        <f t="shared" si="34"/>
        <v>M2B10P4-FLASH</v>
      </c>
      <c r="AL70" s="103">
        <v>1</v>
      </c>
      <c r="AM70" s="101">
        <v>16</v>
      </c>
      <c r="AN70" s="44" t="s">
        <v>78</v>
      </c>
      <c r="AO70" s="42" t="str">
        <f t="shared" si="29"/>
        <v>NVO-M1B16P04</v>
      </c>
      <c r="AP70" s="59" t="str">
        <f t="shared" si="30"/>
        <v>M1B16P04</v>
      </c>
    </row>
    <row r="71" spans="1:42" ht="15" thickBot="1" x14ac:dyDescent="0.35">
      <c r="A71" s="64">
        <v>1</v>
      </c>
      <c r="B71" s="44" t="s">
        <v>80</v>
      </c>
      <c r="C71" s="44" t="s">
        <v>79</v>
      </c>
      <c r="D71" s="42" t="str">
        <f t="shared" ref="D71:D134" si="36">("DI-M"&amp;A71&amp;"B"&amp;B71&amp;"P"&amp;C71)</f>
        <v>DI-M1B08P05</v>
      </c>
      <c r="E71" s="42" t="str">
        <f t="shared" si="35"/>
        <v>M1B08P05</v>
      </c>
      <c r="F71" s="64">
        <v>2</v>
      </c>
      <c r="G71" s="64">
        <v>20</v>
      </c>
      <c r="H71" s="45" t="s">
        <v>183</v>
      </c>
      <c r="I71" s="42" t="str">
        <f t="shared" si="28"/>
        <v>ACO-M2B20P5</v>
      </c>
      <c r="J71" s="42" t="str">
        <f t="shared" si="26"/>
        <v>M2B20P5</v>
      </c>
      <c r="K71" s="42" t="str">
        <f t="shared" si="27"/>
        <v>M2B20P5-CK</v>
      </c>
      <c r="L71">
        <v>2</v>
      </c>
      <c r="M71" s="44" t="s">
        <v>82</v>
      </c>
      <c r="N71" s="45" t="s">
        <v>183</v>
      </c>
      <c r="O71" s="46" t="str">
        <f t="shared" si="31"/>
        <v>DBO-M2B10P5</v>
      </c>
      <c r="P71" t="str">
        <f t="shared" si="32"/>
        <v>M2B10P5-1</v>
      </c>
      <c r="Q71" t="str">
        <f t="shared" si="33"/>
        <v>M2B10P5-2</v>
      </c>
      <c r="R71" s="47" t="str">
        <f t="shared" si="34"/>
        <v>M2B10P5-FLASH</v>
      </c>
      <c r="AL71" s="103">
        <v>1</v>
      </c>
      <c r="AM71" s="101">
        <v>16</v>
      </c>
      <c r="AN71" s="44" t="s">
        <v>79</v>
      </c>
      <c r="AO71" s="42" t="str">
        <f t="shared" si="29"/>
        <v>NVO-M1B16P05</v>
      </c>
      <c r="AP71" s="59" t="str">
        <f t="shared" si="30"/>
        <v>M1B16P05</v>
      </c>
    </row>
    <row r="72" spans="1:42" ht="15" thickBot="1" x14ac:dyDescent="0.35">
      <c r="A72" s="64">
        <v>1</v>
      </c>
      <c r="B72" s="44" t="s">
        <v>80</v>
      </c>
      <c r="C72" s="44" t="s">
        <v>73</v>
      </c>
      <c r="D72" s="42" t="str">
        <f t="shared" si="36"/>
        <v>DI-M1B08P06</v>
      </c>
      <c r="E72" s="42" t="str">
        <f t="shared" si="35"/>
        <v>M1B08P06</v>
      </c>
      <c r="F72" s="64">
        <v>2</v>
      </c>
      <c r="G72" s="64">
        <v>20</v>
      </c>
      <c r="H72" s="45" t="s">
        <v>185</v>
      </c>
      <c r="I72" s="42" t="str">
        <f t="shared" si="28"/>
        <v>ACO-M2B20P6</v>
      </c>
      <c r="J72" s="42" t="str">
        <f t="shared" si="26"/>
        <v>M2B20P6</v>
      </c>
      <c r="K72" s="42" t="str">
        <f t="shared" si="27"/>
        <v>M2B20P6-CK</v>
      </c>
      <c r="L72">
        <v>2</v>
      </c>
      <c r="M72" s="44" t="s">
        <v>82</v>
      </c>
      <c r="N72" s="45" t="s">
        <v>185</v>
      </c>
      <c r="O72" s="46" t="str">
        <f t="shared" si="31"/>
        <v>DBO-M2B10P6</v>
      </c>
      <c r="P72" t="str">
        <f t="shared" si="32"/>
        <v>M2B10P6-1</v>
      </c>
      <c r="Q72" t="str">
        <f t="shared" si="33"/>
        <v>M2B10P6-2</v>
      </c>
      <c r="R72" s="47" t="str">
        <f t="shared" si="34"/>
        <v>M2B10P6-FLASH</v>
      </c>
      <c r="AL72" s="103">
        <v>1</v>
      </c>
      <c r="AM72" s="101">
        <v>16</v>
      </c>
      <c r="AN72" s="44" t="s">
        <v>73</v>
      </c>
      <c r="AO72" s="42" t="str">
        <f t="shared" si="29"/>
        <v>NVO-M1B16P06</v>
      </c>
      <c r="AP72" s="59" t="str">
        <f t="shared" si="30"/>
        <v>M1B16P06</v>
      </c>
    </row>
    <row r="73" spans="1:42" ht="15" thickBot="1" x14ac:dyDescent="0.35">
      <c r="A73" s="64">
        <v>1</v>
      </c>
      <c r="B73" s="44" t="s">
        <v>80</v>
      </c>
      <c r="C73" s="44" t="s">
        <v>74</v>
      </c>
      <c r="D73" s="42" t="str">
        <f t="shared" si="36"/>
        <v>DI-M1B08P07</v>
      </c>
      <c r="E73" s="42" t="str">
        <f t="shared" si="35"/>
        <v>M1B08P07</v>
      </c>
      <c r="F73" s="64">
        <v>2</v>
      </c>
      <c r="G73" s="64">
        <v>20</v>
      </c>
      <c r="H73" s="45" t="s">
        <v>187</v>
      </c>
      <c r="I73" s="42" t="str">
        <f t="shared" si="28"/>
        <v>ACO-M2B20P7</v>
      </c>
      <c r="J73" s="42" t="str">
        <f t="shared" si="26"/>
        <v>M2B20P7</v>
      </c>
      <c r="K73" s="42" t="str">
        <f t="shared" si="27"/>
        <v>M2B20P7-CK</v>
      </c>
      <c r="L73">
        <v>2</v>
      </c>
      <c r="M73" s="44" t="s">
        <v>82</v>
      </c>
      <c r="N73" s="45" t="s">
        <v>187</v>
      </c>
      <c r="O73" s="46" t="str">
        <f t="shared" si="31"/>
        <v>DBO-M2B10P7</v>
      </c>
      <c r="P73" t="str">
        <f t="shared" si="32"/>
        <v>M2B10P7-1</v>
      </c>
      <c r="Q73" t="str">
        <f t="shared" si="33"/>
        <v>M2B10P7-2</v>
      </c>
      <c r="R73" s="47" t="str">
        <f t="shared" si="34"/>
        <v>M2B10P7-FLASH</v>
      </c>
      <c r="AL73" s="103">
        <v>1</v>
      </c>
      <c r="AM73" s="101">
        <v>16</v>
      </c>
      <c r="AN73" s="44" t="s">
        <v>74</v>
      </c>
      <c r="AO73" s="42" t="str">
        <f t="shared" si="29"/>
        <v>NVO-M1B16P07</v>
      </c>
      <c r="AP73" s="59" t="str">
        <f t="shared" si="30"/>
        <v>M1B16P07</v>
      </c>
    </row>
    <row r="74" spans="1:42" ht="15" thickBot="1" x14ac:dyDescent="0.35">
      <c r="A74" s="64">
        <v>1</v>
      </c>
      <c r="B74" s="44" t="s">
        <v>80</v>
      </c>
      <c r="C74" s="44" t="s">
        <v>80</v>
      </c>
      <c r="D74" s="42" t="str">
        <f t="shared" si="36"/>
        <v>DI-M1B08P08</v>
      </c>
      <c r="E74" s="42" t="str">
        <f t="shared" si="35"/>
        <v>M1B08P08</v>
      </c>
      <c r="F74" s="64">
        <v>2</v>
      </c>
      <c r="G74" s="64">
        <v>20</v>
      </c>
      <c r="H74" s="45" t="s">
        <v>189</v>
      </c>
      <c r="I74" s="43" t="str">
        <f t="shared" si="28"/>
        <v>ACO-M2B20P8</v>
      </c>
      <c r="J74" s="43" t="str">
        <f t="shared" si="26"/>
        <v>M2B20P8</v>
      </c>
      <c r="K74" s="43" t="str">
        <f t="shared" si="27"/>
        <v>M2B20P8-CK</v>
      </c>
      <c r="L74">
        <v>2</v>
      </c>
      <c r="M74" s="44" t="s">
        <v>82</v>
      </c>
      <c r="N74" s="45" t="s">
        <v>189</v>
      </c>
      <c r="O74" s="48" t="str">
        <f t="shared" si="31"/>
        <v>DBO-M2B10P8</v>
      </c>
      <c r="P74" s="55" t="str">
        <f t="shared" si="32"/>
        <v>M2B10P8-1</v>
      </c>
      <c r="Q74" s="55" t="str">
        <f t="shared" si="33"/>
        <v>M2B10P8-2</v>
      </c>
      <c r="R74" s="49" t="str">
        <f t="shared" si="34"/>
        <v>M2B10P8-FLASH</v>
      </c>
      <c r="AL74" s="103">
        <v>1</v>
      </c>
      <c r="AM74" s="101">
        <v>16</v>
      </c>
      <c r="AN74" s="44" t="s">
        <v>80</v>
      </c>
      <c r="AO74" s="42" t="str">
        <f t="shared" si="29"/>
        <v>NVO-M1B16P08</v>
      </c>
      <c r="AP74" s="59" t="str">
        <f t="shared" si="30"/>
        <v>M1B16P08</v>
      </c>
    </row>
    <row r="75" spans="1:42" ht="15" thickBot="1" x14ac:dyDescent="0.35">
      <c r="A75" s="64">
        <v>1</v>
      </c>
      <c r="B75" s="44" t="s">
        <v>80</v>
      </c>
      <c r="C75" s="44" t="s">
        <v>81</v>
      </c>
      <c r="D75" s="42" t="str">
        <f t="shared" si="36"/>
        <v>DI-M1B08P09</v>
      </c>
      <c r="E75" s="42" t="str">
        <f t="shared" si="35"/>
        <v>M1B08P09</v>
      </c>
      <c r="F75" s="64">
        <v>2</v>
      </c>
      <c r="G75" s="64">
        <v>21</v>
      </c>
      <c r="H75" s="45" t="s">
        <v>175</v>
      </c>
      <c r="I75" s="41" t="str">
        <f t="shared" si="28"/>
        <v>ACO-M2B21P1</v>
      </c>
      <c r="J75" s="41" t="str">
        <f t="shared" si="26"/>
        <v>M2B21P1</v>
      </c>
      <c r="K75" s="41" t="str">
        <f t="shared" si="27"/>
        <v>M2B21P1-CK</v>
      </c>
      <c r="L75">
        <v>2</v>
      </c>
      <c r="M75" s="44" t="s">
        <v>83</v>
      </c>
      <c r="N75" s="45" t="s">
        <v>175</v>
      </c>
      <c r="O75" s="52" t="str">
        <f>("DBO-M"&amp;$L75&amp;"B"&amp;$M75&amp;"P"&amp;$N75)</f>
        <v>DBO-M2B11P1</v>
      </c>
      <c r="P75" s="53" t="str">
        <f>("M"&amp;$L75&amp;"B"&amp;$M75&amp;"P"&amp;$N75&amp;"-1")</f>
        <v>M2B11P1-1</v>
      </c>
      <c r="Q75" s="53" t="str">
        <f>("M"&amp;$L75&amp;"B"&amp;$M75&amp;"P"&amp;$N75&amp;"-2")</f>
        <v>M2B11P1-2</v>
      </c>
      <c r="R75" s="54" t="str">
        <f>("M"&amp;$L75&amp;"B"&amp;$M75&amp;"P"&amp;$N75&amp;"-FLASH")</f>
        <v>M2B11P1-FLASH</v>
      </c>
      <c r="AL75" s="103">
        <v>1</v>
      </c>
      <c r="AM75" s="101">
        <v>16</v>
      </c>
      <c r="AN75" s="44" t="s">
        <v>81</v>
      </c>
      <c r="AO75" s="42" t="str">
        <f t="shared" si="29"/>
        <v>NVO-M1B16P09</v>
      </c>
      <c r="AP75" s="59" t="str">
        <f t="shared" si="30"/>
        <v>M1B16P09</v>
      </c>
    </row>
    <row r="76" spans="1:42" ht="15" thickBot="1" x14ac:dyDescent="0.35">
      <c r="A76" s="64">
        <v>1</v>
      </c>
      <c r="B76" s="44" t="s">
        <v>80</v>
      </c>
      <c r="C76" s="44" t="s">
        <v>82</v>
      </c>
      <c r="D76" s="42" t="str">
        <f t="shared" si="36"/>
        <v>DI-M1B08P10</v>
      </c>
      <c r="E76" s="42" t="str">
        <f t="shared" si="35"/>
        <v>M1B08P10</v>
      </c>
      <c r="F76" s="64">
        <v>2</v>
      </c>
      <c r="G76" s="64">
        <v>21</v>
      </c>
      <c r="H76" s="45" t="s">
        <v>177</v>
      </c>
      <c r="I76" s="42" t="str">
        <f t="shared" si="28"/>
        <v>ACO-M2B21P2</v>
      </c>
      <c r="J76" s="42" t="str">
        <f t="shared" si="26"/>
        <v>M2B21P2</v>
      </c>
      <c r="K76" s="42" t="str">
        <f t="shared" si="27"/>
        <v>M2B21P2-CK</v>
      </c>
      <c r="L76">
        <v>2</v>
      </c>
      <c r="M76" s="44" t="s">
        <v>83</v>
      </c>
      <c r="N76" s="45" t="s">
        <v>177</v>
      </c>
      <c r="O76" s="46" t="str">
        <f t="shared" ref="O76:O82" si="37">("DBO-M"&amp;$L76&amp;"B"&amp;$M76&amp;"P"&amp;$N76)</f>
        <v>DBO-M2B11P2</v>
      </c>
      <c r="P76" t="str">
        <f t="shared" ref="P76:P82" si="38">("M"&amp;$L76&amp;"B"&amp;$M76&amp;"P"&amp;$N76&amp;"-1")</f>
        <v>M2B11P2-1</v>
      </c>
      <c r="Q76" t="str">
        <f t="shared" ref="Q76:Q82" si="39">("M"&amp;$L76&amp;"B"&amp;$M76&amp;"P"&amp;$N76&amp;"-2")</f>
        <v>M2B11P2-2</v>
      </c>
      <c r="R76" s="47" t="str">
        <f t="shared" ref="R76:R82" si="40">("M"&amp;$L76&amp;"B"&amp;$M76&amp;"P"&amp;$N76&amp;"-FLASH")</f>
        <v>M2B11P2-FLASH</v>
      </c>
      <c r="AL76" s="103">
        <v>1</v>
      </c>
      <c r="AM76" s="101">
        <v>16</v>
      </c>
      <c r="AN76" s="44" t="s">
        <v>82</v>
      </c>
      <c r="AO76" s="42" t="str">
        <f t="shared" si="29"/>
        <v>NVO-M1B16P10</v>
      </c>
      <c r="AP76" s="59" t="str">
        <f t="shared" si="30"/>
        <v>M1B16P10</v>
      </c>
    </row>
    <row r="77" spans="1:42" ht="15" thickBot="1" x14ac:dyDescent="0.35">
      <c r="A77" s="64">
        <v>1</v>
      </c>
      <c r="B77" s="44" t="s">
        <v>80</v>
      </c>
      <c r="C77" s="44" t="s">
        <v>83</v>
      </c>
      <c r="D77" s="42" t="str">
        <f t="shared" si="36"/>
        <v>DI-M1B08P11</v>
      </c>
      <c r="E77" s="42" t="str">
        <f t="shared" si="35"/>
        <v>M1B08P11</v>
      </c>
      <c r="F77" s="64">
        <v>2</v>
      </c>
      <c r="G77" s="64">
        <v>21</v>
      </c>
      <c r="H77" s="45" t="s">
        <v>179</v>
      </c>
      <c r="I77" s="42" t="str">
        <f t="shared" si="28"/>
        <v>ACO-M2B21P3</v>
      </c>
      <c r="J77" s="42" t="str">
        <f t="shared" si="26"/>
        <v>M2B21P3</v>
      </c>
      <c r="K77" s="42" t="str">
        <f t="shared" si="27"/>
        <v>M2B21P3-CK</v>
      </c>
      <c r="L77">
        <v>2</v>
      </c>
      <c r="M77" s="44" t="s">
        <v>83</v>
      </c>
      <c r="N77" s="45" t="s">
        <v>179</v>
      </c>
      <c r="O77" s="46" t="str">
        <f t="shared" si="37"/>
        <v>DBO-M2B11P3</v>
      </c>
      <c r="P77" t="str">
        <f t="shared" si="38"/>
        <v>M2B11P3-1</v>
      </c>
      <c r="Q77" t="str">
        <f t="shared" si="39"/>
        <v>M2B11P3-2</v>
      </c>
      <c r="R77" s="47" t="str">
        <f t="shared" si="40"/>
        <v>M2B11P3-FLASH</v>
      </c>
      <c r="AL77" s="103">
        <v>1</v>
      </c>
      <c r="AM77" s="101">
        <v>16</v>
      </c>
      <c r="AN77" s="44" t="s">
        <v>83</v>
      </c>
      <c r="AO77" s="42" t="str">
        <f t="shared" si="29"/>
        <v>NVO-M1B16P11</v>
      </c>
      <c r="AP77" s="59" t="str">
        <f t="shared" si="30"/>
        <v>M1B16P11</v>
      </c>
    </row>
    <row r="78" spans="1:42" ht="15" thickBot="1" x14ac:dyDescent="0.35">
      <c r="A78" s="64">
        <v>1</v>
      </c>
      <c r="B78" s="44" t="s">
        <v>80</v>
      </c>
      <c r="C78" s="44" t="s">
        <v>84</v>
      </c>
      <c r="D78" s="42" t="str">
        <f t="shared" si="36"/>
        <v>DI-M1B08P12</v>
      </c>
      <c r="E78" s="42" t="str">
        <f t="shared" si="35"/>
        <v>M1B08P12</v>
      </c>
      <c r="F78" s="64">
        <v>2</v>
      </c>
      <c r="G78" s="64">
        <v>21</v>
      </c>
      <c r="H78" s="45" t="s">
        <v>181</v>
      </c>
      <c r="I78" s="42" t="str">
        <f t="shared" si="28"/>
        <v>ACO-M2B21P4</v>
      </c>
      <c r="J78" s="42" t="str">
        <f t="shared" si="26"/>
        <v>M2B21P4</v>
      </c>
      <c r="K78" s="42" t="str">
        <f t="shared" si="27"/>
        <v>M2B21P4-CK</v>
      </c>
      <c r="L78">
        <v>2</v>
      </c>
      <c r="M78" s="44" t="s">
        <v>83</v>
      </c>
      <c r="N78" s="45" t="s">
        <v>181</v>
      </c>
      <c r="O78" s="46" t="str">
        <f t="shared" si="37"/>
        <v>DBO-M2B11P4</v>
      </c>
      <c r="P78" t="str">
        <f t="shared" si="38"/>
        <v>M2B11P4-1</v>
      </c>
      <c r="Q78" t="str">
        <f t="shared" si="39"/>
        <v>M2B11P4-2</v>
      </c>
      <c r="R78" s="47" t="str">
        <f t="shared" si="40"/>
        <v>M2B11P4-FLASH</v>
      </c>
      <c r="AL78" s="103">
        <v>1</v>
      </c>
      <c r="AM78" s="101">
        <v>16</v>
      </c>
      <c r="AN78" s="44" t="s">
        <v>84</v>
      </c>
      <c r="AO78" s="42" t="str">
        <f t="shared" si="29"/>
        <v>NVO-M1B16P12</v>
      </c>
      <c r="AP78" s="59" t="str">
        <f t="shared" si="30"/>
        <v>M1B16P12</v>
      </c>
    </row>
    <row r="79" spans="1:42" ht="15" thickBot="1" x14ac:dyDescent="0.35">
      <c r="A79" s="64">
        <v>1</v>
      </c>
      <c r="B79" s="44" t="s">
        <v>80</v>
      </c>
      <c r="C79" s="44" t="s">
        <v>85</v>
      </c>
      <c r="D79" s="42" t="str">
        <f t="shared" si="36"/>
        <v>DI-M1B08P13</v>
      </c>
      <c r="E79" s="42" t="str">
        <f t="shared" si="35"/>
        <v>M1B08P13</v>
      </c>
      <c r="F79" s="64">
        <v>2</v>
      </c>
      <c r="G79" s="64">
        <v>21</v>
      </c>
      <c r="H79" s="45" t="s">
        <v>183</v>
      </c>
      <c r="I79" s="42" t="str">
        <f t="shared" si="28"/>
        <v>ACO-M2B21P5</v>
      </c>
      <c r="J79" s="42" t="str">
        <f t="shared" si="26"/>
        <v>M2B21P5</v>
      </c>
      <c r="K79" s="42" t="str">
        <f t="shared" si="27"/>
        <v>M2B21P5-CK</v>
      </c>
      <c r="L79">
        <v>2</v>
      </c>
      <c r="M79" s="44" t="s">
        <v>83</v>
      </c>
      <c r="N79" s="45" t="s">
        <v>183</v>
      </c>
      <c r="O79" s="46" t="str">
        <f t="shared" si="37"/>
        <v>DBO-M2B11P5</v>
      </c>
      <c r="P79" t="str">
        <f t="shared" si="38"/>
        <v>M2B11P5-1</v>
      </c>
      <c r="Q79" t="str">
        <f t="shared" si="39"/>
        <v>M2B11P5-2</v>
      </c>
      <c r="R79" s="47" t="str">
        <f t="shared" si="40"/>
        <v>M2B11P5-FLASH</v>
      </c>
      <c r="AL79" s="103">
        <v>1</v>
      </c>
      <c r="AM79" s="101">
        <v>16</v>
      </c>
      <c r="AN79" s="44" t="s">
        <v>85</v>
      </c>
      <c r="AO79" s="42" t="str">
        <f t="shared" si="29"/>
        <v>NVO-M1B16P13</v>
      </c>
      <c r="AP79" s="59" t="str">
        <f t="shared" si="30"/>
        <v>M1B16P13</v>
      </c>
    </row>
    <row r="80" spans="1:42" ht="15" thickBot="1" x14ac:dyDescent="0.35">
      <c r="A80" s="64">
        <v>1</v>
      </c>
      <c r="B80" s="44" t="s">
        <v>80</v>
      </c>
      <c r="C80" s="44" t="s">
        <v>86</v>
      </c>
      <c r="D80" s="42" t="str">
        <f t="shared" si="36"/>
        <v>DI-M1B08P14</v>
      </c>
      <c r="E80" s="42" t="str">
        <f t="shared" si="35"/>
        <v>M1B08P14</v>
      </c>
      <c r="F80" s="64">
        <v>2</v>
      </c>
      <c r="G80" s="64">
        <v>21</v>
      </c>
      <c r="H80" s="45" t="s">
        <v>185</v>
      </c>
      <c r="I80" s="42" t="str">
        <f t="shared" si="28"/>
        <v>ACO-M2B21P6</v>
      </c>
      <c r="J80" s="42" t="str">
        <f t="shared" si="26"/>
        <v>M2B21P6</v>
      </c>
      <c r="K80" s="42" t="str">
        <f t="shared" si="27"/>
        <v>M2B21P6-CK</v>
      </c>
      <c r="L80">
        <v>2</v>
      </c>
      <c r="M80" s="44" t="s">
        <v>83</v>
      </c>
      <c r="N80" s="45" t="s">
        <v>185</v>
      </c>
      <c r="O80" s="46" t="str">
        <f t="shared" si="37"/>
        <v>DBO-M2B11P6</v>
      </c>
      <c r="P80" t="str">
        <f t="shared" si="38"/>
        <v>M2B11P6-1</v>
      </c>
      <c r="Q80" t="str">
        <f t="shared" si="39"/>
        <v>M2B11P6-2</v>
      </c>
      <c r="R80" s="47" t="str">
        <f t="shared" si="40"/>
        <v>M2B11P6-FLASH</v>
      </c>
      <c r="AL80" s="103">
        <v>1</v>
      </c>
      <c r="AM80" s="101">
        <v>16</v>
      </c>
      <c r="AN80" s="44" t="s">
        <v>86</v>
      </c>
      <c r="AO80" s="42" t="str">
        <f t="shared" si="29"/>
        <v>NVO-M1B16P14</v>
      </c>
      <c r="AP80" s="59" t="str">
        <f t="shared" si="30"/>
        <v>M1B16P14</v>
      </c>
    </row>
    <row r="81" spans="1:42" ht="15" thickBot="1" x14ac:dyDescent="0.35">
      <c r="A81" s="64">
        <v>1</v>
      </c>
      <c r="B81" s="44" t="s">
        <v>80</v>
      </c>
      <c r="C81" s="44" t="s">
        <v>87</v>
      </c>
      <c r="D81" s="42" t="str">
        <f t="shared" si="36"/>
        <v>DI-M1B08P15</v>
      </c>
      <c r="E81" s="42" t="str">
        <f t="shared" si="35"/>
        <v>M1B08P15</v>
      </c>
      <c r="F81" s="64">
        <v>2</v>
      </c>
      <c r="G81" s="64">
        <v>21</v>
      </c>
      <c r="H81" s="45" t="s">
        <v>187</v>
      </c>
      <c r="I81" s="42" t="str">
        <f t="shared" si="28"/>
        <v>ACO-M2B21P7</v>
      </c>
      <c r="J81" s="42" t="str">
        <f t="shared" si="26"/>
        <v>M2B21P7</v>
      </c>
      <c r="K81" s="42" t="str">
        <f t="shared" si="27"/>
        <v>M2B21P7-CK</v>
      </c>
      <c r="L81">
        <v>2</v>
      </c>
      <c r="M81" s="44" t="s">
        <v>83</v>
      </c>
      <c r="N81" s="45" t="s">
        <v>187</v>
      </c>
      <c r="O81" s="46" t="str">
        <f t="shared" si="37"/>
        <v>DBO-M2B11P7</v>
      </c>
      <c r="P81" t="str">
        <f t="shared" si="38"/>
        <v>M2B11P7-1</v>
      </c>
      <c r="Q81" t="str">
        <f t="shared" si="39"/>
        <v>M2B11P7-2</v>
      </c>
      <c r="R81" s="47" t="str">
        <f t="shared" si="40"/>
        <v>M2B11P7-FLASH</v>
      </c>
      <c r="AL81" s="103">
        <v>1</v>
      </c>
      <c r="AM81" s="101">
        <v>16</v>
      </c>
      <c r="AN81" s="44" t="s">
        <v>87</v>
      </c>
      <c r="AO81" s="42" t="str">
        <f t="shared" si="29"/>
        <v>NVO-M1B16P15</v>
      </c>
      <c r="AP81" s="59" t="str">
        <f t="shared" si="30"/>
        <v>M1B16P15</v>
      </c>
    </row>
    <row r="82" spans="1:42" ht="15" thickBot="1" x14ac:dyDescent="0.35">
      <c r="A82" s="64">
        <v>1</v>
      </c>
      <c r="B82" s="44" t="s">
        <v>80</v>
      </c>
      <c r="C82" s="44" t="s">
        <v>88</v>
      </c>
      <c r="D82" s="43" t="str">
        <f t="shared" si="36"/>
        <v>DI-M1B08P16</v>
      </c>
      <c r="E82" s="43" t="str">
        <f t="shared" si="35"/>
        <v>M1B08P16</v>
      </c>
      <c r="F82" s="64">
        <v>2</v>
      </c>
      <c r="G82" s="64">
        <v>21</v>
      </c>
      <c r="H82" s="45" t="s">
        <v>189</v>
      </c>
      <c r="I82" s="43" t="str">
        <f t="shared" si="28"/>
        <v>ACO-M2B21P8</v>
      </c>
      <c r="J82" s="43" t="str">
        <f t="shared" si="26"/>
        <v>M2B21P8</v>
      </c>
      <c r="K82" s="43" t="str">
        <f t="shared" si="27"/>
        <v>M2B21P8-CK</v>
      </c>
      <c r="L82">
        <v>2</v>
      </c>
      <c r="M82" s="44" t="s">
        <v>83</v>
      </c>
      <c r="N82" s="45" t="s">
        <v>189</v>
      </c>
      <c r="O82" s="48" t="str">
        <f t="shared" si="37"/>
        <v>DBO-M2B11P8</v>
      </c>
      <c r="P82" s="55" t="str">
        <f t="shared" si="38"/>
        <v>M2B11P8-1</v>
      </c>
      <c r="Q82" s="55" t="str">
        <f t="shared" si="39"/>
        <v>M2B11P8-2</v>
      </c>
      <c r="R82" s="49" t="str">
        <f t="shared" si="40"/>
        <v>M2B11P8-FLASH</v>
      </c>
      <c r="AL82" s="103">
        <v>1</v>
      </c>
      <c r="AM82" s="101">
        <v>16</v>
      </c>
      <c r="AN82" s="44" t="s">
        <v>88</v>
      </c>
      <c r="AO82" s="42" t="str">
        <f t="shared" si="29"/>
        <v>NVO-M1B16P16</v>
      </c>
      <c r="AP82" s="59" t="str">
        <f t="shared" si="30"/>
        <v>M1B16P16</v>
      </c>
    </row>
    <row r="83" spans="1:42" ht="15" thickBot="1" x14ac:dyDescent="0.35">
      <c r="A83" s="64">
        <v>1</v>
      </c>
      <c r="B83" s="44" t="s">
        <v>81</v>
      </c>
      <c r="C83" s="44" t="s">
        <v>75</v>
      </c>
      <c r="D83" s="41" t="str">
        <f t="shared" si="36"/>
        <v>DI-M1B09P01</v>
      </c>
      <c r="E83" s="41" t="str">
        <f t="shared" si="35"/>
        <v>M1B09P01</v>
      </c>
      <c r="F83" s="64">
        <v>3</v>
      </c>
      <c r="G83" s="64">
        <v>12</v>
      </c>
      <c r="H83" s="45" t="s">
        <v>175</v>
      </c>
      <c r="I83" s="41" t="str">
        <f t="shared" ref="I83:I114" si="41">("ACO-M"&amp;F83&amp;"B"&amp;G83&amp;"P"&amp;H83)</f>
        <v>ACO-M3B12P1</v>
      </c>
      <c r="J83" s="41" t="str">
        <f t="shared" si="26"/>
        <v>M3B12P1</v>
      </c>
      <c r="K83" s="41" t="str">
        <f t="shared" si="27"/>
        <v>M3B12P1-CK</v>
      </c>
      <c r="L83">
        <v>3</v>
      </c>
      <c r="M83" s="44" t="s">
        <v>76</v>
      </c>
      <c r="N83" s="45" t="s">
        <v>175</v>
      </c>
      <c r="O83" s="52" t="str">
        <f>("DBO-M"&amp;$L83&amp;"B"&amp;$M83&amp;"P"&amp;$N83)</f>
        <v>DBO-M3B02P1</v>
      </c>
      <c r="P83" s="53" t="str">
        <f>("M"&amp;$L83&amp;"B"&amp;$M83&amp;"P"&amp;$N83&amp;"-1")</f>
        <v>M3B02P1-1</v>
      </c>
      <c r="Q83" s="53" t="str">
        <f>("M"&amp;$L83&amp;"B"&amp;$M83&amp;"P"&amp;$N83&amp;"-2")</f>
        <v>M3B02P1-2</v>
      </c>
      <c r="R83" s="54" t="str">
        <f>("M"&amp;$L83&amp;"B"&amp;$M83&amp;"P"&amp;$N83&amp;"-FLASH")</f>
        <v>M3B02P1-FLASH</v>
      </c>
      <c r="AL83" s="103">
        <v>1</v>
      </c>
      <c r="AM83" s="101">
        <v>16</v>
      </c>
      <c r="AN83" s="44" t="s">
        <v>297</v>
      </c>
      <c r="AO83" s="42" t="str">
        <f t="shared" si="29"/>
        <v>NVO-M1B16P17</v>
      </c>
      <c r="AP83" s="59" t="str">
        <f t="shared" si="30"/>
        <v>M1B16P17</v>
      </c>
    </row>
    <row r="84" spans="1:42" ht="15" thickBot="1" x14ac:dyDescent="0.35">
      <c r="A84" s="64">
        <v>1</v>
      </c>
      <c r="B84" s="44" t="s">
        <v>81</v>
      </c>
      <c r="C84" s="44" t="s">
        <v>76</v>
      </c>
      <c r="D84" s="42" t="str">
        <f t="shared" si="36"/>
        <v>DI-M1B09P02</v>
      </c>
      <c r="E84" s="42" t="str">
        <f t="shared" si="35"/>
        <v>M1B09P02</v>
      </c>
      <c r="F84" s="64">
        <v>3</v>
      </c>
      <c r="G84" s="64">
        <v>12</v>
      </c>
      <c r="H84" s="45" t="s">
        <v>177</v>
      </c>
      <c r="I84" s="42" t="str">
        <f t="shared" si="41"/>
        <v>ACO-M3B12P2</v>
      </c>
      <c r="J84" s="42" t="str">
        <f t="shared" si="26"/>
        <v>M3B12P2</v>
      </c>
      <c r="K84" s="42" t="str">
        <f t="shared" si="27"/>
        <v>M3B12P2-CK</v>
      </c>
      <c r="L84">
        <v>3</v>
      </c>
      <c r="M84" s="44" t="s">
        <v>76</v>
      </c>
      <c r="N84" s="45" t="s">
        <v>177</v>
      </c>
      <c r="O84" s="46" t="str">
        <f t="shared" ref="O84:O90" si="42">("DBO-M"&amp;$L84&amp;"B"&amp;$M84&amp;"P"&amp;$N84)</f>
        <v>DBO-M3B02P2</v>
      </c>
      <c r="P84" t="str">
        <f t="shared" ref="P84:P90" si="43">("M"&amp;$L84&amp;"B"&amp;$M84&amp;"P"&amp;$N84&amp;"-1")</f>
        <v>M3B02P2-1</v>
      </c>
      <c r="Q84" t="str">
        <f t="shared" ref="Q84:Q90" si="44">("M"&amp;$L84&amp;"B"&amp;$M84&amp;"P"&amp;$N84&amp;"-2")</f>
        <v>M3B02P2-2</v>
      </c>
      <c r="R84" s="47" t="str">
        <f t="shared" ref="R84:R90" si="45">("M"&amp;$L84&amp;"B"&amp;$M84&amp;"P"&amp;$N84&amp;"-FLASH")</f>
        <v>M3B02P2-FLASH</v>
      </c>
      <c r="AL84" s="103">
        <v>1</v>
      </c>
      <c r="AM84" s="101">
        <v>16</v>
      </c>
      <c r="AN84" s="44" t="s">
        <v>191</v>
      </c>
      <c r="AO84" s="42" t="str">
        <f t="shared" si="29"/>
        <v>NVO-M1B16P18</v>
      </c>
      <c r="AP84" s="59" t="str">
        <f t="shared" si="30"/>
        <v>M1B16P18</v>
      </c>
    </row>
    <row r="85" spans="1:42" ht="15" thickBot="1" x14ac:dyDescent="0.35">
      <c r="A85" s="64">
        <v>1</v>
      </c>
      <c r="B85" s="44" t="s">
        <v>81</v>
      </c>
      <c r="C85" s="44" t="s">
        <v>77</v>
      </c>
      <c r="D85" s="42" t="str">
        <f t="shared" si="36"/>
        <v>DI-M1B09P03</v>
      </c>
      <c r="E85" s="42" t="str">
        <f t="shared" si="35"/>
        <v>M1B09P03</v>
      </c>
      <c r="F85" s="64">
        <v>3</v>
      </c>
      <c r="G85" s="64">
        <v>12</v>
      </c>
      <c r="H85" s="45" t="s">
        <v>179</v>
      </c>
      <c r="I85" s="42" t="str">
        <f t="shared" si="41"/>
        <v>ACO-M3B12P3</v>
      </c>
      <c r="J85" s="42" t="str">
        <f t="shared" si="26"/>
        <v>M3B12P3</v>
      </c>
      <c r="K85" s="42" t="str">
        <f t="shared" si="27"/>
        <v>M3B12P3-CK</v>
      </c>
      <c r="L85">
        <v>3</v>
      </c>
      <c r="M85" s="44" t="s">
        <v>76</v>
      </c>
      <c r="N85" s="45" t="s">
        <v>179</v>
      </c>
      <c r="O85" s="46" t="str">
        <f t="shared" si="42"/>
        <v>DBO-M3B02P3</v>
      </c>
      <c r="P85" t="str">
        <f t="shared" si="43"/>
        <v>M3B02P3-1</v>
      </c>
      <c r="Q85" t="str">
        <f t="shared" si="44"/>
        <v>M3B02P3-2</v>
      </c>
      <c r="R85" s="47" t="str">
        <f t="shared" si="45"/>
        <v>M3B02P3-FLASH</v>
      </c>
      <c r="AL85" s="103">
        <v>1</v>
      </c>
      <c r="AM85" s="101">
        <v>16</v>
      </c>
      <c r="AN85" s="44" t="s">
        <v>200</v>
      </c>
      <c r="AO85" s="42" t="str">
        <f t="shared" si="29"/>
        <v>NVO-M1B16P19</v>
      </c>
      <c r="AP85" s="59" t="str">
        <f t="shared" si="30"/>
        <v>M1B16P19</v>
      </c>
    </row>
    <row r="86" spans="1:42" ht="15" thickBot="1" x14ac:dyDescent="0.35">
      <c r="A86" s="64">
        <v>1</v>
      </c>
      <c r="B86" s="44" t="s">
        <v>81</v>
      </c>
      <c r="C86" s="44" t="s">
        <v>78</v>
      </c>
      <c r="D86" s="42" t="str">
        <f t="shared" si="36"/>
        <v>DI-M1B09P04</v>
      </c>
      <c r="E86" s="42" t="str">
        <f t="shared" si="35"/>
        <v>M1B09P04</v>
      </c>
      <c r="F86" s="64">
        <v>3</v>
      </c>
      <c r="G86" s="64">
        <v>12</v>
      </c>
      <c r="H86" s="45" t="s">
        <v>181</v>
      </c>
      <c r="I86" s="42" t="str">
        <f t="shared" si="41"/>
        <v>ACO-M3B12P4</v>
      </c>
      <c r="J86" s="42" t="str">
        <f t="shared" si="26"/>
        <v>M3B12P4</v>
      </c>
      <c r="K86" s="42" t="str">
        <f t="shared" si="27"/>
        <v>M3B12P4-CK</v>
      </c>
      <c r="L86">
        <v>3</v>
      </c>
      <c r="M86" s="44" t="s">
        <v>76</v>
      </c>
      <c r="N86" s="45" t="s">
        <v>181</v>
      </c>
      <c r="O86" s="46" t="str">
        <f t="shared" si="42"/>
        <v>DBO-M3B02P4</v>
      </c>
      <c r="P86" t="str">
        <f t="shared" si="43"/>
        <v>M3B02P4-1</v>
      </c>
      <c r="Q86" t="str">
        <f t="shared" si="44"/>
        <v>M3B02P4-2</v>
      </c>
      <c r="R86" s="47" t="str">
        <f t="shared" si="45"/>
        <v>M3B02P4-FLASH</v>
      </c>
      <c r="AL86" s="103">
        <v>1</v>
      </c>
      <c r="AM86" s="101">
        <v>16</v>
      </c>
      <c r="AN86" s="44" t="s">
        <v>209</v>
      </c>
      <c r="AO86" s="42" t="str">
        <f t="shared" si="29"/>
        <v>NVO-M1B16P20</v>
      </c>
      <c r="AP86" s="59" t="str">
        <f t="shared" si="30"/>
        <v>M1B16P20</v>
      </c>
    </row>
    <row r="87" spans="1:42" ht="15" thickBot="1" x14ac:dyDescent="0.35">
      <c r="A87" s="64">
        <v>1</v>
      </c>
      <c r="B87" s="44" t="s">
        <v>81</v>
      </c>
      <c r="C87" s="44" t="s">
        <v>79</v>
      </c>
      <c r="D87" s="42" t="str">
        <f t="shared" si="36"/>
        <v>DI-M1B09P05</v>
      </c>
      <c r="E87" s="42" t="str">
        <f t="shared" si="35"/>
        <v>M1B09P05</v>
      </c>
      <c r="F87" s="64">
        <v>3</v>
      </c>
      <c r="G87" s="64">
        <v>12</v>
      </c>
      <c r="H87" s="45" t="s">
        <v>183</v>
      </c>
      <c r="I87" s="42" t="str">
        <f t="shared" si="41"/>
        <v>ACO-M3B12P5</v>
      </c>
      <c r="J87" s="42" t="str">
        <f t="shared" si="26"/>
        <v>M3B12P5</v>
      </c>
      <c r="K87" s="42" t="str">
        <f t="shared" si="27"/>
        <v>M3B12P5-CK</v>
      </c>
      <c r="L87">
        <v>3</v>
      </c>
      <c r="M87" s="44" t="s">
        <v>76</v>
      </c>
      <c r="N87" s="45" t="s">
        <v>183</v>
      </c>
      <c r="O87" s="46" t="str">
        <f t="shared" si="42"/>
        <v>DBO-M3B02P5</v>
      </c>
      <c r="P87" t="str">
        <f t="shared" si="43"/>
        <v>M3B02P5-1</v>
      </c>
      <c r="Q87" t="str">
        <f t="shared" si="44"/>
        <v>M3B02P5-2</v>
      </c>
      <c r="R87" s="47" t="str">
        <f t="shared" si="45"/>
        <v>M3B02P5-FLASH</v>
      </c>
      <c r="AL87" s="103">
        <v>1</v>
      </c>
      <c r="AM87" s="101">
        <v>16</v>
      </c>
      <c r="AN87" s="44" t="s">
        <v>218</v>
      </c>
      <c r="AO87" s="42" t="str">
        <f t="shared" si="29"/>
        <v>NVO-M1B16P21</v>
      </c>
      <c r="AP87" s="59" t="str">
        <f t="shared" si="30"/>
        <v>M1B16P21</v>
      </c>
    </row>
    <row r="88" spans="1:42" ht="15" thickBot="1" x14ac:dyDescent="0.35">
      <c r="A88" s="64">
        <v>1</v>
      </c>
      <c r="B88" s="44" t="s">
        <v>81</v>
      </c>
      <c r="C88" s="44" t="s">
        <v>73</v>
      </c>
      <c r="D88" s="42" t="str">
        <f t="shared" si="36"/>
        <v>DI-M1B09P06</v>
      </c>
      <c r="E88" s="42" t="str">
        <f t="shared" si="35"/>
        <v>M1B09P06</v>
      </c>
      <c r="F88" s="64">
        <v>3</v>
      </c>
      <c r="G88" s="64">
        <v>12</v>
      </c>
      <c r="H88" s="45" t="s">
        <v>185</v>
      </c>
      <c r="I88" s="42" t="str">
        <f t="shared" si="41"/>
        <v>ACO-M3B12P6</v>
      </c>
      <c r="J88" s="42" t="str">
        <f t="shared" si="26"/>
        <v>M3B12P6</v>
      </c>
      <c r="K88" s="42" t="str">
        <f t="shared" si="27"/>
        <v>M3B12P6-CK</v>
      </c>
      <c r="L88">
        <v>3</v>
      </c>
      <c r="M88" s="44" t="s">
        <v>76</v>
      </c>
      <c r="N88" s="45" t="s">
        <v>185</v>
      </c>
      <c r="O88" s="46" t="str">
        <f t="shared" si="42"/>
        <v>DBO-M3B02P6</v>
      </c>
      <c r="P88" t="str">
        <f t="shared" si="43"/>
        <v>M3B02P6-1</v>
      </c>
      <c r="Q88" t="str">
        <f t="shared" si="44"/>
        <v>M3B02P6-2</v>
      </c>
      <c r="R88" s="47" t="str">
        <f t="shared" si="45"/>
        <v>M3B02P6-FLASH</v>
      </c>
      <c r="AL88" s="103">
        <v>1</v>
      </c>
      <c r="AM88" s="101">
        <v>16</v>
      </c>
      <c r="AN88" s="44" t="s">
        <v>298</v>
      </c>
      <c r="AO88" s="42" t="str">
        <f t="shared" si="29"/>
        <v>NVO-M1B16P22</v>
      </c>
      <c r="AP88" s="59" t="str">
        <f t="shared" si="30"/>
        <v>M1B16P22</v>
      </c>
    </row>
    <row r="89" spans="1:42" ht="15" thickBot="1" x14ac:dyDescent="0.35">
      <c r="A89" s="64">
        <v>1</v>
      </c>
      <c r="B89" s="44" t="s">
        <v>81</v>
      </c>
      <c r="C89" s="44" t="s">
        <v>74</v>
      </c>
      <c r="D89" s="42" t="str">
        <f t="shared" si="36"/>
        <v>DI-M1B09P07</v>
      </c>
      <c r="E89" s="42" t="str">
        <f t="shared" si="35"/>
        <v>M1B09P07</v>
      </c>
      <c r="F89" s="64">
        <v>3</v>
      </c>
      <c r="G89" s="64">
        <v>12</v>
      </c>
      <c r="H89" s="45" t="s">
        <v>187</v>
      </c>
      <c r="I89" s="42" t="str">
        <f t="shared" si="41"/>
        <v>ACO-M3B12P7</v>
      </c>
      <c r="J89" s="42" t="str">
        <f t="shared" si="26"/>
        <v>M3B12P7</v>
      </c>
      <c r="K89" s="42" t="str">
        <f t="shared" si="27"/>
        <v>M3B12P7-CK</v>
      </c>
      <c r="L89">
        <v>3</v>
      </c>
      <c r="M89" s="44" t="s">
        <v>76</v>
      </c>
      <c r="N89" s="45" t="s">
        <v>187</v>
      </c>
      <c r="O89" s="46" t="str">
        <f t="shared" si="42"/>
        <v>DBO-M3B02P7</v>
      </c>
      <c r="P89" t="str">
        <f t="shared" si="43"/>
        <v>M3B02P7-1</v>
      </c>
      <c r="Q89" t="str">
        <f t="shared" si="44"/>
        <v>M3B02P7-2</v>
      </c>
      <c r="R89" s="47" t="str">
        <f t="shared" si="45"/>
        <v>M3B02P7-FLASH</v>
      </c>
      <c r="AL89" s="103">
        <v>1</v>
      </c>
      <c r="AM89" s="101">
        <v>16</v>
      </c>
      <c r="AN89" s="44" t="s">
        <v>299</v>
      </c>
      <c r="AO89" s="42" t="str">
        <f t="shared" si="29"/>
        <v>NVO-M1B16P23</v>
      </c>
      <c r="AP89" s="59" t="str">
        <f t="shared" si="30"/>
        <v>M1B16P23</v>
      </c>
    </row>
    <row r="90" spans="1:42" ht="15" thickBot="1" x14ac:dyDescent="0.35">
      <c r="A90" s="64">
        <v>1</v>
      </c>
      <c r="B90" s="44" t="s">
        <v>81</v>
      </c>
      <c r="C90" s="44" t="s">
        <v>80</v>
      </c>
      <c r="D90" s="42" t="str">
        <f t="shared" si="36"/>
        <v>DI-M1B09P08</v>
      </c>
      <c r="E90" s="42" t="str">
        <f t="shared" si="35"/>
        <v>M1B09P08</v>
      </c>
      <c r="F90" s="64">
        <v>3</v>
      </c>
      <c r="G90" s="64">
        <v>12</v>
      </c>
      <c r="H90" s="45" t="s">
        <v>189</v>
      </c>
      <c r="I90" s="43" t="str">
        <f t="shared" si="41"/>
        <v>ACO-M3B12P8</v>
      </c>
      <c r="J90" s="43" t="str">
        <f t="shared" si="26"/>
        <v>M3B12P8</v>
      </c>
      <c r="K90" s="43" t="str">
        <f t="shared" si="27"/>
        <v>M3B12P8-CK</v>
      </c>
      <c r="L90">
        <v>3</v>
      </c>
      <c r="M90" s="44" t="s">
        <v>76</v>
      </c>
      <c r="N90" s="45" t="s">
        <v>189</v>
      </c>
      <c r="O90" s="48" t="str">
        <f t="shared" si="42"/>
        <v>DBO-M3B02P8</v>
      </c>
      <c r="P90" s="55" t="str">
        <f t="shared" si="43"/>
        <v>M3B02P8-1</v>
      </c>
      <c r="Q90" s="55" t="str">
        <f t="shared" si="44"/>
        <v>M3B02P8-2</v>
      </c>
      <c r="R90" s="49" t="str">
        <f t="shared" si="45"/>
        <v>M3B02P8-FLASH</v>
      </c>
      <c r="AL90" s="103">
        <v>1</v>
      </c>
      <c r="AM90" s="101">
        <v>16</v>
      </c>
      <c r="AN90" s="44" t="s">
        <v>300</v>
      </c>
      <c r="AO90" s="42" t="str">
        <f t="shared" si="29"/>
        <v>NVO-M1B16P24</v>
      </c>
      <c r="AP90" s="59" t="str">
        <f t="shared" si="30"/>
        <v>M1B16P24</v>
      </c>
    </row>
    <row r="91" spans="1:42" ht="15" thickBot="1" x14ac:dyDescent="0.35">
      <c r="A91" s="64">
        <v>1</v>
      </c>
      <c r="B91" s="44" t="s">
        <v>81</v>
      </c>
      <c r="C91" s="44" t="s">
        <v>81</v>
      </c>
      <c r="D91" s="42" t="str">
        <f t="shared" si="36"/>
        <v>DI-M1B09P09</v>
      </c>
      <c r="E91" s="42" t="str">
        <f t="shared" si="35"/>
        <v>M1B09P09</v>
      </c>
      <c r="F91" s="64">
        <v>3</v>
      </c>
      <c r="G91" s="64">
        <v>13</v>
      </c>
      <c r="H91" s="45" t="s">
        <v>175</v>
      </c>
      <c r="I91" s="41" t="str">
        <f t="shared" si="41"/>
        <v>ACO-M3B13P1</v>
      </c>
      <c r="J91" s="41" t="str">
        <f t="shared" ref="J91:J122" si="46">("M"&amp;$F91&amp;"B"&amp;$G91&amp;"P"&amp;$H91)</f>
        <v>M3B13P1</v>
      </c>
      <c r="K91" s="41" t="str">
        <f t="shared" ref="K91:K122" si="47">("M"&amp;$F91&amp;"B"&amp;$G91&amp;"P"&amp;$H91&amp;"-CK")</f>
        <v>M3B13P1-CK</v>
      </c>
      <c r="L91">
        <v>3</v>
      </c>
      <c r="M91" s="44" t="s">
        <v>77</v>
      </c>
      <c r="N91" s="45" t="s">
        <v>175</v>
      </c>
      <c r="O91" s="52" t="str">
        <f>("DBO-M"&amp;$L91&amp;"B"&amp;$M91&amp;"P"&amp;$N91)</f>
        <v>DBO-M3B03P1</v>
      </c>
      <c r="P91" s="53" t="str">
        <f>("M"&amp;$L91&amp;"B"&amp;$M91&amp;"P"&amp;$N91&amp;"-1")</f>
        <v>M3B03P1-1</v>
      </c>
      <c r="Q91" s="53" t="str">
        <f>("M"&amp;$L91&amp;"B"&amp;$M91&amp;"P"&amp;$N91&amp;"-2")</f>
        <v>M3B03P1-2</v>
      </c>
      <c r="R91" s="54" t="str">
        <f>("M"&amp;$L91&amp;"B"&amp;$M91&amp;"P"&amp;$N91&amp;"-FLASH")</f>
        <v>M3B03P1-FLASH</v>
      </c>
      <c r="AL91" s="103">
        <v>1</v>
      </c>
      <c r="AM91" s="101">
        <v>16</v>
      </c>
      <c r="AN91" s="44" t="s">
        <v>301</v>
      </c>
      <c r="AO91" s="42" t="str">
        <f t="shared" si="29"/>
        <v>NVO-M1B16P25</v>
      </c>
      <c r="AP91" s="59" t="str">
        <f t="shared" si="30"/>
        <v>M1B16P25</v>
      </c>
    </row>
    <row r="92" spans="1:42" ht="15" thickBot="1" x14ac:dyDescent="0.35">
      <c r="A92" s="64">
        <v>1</v>
      </c>
      <c r="B92" s="44" t="s">
        <v>81</v>
      </c>
      <c r="C92" s="44" t="s">
        <v>82</v>
      </c>
      <c r="D92" s="42" t="str">
        <f t="shared" si="36"/>
        <v>DI-M1B09P10</v>
      </c>
      <c r="E92" s="42" t="str">
        <f t="shared" si="35"/>
        <v>M1B09P10</v>
      </c>
      <c r="F92" s="64">
        <v>3</v>
      </c>
      <c r="G92" s="64">
        <v>13</v>
      </c>
      <c r="H92" s="45" t="s">
        <v>177</v>
      </c>
      <c r="I92" s="42" t="str">
        <f t="shared" si="41"/>
        <v>ACO-M3B13P2</v>
      </c>
      <c r="J92" s="42" t="str">
        <f t="shared" si="46"/>
        <v>M3B13P2</v>
      </c>
      <c r="K92" s="42" t="str">
        <f t="shared" si="47"/>
        <v>M3B13P2-CK</v>
      </c>
      <c r="L92">
        <v>3</v>
      </c>
      <c r="M92" s="44" t="s">
        <v>77</v>
      </c>
      <c r="N92" s="45" t="s">
        <v>177</v>
      </c>
      <c r="O92" s="46" t="str">
        <f t="shared" ref="O92:O98" si="48">("DBO-M"&amp;$L92&amp;"B"&amp;$M92&amp;"P"&amp;$N92)</f>
        <v>DBO-M3B03P2</v>
      </c>
      <c r="P92" t="str">
        <f t="shared" ref="P92:P98" si="49">("M"&amp;$L92&amp;"B"&amp;$M92&amp;"P"&amp;$N92&amp;"-1")</f>
        <v>M3B03P2-1</v>
      </c>
      <c r="Q92" t="str">
        <f t="shared" ref="Q92:Q98" si="50">("M"&amp;$L92&amp;"B"&amp;$M92&amp;"P"&amp;$N92&amp;"-2")</f>
        <v>M3B03P2-2</v>
      </c>
      <c r="R92" s="47" t="str">
        <f t="shared" ref="R92:R98" si="51">("M"&amp;$L92&amp;"B"&amp;$M92&amp;"P"&amp;$N92&amp;"-FLASH")</f>
        <v>M3B03P2-FLASH</v>
      </c>
      <c r="AL92" s="103">
        <v>1</v>
      </c>
      <c r="AM92" s="101">
        <v>16</v>
      </c>
      <c r="AN92" s="44" t="s">
        <v>302</v>
      </c>
      <c r="AO92" s="42" t="str">
        <f t="shared" si="29"/>
        <v>NVO-M1B16P26</v>
      </c>
      <c r="AP92" s="59" t="str">
        <f t="shared" si="30"/>
        <v>M1B16P26</v>
      </c>
    </row>
    <row r="93" spans="1:42" ht="15" thickBot="1" x14ac:dyDescent="0.35">
      <c r="A93" s="64">
        <v>1</v>
      </c>
      <c r="B93" s="44" t="s">
        <v>81</v>
      </c>
      <c r="C93" s="44" t="s">
        <v>83</v>
      </c>
      <c r="D93" s="42" t="str">
        <f t="shared" si="36"/>
        <v>DI-M1B09P11</v>
      </c>
      <c r="E93" s="42" t="str">
        <f t="shared" si="35"/>
        <v>M1B09P11</v>
      </c>
      <c r="F93" s="64">
        <v>3</v>
      </c>
      <c r="G93" s="64">
        <v>13</v>
      </c>
      <c r="H93" s="45" t="s">
        <v>179</v>
      </c>
      <c r="I93" s="42" t="str">
        <f t="shared" si="41"/>
        <v>ACO-M3B13P3</v>
      </c>
      <c r="J93" s="42" t="str">
        <f t="shared" si="46"/>
        <v>M3B13P3</v>
      </c>
      <c r="K93" s="42" t="str">
        <f t="shared" si="47"/>
        <v>M3B13P3-CK</v>
      </c>
      <c r="L93">
        <v>3</v>
      </c>
      <c r="M93" s="44" t="s">
        <v>77</v>
      </c>
      <c r="N93" s="45" t="s">
        <v>179</v>
      </c>
      <c r="O93" s="46" t="str">
        <f t="shared" si="48"/>
        <v>DBO-M3B03P3</v>
      </c>
      <c r="P93" t="str">
        <f t="shared" si="49"/>
        <v>M3B03P3-1</v>
      </c>
      <c r="Q93" t="str">
        <f t="shared" si="50"/>
        <v>M3B03P3-2</v>
      </c>
      <c r="R93" s="47" t="str">
        <f t="shared" si="51"/>
        <v>M3B03P3-FLASH</v>
      </c>
      <c r="AL93" s="103">
        <v>1</v>
      </c>
      <c r="AM93" s="101">
        <v>16</v>
      </c>
      <c r="AN93" s="44" t="s">
        <v>303</v>
      </c>
      <c r="AO93" s="42" t="str">
        <f t="shared" si="29"/>
        <v>NVO-M1B16P27</v>
      </c>
      <c r="AP93" s="59" t="str">
        <f t="shared" si="30"/>
        <v>M1B16P27</v>
      </c>
    </row>
    <row r="94" spans="1:42" ht="15" thickBot="1" x14ac:dyDescent="0.35">
      <c r="A94" s="64">
        <v>1</v>
      </c>
      <c r="B94" s="44" t="s">
        <v>81</v>
      </c>
      <c r="C94" s="44" t="s">
        <v>84</v>
      </c>
      <c r="D94" s="42" t="str">
        <f t="shared" si="36"/>
        <v>DI-M1B09P12</v>
      </c>
      <c r="E94" s="42" t="str">
        <f t="shared" si="35"/>
        <v>M1B09P12</v>
      </c>
      <c r="F94" s="64">
        <v>3</v>
      </c>
      <c r="G94" s="64">
        <v>13</v>
      </c>
      <c r="H94" s="45" t="s">
        <v>181</v>
      </c>
      <c r="I94" s="42" t="str">
        <f t="shared" si="41"/>
        <v>ACO-M3B13P4</v>
      </c>
      <c r="J94" s="42" t="str">
        <f t="shared" si="46"/>
        <v>M3B13P4</v>
      </c>
      <c r="K94" s="42" t="str">
        <f t="shared" si="47"/>
        <v>M3B13P4-CK</v>
      </c>
      <c r="L94">
        <v>3</v>
      </c>
      <c r="M94" s="44" t="s">
        <v>77</v>
      </c>
      <c r="N94" s="45" t="s">
        <v>181</v>
      </c>
      <c r="O94" s="46" t="str">
        <f t="shared" si="48"/>
        <v>DBO-M3B03P4</v>
      </c>
      <c r="P94" t="str">
        <f t="shared" si="49"/>
        <v>M3B03P4-1</v>
      </c>
      <c r="Q94" t="str">
        <f t="shared" si="50"/>
        <v>M3B03P4-2</v>
      </c>
      <c r="R94" s="47" t="str">
        <f t="shared" si="51"/>
        <v>M3B03P4-FLASH</v>
      </c>
      <c r="AL94" s="103">
        <v>1</v>
      </c>
      <c r="AM94" s="101">
        <v>16</v>
      </c>
      <c r="AN94" s="44" t="s">
        <v>304</v>
      </c>
      <c r="AO94" s="42" t="str">
        <f t="shared" si="29"/>
        <v>NVO-M1B16P28</v>
      </c>
      <c r="AP94" s="59" t="str">
        <f t="shared" si="30"/>
        <v>M1B16P28</v>
      </c>
    </row>
    <row r="95" spans="1:42" ht="15" thickBot="1" x14ac:dyDescent="0.35">
      <c r="A95" s="64">
        <v>1</v>
      </c>
      <c r="B95" s="44" t="s">
        <v>81</v>
      </c>
      <c r="C95" s="44" t="s">
        <v>85</v>
      </c>
      <c r="D95" s="42" t="str">
        <f t="shared" si="36"/>
        <v>DI-M1B09P13</v>
      </c>
      <c r="E95" s="42" t="str">
        <f t="shared" si="35"/>
        <v>M1B09P13</v>
      </c>
      <c r="F95" s="64">
        <v>3</v>
      </c>
      <c r="G95" s="64">
        <v>13</v>
      </c>
      <c r="H95" s="45" t="s">
        <v>183</v>
      </c>
      <c r="I95" s="42" t="str">
        <f t="shared" si="41"/>
        <v>ACO-M3B13P5</v>
      </c>
      <c r="J95" s="42" t="str">
        <f t="shared" si="46"/>
        <v>M3B13P5</v>
      </c>
      <c r="K95" s="42" t="str">
        <f t="shared" si="47"/>
        <v>M3B13P5-CK</v>
      </c>
      <c r="L95">
        <v>3</v>
      </c>
      <c r="M95" s="44" t="s">
        <v>77</v>
      </c>
      <c r="N95" s="45" t="s">
        <v>183</v>
      </c>
      <c r="O95" s="46" t="str">
        <f t="shared" si="48"/>
        <v>DBO-M3B03P5</v>
      </c>
      <c r="P95" t="str">
        <f t="shared" si="49"/>
        <v>M3B03P5-1</v>
      </c>
      <c r="Q95" t="str">
        <f t="shared" si="50"/>
        <v>M3B03P5-2</v>
      </c>
      <c r="R95" s="47" t="str">
        <f t="shared" si="51"/>
        <v>M3B03P5-FLASH</v>
      </c>
      <c r="AL95" s="103">
        <v>1</v>
      </c>
      <c r="AM95" s="101">
        <v>16</v>
      </c>
      <c r="AN95" s="44" t="s">
        <v>305</v>
      </c>
      <c r="AO95" s="42" t="str">
        <f t="shared" si="29"/>
        <v>NVO-M1B16P29</v>
      </c>
      <c r="AP95" s="59" t="str">
        <f t="shared" si="30"/>
        <v>M1B16P29</v>
      </c>
    </row>
    <row r="96" spans="1:42" ht="15" thickBot="1" x14ac:dyDescent="0.35">
      <c r="A96" s="64">
        <v>1</v>
      </c>
      <c r="B96" s="44" t="s">
        <v>81</v>
      </c>
      <c r="C96" s="44" t="s">
        <v>86</v>
      </c>
      <c r="D96" s="42" t="str">
        <f t="shared" si="36"/>
        <v>DI-M1B09P14</v>
      </c>
      <c r="E96" s="42" t="str">
        <f t="shared" si="35"/>
        <v>M1B09P14</v>
      </c>
      <c r="F96" s="64">
        <v>3</v>
      </c>
      <c r="G96" s="64">
        <v>13</v>
      </c>
      <c r="H96" s="45" t="s">
        <v>185</v>
      </c>
      <c r="I96" s="42" t="str">
        <f t="shared" si="41"/>
        <v>ACO-M3B13P6</v>
      </c>
      <c r="J96" s="42" t="str">
        <f t="shared" si="46"/>
        <v>M3B13P6</v>
      </c>
      <c r="K96" s="42" t="str">
        <f t="shared" si="47"/>
        <v>M3B13P6-CK</v>
      </c>
      <c r="L96">
        <v>3</v>
      </c>
      <c r="M96" s="44" t="s">
        <v>77</v>
      </c>
      <c r="N96" s="45" t="s">
        <v>185</v>
      </c>
      <c r="O96" s="46" t="str">
        <f t="shared" si="48"/>
        <v>DBO-M3B03P6</v>
      </c>
      <c r="P96" t="str">
        <f t="shared" si="49"/>
        <v>M3B03P6-1</v>
      </c>
      <c r="Q96" t="str">
        <f t="shared" si="50"/>
        <v>M3B03P6-2</v>
      </c>
      <c r="R96" s="47" t="str">
        <f t="shared" si="51"/>
        <v>M3B03P6-FLASH</v>
      </c>
      <c r="AL96" s="103">
        <v>1</v>
      </c>
      <c r="AM96" s="101">
        <v>16</v>
      </c>
      <c r="AN96" s="44" t="s">
        <v>306</v>
      </c>
      <c r="AO96" s="42" t="str">
        <f t="shared" si="29"/>
        <v>NVO-M1B16P30</v>
      </c>
      <c r="AP96" s="59" t="str">
        <f t="shared" si="30"/>
        <v>M1B16P30</v>
      </c>
    </row>
    <row r="97" spans="1:42" ht="15" thickBot="1" x14ac:dyDescent="0.35">
      <c r="A97" s="64">
        <v>1</v>
      </c>
      <c r="B97" s="44" t="s">
        <v>81</v>
      </c>
      <c r="C97" s="44" t="s">
        <v>87</v>
      </c>
      <c r="D97" s="42" t="str">
        <f t="shared" si="36"/>
        <v>DI-M1B09P15</v>
      </c>
      <c r="E97" s="42" t="str">
        <f t="shared" si="35"/>
        <v>M1B09P15</v>
      </c>
      <c r="F97" s="64">
        <v>3</v>
      </c>
      <c r="G97" s="64">
        <v>13</v>
      </c>
      <c r="H97" s="45" t="s">
        <v>187</v>
      </c>
      <c r="I97" s="42" t="str">
        <f t="shared" si="41"/>
        <v>ACO-M3B13P7</v>
      </c>
      <c r="J97" s="42" t="str">
        <f t="shared" si="46"/>
        <v>M3B13P7</v>
      </c>
      <c r="K97" s="42" t="str">
        <f t="shared" si="47"/>
        <v>M3B13P7-CK</v>
      </c>
      <c r="L97">
        <v>3</v>
      </c>
      <c r="M97" s="44" t="s">
        <v>77</v>
      </c>
      <c r="N97" s="45" t="s">
        <v>187</v>
      </c>
      <c r="O97" s="46" t="str">
        <f t="shared" si="48"/>
        <v>DBO-M3B03P7</v>
      </c>
      <c r="P97" t="str">
        <f t="shared" si="49"/>
        <v>M3B03P7-1</v>
      </c>
      <c r="Q97" t="str">
        <f t="shared" si="50"/>
        <v>M3B03P7-2</v>
      </c>
      <c r="R97" s="47" t="str">
        <f t="shared" si="51"/>
        <v>M3B03P7-FLASH</v>
      </c>
      <c r="AL97" s="103">
        <v>1</v>
      </c>
      <c r="AM97" s="101">
        <v>16</v>
      </c>
      <c r="AN97" s="44" t="s">
        <v>307</v>
      </c>
      <c r="AO97" s="42" t="str">
        <f t="shared" si="29"/>
        <v>NVO-M1B16P31</v>
      </c>
      <c r="AP97" s="59" t="str">
        <f t="shared" si="30"/>
        <v>M1B16P31</v>
      </c>
    </row>
    <row r="98" spans="1:42" ht="15" thickBot="1" x14ac:dyDescent="0.35">
      <c r="A98" s="64">
        <v>1</v>
      </c>
      <c r="B98" s="44" t="s">
        <v>81</v>
      </c>
      <c r="C98" s="44" t="s">
        <v>88</v>
      </c>
      <c r="D98" s="43" t="str">
        <f t="shared" si="36"/>
        <v>DI-M1B09P16</v>
      </c>
      <c r="E98" s="43" t="str">
        <f t="shared" si="35"/>
        <v>M1B09P16</v>
      </c>
      <c r="F98" s="64">
        <v>3</v>
      </c>
      <c r="G98" s="64">
        <v>13</v>
      </c>
      <c r="H98" s="45" t="s">
        <v>189</v>
      </c>
      <c r="I98" s="43" t="str">
        <f t="shared" si="41"/>
        <v>ACO-M3B13P8</v>
      </c>
      <c r="J98" s="43" t="str">
        <f t="shared" si="46"/>
        <v>M3B13P8</v>
      </c>
      <c r="K98" s="43" t="str">
        <f t="shared" si="47"/>
        <v>M3B13P8-CK</v>
      </c>
      <c r="L98">
        <v>3</v>
      </c>
      <c r="M98" s="44" t="s">
        <v>77</v>
      </c>
      <c r="N98" s="45" t="s">
        <v>189</v>
      </c>
      <c r="O98" s="48" t="str">
        <f t="shared" si="48"/>
        <v>DBO-M3B03P8</v>
      </c>
      <c r="P98" s="55" t="str">
        <f t="shared" si="49"/>
        <v>M3B03P8-1</v>
      </c>
      <c r="Q98" s="55" t="str">
        <f t="shared" si="50"/>
        <v>M3B03P8-2</v>
      </c>
      <c r="R98" s="49" t="str">
        <f t="shared" si="51"/>
        <v>M3B03P8-FLASH</v>
      </c>
      <c r="AL98" s="103">
        <v>1</v>
      </c>
      <c r="AM98" s="101">
        <v>16</v>
      </c>
      <c r="AN98" s="44" t="s">
        <v>308</v>
      </c>
      <c r="AO98" s="42" t="str">
        <f t="shared" si="29"/>
        <v>NVO-M1B16P32</v>
      </c>
      <c r="AP98" s="59" t="str">
        <f t="shared" si="30"/>
        <v>M1B16P32</v>
      </c>
    </row>
    <row r="99" spans="1:42" ht="15" thickBot="1" x14ac:dyDescent="0.35">
      <c r="A99" s="64">
        <v>1</v>
      </c>
      <c r="B99" s="44" t="s">
        <v>82</v>
      </c>
      <c r="C99" s="44" t="s">
        <v>75</v>
      </c>
      <c r="D99" s="41" t="str">
        <f t="shared" si="36"/>
        <v>DI-M1B10P01</v>
      </c>
      <c r="E99" s="41" t="str">
        <f t="shared" si="35"/>
        <v>M1B10P01</v>
      </c>
      <c r="F99" s="64">
        <v>3</v>
      </c>
      <c r="G99" s="64">
        <v>14</v>
      </c>
      <c r="H99" s="45" t="s">
        <v>175</v>
      </c>
      <c r="I99" s="41" t="str">
        <f t="shared" si="41"/>
        <v>ACO-M3B14P1</v>
      </c>
      <c r="J99" s="41" t="str">
        <f t="shared" si="46"/>
        <v>M3B14P1</v>
      </c>
      <c r="K99" s="41" t="str">
        <f t="shared" si="47"/>
        <v>M3B14P1-CK</v>
      </c>
      <c r="L99">
        <v>3</v>
      </c>
      <c r="M99" s="45" t="s">
        <v>78</v>
      </c>
      <c r="N99" s="45" t="s">
        <v>175</v>
      </c>
      <c r="O99" s="52" t="str">
        <f>("DBO-M"&amp;$L99&amp;"B"&amp;$M99&amp;"P"&amp;$N99)</f>
        <v>DBO-M3B04P1</v>
      </c>
      <c r="P99" s="53" t="str">
        <f>("M"&amp;$L99&amp;"B"&amp;$M99&amp;"P"&amp;$N99&amp;"-1")</f>
        <v>M3B04P1-1</v>
      </c>
      <c r="Q99" s="53" t="str">
        <f>("M"&amp;$L99&amp;"B"&amp;$M99&amp;"P"&amp;$N99&amp;"-2")</f>
        <v>M3B04P1-2</v>
      </c>
      <c r="R99" s="54" t="str">
        <f>("M"&amp;$L99&amp;"B"&amp;$M99&amp;"P"&amp;$N99&amp;"-FLASH")</f>
        <v>M3B04P1-FLASH</v>
      </c>
      <c r="AL99" s="100">
        <v>1</v>
      </c>
      <c r="AM99" s="101">
        <v>17</v>
      </c>
      <c r="AN99" s="101" t="s">
        <v>75</v>
      </c>
      <c r="AO99" s="102" t="str">
        <f>("NVO-M"&amp;AL99&amp;"B"&amp;AM99&amp;"P"&amp;AN99)</f>
        <v>NVO-M1B17P01</v>
      </c>
      <c r="AP99" s="59" t="str">
        <f t="shared" si="30"/>
        <v>M1B17P01</v>
      </c>
    </row>
    <row r="100" spans="1:42" ht="15" thickBot="1" x14ac:dyDescent="0.35">
      <c r="A100" s="64">
        <v>1</v>
      </c>
      <c r="B100" s="44" t="s">
        <v>82</v>
      </c>
      <c r="C100" s="44" t="s">
        <v>76</v>
      </c>
      <c r="D100" s="42" t="str">
        <f t="shared" si="36"/>
        <v>DI-M1B10P02</v>
      </c>
      <c r="E100" s="42" t="str">
        <f t="shared" si="35"/>
        <v>M1B10P02</v>
      </c>
      <c r="F100" s="64">
        <v>3</v>
      </c>
      <c r="G100" s="64">
        <v>14</v>
      </c>
      <c r="H100" s="45" t="s">
        <v>177</v>
      </c>
      <c r="I100" s="42" t="str">
        <f t="shared" si="41"/>
        <v>ACO-M3B14P2</v>
      </c>
      <c r="J100" s="42" t="str">
        <f t="shared" si="46"/>
        <v>M3B14P2</v>
      </c>
      <c r="K100" s="42" t="str">
        <f t="shared" si="47"/>
        <v>M3B14P2-CK</v>
      </c>
      <c r="L100">
        <v>3</v>
      </c>
      <c r="M100" s="45" t="s">
        <v>78</v>
      </c>
      <c r="N100" s="45" t="s">
        <v>177</v>
      </c>
      <c r="O100" s="46" t="str">
        <f t="shared" ref="O100:O106" si="52">("DBO-M"&amp;$L100&amp;"B"&amp;$M100&amp;"P"&amp;$N100)</f>
        <v>DBO-M3B04P2</v>
      </c>
      <c r="P100" t="str">
        <f t="shared" ref="P100:P106" si="53">("M"&amp;$L100&amp;"B"&amp;$M100&amp;"P"&amp;$N100&amp;"-1")</f>
        <v>M3B04P2-1</v>
      </c>
      <c r="Q100" t="str">
        <f t="shared" ref="Q100:Q106" si="54">("M"&amp;$L100&amp;"B"&amp;$M100&amp;"P"&amp;$N100&amp;"-2")</f>
        <v>M3B04P2-2</v>
      </c>
      <c r="R100" s="47" t="str">
        <f t="shared" ref="R100:R106" si="55">("M"&amp;$L100&amp;"B"&amp;$M100&amp;"P"&amp;$N100&amp;"-FLASH")</f>
        <v>M3B04P2-FLASH</v>
      </c>
      <c r="AL100" s="103">
        <v>1</v>
      </c>
      <c r="AM100" s="101">
        <v>17</v>
      </c>
      <c r="AN100" s="44" t="s">
        <v>76</v>
      </c>
      <c r="AO100" s="42" t="str">
        <f t="shared" ref="AO100:AO130" si="56">("NVO-M"&amp;AL100&amp;"B"&amp;AM100&amp;"P"&amp;AN100)</f>
        <v>NVO-M1B17P02</v>
      </c>
      <c r="AP100" s="59" t="str">
        <f t="shared" si="30"/>
        <v>M1B17P02</v>
      </c>
    </row>
    <row r="101" spans="1:42" ht="15" thickBot="1" x14ac:dyDescent="0.35">
      <c r="A101" s="64">
        <v>1</v>
      </c>
      <c r="B101" s="44" t="s">
        <v>82</v>
      </c>
      <c r="C101" s="44" t="s">
        <v>77</v>
      </c>
      <c r="D101" s="42" t="str">
        <f t="shared" si="36"/>
        <v>DI-M1B10P03</v>
      </c>
      <c r="E101" s="42" t="str">
        <f t="shared" si="35"/>
        <v>M1B10P03</v>
      </c>
      <c r="F101" s="64">
        <v>3</v>
      </c>
      <c r="G101" s="64">
        <v>14</v>
      </c>
      <c r="H101" s="45" t="s">
        <v>179</v>
      </c>
      <c r="I101" s="42" t="str">
        <f t="shared" si="41"/>
        <v>ACO-M3B14P3</v>
      </c>
      <c r="J101" s="42" t="str">
        <f t="shared" si="46"/>
        <v>M3B14P3</v>
      </c>
      <c r="K101" s="42" t="str">
        <f t="shared" si="47"/>
        <v>M3B14P3-CK</v>
      </c>
      <c r="L101">
        <v>3</v>
      </c>
      <c r="M101" s="45" t="s">
        <v>78</v>
      </c>
      <c r="N101" s="45" t="s">
        <v>179</v>
      </c>
      <c r="O101" s="46" t="str">
        <f t="shared" si="52"/>
        <v>DBO-M3B04P3</v>
      </c>
      <c r="P101" t="str">
        <f t="shared" si="53"/>
        <v>M3B04P3-1</v>
      </c>
      <c r="Q101" t="str">
        <f t="shared" si="54"/>
        <v>M3B04P3-2</v>
      </c>
      <c r="R101" s="47" t="str">
        <f t="shared" si="55"/>
        <v>M3B04P3-FLASH</v>
      </c>
      <c r="AL101" s="103">
        <v>1</v>
      </c>
      <c r="AM101" s="101">
        <v>17</v>
      </c>
      <c r="AN101" s="44" t="s">
        <v>77</v>
      </c>
      <c r="AO101" s="42" t="str">
        <f t="shared" si="56"/>
        <v>NVO-M1B17P03</v>
      </c>
      <c r="AP101" s="59" t="str">
        <f t="shared" si="30"/>
        <v>M1B17P03</v>
      </c>
    </row>
    <row r="102" spans="1:42" ht="15" thickBot="1" x14ac:dyDescent="0.35">
      <c r="A102" s="64">
        <v>1</v>
      </c>
      <c r="B102" s="44" t="s">
        <v>82</v>
      </c>
      <c r="C102" s="44" t="s">
        <v>78</v>
      </c>
      <c r="D102" s="42" t="str">
        <f t="shared" si="36"/>
        <v>DI-M1B10P04</v>
      </c>
      <c r="E102" s="42" t="str">
        <f t="shared" si="35"/>
        <v>M1B10P04</v>
      </c>
      <c r="F102" s="64">
        <v>3</v>
      </c>
      <c r="G102" s="64">
        <v>14</v>
      </c>
      <c r="H102" s="45" t="s">
        <v>181</v>
      </c>
      <c r="I102" s="42" t="str">
        <f t="shared" si="41"/>
        <v>ACO-M3B14P4</v>
      </c>
      <c r="J102" s="42" t="str">
        <f t="shared" si="46"/>
        <v>M3B14P4</v>
      </c>
      <c r="K102" s="42" t="str">
        <f t="shared" si="47"/>
        <v>M3B14P4-CK</v>
      </c>
      <c r="L102">
        <v>3</v>
      </c>
      <c r="M102" s="45" t="s">
        <v>78</v>
      </c>
      <c r="N102" s="45" t="s">
        <v>181</v>
      </c>
      <c r="O102" s="46" t="str">
        <f t="shared" si="52"/>
        <v>DBO-M3B04P4</v>
      </c>
      <c r="P102" t="str">
        <f t="shared" si="53"/>
        <v>M3B04P4-1</v>
      </c>
      <c r="Q102" t="str">
        <f t="shared" si="54"/>
        <v>M3B04P4-2</v>
      </c>
      <c r="R102" s="47" t="str">
        <f t="shared" si="55"/>
        <v>M3B04P4-FLASH</v>
      </c>
      <c r="AL102" s="103">
        <v>1</v>
      </c>
      <c r="AM102" s="101">
        <v>17</v>
      </c>
      <c r="AN102" s="44" t="s">
        <v>78</v>
      </c>
      <c r="AO102" s="42" t="str">
        <f t="shared" si="56"/>
        <v>NVO-M1B17P04</v>
      </c>
      <c r="AP102" s="59" t="str">
        <f t="shared" si="30"/>
        <v>M1B17P04</v>
      </c>
    </row>
    <row r="103" spans="1:42" ht="15" thickBot="1" x14ac:dyDescent="0.35">
      <c r="A103" s="64">
        <v>1</v>
      </c>
      <c r="B103" s="44" t="s">
        <v>82</v>
      </c>
      <c r="C103" s="44" t="s">
        <v>79</v>
      </c>
      <c r="D103" s="42" t="str">
        <f t="shared" si="36"/>
        <v>DI-M1B10P05</v>
      </c>
      <c r="E103" s="42" t="str">
        <f t="shared" si="35"/>
        <v>M1B10P05</v>
      </c>
      <c r="F103" s="64">
        <v>3</v>
      </c>
      <c r="G103" s="64">
        <v>14</v>
      </c>
      <c r="H103" s="45" t="s">
        <v>183</v>
      </c>
      <c r="I103" s="42" t="str">
        <f t="shared" si="41"/>
        <v>ACO-M3B14P5</v>
      </c>
      <c r="J103" s="42" t="str">
        <f t="shared" si="46"/>
        <v>M3B14P5</v>
      </c>
      <c r="K103" s="42" t="str">
        <f t="shared" si="47"/>
        <v>M3B14P5-CK</v>
      </c>
      <c r="L103">
        <v>3</v>
      </c>
      <c r="M103" s="45" t="s">
        <v>78</v>
      </c>
      <c r="N103" s="45" t="s">
        <v>183</v>
      </c>
      <c r="O103" s="46" t="str">
        <f t="shared" si="52"/>
        <v>DBO-M3B04P5</v>
      </c>
      <c r="P103" t="str">
        <f t="shared" si="53"/>
        <v>M3B04P5-1</v>
      </c>
      <c r="Q103" t="str">
        <f t="shared" si="54"/>
        <v>M3B04P5-2</v>
      </c>
      <c r="R103" s="47" t="str">
        <f t="shared" si="55"/>
        <v>M3B04P5-FLASH</v>
      </c>
      <c r="AL103" s="103">
        <v>1</v>
      </c>
      <c r="AM103" s="101">
        <v>17</v>
      </c>
      <c r="AN103" s="44" t="s">
        <v>79</v>
      </c>
      <c r="AO103" s="42" t="str">
        <f t="shared" si="56"/>
        <v>NVO-M1B17P05</v>
      </c>
      <c r="AP103" s="59" t="str">
        <f t="shared" si="30"/>
        <v>M1B17P05</v>
      </c>
    </row>
    <row r="104" spans="1:42" ht="15" thickBot="1" x14ac:dyDescent="0.35">
      <c r="A104" s="64">
        <v>1</v>
      </c>
      <c r="B104" s="44" t="s">
        <v>82</v>
      </c>
      <c r="C104" s="44" t="s">
        <v>73</v>
      </c>
      <c r="D104" s="42" t="str">
        <f t="shared" si="36"/>
        <v>DI-M1B10P06</v>
      </c>
      <c r="E104" s="42" t="str">
        <f t="shared" si="35"/>
        <v>M1B10P06</v>
      </c>
      <c r="F104" s="64">
        <v>3</v>
      </c>
      <c r="G104" s="64">
        <v>14</v>
      </c>
      <c r="H104" s="45" t="s">
        <v>185</v>
      </c>
      <c r="I104" s="42" t="str">
        <f t="shared" si="41"/>
        <v>ACO-M3B14P6</v>
      </c>
      <c r="J104" s="42" t="str">
        <f t="shared" si="46"/>
        <v>M3B14P6</v>
      </c>
      <c r="K104" s="42" t="str">
        <f t="shared" si="47"/>
        <v>M3B14P6-CK</v>
      </c>
      <c r="L104">
        <v>3</v>
      </c>
      <c r="M104" s="45" t="s">
        <v>78</v>
      </c>
      <c r="N104" s="45" t="s">
        <v>185</v>
      </c>
      <c r="O104" s="46" t="str">
        <f t="shared" si="52"/>
        <v>DBO-M3B04P6</v>
      </c>
      <c r="P104" t="str">
        <f t="shared" si="53"/>
        <v>M3B04P6-1</v>
      </c>
      <c r="Q104" t="str">
        <f t="shared" si="54"/>
        <v>M3B04P6-2</v>
      </c>
      <c r="R104" s="47" t="str">
        <f t="shared" si="55"/>
        <v>M3B04P6-FLASH</v>
      </c>
      <c r="AL104" s="103">
        <v>1</v>
      </c>
      <c r="AM104" s="101">
        <v>17</v>
      </c>
      <c r="AN104" s="44" t="s">
        <v>73</v>
      </c>
      <c r="AO104" s="42" t="str">
        <f t="shared" si="56"/>
        <v>NVO-M1B17P06</v>
      </c>
      <c r="AP104" s="59" t="str">
        <f t="shared" si="30"/>
        <v>M1B17P06</v>
      </c>
    </row>
    <row r="105" spans="1:42" ht="15" thickBot="1" x14ac:dyDescent="0.35">
      <c r="A105" s="64">
        <v>1</v>
      </c>
      <c r="B105" s="44" t="s">
        <v>82</v>
      </c>
      <c r="C105" s="44" t="s">
        <v>74</v>
      </c>
      <c r="D105" s="42" t="str">
        <f t="shared" si="36"/>
        <v>DI-M1B10P07</v>
      </c>
      <c r="E105" s="42" t="str">
        <f t="shared" si="35"/>
        <v>M1B10P07</v>
      </c>
      <c r="F105" s="64">
        <v>3</v>
      </c>
      <c r="G105" s="64">
        <v>14</v>
      </c>
      <c r="H105" s="45" t="s">
        <v>187</v>
      </c>
      <c r="I105" s="42" t="str">
        <f t="shared" si="41"/>
        <v>ACO-M3B14P7</v>
      </c>
      <c r="J105" s="42" t="str">
        <f t="shared" si="46"/>
        <v>M3B14P7</v>
      </c>
      <c r="K105" s="42" t="str">
        <f t="shared" si="47"/>
        <v>M3B14P7-CK</v>
      </c>
      <c r="L105">
        <v>3</v>
      </c>
      <c r="M105" s="45" t="s">
        <v>78</v>
      </c>
      <c r="N105" s="45" t="s">
        <v>187</v>
      </c>
      <c r="O105" s="46" t="str">
        <f t="shared" si="52"/>
        <v>DBO-M3B04P7</v>
      </c>
      <c r="P105" t="str">
        <f t="shared" si="53"/>
        <v>M3B04P7-1</v>
      </c>
      <c r="Q105" t="str">
        <f t="shared" si="54"/>
        <v>M3B04P7-2</v>
      </c>
      <c r="R105" s="47" t="str">
        <f t="shared" si="55"/>
        <v>M3B04P7-FLASH</v>
      </c>
      <c r="AL105" s="103">
        <v>1</v>
      </c>
      <c r="AM105" s="101">
        <v>17</v>
      </c>
      <c r="AN105" s="44" t="s">
        <v>74</v>
      </c>
      <c r="AO105" s="42" t="str">
        <f t="shared" si="56"/>
        <v>NVO-M1B17P07</v>
      </c>
      <c r="AP105" s="59" t="str">
        <f t="shared" si="30"/>
        <v>M1B17P07</v>
      </c>
    </row>
    <row r="106" spans="1:42" ht="15" thickBot="1" x14ac:dyDescent="0.35">
      <c r="A106" s="64">
        <v>1</v>
      </c>
      <c r="B106" s="44" t="s">
        <v>82</v>
      </c>
      <c r="C106" s="44" t="s">
        <v>80</v>
      </c>
      <c r="D106" s="42" t="str">
        <f t="shared" si="36"/>
        <v>DI-M1B10P08</v>
      </c>
      <c r="E106" s="42" t="str">
        <f t="shared" si="35"/>
        <v>M1B10P08</v>
      </c>
      <c r="F106" s="64">
        <v>3</v>
      </c>
      <c r="G106" s="64">
        <v>14</v>
      </c>
      <c r="H106" s="45" t="s">
        <v>189</v>
      </c>
      <c r="I106" s="43" t="str">
        <f t="shared" si="41"/>
        <v>ACO-M3B14P8</v>
      </c>
      <c r="J106" s="43" t="str">
        <f t="shared" si="46"/>
        <v>M3B14P8</v>
      </c>
      <c r="K106" s="43" t="str">
        <f t="shared" si="47"/>
        <v>M3B14P8-CK</v>
      </c>
      <c r="L106">
        <v>3</v>
      </c>
      <c r="M106" s="45" t="s">
        <v>78</v>
      </c>
      <c r="N106" s="45" t="s">
        <v>189</v>
      </c>
      <c r="O106" s="48" t="str">
        <f t="shared" si="52"/>
        <v>DBO-M3B04P8</v>
      </c>
      <c r="P106" s="55" t="str">
        <f t="shared" si="53"/>
        <v>M3B04P8-1</v>
      </c>
      <c r="Q106" s="55" t="str">
        <f t="shared" si="54"/>
        <v>M3B04P8-2</v>
      </c>
      <c r="R106" s="49" t="str">
        <f t="shared" si="55"/>
        <v>M3B04P8-FLASH</v>
      </c>
      <c r="AL106" s="103">
        <v>1</v>
      </c>
      <c r="AM106" s="101">
        <v>17</v>
      </c>
      <c r="AN106" s="44" t="s">
        <v>80</v>
      </c>
      <c r="AO106" s="42" t="str">
        <f t="shared" si="56"/>
        <v>NVO-M1B17P08</v>
      </c>
      <c r="AP106" s="59" t="str">
        <f t="shared" si="30"/>
        <v>M1B17P08</v>
      </c>
    </row>
    <row r="107" spans="1:42" ht="15" thickBot="1" x14ac:dyDescent="0.35">
      <c r="A107" s="64">
        <v>1</v>
      </c>
      <c r="B107" s="44" t="s">
        <v>82</v>
      </c>
      <c r="C107" s="44" t="s">
        <v>81</v>
      </c>
      <c r="D107" s="42" t="str">
        <f t="shared" si="36"/>
        <v>DI-M1B10P09</v>
      </c>
      <c r="E107" s="42" t="str">
        <f t="shared" si="35"/>
        <v>M1B10P09</v>
      </c>
      <c r="F107" s="64">
        <v>3</v>
      </c>
      <c r="G107" s="64">
        <v>15</v>
      </c>
      <c r="H107" s="45" t="s">
        <v>175</v>
      </c>
      <c r="I107" s="41" t="str">
        <f t="shared" si="41"/>
        <v>ACO-M3B15P1</v>
      </c>
      <c r="J107" s="41" t="str">
        <f t="shared" si="46"/>
        <v>M3B15P1</v>
      </c>
      <c r="K107" s="41" t="str">
        <f t="shared" si="47"/>
        <v>M3B15P1-CK</v>
      </c>
      <c r="L107">
        <v>3</v>
      </c>
      <c r="M107" s="45" t="s">
        <v>79</v>
      </c>
      <c r="N107" s="45" t="s">
        <v>175</v>
      </c>
      <c r="O107" s="52" t="str">
        <f>("DBO-M"&amp;$L107&amp;"B"&amp;$M107&amp;"P"&amp;$N107)</f>
        <v>DBO-M3B05P1</v>
      </c>
      <c r="P107" s="53" t="str">
        <f>("M"&amp;$L107&amp;"B"&amp;$M107&amp;"P"&amp;$N107&amp;"-1")</f>
        <v>M3B05P1-1</v>
      </c>
      <c r="Q107" s="53" t="str">
        <f>("M"&amp;$L107&amp;"B"&amp;$M107&amp;"P"&amp;$N107&amp;"-2")</f>
        <v>M3B05P1-2</v>
      </c>
      <c r="R107" s="54" t="str">
        <f>("M"&amp;$L107&amp;"B"&amp;$M107&amp;"P"&amp;$N107&amp;"-FLASH")</f>
        <v>M3B05P1-FLASH</v>
      </c>
      <c r="AL107" s="103">
        <v>1</v>
      </c>
      <c r="AM107" s="101">
        <v>17</v>
      </c>
      <c r="AN107" s="44" t="s">
        <v>81</v>
      </c>
      <c r="AO107" s="42" t="str">
        <f t="shared" si="56"/>
        <v>NVO-M1B17P09</v>
      </c>
      <c r="AP107" s="59" t="str">
        <f t="shared" si="30"/>
        <v>M1B17P09</v>
      </c>
    </row>
    <row r="108" spans="1:42" ht="15" thickBot="1" x14ac:dyDescent="0.35">
      <c r="A108" s="64">
        <v>1</v>
      </c>
      <c r="B108" s="44" t="s">
        <v>82</v>
      </c>
      <c r="C108" s="44" t="s">
        <v>82</v>
      </c>
      <c r="D108" s="42" t="str">
        <f t="shared" si="36"/>
        <v>DI-M1B10P10</v>
      </c>
      <c r="E108" s="42" t="str">
        <f t="shared" si="35"/>
        <v>M1B10P10</v>
      </c>
      <c r="F108" s="64">
        <v>3</v>
      </c>
      <c r="G108" s="64">
        <v>15</v>
      </c>
      <c r="H108" s="45" t="s">
        <v>177</v>
      </c>
      <c r="I108" s="42" t="str">
        <f t="shared" si="41"/>
        <v>ACO-M3B15P2</v>
      </c>
      <c r="J108" s="42" t="str">
        <f t="shared" si="46"/>
        <v>M3B15P2</v>
      </c>
      <c r="K108" s="42" t="str">
        <f t="shared" si="47"/>
        <v>M3B15P2-CK</v>
      </c>
      <c r="L108">
        <v>3</v>
      </c>
      <c r="M108" s="45" t="s">
        <v>79</v>
      </c>
      <c r="N108" s="45" t="s">
        <v>177</v>
      </c>
      <c r="O108" s="46" t="str">
        <f t="shared" ref="O108:O114" si="57">("DBO-M"&amp;$L108&amp;"B"&amp;$M108&amp;"P"&amp;$N108)</f>
        <v>DBO-M3B05P2</v>
      </c>
      <c r="P108" t="str">
        <f t="shared" ref="P108:P114" si="58">("M"&amp;$L108&amp;"B"&amp;$M108&amp;"P"&amp;$N108&amp;"-1")</f>
        <v>M3B05P2-1</v>
      </c>
      <c r="Q108" t="str">
        <f t="shared" ref="Q108:Q114" si="59">("M"&amp;$L108&amp;"B"&amp;$M108&amp;"P"&amp;$N108&amp;"-2")</f>
        <v>M3B05P2-2</v>
      </c>
      <c r="R108" s="47" t="str">
        <f t="shared" ref="R108:R114" si="60">("M"&amp;$L108&amp;"B"&amp;$M108&amp;"P"&amp;$N108&amp;"-FLASH")</f>
        <v>M3B05P2-FLASH</v>
      </c>
      <c r="AL108" s="103">
        <v>1</v>
      </c>
      <c r="AM108" s="101">
        <v>17</v>
      </c>
      <c r="AN108" s="44" t="s">
        <v>82</v>
      </c>
      <c r="AO108" s="42" t="str">
        <f t="shared" si="56"/>
        <v>NVO-M1B17P10</v>
      </c>
      <c r="AP108" s="59" t="str">
        <f t="shared" si="30"/>
        <v>M1B17P10</v>
      </c>
    </row>
    <row r="109" spans="1:42" ht="15" thickBot="1" x14ac:dyDescent="0.35">
      <c r="A109" s="64">
        <v>1</v>
      </c>
      <c r="B109" s="44" t="s">
        <v>82</v>
      </c>
      <c r="C109" s="44" t="s">
        <v>83</v>
      </c>
      <c r="D109" s="42" t="str">
        <f t="shared" si="36"/>
        <v>DI-M1B10P11</v>
      </c>
      <c r="E109" s="42" t="str">
        <f t="shared" si="35"/>
        <v>M1B10P11</v>
      </c>
      <c r="F109" s="64">
        <v>3</v>
      </c>
      <c r="G109" s="64">
        <v>15</v>
      </c>
      <c r="H109" s="45" t="s">
        <v>179</v>
      </c>
      <c r="I109" s="42" t="str">
        <f t="shared" si="41"/>
        <v>ACO-M3B15P3</v>
      </c>
      <c r="J109" s="42" t="str">
        <f t="shared" si="46"/>
        <v>M3B15P3</v>
      </c>
      <c r="K109" s="42" t="str">
        <f t="shared" si="47"/>
        <v>M3B15P3-CK</v>
      </c>
      <c r="L109">
        <v>3</v>
      </c>
      <c r="M109" s="45" t="s">
        <v>79</v>
      </c>
      <c r="N109" s="45" t="s">
        <v>179</v>
      </c>
      <c r="O109" s="46" t="str">
        <f t="shared" si="57"/>
        <v>DBO-M3B05P3</v>
      </c>
      <c r="P109" t="str">
        <f t="shared" si="58"/>
        <v>M3B05P3-1</v>
      </c>
      <c r="Q109" t="str">
        <f t="shared" si="59"/>
        <v>M3B05P3-2</v>
      </c>
      <c r="R109" s="47" t="str">
        <f t="shared" si="60"/>
        <v>M3B05P3-FLASH</v>
      </c>
      <c r="AL109" s="103">
        <v>1</v>
      </c>
      <c r="AM109" s="101">
        <v>17</v>
      </c>
      <c r="AN109" s="44" t="s">
        <v>83</v>
      </c>
      <c r="AO109" s="42" t="str">
        <f t="shared" si="56"/>
        <v>NVO-M1B17P11</v>
      </c>
      <c r="AP109" s="59" t="str">
        <f t="shared" si="30"/>
        <v>M1B17P11</v>
      </c>
    </row>
    <row r="110" spans="1:42" ht="15" thickBot="1" x14ac:dyDescent="0.35">
      <c r="A110" s="64">
        <v>1</v>
      </c>
      <c r="B110" s="44" t="s">
        <v>82</v>
      </c>
      <c r="C110" s="44" t="s">
        <v>84</v>
      </c>
      <c r="D110" s="42" t="str">
        <f t="shared" si="36"/>
        <v>DI-M1B10P12</v>
      </c>
      <c r="E110" s="42" t="str">
        <f t="shared" si="35"/>
        <v>M1B10P12</v>
      </c>
      <c r="F110" s="64">
        <v>3</v>
      </c>
      <c r="G110" s="64">
        <v>15</v>
      </c>
      <c r="H110" s="45" t="s">
        <v>181</v>
      </c>
      <c r="I110" s="42" t="str">
        <f t="shared" si="41"/>
        <v>ACO-M3B15P4</v>
      </c>
      <c r="J110" s="42" t="str">
        <f t="shared" si="46"/>
        <v>M3B15P4</v>
      </c>
      <c r="K110" s="42" t="str">
        <f t="shared" si="47"/>
        <v>M3B15P4-CK</v>
      </c>
      <c r="L110">
        <v>3</v>
      </c>
      <c r="M110" s="45" t="s">
        <v>79</v>
      </c>
      <c r="N110" s="45" t="s">
        <v>181</v>
      </c>
      <c r="O110" s="46" t="str">
        <f t="shared" si="57"/>
        <v>DBO-M3B05P4</v>
      </c>
      <c r="P110" t="str">
        <f t="shared" si="58"/>
        <v>M3B05P4-1</v>
      </c>
      <c r="Q110" t="str">
        <f t="shared" si="59"/>
        <v>M3B05P4-2</v>
      </c>
      <c r="R110" s="47" t="str">
        <f t="shared" si="60"/>
        <v>M3B05P4-FLASH</v>
      </c>
      <c r="AL110" s="103">
        <v>1</v>
      </c>
      <c r="AM110" s="101">
        <v>17</v>
      </c>
      <c r="AN110" s="44" t="s">
        <v>84</v>
      </c>
      <c r="AO110" s="42" t="str">
        <f t="shared" si="56"/>
        <v>NVO-M1B17P12</v>
      </c>
      <c r="AP110" s="59" t="str">
        <f t="shared" si="30"/>
        <v>M1B17P12</v>
      </c>
    </row>
    <row r="111" spans="1:42" ht="15" thickBot="1" x14ac:dyDescent="0.35">
      <c r="A111" s="64">
        <v>1</v>
      </c>
      <c r="B111" s="44" t="s">
        <v>82</v>
      </c>
      <c r="C111" s="44" t="s">
        <v>85</v>
      </c>
      <c r="D111" s="42" t="str">
        <f t="shared" si="36"/>
        <v>DI-M1B10P13</v>
      </c>
      <c r="E111" s="42" t="str">
        <f t="shared" si="35"/>
        <v>M1B10P13</v>
      </c>
      <c r="F111" s="64">
        <v>3</v>
      </c>
      <c r="G111" s="64">
        <v>15</v>
      </c>
      <c r="H111" s="45" t="s">
        <v>183</v>
      </c>
      <c r="I111" s="42" t="str">
        <f t="shared" si="41"/>
        <v>ACO-M3B15P5</v>
      </c>
      <c r="J111" s="42" t="str">
        <f t="shared" si="46"/>
        <v>M3B15P5</v>
      </c>
      <c r="K111" s="42" t="str">
        <f t="shared" si="47"/>
        <v>M3B15P5-CK</v>
      </c>
      <c r="L111">
        <v>3</v>
      </c>
      <c r="M111" s="45" t="s">
        <v>79</v>
      </c>
      <c r="N111" s="45" t="s">
        <v>183</v>
      </c>
      <c r="O111" s="46" t="str">
        <f t="shared" si="57"/>
        <v>DBO-M3B05P5</v>
      </c>
      <c r="P111" t="str">
        <f t="shared" si="58"/>
        <v>M3B05P5-1</v>
      </c>
      <c r="Q111" t="str">
        <f t="shared" si="59"/>
        <v>M3B05P5-2</v>
      </c>
      <c r="R111" s="47" t="str">
        <f t="shared" si="60"/>
        <v>M3B05P5-FLASH</v>
      </c>
      <c r="AL111" s="103">
        <v>1</v>
      </c>
      <c r="AM111" s="101">
        <v>17</v>
      </c>
      <c r="AN111" s="44" t="s">
        <v>85</v>
      </c>
      <c r="AO111" s="42" t="str">
        <f t="shared" si="56"/>
        <v>NVO-M1B17P13</v>
      </c>
      <c r="AP111" s="59" t="str">
        <f t="shared" si="30"/>
        <v>M1B17P13</v>
      </c>
    </row>
    <row r="112" spans="1:42" ht="15" thickBot="1" x14ac:dyDescent="0.35">
      <c r="A112" s="64">
        <v>1</v>
      </c>
      <c r="B112" s="44" t="s">
        <v>82</v>
      </c>
      <c r="C112" s="44" t="s">
        <v>86</v>
      </c>
      <c r="D112" s="42" t="str">
        <f t="shared" si="36"/>
        <v>DI-M1B10P14</v>
      </c>
      <c r="E112" s="42" t="str">
        <f t="shared" si="35"/>
        <v>M1B10P14</v>
      </c>
      <c r="F112" s="64">
        <v>3</v>
      </c>
      <c r="G112" s="64">
        <v>15</v>
      </c>
      <c r="H112" s="45" t="s">
        <v>185</v>
      </c>
      <c r="I112" s="42" t="str">
        <f t="shared" si="41"/>
        <v>ACO-M3B15P6</v>
      </c>
      <c r="J112" s="42" t="str">
        <f t="shared" si="46"/>
        <v>M3B15P6</v>
      </c>
      <c r="K112" s="42" t="str">
        <f t="shared" si="47"/>
        <v>M3B15P6-CK</v>
      </c>
      <c r="L112">
        <v>3</v>
      </c>
      <c r="M112" s="45" t="s">
        <v>79</v>
      </c>
      <c r="N112" s="45" t="s">
        <v>185</v>
      </c>
      <c r="O112" s="46" t="str">
        <f t="shared" si="57"/>
        <v>DBO-M3B05P6</v>
      </c>
      <c r="P112" t="str">
        <f t="shared" si="58"/>
        <v>M3B05P6-1</v>
      </c>
      <c r="Q112" t="str">
        <f t="shared" si="59"/>
        <v>M3B05P6-2</v>
      </c>
      <c r="R112" s="47" t="str">
        <f t="shared" si="60"/>
        <v>M3B05P6-FLASH</v>
      </c>
      <c r="AL112" s="103">
        <v>1</v>
      </c>
      <c r="AM112" s="101">
        <v>17</v>
      </c>
      <c r="AN112" s="44" t="s">
        <v>86</v>
      </c>
      <c r="AO112" s="42" t="str">
        <f t="shared" si="56"/>
        <v>NVO-M1B17P14</v>
      </c>
      <c r="AP112" s="59" t="str">
        <f t="shared" si="30"/>
        <v>M1B17P14</v>
      </c>
    </row>
    <row r="113" spans="1:42" ht="15" thickBot="1" x14ac:dyDescent="0.35">
      <c r="A113" s="64">
        <v>1</v>
      </c>
      <c r="B113" s="44" t="s">
        <v>82</v>
      </c>
      <c r="C113" s="44" t="s">
        <v>87</v>
      </c>
      <c r="D113" s="42" t="str">
        <f t="shared" si="36"/>
        <v>DI-M1B10P15</v>
      </c>
      <c r="E113" s="42" t="str">
        <f t="shared" si="35"/>
        <v>M1B10P15</v>
      </c>
      <c r="F113" s="64">
        <v>3</v>
      </c>
      <c r="G113" s="64">
        <v>15</v>
      </c>
      <c r="H113" s="45" t="s">
        <v>187</v>
      </c>
      <c r="I113" s="42" t="str">
        <f t="shared" si="41"/>
        <v>ACO-M3B15P7</v>
      </c>
      <c r="J113" s="42" t="str">
        <f t="shared" si="46"/>
        <v>M3B15P7</v>
      </c>
      <c r="K113" s="42" t="str">
        <f t="shared" si="47"/>
        <v>M3B15P7-CK</v>
      </c>
      <c r="L113">
        <v>3</v>
      </c>
      <c r="M113" s="45" t="s">
        <v>79</v>
      </c>
      <c r="N113" s="45" t="s">
        <v>187</v>
      </c>
      <c r="O113" s="46" t="str">
        <f t="shared" si="57"/>
        <v>DBO-M3B05P7</v>
      </c>
      <c r="P113" t="str">
        <f t="shared" si="58"/>
        <v>M3B05P7-1</v>
      </c>
      <c r="Q113" t="str">
        <f t="shared" si="59"/>
        <v>M3B05P7-2</v>
      </c>
      <c r="R113" s="47" t="str">
        <f t="shared" si="60"/>
        <v>M3B05P7-FLASH</v>
      </c>
      <c r="AL113" s="103">
        <v>1</v>
      </c>
      <c r="AM113" s="101">
        <v>17</v>
      </c>
      <c r="AN113" s="44" t="s">
        <v>87</v>
      </c>
      <c r="AO113" s="42" t="str">
        <f t="shared" si="56"/>
        <v>NVO-M1B17P15</v>
      </c>
      <c r="AP113" s="59" t="str">
        <f t="shared" si="30"/>
        <v>M1B17P15</v>
      </c>
    </row>
    <row r="114" spans="1:42" ht="15" thickBot="1" x14ac:dyDescent="0.35">
      <c r="A114" s="64">
        <v>1</v>
      </c>
      <c r="B114" s="44" t="s">
        <v>82</v>
      </c>
      <c r="C114" s="44" t="s">
        <v>88</v>
      </c>
      <c r="D114" s="43" t="str">
        <f t="shared" si="36"/>
        <v>DI-M1B10P16</v>
      </c>
      <c r="E114" s="43" t="str">
        <f t="shared" si="35"/>
        <v>M1B10P16</v>
      </c>
      <c r="F114" s="64">
        <v>3</v>
      </c>
      <c r="G114" s="64">
        <v>15</v>
      </c>
      <c r="H114" s="45" t="s">
        <v>189</v>
      </c>
      <c r="I114" s="43" t="str">
        <f t="shared" si="41"/>
        <v>ACO-M3B15P8</v>
      </c>
      <c r="J114" s="43" t="str">
        <f t="shared" si="46"/>
        <v>M3B15P8</v>
      </c>
      <c r="K114" s="43" t="str">
        <f t="shared" si="47"/>
        <v>M3B15P8-CK</v>
      </c>
      <c r="L114">
        <v>3</v>
      </c>
      <c r="M114" s="45" t="s">
        <v>79</v>
      </c>
      <c r="N114" s="45" t="s">
        <v>189</v>
      </c>
      <c r="O114" s="48" t="str">
        <f t="shared" si="57"/>
        <v>DBO-M3B05P8</v>
      </c>
      <c r="P114" s="55" t="str">
        <f t="shared" si="58"/>
        <v>M3B05P8-1</v>
      </c>
      <c r="Q114" s="55" t="str">
        <f t="shared" si="59"/>
        <v>M3B05P8-2</v>
      </c>
      <c r="R114" s="49" t="str">
        <f t="shared" si="60"/>
        <v>M3B05P8-FLASH</v>
      </c>
      <c r="AL114" s="103">
        <v>1</v>
      </c>
      <c r="AM114" s="101">
        <v>17</v>
      </c>
      <c r="AN114" s="44" t="s">
        <v>88</v>
      </c>
      <c r="AO114" s="42" t="str">
        <f t="shared" si="56"/>
        <v>NVO-M1B17P16</v>
      </c>
      <c r="AP114" s="59" t="str">
        <f t="shared" si="30"/>
        <v>M1B17P16</v>
      </c>
    </row>
    <row r="115" spans="1:42" ht="15" thickBot="1" x14ac:dyDescent="0.35">
      <c r="A115" s="64">
        <v>1</v>
      </c>
      <c r="B115" s="44" t="s">
        <v>83</v>
      </c>
      <c r="C115" s="44" t="s">
        <v>75</v>
      </c>
      <c r="D115" s="41" t="str">
        <f t="shared" si="36"/>
        <v>DI-M1B11P01</v>
      </c>
      <c r="E115" s="41" t="str">
        <f t="shared" si="35"/>
        <v>M1B11P01</v>
      </c>
      <c r="F115" s="64">
        <v>3</v>
      </c>
      <c r="G115" s="64">
        <v>16</v>
      </c>
      <c r="H115" s="45" t="s">
        <v>175</v>
      </c>
      <c r="I115" s="41" t="str">
        <f t="shared" ref="I115:I146" si="61">("ACO-M"&amp;F115&amp;"B"&amp;G115&amp;"P"&amp;H115)</f>
        <v>ACO-M3B16P1</v>
      </c>
      <c r="J115" s="41" t="str">
        <f t="shared" si="46"/>
        <v>M3B16P1</v>
      </c>
      <c r="K115" s="41" t="str">
        <f t="shared" si="47"/>
        <v>M3B16P1-CK</v>
      </c>
      <c r="L115" s="82">
        <v>3</v>
      </c>
      <c r="M115" s="83" t="s">
        <v>73</v>
      </c>
      <c r="N115" s="84" t="s">
        <v>175</v>
      </c>
      <c r="O115" s="85" t="str">
        <f>("DBO-M"&amp;$L115&amp;"B"&amp;$M115&amp;"P"&amp;$N115)</f>
        <v>DBO-M3B06P1</v>
      </c>
      <c r="P115" s="86" t="str">
        <f>("M"&amp;$L115&amp;"B"&amp;$M115&amp;"P"&amp;$N115&amp;"-1")</f>
        <v>M3B06P1-1</v>
      </c>
      <c r="Q115" s="86" t="str">
        <f>("M"&amp;$L115&amp;"B"&amp;$M115&amp;"P"&amp;$N115&amp;"-2")</f>
        <v>M3B06P1-2</v>
      </c>
      <c r="R115" s="87" t="str">
        <f>("M"&amp;$L115&amp;"B"&amp;$M115&amp;"P"&amp;$N115&amp;"-FLASH")</f>
        <v>M3B06P1-FLASH</v>
      </c>
      <c r="AL115" s="103">
        <v>1</v>
      </c>
      <c r="AM115" s="101">
        <v>17</v>
      </c>
      <c r="AN115" s="44" t="s">
        <v>297</v>
      </c>
      <c r="AO115" s="42" t="str">
        <f t="shared" si="56"/>
        <v>NVO-M1B17P17</v>
      </c>
      <c r="AP115" s="59" t="str">
        <f t="shared" si="30"/>
        <v>M1B17P17</v>
      </c>
    </row>
    <row r="116" spans="1:42" ht="15" thickBot="1" x14ac:dyDescent="0.35">
      <c r="A116" s="64">
        <v>1</v>
      </c>
      <c r="B116" s="44" t="s">
        <v>83</v>
      </c>
      <c r="C116" s="44" t="s">
        <v>76</v>
      </c>
      <c r="D116" s="42" t="str">
        <f t="shared" si="36"/>
        <v>DI-M1B11P02</v>
      </c>
      <c r="E116" s="42" t="str">
        <f t="shared" si="35"/>
        <v>M1B11P02</v>
      </c>
      <c r="F116" s="64">
        <v>3</v>
      </c>
      <c r="G116" s="64">
        <v>16</v>
      </c>
      <c r="H116" s="45" t="s">
        <v>177</v>
      </c>
      <c r="I116" s="42" t="str">
        <f t="shared" si="61"/>
        <v>ACO-M3B16P2</v>
      </c>
      <c r="J116" s="42" t="str">
        <f t="shared" si="46"/>
        <v>M3B16P2</v>
      </c>
      <c r="K116" s="42" t="str">
        <f t="shared" si="47"/>
        <v>M3B16P2-CK</v>
      </c>
      <c r="L116" s="82">
        <v>3</v>
      </c>
      <c r="M116" s="83" t="s">
        <v>73</v>
      </c>
      <c r="N116" s="84" t="s">
        <v>177</v>
      </c>
      <c r="O116" s="88" t="str">
        <f t="shared" ref="O116:O154" si="62">("DBO-M"&amp;$L116&amp;"B"&amp;$M116&amp;"P"&amp;$N116)</f>
        <v>DBO-M3B06P2</v>
      </c>
      <c r="P116" s="82" t="str">
        <f t="shared" ref="P116:P154" si="63">("M"&amp;$L116&amp;"B"&amp;$M116&amp;"P"&amp;$N116&amp;"-1")</f>
        <v>M3B06P2-1</v>
      </c>
      <c r="Q116" s="82" t="str">
        <f t="shared" ref="Q116:Q154" si="64">("M"&amp;$L116&amp;"B"&amp;$M116&amp;"P"&amp;$N116&amp;"-2")</f>
        <v>M3B06P2-2</v>
      </c>
      <c r="R116" s="89" t="str">
        <f t="shared" ref="R116:R154" si="65">("M"&amp;$L116&amp;"B"&amp;$M116&amp;"P"&amp;$N116&amp;"-FLASH")</f>
        <v>M3B06P2-FLASH</v>
      </c>
      <c r="AL116" s="103">
        <v>1</v>
      </c>
      <c r="AM116" s="101">
        <v>17</v>
      </c>
      <c r="AN116" s="44" t="s">
        <v>191</v>
      </c>
      <c r="AO116" s="42" t="str">
        <f t="shared" si="56"/>
        <v>NVO-M1B17P18</v>
      </c>
      <c r="AP116" s="59" t="str">
        <f t="shared" si="30"/>
        <v>M1B17P18</v>
      </c>
    </row>
    <row r="117" spans="1:42" ht="15" thickBot="1" x14ac:dyDescent="0.35">
      <c r="A117" s="64">
        <v>1</v>
      </c>
      <c r="B117" s="44" t="s">
        <v>83</v>
      </c>
      <c r="C117" s="44" t="s">
        <v>77</v>
      </c>
      <c r="D117" s="42" t="str">
        <f t="shared" si="36"/>
        <v>DI-M1B11P03</v>
      </c>
      <c r="E117" s="42" t="str">
        <f t="shared" si="35"/>
        <v>M1B11P03</v>
      </c>
      <c r="F117" s="64">
        <v>3</v>
      </c>
      <c r="G117" s="64">
        <v>16</v>
      </c>
      <c r="H117" s="45" t="s">
        <v>179</v>
      </c>
      <c r="I117" s="42" t="str">
        <f t="shared" si="61"/>
        <v>ACO-M3B16P3</v>
      </c>
      <c r="J117" s="42" t="str">
        <f t="shared" si="46"/>
        <v>M3B16P3</v>
      </c>
      <c r="K117" s="42" t="str">
        <f t="shared" si="47"/>
        <v>M3B16P3-CK</v>
      </c>
      <c r="L117" s="82">
        <v>3</v>
      </c>
      <c r="M117" s="83" t="s">
        <v>73</v>
      </c>
      <c r="N117" s="84" t="s">
        <v>179</v>
      </c>
      <c r="O117" s="88" t="str">
        <f t="shared" si="62"/>
        <v>DBO-M3B06P3</v>
      </c>
      <c r="P117" s="82" t="str">
        <f t="shared" si="63"/>
        <v>M3B06P3-1</v>
      </c>
      <c r="Q117" s="82" t="str">
        <f t="shared" si="64"/>
        <v>M3B06P3-2</v>
      </c>
      <c r="R117" s="89" t="str">
        <f t="shared" si="65"/>
        <v>M3B06P3-FLASH</v>
      </c>
      <c r="AL117" s="103">
        <v>1</v>
      </c>
      <c r="AM117" s="101">
        <v>17</v>
      </c>
      <c r="AN117" s="44" t="s">
        <v>200</v>
      </c>
      <c r="AO117" s="42" t="str">
        <f t="shared" si="56"/>
        <v>NVO-M1B17P19</v>
      </c>
      <c r="AP117" s="59" t="str">
        <f t="shared" si="30"/>
        <v>M1B17P19</v>
      </c>
    </row>
    <row r="118" spans="1:42" ht="15" thickBot="1" x14ac:dyDescent="0.35">
      <c r="A118" s="64">
        <v>1</v>
      </c>
      <c r="B118" s="44" t="s">
        <v>83</v>
      </c>
      <c r="C118" s="44" t="s">
        <v>78</v>
      </c>
      <c r="D118" s="42" t="str">
        <f t="shared" si="36"/>
        <v>DI-M1B11P04</v>
      </c>
      <c r="E118" s="42" t="str">
        <f t="shared" si="35"/>
        <v>M1B11P04</v>
      </c>
      <c r="F118" s="64">
        <v>3</v>
      </c>
      <c r="G118" s="64">
        <v>16</v>
      </c>
      <c r="H118" s="45" t="s">
        <v>181</v>
      </c>
      <c r="I118" s="42" t="str">
        <f t="shared" si="61"/>
        <v>ACO-M3B16P4</v>
      </c>
      <c r="J118" s="42" t="str">
        <f t="shared" si="46"/>
        <v>M3B16P4</v>
      </c>
      <c r="K118" s="42" t="str">
        <f t="shared" si="47"/>
        <v>M3B16P4-CK</v>
      </c>
      <c r="L118" s="82">
        <v>3</v>
      </c>
      <c r="M118" s="83" t="s">
        <v>73</v>
      </c>
      <c r="N118" s="84" t="s">
        <v>181</v>
      </c>
      <c r="O118" s="88" t="str">
        <f t="shared" si="62"/>
        <v>DBO-M3B06P4</v>
      </c>
      <c r="P118" s="82" t="str">
        <f t="shared" si="63"/>
        <v>M3B06P4-1</v>
      </c>
      <c r="Q118" s="82" t="str">
        <f t="shared" si="64"/>
        <v>M3B06P4-2</v>
      </c>
      <c r="R118" s="89" t="str">
        <f t="shared" si="65"/>
        <v>M3B06P4-FLASH</v>
      </c>
      <c r="AL118" s="103">
        <v>1</v>
      </c>
      <c r="AM118" s="101">
        <v>17</v>
      </c>
      <c r="AN118" s="44" t="s">
        <v>209</v>
      </c>
      <c r="AO118" s="42" t="str">
        <f t="shared" si="56"/>
        <v>NVO-M1B17P20</v>
      </c>
      <c r="AP118" s="59" t="str">
        <f t="shared" si="30"/>
        <v>M1B17P20</v>
      </c>
    </row>
    <row r="119" spans="1:42" ht="15" thickBot="1" x14ac:dyDescent="0.35">
      <c r="A119" s="64">
        <v>1</v>
      </c>
      <c r="B119" s="44" t="s">
        <v>83</v>
      </c>
      <c r="C119" s="44" t="s">
        <v>79</v>
      </c>
      <c r="D119" s="42" t="str">
        <f t="shared" si="36"/>
        <v>DI-M1B11P05</v>
      </c>
      <c r="E119" s="42" t="str">
        <f t="shared" si="35"/>
        <v>M1B11P05</v>
      </c>
      <c r="F119" s="64">
        <v>3</v>
      </c>
      <c r="G119" s="64">
        <v>16</v>
      </c>
      <c r="H119" s="45" t="s">
        <v>183</v>
      </c>
      <c r="I119" s="42" t="str">
        <f t="shared" si="61"/>
        <v>ACO-M3B16P5</v>
      </c>
      <c r="J119" s="42" t="str">
        <f t="shared" si="46"/>
        <v>M3B16P5</v>
      </c>
      <c r="K119" s="42" t="str">
        <f t="shared" si="47"/>
        <v>M3B16P5-CK</v>
      </c>
      <c r="L119" s="82">
        <v>3</v>
      </c>
      <c r="M119" s="83" t="s">
        <v>73</v>
      </c>
      <c r="N119" s="84" t="s">
        <v>183</v>
      </c>
      <c r="O119" s="88" t="str">
        <f t="shared" si="62"/>
        <v>DBO-M3B06P5</v>
      </c>
      <c r="P119" s="82" t="str">
        <f t="shared" si="63"/>
        <v>M3B06P5-1</v>
      </c>
      <c r="Q119" s="82" t="str">
        <f t="shared" si="64"/>
        <v>M3B06P5-2</v>
      </c>
      <c r="R119" s="89" t="str">
        <f t="shared" si="65"/>
        <v>M3B06P5-FLASH</v>
      </c>
      <c r="AL119" s="103">
        <v>1</v>
      </c>
      <c r="AM119" s="101">
        <v>17</v>
      </c>
      <c r="AN119" s="44" t="s">
        <v>218</v>
      </c>
      <c r="AO119" s="42" t="str">
        <f t="shared" si="56"/>
        <v>NVO-M1B17P21</v>
      </c>
      <c r="AP119" s="59" t="str">
        <f t="shared" si="30"/>
        <v>M1B17P21</v>
      </c>
    </row>
    <row r="120" spans="1:42" ht="15" thickBot="1" x14ac:dyDescent="0.35">
      <c r="A120" s="64">
        <v>1</v>
      </c>
      <c r="B120" s="44" t="s">
        <v>83</v>
      </c>
      <c r="C120" s="44" t="s">
        <v>73</v>
      </c>
      <c r="D120" s="42" t="str">
        <f t="shared" si="36"/>
        <v>DI-M1B11P06</v>
      </c>
      <c r="E120" s="42" t="str">
        <f t="shared" si="35"/>
        <v>M1B11P06</v>
      </c>
      <c r="F120" s="64">
        <v>3</v>
      </c>
      <c r="G120" s="64">
        <v>16</v>
      </c>
      <c r="H120" s="45" t="s">
        <v>185</v>
      </c>
      <c r="I120" s="42" t="str">
        <f t="shared" si="61"/>
        <v>ACO-M3B16P6</v>
      </c>
      <c r="J120" s="42" t="str">
        <f t="shared" si="46"/>
        <v>M3B16P6</v>
      </c>
      <c r="K120" s="42" t="str">
        <f t="shared" si="47"/>
        <v>M3B16P6-CK</v>
      </c>
      <c r="L120" s="82">
        <v>3</v>
      </c>
      <c r="M120" s="83" t="s">
        <v>73</v>
      </c>
      <c r="N120" s="84" t="s">
        <v>185</v>
      </c>
      <c r="O120" s="88" t="str">
        <f t="shared" si="62"/>
        <v>DBO-M3B06P6</v>
      </c>
      <c r="P120" s="82" t="str">
        <f t="shared" si="63"/>
        <v>M3B06P6-1</v>
      </c>
      <c r="Q120" s="82" t="str">
        <f t="shared" si="64"/>
        <v>M3B06P6-2</v>
      </c>
      <c r="R120" s="89" t="str">
        <f t="shared" si="65"/>
        <v>M3B06P6-FLASH</v>
      </c>
      <c r="AL120" s="103">
        <v>1</v>
      </c>
      <c r="AM120" s="101">
        <v>17</v>
      </c>
      <c r="AN120" s="44" t="s">
        <v>298</v>
      </c>
      <c r="AO120" s="42" t="str">
        <f t="shared" si="56"/>
        <v>NVO-M1B17P22</v>
      </c>
      <c r="AP120" s="59" t="str">
        <f t="shared" si="30"/>
        <v>M1B17P22</v>
      </c>
    </row>
    <row r="121" spans="1:42" ht="15" thickBot="1" x14ac:dyDescent="0.35">
      <c r="A121" s="64">
        <v>1</v>
      </c>
      <c r="B121" s="44" t="s">
        <v>83</v>
      </c>
      <c r="C121" s="44" t="s">
        <v>74</v>
      </c>
      <c r="D121" s="42" t="str">
        <f t="shared" si="36"/>
        <v>DI-M1B11P07</v>
      </c>
      <c r="E121" s="42" t="str">
        <f t="shared" si="35"/>
        <v>M1B11P07</v>
      </c>
      <c r="F121" s="64">
        <v>3</v>
      </c>
      <c r="G121" s="64">
        <v>16</v>
      </c>
      <c r="H121" s="45" t="s">
        <v>187</v>
      </c>
      <c r="I121" s="42" t="str">
        <f t="shared" si="61"/>
        <v>ACO-M3B16P7</v>
      </c>
      <c r="J121" s="42" t="str">
        <f t="shared" si="46"/>
        <v>M3B16P7</v>
      </c>
      <c r="K121" s="42" t="str">
        <f t="shared" si="47"/>
        <v>M3B16P7-CK</v>
      </c>
      <c r="L121" s="82">
        <v>3</v>
      </c>
      <c r="M121" s="83" t="s">
        <v>73</v>
      </c>
      <c r="N121" s="84" t="s">
        <v>187</v>
      </c>
      <c r="O121" s="88" t="str">
        <f t="shared" si="62"/>
        <v>DBO-M3B06P7</v>
      </c>
      <c r="P121" s="82" t="str">
        <f t="shared" si="63"/>
        <v>M3B06P7-1</v>
      </c>
      <c r="Q121" s="82" t="str">
        <f t="shared" si="64"/>
        <v>M3B06P7-2</v>
      </c>
      <c r="R121" s="89" t="str">
        <f t="shared" si="65"/>
        <v>M3B06P7-FLASH</v>
      </c>
      <c r="AL121" s="103">
        <v>1</v>
      </c>
      <c r="AM121" s="101">
        <v>17</v>
      </c>
      <c r="AN121" s="44" t="s">
        <v>299</v>
      </c>
      <c r="AO121" s="42" t="str">
        <f t="shared" si="56"/>
        <v>NVO-M1B17P23</v>
      </c>
      <c r="AP121" s="59" t="str">
        <f t="shared" si="30"/>
        <v>M1B17P23</v>
      </c>
    </row>
    <row r="122" spans="1:42" ht="15" thickBot="1" x14ac:dyDescent="0.35">
      <c r="A122" s="64">
        <v>1</v>
      </c>
      <c r="B122" s="44" t="s">
        <v>83</v>
      </c>
      <c r="C122" s="44" t="s">
        <v>80</v>
      </c>
      <c r="D122" s="42" t="str">
        <f t="shared" si="36"/>
        <v>DI-M1B11P08</v>
      </c>
      <c r="E122" s="42" t="str">
        <f t="shared" si="35"/>
        <v>M1B11P08</v>
      </c>
      <c r="F122" s="64">
        <v>3</v>
      </c>
      <c r="G122" s="64">
        <v>16</v>
      </c>
      <c r="H122" s="45" t="s">
        <v>189</v>
      </c>
      <c r="I122" s="43" t="str">
        <f t="shared" si="61"/>
        <v>ACO-M3B16P8</v>
      </c>
      <c r="J122" s="43" t="str">
        <f t="shared" si="46"/>
        <v>M3B16P8</v>
      </c>
      <c r="K122" s="43" t="str">
        <f t="shared" si="47"/>
        <v>M3B16P8-CK</v>
      </c>
      <c r="L122" s="82">
        <v>3</v>
      </c>
      <c r="M122" s="83" t="s">
        <v>73</v>
      </c>
      <c r="N122" s="84" t="s">
        <v>189</v>
      </c>
      <c r="O122" s="90" t="str">
        <f t="shared" si="62"/>
        <v>DBO-M3B06P8</v>
      </c>
      <c r="P122" s="91" t="str">
        <f t="shared" si="63"/>
        <v>M3B06P8-1</v>
      </c>
      <c r="Q122" s="91" t="str">
        <f t="shared" si="64"/>
        <v>M3B06P8-2</v>
      </c>
      <c r="R122" s="92" t="str">
        <f t="shared" si="65"/>
        <v>M3B06P8-FLASH</v>
      </c>
      <c r="AL122" s="103">
        <v>1</v>
      </c>
      <c r="AM122" s="101">
        <v>17</v>
      </c>
      <c r="AN122" s="44" t="s">
        <v>300</v>
      </c>
      <c r="AO122" s="42" t="str">
        <f t="shared" si="56"/>
        <v>NVO-M1B17P24</v>
      </c>
      <c r="AP122" s="59" t="str">
        <f t="shared" si="30"/>
        <v>M1B17P24</v>
      </c>
    </row>
    <row r="123" spans="1:42" ht="15" thickBot="1" x14ac:dyDescent="0.35">
      <c r="A123" s="64">
        <v>1</v>
      </c>
      <c r="B123" s="44" t="s">
        <v>83</v>
      </c>
      <c r="C123" s="44" t="s">
        <v>81</v>
      </c>
      <c r="D123" s="42" t="str">
        <f t="shared" si="36"/>
        <v>DI-M1B11P09</v>
      </c>
      <c r="E123" s="42" t="str">
        <f t="shared" si="35"/>
        <v>M1B11P09</v>
      </c>
      <c r="F123" s="64">
        <v>3</v>
      </c>
      <c r="G123" s="64">
        <v>17</v>
      </c>
      <c r="H123" s="45" t="s">
        <v>175</v>
      </c>
      <c r="I123" s="41" t="str">
        <f t="shared" si="61"/>
        <v>ACO-M3B17P1</v>
      </c>
      <c r="J123" s="41" t="str">
        <f t="shared" ref="J123:J146" si="66">("M"&amp;$F123&amp;"B"&amp;$G123&amp;"P"&amp;$H123)</f>
        <v>M3B17P1</v>
      </c>
      <c r="K123" s="41" t="str">
        <f t="shared" ref="K123:K146" si="67">("M"&amp;$F123&amp;"B"&amp;$G123&amp;"P"&amp;$H123&amp;"-CK")</f>
        <v>M3B17P1-CK</v>
      </c>
      <c r="L123" s="82">
        <v>3</v>
      </c>
      <c r="M123" s="83" t="s">
        <v>74</v>
      </c>
      <c r="N123" s="84" t="s">
        <v>175</v>
      </c>
      <c r="O123" s="85" t="str">
        <f>("DBO-M"&amp;$L123&amp;"B"&amp;$M123&amp;"P"&amp;$N123)</f>
        <v>DBO-M3B07P1</v>
      </c>
      <c r="P123" s="86" t="str">
        <f>("M"&amp;$L123&amp;"B"&amp;$M123&amp;"P"&amp;$N123&amp;"-1")</f>
        <v>M3B07P1-1</v>
      </c>
      <c r="Q123" s="86" t="str">
        <f>("M"&amp;$L123&amp;"B"&amp;$M123&amp;"P"&amp;$N123&amp;"-2")</f>
        <v>M3B07P1-2</v>
      </c>
      <c r="R123" s="87" t="str">
        <f>("M"&amp;$L123&amp;"B"&amp;$M123&amp;"P"&amp;$N123&amp;"-FLASH")</f>
        <v>M3B07P1-FLASH</v>
      </c>
      <c r="AL123" s="103">
        <v>1</v>
      </c>
      <c r="AM123" s="101">
        <v>17</v>
      </c>
      <c r="AN123" s="44" t="s">
        <v>301</v>
      </c>
      <c r="AO123" s="42" t="str">
        <f t="shared" si="56"/>
        <v>NVO-M1B17P25</v>
      </c>
      <c r="AP123" s="59" t="str">
        <f t="shared" si="30"/>
        <v>M1B17P25</v>
      </c>
    </row>
    <row r="124" spans="1:42" ht="15" thickBot="1" x14ac:dyDescent="0.35">
      <c r="A124" s="64">
        <v>1</v>
      </c>
      <c r="B124" s="44" t="s">
        <v>83</v>
      </c>
      <c r="C124" s="44" t="s">
        <v>82</v>
      </c>
      <c r="D124" s="42" t="str">
        <f t="shared" si="36"/>
        <v>DI-M1B11P10</v>
      </c>
      <c r="E124" s="42" t="str">
        <f t="shared" si="35"/>
        <v>M1B11P10</v>
      </c>
      <c r="F124" s="64">
        <v>3</v>
      </c>
      <c r="G124" s="64">
        <v>17</v>
      </c>
      <c r="H124" s="45" t="s">
        <v>177</v>
      </c>
      <c r="I124" s="42" t="str">
        <f t="shared" si="61"/>
        <v>ACO-M3B17P2</v>
      </c>
      <c r="J124" s="42" t="str">
        <f t="shared" si="66"/>
        <v>M3B17P2</v>
      </c>
      <c r="K124" s="42" t="str">
        <f t="shared" si="67"/>
        <v>M3B17P2-CK</v>
      </c>
      <c r="L124" s="82">
        <v>3</v>
      </c>
      <c r="M124" s="83" t="s">
        <v>74</v>
      </c>
      <c r="N124" s="84" t="s">
        <v>177</v>
      </c>
      <c r="O124" s="88" t="str">
        <f t="shared" si="62"/>
        <v>DBO-M3B07P2</v>
      </c>
      <c r="P124" s="82" t="str">
        <f t="shared" si="63"/>
        <v>M3B07P2-1</v>
      </c>
      <c r="Q124" s="82" t="str">
        <f t="shared" si="64"/>
        <v>M3B07P2-2</v>
      </c>
      <c r="R124" s="89" t="str">
        <f t="shared" si="65"/>
        <v>M3B07P2-FLASH</v>
      </c>
      <c r="AL124" s="103">
        <v>1</v>
      </c>
      <c r="AM124" s="101">
        <v>17</v>
      </c>
      <c r="AN124" s="44" t="s">
        <v>302</v>
      </c>
      <c r="AO124" s="42" t="str">
        <f t="shared" si="56"/>
        <v>NVO-M1B17P26</v>
      </c>
      <c r="AP124" s="59" t="str">
        <f t="shared" si="30"/>
        <v>M1B17P26</v>
      </c>
    </row>
    <row r="125" spans="1:42" ht="15" thickBot="1" x14ac:dyDescent="0.35">
      <c r="A125" s="64">
        <v>1</v>
      </c>
      <c r="B125" s="44" t="s">
        <v>83</v>
      </c>
      <c r="C125" s="44" t="s">
        <v>83</v>
      </c>
      <c r="D125" s="42" t="str">
        <f t="shared" si="36"/>
        <v>DI-M1B11P11</v>
      </c>
      <c r="E125" s="42" t="str">
        <f t="shared" si="35"/>
        <v>M1B11P11</v>
      </c>
      <c r="F125" s="64">
        <v>3</v>
      </c>
      <c r="G125" s="64">
        <v>17</v>
      </c>
      <c r="H125" s="45" t="s">
        <v>179</v>
      </c>
      <c r="I125" s="42" t="str">
        <f t="shared" si="61"/>
        <v>ACO-M3B17P3</v>
      </c>
      <c r="J125" s="42" t="str">
        <f t="shared" si="66"/>
        <v>M3B17P3</v>
      </c>
      <c r="K125" s="42" t="str">
        <f t="shared" si="67"/>
        <v>M3B17P3-CK</v>
      </c>
      <c r="L125" s="82">
        <v>3</v>
      </c>
      <c r="M125" s="83" t="s">
        <v>74</v>
      </c>
      <c r="N125" s="84" t="s">
        <v>179</v>
      </c>
      <c r="O125" s="88" t="str">
        <f t="shared" si="62"/>
        <v>DBO-M3B07P3</v>
      </c>
      <c r="P125" s="82" t="str">
        <f t="shared" si="63"/>
        <v>M3B07P3-1</v>
      </c>
      <c r="Q125" s="82" t="str">
        <f t="shared" si="64"/>
        <v>M3B07P3-2</v>
      </c>
      <c r="R125" s="89" t="str">
        <f t="shared" si="65"/>
        <v>M3B07P3-FLASH</v>
      </c>
      <c r="AL125" s="103">
        <v>1</v>
      </c>
      <c r="AM125" s="101">
        <v>17</v>
      </c>
      <c r="AN125" s="44" t="s">
        <v>303</v>
      </c>
      <c r="AO125" s="42" t="str">
        <f t="shared" si="56"/>
        <v>NVO-M1B17P27</v>
      </c>
      <c r="AP125" s="59" t="str">
        <f t="shared" si="30"/>
        <v>M1B17P27</v>
      </c>
    </row>
    <row r="126" spans="1:42" ht="15" thickBot="1" x14ac:dyDescent="0.35">
      <c r="A126" s="64">
        <v>1</v>
      </c>
      <c r="B126" s="44" t="s">
        <v>83</v>
      </c>
      <c r="C126" s="44" t="s">
        <v>84</v>
      </c>
      <c r="D126" s="42" t="str">
        <f t="shared" si="36"/>
        <v>DI-M1B11P12</v>
      </c>
      <c r="E126" s="42" t="str">
        <f t="shared" si="35"/>
        <v>M1B11P12</v>
      </c>
      <c r="F126" s="64">
        <v>3</v>
      </c>
      <c r="G126" s="64">
        <v>17</v>
      </c>
      <c r="H126" s="45" t="s">
        <v>181</v>
      </c>
      <c r="I126" s="42" t="str">
        <f t="shared" si="61"/>
        <v>ACO-M3B17P4</v>
      </c>
      <c r="J126" s="42" t="str">
        <f t="shared" si="66"/>
        <v>M3B17P4</v>
      </c>
      <c r="K126" s="42" t="str">
        <f t="shared" si="67"/>
        <v>M3B17P4-CK</v>
      </c>
      <c r="L126" s="82">
        <v>3</v>
      </c>
      <c r="M126" s="83" t="s">
        <v>74</v>
      </c>
      <c r="N126" s="84" t="s">
        <v>181</v>
      </c>
      <c r="O126" s="88" t="str">
        <f t="shared" si="62"/>
        <v>DBO-M3B07P4</v>
      </c>
      <c r="P126" s="82" t="str">
        <f t="shared" si="63"/>
        <v>M3B07P4-1</v>
      </c>
      <c r="Q126" s="82" t="str">
        <f t="shared" si="64"/>
        <v>M3B07P4-2</v>
      </c>
      <c r="R126" s="89" t="str">
        <f t="shared" si="65"/>
        <v>M3B07P4-FLASH</v>
      </c>
      <c r="AL126" s="103">
        <v>1</v>
      </c>
      <c r="AM126" s="101">
        <v>17</v>
      </c>
      <c r="AN126" s="44" t="s">
        <v>304</v>
      </c>
      <c r="AO126" s="42" t="str">
        <f t="shared" si="56"/>
        <v>NVO-M1B17P28</v>
      </c>
      <c r="AP126" s="59" t="str">
        <f t="shared" si="30"/>
        <v>M1B17P28</v>
      </c>
    </row>
    <row r="127" spans="1:42" ht="15" thickBot="1" x14ac:dyDescent="0.35">
      <c r="A127" s="64">
        <v>1</v>
      </c>
      <c r="B127" s="44" t="s">
        <v>83</v>
      </c>
      <c r="C127" s="44" t="s">
        <v>85</v>
      </c>
      <c r="D127" s="42" t="str">
        <f t="shared" si="36"/>
        <v>DI-M1B11P13</v>
      </c>
      <c r="E127" s="42" t="str">
        <f t="shared" si="35"/>
        <v>M1B11P13</v>
      </c>
      <c r="F127" s="64">
        <v>3</v>
      </c>
      <c r="G127" s="64">
        <v>17</v>
      </c>
      <c r="H127" s="45" t="s">
        <v>183</v>
      </c>
      <c r="I127" s="42" t="str">
        <f t="shared" si="61"/>
        <v>ACO-M3B17P5</v>
      </c>
      <c r="J127" s="42" t="str">
        <f t="shared" si="66"/>
        <v>M3B17P5</v>
      </c>
      <c r="K127" s="42" t="str">
        <f t="shared" si="67"/>
        <v>M3B17P5-CK</v>
      </c>
      <c r="L127" s="82">
        <v>3</v>
      </c>
      <c r="M127" s="83" t="s">
        <v>74</v>
      </c>
      <c r="N127" s="84" t="s">
        <v>183</v>
      </c>
      <c r="O127" s="88" t="str">
        <f t="shared" si="62"/>
        <v>DBO-M3B07P5</v>
      </c>
      <c r="P127" s="82" t="str">
        <f t="shared" si="63"/>
        <v>M3B07P5-1</v>
      </c>
      <c r="Q127" s="82" t="str">
        <f t="shared" si="64"/>
        <v>M3B07P5-2</v>
      </c>
      <c r="R127" s="89" t="str">
        <f t="shared" si="65"/>
        <v>M3B07P5-FLASH</v>
      </c>
      <c r="AL127" s="103">
        <v>1</v>
      </c>
      <c r="AM127" s="101">
        <v>17</v>
      </c>
      <c r="AN127" s="44" t="s">
        <v>305</v>
      </c>
      <c r="AO127" s="42" t="str">
        <f t="shared" si="56"/>
        <v>NVO-M1B17P29</v>
      </c>
      <c r="AP127" s="59" t="str">
        <f t="shared" si="30"/>
        <v>M1B17P29</v>
      </c>
    </row>
    <row r="128" spans="1:42" ht="15" thickBot="1" x14ac:dyDescent="0.35">
      <c r="A128" s="64">
        <v>1</v>
      </c>
      <c r="B128" s="44" t="s">
        <v>83</v>
      </c>
      <c r="C128" s="44" t="s">
        <v>86</v>
      </c>
      <c r="D128" s="42" t="str">
        <f t="shared" si="36"/>
        <v>DI-M1B11P14</v>
      </c>
      <c r="E128" s="42" t="str">
        <f t="shared" si="35"/>
        <v>M1B11P14</v>
      </c>
      <c r="F128" s="64">
        <v>3</v>
      </c>
      <c r="G128" s="64">
        <v>17</v>
      </c>
      <c r="H128" s="45" t="s">
        <v>185</v>
      </c>
      <c r="I128" s="42" t="str">
        <f t="shared" si="61"/>
        <v>ACO-M3B17P6</v>
      </c>
      <c r="J128" s="42" t="str">
        <f t="shared" si="66"/>
        <v>M3B17P6</v>
      </c>
      <c r="K128" s="42" t="str">
        <f t="shared" si="67"/>
        <v>M3B17P6-CK</v>
      </c>
      <c r="L128" s="82">
        <v>3</v>
      </c>
      <c r="M128" s="83" t="s">
        <v>74</v>
      </c>
      <c r="N128" s="84" t="s">
        <v>185</v>
      </c>
      <c r="O128" s="88" t="str">
        <f t="shared" si="62"/>
        <v>DBO-M3B07P6</v>
      </c>
      <c r="P128" s="82" t="str">
        <f t="shared" si="63"/>
        <v>M3B07P6-1</v>
      </c>
      <c r="Q128" s="82" t="str">
        <f t="shared" si="64"/>
        <v>M3B07P6-2</v>
      </c>
      <c r="R128" s="89" t="str">
        <f t="shared" si="65"/>
        <v>M3B07P6-FLASH</v>
      </c>
      <c r="AL128" s="103">
        <v>1</v>
      </c>
      <c r="AM128" s="101">
        <v>17</v>
      </c>
      <c r="AN128" s="44" t="s">
        <v>306</v>
      </c>
      <c r="AO128" s="42" t="str">
        <f t="shared" si="56"/>
        <v>NVO-M1B17P30</v>
      </c>
      <c r="AP128" s="59" t="str">
        <f t="shared" si="30"/>
        <v>M1B17P30</v>
      </c>
    </row>
    <row r="129" spans="1:42" ht="15" thickBot="1" x14ac:dyDescent="0.35">
      <c r="A129" s="64">
        <v>1</v>
      </c>
      <c r="B129" s="44" t="s">
        <v>83</v>
      </c>
      <c r="C129" s="44" t="s">
        <v>87</v>
      </c>
      <c r="D129" s="42" t="str">
        <f t="shared" si="36"/>
        <v>DI-M1B11P15</v>
      </c>
      <c r="E129" s="42" t="str">
        <f t="shared" si="35"/>
        <v>M1B11P15</v>
      </c>
      <c r="F129" s="64">
        <v>3</v>
      </c>
      <c r="G129" s="64">
        <v>17</v>
      </c>
      <c r="H129" s="45" t="s">
        <v>187</v>
      </c>
      <c r="I129" s="42" t="str">
        <f t="shared" si="61"/>
        <v>ACO-M3B17P7</v>
      </c>
      <c r="J129" s="42" t="str">
        <f t="shared" si="66"/>
        <v>M3B17P7</v>
      </c>
      <c r="K129" s="42" t="str">
        <f t="shared" si="67"/>
        <v>M3B17P7-CK</v>
      </c>
      <c r="L129" s="82">
        <v>3</v>
      </c>
      <c r="M129" s="83" t="s">
        <v>74</v>
      </c>
      <c r="N129" s="84" t="s">
        <v>187</v>
      </c>
      <c r="O129" s="88" t="str">
        <f t="shared" si="62"/>
        <v>DBO-M3B07P7</v>
      </c>
      <c r="P129" s="82" t="str">
        <f t="shared" si="63"/>
        <v>M3B07P7-1</v>
      </c>
      <c r="Q129" s="82" t="str">
        <f t="shared" si="64"/>
        <v>M3B07P7-2</v>
      </c>
      <c r="R129" s="89" t="str">
        <f t="shared" si="65"/>
        <v>M3B07P7-FLASH</v>
      </c>
      <c r="AL129" s="103">
        <v>1</v>
      </c>
      <c r="AM129" s="101">
        <v>17</v>
      </c>
      <c r="AN129" s="44" t="s">
        <v>307</v>
      </c>
      <c r="AO129" s="42" t="str">
        <f t="shared" si="56"/>
        <v>NVO-M1B17P31</v>
      </c>
      <c r="AP129" s="59" t="str">
        <f t="shared" si="30"/>
        <v>M1B17P31</v>
      </c>
    </row>
    <row r="130" spans="1:42" ht="15" thickBot="1" x14ac:dyDescent="0.35">
      <c r="A130" s="64">
        <v>1</v>
      </c>
      <c r="B130" s="44" t="s">
        <v>83</v>
      </c>
      <c r="C130" s="44" t="s">
        <v>88</v>
      </c>
      <c r="D130" s="43" t="str">
        <f t="shared" si="36"/>
        <v>DI-M1B11P16</v>
      </c>
      <c r="E130" s="43" t="str">
        <f t="shared" si="35"/>
        <v>M1B11P16</v>
      </c>
      <c r="F130" s="64">
        <v>3</v>
      </c>
      <c r="G130" s="64">
        <v>17</v>
      </c>
      <c r="H130" s="45" t="s">
        <v>189</v>
      </c>
      <c r="I130" s="43" t="str">
        <f t="shared" si="61"/>
        <v>ACO-M3B17P8</v>
      </c>
      <c r="J130" s="43" t="str">
        <f t="shared" si="66"/>
        <v>M3B17P8</v>
      </c>
      <c r="K130" s="43" t="str">
        <f t="shared" si="67"/>
        <v>M3B17P8-CK</v>
      </c>
      <c r="L130" s="82">
        <v>3</v>
      </c>
      <c r="M130" s="83" t="s">
        <v>74</v>
      </c>
      <c r="N130" s="84" t="s">
        <v>189</v>
      </c>
      <c r="O130" s="90" t="str">
        <f t="shared" si="62"/>
        <v>DBO-M3B07P8</v>
      </c>
      <c r="P130" s="91" t="str">
        <f t="shared" si="63"/>
        <v>M3B07P8-1</v>
      </c>
      <c r="Q130" s="91" t="str">
        <f t="shared" si="64"/>
        <v>M3B07P8-2</v>
      </c>
      <c r="R130" s="92" t="str">
        <f t="shared" si="65"/>
        <v>M3B07P8-FLASH</v>
      </c>
      <c r="AL130" s="104">
        <v>1</v>
      </c>
      <c r="AM130" s="101">
        <v>17</v>
      </c>
      <c r="AN130" s="105" t="s">
        <v>308</v>
      </c>
      <c r="AO130" s="106" t="str">
        <f t="shared" si="56"/>
        <v>NVO-M1B17P32</v>
      </c>
      <c r="AP130" s="59" t="str">
        <f t="shared" si="30"/>
        <v>M1B17P32</v>
      </c>
    </row>
    <row r="131" spans="1:42" x14ac:dyDescent="0.3">
      <c r="A131" s="64">
        <v>2</v>
      </c>
      <c r="B131" s="44">
        <v>19</v>
      </c>
      <c r="C131" s="44" t="s">
        <v>75</v>
      </c>
      <c r="D131" s="41" t="str">
        <f t="shared" si="36"/>
        <v>DI-M2B19P01</v>
      </c>
      <c r="E131" s="41" t="str">
        <f t="shared" si="35"/>
        <v>M2B19P01</v>
      </c>
      <c r="F131" s="64">
        <v>3</v>
      </c>
      <c r="G131" s="64">
        <v>18</v>
      </c>
      <c r="H131" s="45" t="s">
        <v>175</v>
      </c>
      <c r="I131" s="41" t="str">
        <f t="shared" si="61"/>
        <v>ACO-M3B18P1</v>
      </c>
      <c r="J131" s="41" t="str">
        <f t="shared" si="66"/>
        <v>M3B18P1</v>
      </c>
      <c r="K131" s="41" t="str">
        <f t="shared" si="67"/>
        <v>M3B18P1-CK</v>
      </c>
      <c r="L131" s="82">
        <v>3</v>
      </c>
      <c r="M131" s="83" t="s">
        <v>80</v>
      </c>
      <c r="N131" s="84" t="s">
        <v>175</v>
      </c>
      <c r="O131" s="85" t="str">
        <f>("DBO-M"&amp;$L131&amp;"B"&amp;$M131&amp;"P"&amp;$N131)</f>
        <v>DBO-M3B08P1</v>
      </c>
      <c r="P131" s="86" t="str">
        <f>("M"&amp;$L131&amp;"B"&amp;$M131&amp;"P"&amp;$N131&amp;"-1")</f>
        <v>M3B08P1-1</v>
      </c>
      <c r="Q131" s="86" t="str">
        <f>("M"&amp;$L131&amp;"B"&amp;$M131&amp;"P"&amp;$N131&amp;"-2")</f>
        <v>M3B08P1-2</v>
      </c>
      <c r="R131" s="87" t="str">
        <f>("M"&amp;$L131&amp;"B"&amp;$M131&amp;"P"&amp;$N131&amp;"-FLASH")</f>
        <v>M3B08P1-FLASH</v>
      </c>
      <c r="AL131" s="97">
        <v>1</v>
      </c>
      <c r="AM131" s="93">
        <v>18</v>
      </c>
      <c r="AN131" s="93" t="s">
        <v>75</v>
      </c>
      <c r="AO131" s="57" t="str">
        <f>("NVO-M"&amp;AL131&amp;"B"&amp;AM131&amp;"P"&amp;AN131)</f>
        <v>NVO-M1B18P01</v>
      </c>
      <c r="AP131" s="59" t="str">
        <f>("M"&amp;$AL131&amp;"B"&amp;AM131&amp;"P"&amp;AN131)</f>
        <v>M1B18P01</v>
      </c>
    </row>
    <row r="132" spans="1:42" x14ac:dyDescent="0.3">
      <c r="A132" s="64">
        <v>2</v>
      </c>
      <c r="B132" s="44">
        <v>19</v>
      </c>
      <c r="C132" s="44" t="s">
        <v>76</v>
      </c>
      <c r="D132" s="42" t="str">
        <f t="shared" si="36"/>
        <v>DI-M2B19P02</v>
      </c>
      <c r="E132" s="42" t="str">
        <f t="shared" si="35"/>
        <v>M2B19P02</v>
      </c>
      <c r="F132" s="64">
        <v>3</v>
      </c>
      <c r="G132" s="64">
        <v>18</v>
      </c>
      <c r="H132" s="45" t="s">
        <v>177</v>
      </c>
      <c r="I132" s="42" t="str">
        <f t="shared" si="61"/>
        <v>ACO-M3B18P2</v>
      </c>
      <c r="J132" s="42" t="str">
        <f t="shared" si="66"/>
        <v>M3B18P2</v>
      </c>
      <c r="K132" s="42" t="str">
        <f t="shared" si="67"/>
        <v>M3B18P2-CK</v>
      </c>
      <c r="L132" s="82">
        <v>3</v>
      </c>
      <c r="M132" s="83" t="s">
        <v>80</v>
      </c>
      <c r="N132" s="84" t="s">
        <v>177</v>
      </c>
      <c r="O132" s="88" t="str">
        <f t="shared" si="62"/>
        <v>DBO-M3B08P2</v>
      </c>
      <c r="P132" s="82" t="str">
        <f t="shared" si="63"/>
        <v>M3B08P2-1</v>
      </c>
      <c r="Q132" s="82" t="str">
        <f t="shared" si="64"/>
        <v>M3B08P2-2</v>
      </c>
      <c r="R132" s="89" t="str">
        <f t="shared" si="65"/>
        <v>M3B08P2-FLASH</v>
      </c>
      <c r="AL132" s="97">
        <v>1</v>
      </c>
      <c r="AM132" s="93">
        <v>18</v>
      </c>
      <c r="AN132" s="93" t="s">
        <v>76</v>
      </c>
      <c r="AO132" s="57" t="str">
        <f t="shared" ref="AO132:AO162" si="68">("NVO-M"&amp;AL132&amp;"B"&amp;AM132&amp;"P"&amp;AN132)</f>
        <v>NVO-M1B18P02</v>
      </c>
      <c r="AP132" s="59" t="str">
        <f t="shared" ref="AP132:AP195" si="69">("M"&amp;$AL132&amp;"B"&amp;AM132&amp;"P"&amp;AN132)</f>
        <v>M1B18P02</v>
      </c>
    </row>
    <row r="133" spans="1:42" x14ac:dyDescent="0.3">
      <c r="A133" s="64">
        <v>2</v>
      </c>
      <c r="B133" s="44">
        <v>19</v>
      </c>
      <c r="C133" s="44" t="s">
        <v>77</v>
      </c>
      <c r="D133" s="42" t="str">
        <f t="shared" si="36"/>
        <v>DI-M2B19P03</v>
      </c>
      <c r="E133" s="42" t="str">
        <f t="shared" si="35"/>
        <v>M2B19P03</v>
      </c>
      <c r="F133" s="64">
        <v>3</v>
      </c>
      <c r="G133" s="64">
        <v>18</v>
      </c>
      <c r="H133" s="45" t="s">
        <v>179</v>
      </c>
      <c r="I133" s="42" t="str">
        <f t="shared" si="61"/>
        <v>ACO-M3B18P3</v>
      </c>
      <c r="J133" s="42" t="str">
        <f t="shared" si="66"/>
        <v>M3B18P3</v>
      </c>
      <c r="K133" s="42" t="str">
        <f t="shared" si="67"/>
        <v>M3B18P3-CK</v>
      </c>
      <c r="L133" s="82">
        <v>3</v>
      </c>
      <c r="M133" s="83" t="s">
        <v>80</v>
      </c>
      <c r="N133" s="84" t="s">
        <v>179</v>
      </c>
      <c r="O133" s="88" t="str">
        <f t="shared" si="62"/>
        <v>DBO-M3B08P3</v>
      </c>
      <c r="P133" s="82" t="str">
        <f t="shared" si="63"/>
        <v>M3B08P3-1</v>
      </c>
      <c r="Q133" s="82" t="str">
        <f t="shared" si="64"/>
        <v>M3B08P3-2</v>
      </c>
      <c r="R133" s="89" t="str">
        <f t="shared" si="65"/>
        <v>M3B08P3-FLASH</v>
      </c>
      <c r="AL133" s="97">
        <v>1</v>
      </c>
      <c r="AM133" s="93">
        <v>18</v>
      </c>
      <c r="AN133" s="93" t="s">
        <v>77</v>
      </c>
      <c r="AO133" s="57" t="str">
        <f t="shared" si="68"/>
        <v>NVO-M1B18P03</v>
      </c>
      <c r="AP133" s="59" t="str">
        <f t="shared" si="69"/>
        <v>M1B18P03</v>
      </c>
    </row>
    <row r="134" spans="1:42" x14ac:dyDescent="0.3">
      <c r="A134" s="64">
        <v>2</v>
      </c>
      <c r="B134" s="44">
        <v>19</v>
      </c>
      <c r="C134" s="44" t="s">
        <v>78</v>
      </c>
      <c r="D134" s="42" t="str">
        <f t="shared" si="36"/>
        <v>DI-M2B19P04</v>
      </c>
      <c r="E134" s="42" t="str">
        <f t="shared" ref="E134:E197" si="70">("M"&amp;$A134&amp;"B"&amp;$B134&amp;"P"&amp;$C134)</f>
        <v>M2B19P04</v>
      </c>
      <c r="F134" s="64">
        <v>3</v>
      </c>
      <c r="G134" s="64">
        <v>18</v>
      </c>
      <c r="H134" s="45" t="s">
        <v>181</v>
      </c>
      <c r="I134" s="42" t="str">
        <f t="shared" si="61"/>
        <v>ACO-M3B18P4</v>
      </c>
      <c r="J134" s="42" t="str">
        <f t="shared" si="66"/>
        <v>M3B18P4</v>
      </c>
      <c r="K134" s="42" t="str">
        <f t="shared" si="67"/>
        <v>M3B18P4-CK</v>
      </c>
      <c r="L134" s="82">
        <v>3</v>
      </c>
      <c r="M134" s="83" t="s">
        <v>80</v>
      </c>
      <c r="N134" s="84" t="s">
        <v>181</v>
      </c>
      <c r="O134" s="88" t="str">
        <f t="shared" si="62"/>
        <v>DBO-M3B08P4</v>
      </c>
      <c r="P134" s="82" t="str">
        <f t="shared" si="63"/>
        <v>M3B08P4-1</v>
      </c>
      <c r="Q134" s="82" t="str">
        <f t="shared" si="64"/>
        <v>M3B08P4-2</v>
      </c>
      <c r="R134" s="89" t="str">
        <f t="shared" si="65"/>
        <v>M3B08P4-FLASH</v>
      </c>
      <c r="AL134" s="97">
        <v>1</v>
      </c>
      <c r="AM134" s="93">
        <v>18</v>
      </c>
      <c r="AN134" s="93" t="s">
        <v>78</v>
      </c>
      <c r="AO134" s="57" t="str">
        <f t="shared" si="68"/>
        <v>NVO-M1B18P04</v>
      </c>
      <c r="AP134" s="59" t="str">
        <f t="shared" si="69"/>
        <v>M1B18P04</v>
      </c>
    </row>
    <row r="135" spans="1:42" x14ac:dyDescent="0.3">
      <c r="A135" s="64">
        <v>2</v>
      </c>
      <c r="B135" s="44">
        <v>19</v>
      </c>
      <c r="C135" s="44" t="s">
        <v>79</v>
      </c>
      <c r="D135" s="42" t="str">
        <f t="shared" ref="D135:D198" si="71">("DI-M"&amp;A135&amp;"B"&amp;B135&amp;"P"&amp;C135)</f>
        <v>DI-M2B19P05</v>
      </c>
      <c r="E135" s="42" t="str">
        <f t="shared" si="70"/>
        <v>M2B19P05</v>
      </c>
      <c r="F135" s="64">
        <v>3</v>
      </c>
      <c r="G135" s="64">
        <v>18</v>
      </c>
      <c r="H135" s="45" t="s">
        <v>183</v>
      </c>
      <c r="I135" s="42" t="str">
        <f t="shared" si="61"/>
        <v>ACO-M3B18P5</v>
      </c>
      <c r="J135" s="42" t="str">
        <f t="shared" si="66"/>
        <v>M3B18P5</v>
      </c>
      <c r="K135" s="42" t="str">
        <f t="shared" si="67"/>
        <v>M3B18P5-CK</v>
      </c>
      <c r="L135" s="82">
        <v>3</v>
      </c>
      <c r="M135" s="83" t="s">
        <v>80</v>
      </c>
      <c r="N135" s="84" t="s">
        <v>183</v>
      </c>
      <c r="O135" s="88" t="str">
        <f t="shared" si="62"/>
        <v>DBO-M3B08P5</v>
      </c>
      <c r="P135" s="82" t="str">
        <f t="shared" si="63"/>
        <v>M3B08P5-1</v>
      </c>
      <c r="Q135" s="82" t="str">
        <f t="shared" si="64"/>
        <v>M3B08P5-2</v>
      </c>
      <c r="R135" s="89" t="str">
        <f t="shared" si="65"/>
        <v>M3B08P5-FLASH</v>
      </c>
      <c r="AL135" s="97">
        <v>1</v>
      </c>
      <c r="AM135" s="93">
        <v>18</v>
      </c>
      <c r="AN135" s="93" t="s">
        <v>79</v>
      </c>
      <c r="AO135" s="57" t="str">
        <f t="shared" si="68"/>
        <v>NVO-M1B18P05</v>
      </c>
      <c r="AP135" s="59" t="str">
        <f t="shared" si="69"/>
        <v>M1B18P05</v>
      </c>
    </row>
    <row r="136" spans="1:42" x14ac:dyDescent="0.3">
      <c r="A136" s="64">
        <v>2</v>
      </c>
      <c r="B136" s="44">
        <v>19</v>
      </c>
      <c r="C136" s="44" t="s">
        <v>73</v>
      </c>
      <c r="D136" s="42" t="str">
        <f t="shared" si="71"/>
        <v>DI-M2B19P06</v>
      </c>
      <c r="E136" s="42" t="str">
        <f t="shared" si="70"/>
        <v>M2B19P06</v>
      </c>
      <c r="F136" s="64">
        <v>3</v>
      </c>
      <c r="G136" s="64">
        <v>18</v>
      </c>
      <c r="H136" s="45" t="s">
        <v>185</v>
      </c>
      <c r="I136" s="42" t="str">
        <f t="shared" si="61"/>
        <v>ACO-M3B18P6</v>
      </c>
      <c r="J136" s="42" t="str">
        <f t="shared" si="66"/>
        <v>M3B18P6</v>
      </c>
      <c r="K136" s="42" t="str">
        <f t="shared" si="67"/>
        <v>M3B18P6-CK</v>
      </c>
      <c r="L136" s="82">
        <v>3</v>
      </c>
      <c r="M136" s="83" t="s">
        <v>80</v>
      </c>
      <c r="N136" s="84" t="s">
        <v>185</v>
      </c>
      <c r="O136" s="88" t="str">
        <f t="shared" si="62"/>
        <v>DBO-M3B08P6</v>
      </c>
      <c r="P136" s="82" t="str">
        <f t="shared" si="63"/>
        <v>M3B08P6-1</v>
      </c>
      <c r="Q136" s="82" t="str">
        <f t="shared" si="64"/>
        <v>M3B08P6-2</v>
      </c>
      <c r="R136" s="89" t="str">
        <f t="shared" si="65"/>
        <v>M3B08P6-FLASH</v>
      </c>
      <c r="AL136" s="97">
        <v>1</v>
      </c>
      <c r="AM136" s="93">
        <v>18</v>
      </c>
      <c r="AN136" s="93" t="s">
        <v>73</v>
      </c>
      <c r="AO136" s="57" t="str">
        <f t="shared" si="68"/>
        <v>NVO-M1B18P06</v>
      </c>
      <c r="AP136" s="59" t="str">
        <f t="shared" si="69"/>
        <v>M1B18P06</v>
      </c>
    </row>
    <row r="137" spans="1:42" x14ac:dyDescent="0.3">
      <c r="A137" s="64">
        <v>2</v>
      </c>
      <c r="B137" s="44">
        <v>19</v>
      </c>
      <c r="C137" s="44" t="s">
        <v>74</v>
      </c>
      <c r="D137" s="42" t="str">
        <f t="shared" si="71"/>
        <v>DI-M2B19P07</v>
      </c>
      <c r="E137" s="42" t="str">
        <f t="shared" si="70"/>
        <v>M2B19P07</v>
      </c>
      <c r="F137" s="64">
        <v>3</v>
      </c>
      <c r="G137" s="64">
        <v>18</v>
      </c>
      <c r="H137" s="45" t="s">
        <v>187</v>
      </c>
      <c r="I137" s="42" t="str">
        <f t="shared" si="61"/>
        <v>ACO-M3B18P7</v>
      </c>
      <c r="J137" s="42" t="str">
        <f t="shared" si="66"/>
        <v>M3B18P7</v>
      </c>
      <c r="K137" s="42" t="str">
        <f t="shared" si="67"/>
        <v>M3B18P7-CK</v>
      </c>
      <c r="L137" s="82">
        <v>3</v>
      </c>
      <c r="M137" s="83" t="s">
        <v>80</v>
      </c>
      <c r="N137" s="84" t="s">
        <v>187</v>
      </c>
      <c r="O137" s="88" t="str">
        <f t="shared" si="62"/>
        <v>DBO-M3B08P7</v>
      </c>
      <c r="P137" s="82" t="str">
        <f t="shared" si="63"/>
        <v>M3B08P7-1</v>
      </c>
      <c r="Q137" s="82" t="str">
        <f t="shared" si="64"/>
        <v>M3B08P7-2</v>
      </c>
      <c r="R137" s="89" t="str">
        <f t="shared" si="65"/>
        <v>M3B08P7-FLASH</v>
      </c>
      <c r="AL137" s="97">
        <v>1</v>
      </c>
      <c r="AM137" s="93">
        <v>18</v>
      </c>
      <c r="AN137" s="93" t="s">
        <v>74</v>
      </c>
      <c r="AO137" s="57" t="str">
        <f t="shared" si="68"/>
        <v>NVO-M1B18P07</v>
      </c>
      <c r="AP137" s="59" t="str">
        <f t="shared" si="69"/>
        <v>M1B18P07</v>
      </c>
    </row>
    <row r="138" spans="1:42" x14ac:dyDescent="0.3">
      <c r="A138" s="64">
        <v>2</v>
      </c>
      <c r="B138" s="44">
        <v>19</v>
      </c>
      <c r="C138" s="44" t="s">
        <v>80</v>
      </c>
      <c r="D138" s="42" t="str">
        <f t="shared" si="71"/>
        <v>DI-M2B19P08</v>
      </c>
      <c r="E138" s="42" t="str">
        <f t="shared" si="70"/>
        <v>M2B19P08</v>
      </c>
      <c r="F138" s="64">
        <v>3</v>
      </c>
      <c r="G138" s="64">
        <v>18</v>
      </c>
      <c r="H138" s="45" t="s">
        <v>189</v>
      </c>
      <c r="I138" s="43" t="str">
        <f t="shared" si="61"/>
        <v>ACO-M3B18P8</v>
      </c>
      <c r="J138" s="43" t="str">
        <f t="shared" si="66"/>
        <v>M3B18P8</v>
      </c>
      <c r="K138" s="43" t="str">
        <f t="shared" si="67"/>
        <v>M3B18P8-CK</v>
      </c>
      <c r="L138" s="82">
        <v>3</v>
      </c>
      <c r="M138" s="83" t="s">
        <v>80</v>
      </c>
      <c r="N138" s="84" t="s">
        <v>189</v>
      </c>
      <c r="O138" s="90" t="str">
        <f t="shared" si="62"/>
        <v>DBO-M3B08P8</v>
      </c>
      <c r="P138" s="91" t="str">
        <f t="shared" si="63"/>
        <v>M3B08P8-1</v>
      </c>
      <c r="Q138" s="91" t="str">
        <f t="shared" si="64"/>
        <v>M3B08P8-2</v>
      </c>
      <c r="R138" s="92" t="str">
        <f t="shared" si="65"/>
        <v>M3B08P8-FLASH</v>
      </c>
      <c r="AL138" s="97">
        <v>1</v>
      </c>
      <c r="AM138" s="93">
        <v>18</v>
      </c>
      <c r="AN138" s="93" t="s">
        <v>80</v>
      </c>
      <c r="AO138" s="57" t="str">
        <f t="shared" si="68"/>
        <v>NVO-M1B18P08</v>
      </c>
      <c r="AP138" s="59" t="str">
        <f t="shared" si="69"/>
        <v>M1B18P08</v>
      </c>
    </row>
    <row r="139" spans="1:42" x14ac:dyDescent="0.3">
      <c r="A139" s="64">
        <v>2</v>
      </c>
      <c r="B139" s="44">
        <v>19</v>
      </c>
      <c r="C139" s="44" t="s">
        <v>81</v>
      </c>
      <c r="D139" s="42" t="str">
        <f t="shared" si="71"/>
        <v>DI-M2B19P09</v>
      </c>
      <c r="E139" s="42" t="str">
        <f t="shared" si="70"/>
        <v>M2B19P09</v>
      </c>
      <c r="F139" s="64">
        <v>3</v>
      </c>
      <c r="G139" s="64">
        <v>19</v>
      </c>
      <c r="H139" s="45" t="s">
        <v>175</v>
      </c>
      <c r="I139" s="41" t="str">
        <f t="shared" si="61"/>
        <v>ACO-M3B19P1</v>
      </c>
      <c r="J139" s="41" t="str">
        <f t="shared" si="66"/>
        <v>M3B19P1</v>
      </c>
      <c r="K139" s="41" t="str">
        <f t="shared" si="67"/>
        <v>M3B19P1-CK</v>
      </c>
      <c r="L139" s="68">
        <v>3</v>
      </c>
      <c r="M139" s="69" t="s">
        <v>81</v>
      </c>
      <c r="N139" s="78" t="s">
        <v>175</v>
      </c>
      <c r="O139" s="70" t="str">
        <f>("DBO-M"&amp;$L139&amp;"B"&amp;$M139&amp;"P"&amp;$N139)</f>
        <v>DBO-M3B09P1</v>
      </c>
      <c r="P139" s="71" t="str">
        <f>("M"&amp;$L139&amp;"B"&amp;$M139&amp;"P"&amp;$N139&amp;"-1")</f>
        <v>M3B09P1-1</v>
      </c>
      <c r="Q139" s="71" t="str">
        <f>("M"&amp;$L139&amp;"B"&amp;$M139&amp;"P"&amp;$N139&amp;"-2")</f>
        <v>M3B09P1-2</v>
      </c>
      <c r="R139" s="72" t="str">
        <f>("M"&amp;$L139&amp;"B"&amp;$M139&amp;"P"&amp;$N139&amp;"-FLASH")</f>
        <v>M3B09P1-FLASH</v>
      </c>
      <c r="AL139" s="97">
        <v>1</v>
      </c>
      <c r="AM139" s="93">
        <v>18</v>
      </c>
      <c r="AN139" s="93" t="s">
        <v>81</v>
      </c>
      <c r="AO139" s="57" t="str">
        <f t="shared" si="68"/>
        <v>NVO-M1B18P09</v>
      </c>
      <c r="AP139" s="59" t="str">
        <f t="shared" si="69"/>
        <v>M1B18P09</v>
      </c>
    </row>
    <row r="140" spans="1:42" x14ac:dyDescent="0.3">
      <c r="A140" s="64">
        <v>2</v>
      </c>
      <c r="B140" s="44">
        <v>19</v>
      </c>
      <c r="C140" s="44" t="s">
        <v>82</v>
      </c>
      <c r="D140" s="42" t="str">
        <f t="shared" si="71"/>
        <v>DI-M2B19P10</v>
      </c>
      <c r="E140" s="42" t="str">
        <f t="shared" si="70"/>
        <v>M2B19P10</v>
      </c>
      <c r="F140" s="64">
        <v>3</v>
      </c>
      <c r="G140" s="64">
        <v>19</v>
      </c>
      <c r="H140" s="45" t="s">
        <v>177</v>
      </c>
      <c r="I140" s="42" t="str">
        <f t="shared" si="61"/>
        <v>ACO-M3B19P2</v>
      </c>
      <c r="J140" s="42" t="str">
        <f t="shared" si="66"/>
        <v>M3B19P2</v>
      </c>
      <c r="K140" s="42" t="str">
        <f t="shared" si="67"/>
        <v>M3B19P2-CK</v>
      </c>
      <c r="L140" s="68">
        <v>3</v>
      </c>
      <c r="M140" s="69" t="s">
        <v>81</v>
      </c>
      <c r="N140" s="78" t="s">
        <v>177</v>
      </c>
      <c r="O140" s="73" t="str">
        <f t="shared" si="62"/>
        <v>DBO-M3B09P2</v>
      </c>
      <c r="P140" s="68" t="str">
        <f t="shared" si="63"/>
        <v>M3B09P2-1</v>
      </c>
      <c r="Q140" s="68" t="str">
        <f t="shared" si="64"/>
        <v>M3B09P2-2</v>
      </c>
      <c r="R140" s="74" t="str">
        <f t="shared" si="65"/>
        <v>M3B09P2-FLASH</v>
      </c>
      <c r="AL140" s="97">
        <v>1</v>
      </c>
      <c r="AM140" s="93">
        <v>18</v>
      </c>
      <c r="AN140" s="93" t="s">
        <v>82</v>
      </c>
      <c r="AO140" s="57" t="str">
        <f t="shared" si="68"/>
        <v>NVO-M1B18P10</v>
      </c>
      <c r="AP140" s="59" t="str">
        <f t="shared" si="69"/>
        <v>M1B18P10</v>
      </c>
    </row>
    <row r="141" spans="1:42" x14ac:dyDescent="0.3">
      <c r="A141" s="64">
        <v>2</v>
      </c>
      <c r="B141" s="44">
        <v>19</v>
      </c>
      <c r="C141" s="44" t="s">
        <v>83</v>
      </c>
      <c r="D141" s="42" t="str">
        <f t="shared" si="71"/>
        <v>DI-M2B19P11</v>
      </c>
      <c r="E141" s="42" t="str">
        <f t="shared" si="70"/>
        <v>M2B19P11</v>
      </c>
      <c r="F141" s="64">
        <v>3</v>
      </c>
      <c r="G141" s="64">
        <v>19</v>
      </c>
      <c r="H141" s="45" t="s">
        <v>179</v>
      </c>
      <c r="I141" s="42" t="str">
        <f t="shared" si="61"/>
        <v>ACO-M3B19P3</v>
      </c>
      <c r="J141" s="42" t="str">
        <f t="shared" si="66"/>
        <v>M3B19P3</v>
      </c>
      <c r="K141" s="42" t="str">
        <f t="shared" si="67"/>
        <v>M3B19P3-CK</v>
      </c>
      <c r="L141" s="68">
        <v>3</v>
      </c>
      <c r="M141" s="69" t="s">
        <v>81</v>
      </c>
      <c r="N141" s="78" t="s">
        <v>179</v>
      </c>
      <c r="O141" s="73" t="str">
        <f t="shared" si="62"/>
        <v>DBO-M3B09P3</v>
      </c>
      <c r="P141" s="68" t="str">
        <f t="shared" si="63"/>
        <v>M3B09P3-1</v>
      </c>
      <c r="Q141" s="68" t="str">
        <f t="shared" si="64"/>
        <v>M3B09P3-2</v>
      </c>
      <c r="R141" s="74" t="str">
        <f t="shared" si="65"/>
        <v>M3B09P3-FLASH</v>
      </c>
      <c r="AL141" s="97">
        <v>1</v>
      </c>
      <c r="AM141" s="93">
        <v>18</v>
      </c>
      <c r="AN141" s="93" t="s">
        <v>83</v>
      </c>
      <c r="AO141" s="57" t="str">
        <f t="shared" si="68"/>
        <v>NVO-M1B18P11</v>
      </c>
      <c r="AP141" s="59" t="str">
        <f t="shared" si="69"/>
        <v>M1B18P11</v>
      </c>
    </row>
    <row r="142" spans="1:42" x14ac:dyDescent="0.3">
      <c r="A142" s="64">
        <v>2</v>
      </c>
      <c r="B142" s="44">
        <v>19</v>
      </c>
      <c r="C142" s="44" t="s">
        <v>84</v>
      </c>
      <c r="D142" s="42" t="str">
        <f t="shared" si="71"/>
        <v>DI-M2B19P12</v>
      </c>
      <c r="E142" s="42" t="str">
        <f t="shared" si="70"/>
        <v>M2B19P12</v>
      </c>
      <c r="F142" s="64">
        <v>3</v>
      </c>
      <c r="G142" s="64">
        <v>19</v>
      </c>
      <c r="H142" s="45" t="s">
        <v>181</v>
      </c>
      <c r="I142" s="42" t="str">
        <f t="shared" si="61"/>
        <v>ACO-M3B19P4</v>
      </c>
      <c r="J142" s="42" t="str">
        <f t="shared" si="66"/>
        <v>M3B19P4</v>
      </c>
      <c r="K142" s="42" t="str">
        <f t="shared" si="67"/>
        <v>M3B19P4-CK</v>
      </c>
      <c r="L142" s="68">
        <v>3</v>
      </c>
      <c r="M142" s="69" t="s">
        <v>81</v>
      </c>
      <c r="N142" s="78" t="s">
        <v>181</v>
      </c>
      <c r="O142" s="73" t="str">
        <f t="shared" si="62"/>
        <v>DBO-M3B09P4</v>
      </c>
      <c r="P142" s="68" t="str">
        <f t="shared" si="63"/>
        <v>M3B09P4-1</v>
      </c>
      <c r="Q142" s="68" t="str">
        <f t="shared" si="64"/>
        <v>M3B09P4-2</v>
      </c>
      <c r="R142" s="74" t="str">
        <f t="shared" si="65"/>
        <v>M3B09P4-FLASH</v>
      </c>
      <c r="AL142" s="97">
        <v>1</v>
      </c>
      <c r="AM142" s="93">
        <v>18</v>
      </c>
      <c r="AN142" s="93" t="s">
        <v>84</v>
      </c>
      <c r="AO142" s="57" t="str">
        <f t="shared" si="68"/>
        <v>NVO-M1B18P12</v>
      </c>
      <c r="AP142" s="59" t="str">
        <f t="shared" si="69"/>
        <v>M1B18P12</v>
      </c>
    </row>
    <row r="143" spans="1:42" x14ac:dyDescent="0.3">
      <c r="A143" s="64">
        <v>2</v>
      </c>
      <c r="B143" s="44">
        <v>19</v>
      </c>
      <c r="C143" s="44" t="s">
        <v>85</v>
      </c>
      <c r="D143" s="42" t="str">
        <f t="shared" si="71"/>
        <v>DI-M2B19P13</v>
      </c>
      <c r="E143" s="42" t="str">
        <f t="shared" si="70"/>
        <v>M2B19P13</v>
      </c>
      <c r="F143" s="64">
        <v>3</v>
      </c>
      <c r="G143" s="64">
        <v>19</v>
      </c>
      <c r="H143" s="45" t="s">
        <v>183</v>
      </c>
      <c r="I143" s="42" t="str">
        <f t="shared" si="61"/>
        <v>ACO-M3B19P5</v>
      </c>
      <c r="J143" s="42" t="str">
        <f t="shared" si="66"/>
        <v>M3B19P5</v>
      </c>
      <c r="K143" s="42" t="str">
        <f t="shared" si="67"/>
        <v>M3B19P5-CK</v>
      </c>
      <c r="L143" s="68">
        <v>3</v>
      </c>
      <c r="M143" s="69" t="s">
        <v>81</v>
      </c>
      <c r="N143" s="78" t="s">
        <v>183</v>
      </c>
      <c r="O143" s="73" t="str">
        <f t="shared" si="62"/>
        <v>DBO-M3B09P5</v>
      </c>
      <c r="P143" s="68" t="str">
        <f t="shared" si="63"/>
        <v>M3B09P5-1</v>
      </c>
      <c r="Q143" s="68" t="str">
        <f t="shared" si="64"/>
        <v>M3B09P5-2</v>
      </c>
      <c r="R143" s="74" t="str">
        <f t="shared" si="65"/>
        <v>M3B09P5-FLASH</v>
      </c>
      <c r="AL143" s="97">
        <v>1</v>
      </c>
      <c r="AM143" s="93">
        <v>18</v>
      </c>
      <c r="AN143" s="93" t="s">
        <v>85</v>
      </c>
      <c r="AO143" s="57" t="str">
        <f t="shared" si="68"/>
        <v>NVO-M1B18P13</v>
      </c>
      <c r="AP143" s="59" t="str">
        <f t="shared" si="69"/>
        <v>M1B18P13</v>
      </c>
    </row>
    <row r="144" spans="1:42" x14ac:dyDescent="0.3">
      <c r="A144" s="64">
        <v>2</v>
      </c>
      <c r="B144" s="44">
        <v>19</v>
      </c>
      <c r="C144" s="44" t="s">
        <v>86</v>
      </c>
      <c r="D144" s="42" t="str">
        <f t="shared" si="71"/>
        <v>DI-M2B19P14</v>
      </c>
      <c r="E144" s="42" t="str">
        <f t="shared" si="70"/>
        <v>M2B19P14</v>
      </c>
      <c r="F144" s="64">
        <v>3</v>
      </c>
      <c r="G144" s="64">
        <v>19</v>
      </c>
      <c r="H144" s="45" t="s">
        <v>185</v>
      </c>
      <c r="I144" s="42" t="str">
        <f t="shared" si="61"/>
        <v>ACO-M3B19P6</v>
      </c>
      <c r="J144" s="42" t="str">
        <f t="shared" si="66"/>
        <v>M3B19P6</v>
      </c>
      <c r="K144" s="42" t="str">
        <f t="shared" si="67"/>
        <v>M3B19P6-CK</v>
      </c>
      <c r="L144" s="68">
        <v>3</v>
      </c>
      <c r="M144" s="69" t="s">
        <v>81</v>
      </c>
      <c r="N144" s="78" t="s">
        <v>185</v>
      </c>
      <c r="O144" s="73" t="str">
        <f t="shared" si="62"/>
        <v>DBO-M3B09P6</v>
      </c>
      <c r="P144" s="68" t="str">
        <f t="shared" si="63"/>
        <v>M3B09P6-1</v>
      </c>
      <c r="Q144" s="68" t="str">
        <f t="shared" si="64"/>
        <v>M3B09P6-2</v>
      </c>
      <c r="R144" s="74" t="str">
        <f t="shared" si="65"/>
        <v>M3B09P6-FLASH</v>
      </c>
      <c r="AL144" s="97">
        <v>1</v>
      </c>
      <c r="AM144" s="93">
        <v>18</v>
      </c>
      <c r="AN144" s="93" t="s">
        <v>86</v>
      </c>
      <c r="AO144" s="57" t="str">
        <f t="shared" si="68"/>
        <v>NVO-M1B18P14</v>
      </c>
      <c r="AP144" s="59" t="str">
        <f t="shared" si="69"/>
        <v>M1B18P14</v>
      </c>
    </row>
    <row r="145" spans="1:42" x14ac:dyDescent="0.3">
      <c r="A145" s="64">
        <v>2</v>
      </c>
      <c r="B145" s="44">
        <v>19</v>
      </c>
      <c r="C145" s="44" t="s">
        <v>87</v>
      </c>
      <c r="D145" s="42" t="str">
        <f t="shared" si="71"/>
        <v>DI-M2B19P15</v>
      </c>
      <c r="E145" s="42" t="str">
        <f t="shared" si="70"/>
        <v>M2B19P15</v>
      </c>
      <c r="F145" s="64">
        <v>3</v>
      </c>
      <c r="G145" s="64">
        <v>19</v>
      </c>
      <c r="H145" s="45" t="s">
        <v>187</v>
      </c>
      <c r="I145" s="42" t="str">
        <f t="shared" si="61"/>
        <v>ACO-M3B19P7</v>
      </c>
      <c r="J145" s="42" t="str">
        <f t="shared" si="66"/>
        <v>M3B19P7</v>
      </c>
      <c r="K145" s="42" t="str">
        <f t="shared" si="67"/>
        <v>M3B19P7-CK</v>
      </c>
      <c r="L145" s="68">
        <v>3</v>
      </c>
      <c r="M145" s="69" t="s">
        <v>81</v>
      </c>
      <c r="N145" s="78" t="s">
        <v>187</v>
      </c>
      <c r="O145" s="73" t="str">
        <f t="shared" si="62"/>
        <v>DBO-M3B09P7</v>
      </c>
      <c r="P145" s="68" t="str">
        <f t="shared" si="63"/>
        <v>M3B09P7-1</v>
      </c>
      <c r="Q145" s="68" t="str">
        <f t="shared" si="64"/>
        <v>M3B09P7-2</v>
      </c>
      <c r="R145" s="74" t="str">
        <f t="shared" si="65"/>
        <v>M3B09P7-FLASH</v>
      </c>
      <c r="AL145" s="97">
        <v>1</v>
      </c>
      <c r="AM145" s="93">
        <v>18</v>
      </c>
      <c r="AN145" s="93" t="s">
        <v>87</v>
      </c>
      <c r="AO145" s="57" t="str">
        <f t="shared" si="68"/>
        <v>NVO-M1B18P15</v>
      </c>
      <c r="AP145" s="59" t="str">
        <f t="shared" si="69"/>
        <v>M1B18P15</v>
      </c>
    </row>
    <row r="146" spans="1:42" x14ac:dyDescent="0.3">
      <c r="A146" s="64">
        <v>2</v>
      </c>
      <c r="B146" s="44">
        <v>19</v>
      </c>
      <c r="C146" s="44" t="s">
        <v>88</v>
      </c>
      <c r="D146" s="43" t="str">
        <f t="shared" si="71"/>
        <v>DI-M2B19P16</v>
      </c>
      <c r="E146" s="43" t="str">
        <f t="shared" si="70"/>
        <v>M2B19P16</v>
      </c>
      <c r="F146" s="64">
        <v>3</v>
      </c>
      <c r="G146" s="64">
        <v>19</v>
      </c>
      <c r="H146" s="45" t="s">
        <v>189</v>
      </c>
      <c r="I146" s="43" t="str">
        <f t="shared" si="61"/>
        <v>ACO-M3B19P8</v>
      </c>
      <c r="J146" s="43" t="str">
        <f t="shared" si="66"/>
        <v>M3B19P8</v>
      </c>
      <c r="K146" s="43" t="str">
        <f t="shared" si="67"/>
        <v>M3B19P8-CK</v>
      </c>
      <c r="L146" s="68">
        <v>3</v>
      </c>
      <c r="M146" s="69" t="s">
        <v>81</v>
      </c>
      <c r="N146" s="78" t="s">
        <v>189</v>
      </c>
      <c r="O146" s="75" t="str">
        <f t="shared" si="62"/>
        <v>DBO-M3B09P8</v>
      </c>
      <c r="P146" s="76" t="str">
        <f t="shared" si="63"/>
        <v>M3B09P8-1</v>
      </c>
      <c r="Q146" s="76" t="str">
        <f t="shared" si="64"/>
        <v>M3B09P8-2</v>
      </c>
      <c r="R146" s="77" t="str">
        <f t="shared" si="65"/>
        <v>M3B09P8-FLASH</v>
      </c>
      <c r="AL146" s="97">
        <v>1</v>
      </c>
      <c r="AM146" s="93">
        <v>18</v>
      </c>
      <c r="AN146" s="93" t="s">
        <v>88</v>
      </c>
      <c r="AO146" s="57" t="str">
        <f t="shared" si="68"/>
        <v>NVO-M1B18P16</v>
      </c>
      <c r="AP146" s="59" t="str">
        <f t="shared" si="69"/>
        <v>M1B18P16</v>
      </c>
    </row>
    <row r="147" spans="1:42" x14ac:dyDescent="0.3">
      <c r="A147" s="64">
        <v>2</v>
      </c>
      <c r="B147" s="44">
        <v>20</v>
      </c>
      <c r="C147" s="44" t="s">
        <v>75</v>
      </c>
      <c r="D147" s="41" t="str">
        <f t="shared" si="71"/>
        <v>DI-M2B20P01</v>
      </c>
      <c r="E147" s="41" t="str">
        <f t="shared" si="70"/>
        <v>M2B20P01</v>
      </c>
      <c r="L147" s="68">
        <v>3</v>
      </c>
      <c r="M147" s="69" t="s">
        <v>82</v>
      </c>
      <c r="N147" s="78" t="s">
        <v>175</v>
      </c>
      <c r="O147" s="70" t="str">
        <f>("DBO-M"&amp;$L147&amp;"B"&amp;$M147&amp;"P"&amp;$N147)</f>
        <v>DBO-M3B10P1</v>
      </c>
      <c r="P147" s="71" t="str">
        <f>("M"&amp;$L147&amp;"B"&amp;$M147&amp;"P"&amp;$N147&amp;"-1")</f>
        <v>M3B10P1-1</v>
      </c>
      <c r="Q147" s="71" t="str">
        <f>("M"&amp;$L147&amp;"B"&amp;$M147&amp;"P"&amp;$N147&amp;"-2")</f>
        <v>M3B10P1-2</v>
      </c>
      <c r="R147" s="72" t="str">
        <f>("M"&amp;$L147&amp;"B"&amp;$M147&amp;"P"&amp;$N147&amp;"-FLASH")</f>
        <v>M3B10P1-FLASH</v>
      </c>
      <c r="AL147" s="97">
        <v>1</v>
      </c>
      <c r="AM147" s="93">
        <v>18</v>
      </c>
      <c r="AN147" s="93" t="s">
        <v>297</v>
      </c>
      <c r="AO147" s="57" t="str">
        <f t="shared" si="68"/>
        <v>NVO-M1B18P17</v>
      </c>
      <c r="AP147" s="59" t="str">
        <f t="shared" si="69"/>
        <v>M1B18P17</v>
      </c>
    </row>
    <row r="148" spans="1:42" x14ac:dyDescent="0.3">
      <c r="A148" s="64">
        <v>2</v>
      </c>
      <c r="B148" s="44">
        <v>20</v>
      </c>
      <c r="C148" s="44" t="s">
        <v>76</v>
      </c>
      <c r="D148" s="42" t="str">
        <f t="shared" si="71"/>
        <v>DI-M2B20P02</v>
      </c>
      <c r="E148" s="42" t="str">
        <f t="shared" si="70"/>
        <v>M2B20P02</v>
      </c>
      <c r="L148" s="68">
        <v>3</v>
      </c>
      <c r="M148" s="69" t="s">
        <v>82</v>
      </c>
      <c r="N148" s="78" t="s">
        <v>177</v>
      </c>
      <c r="O148" s="73" t="str">
        <f t="shared" si="62"/>
        <v>DBO-M3B10P2</v>
      </c>
      <c r="P148" s="68" t="str">
        <f t="shared" si="63"/>
        <v>M3B10P2-1</v>
      </c>
      <c r="Q148" s="68" t="str">
        <f t="shared" si="64"/>
        <v>M3B10P2-2</v>
      </c>
      <c r="R148" s="74" t="str">
        <f t="shared" si="65"/>
        <v>M3B10P2-FLASH</v>
      </c>
      <c r="AL148" s="97">
        <v>1</v>
      </c>
      <c r="AM148" s="93">
        <v>18</v>
      </c>
      <c r="AN148" s="93" t="s">
        <v>191</v>
      </c>
      <c r="AO148" s="57" t="str">
        <f t="shared" si="68"/>
        <v>NVO-M1B18P18</v>
      </c>
      <c r="AP148" s="59" t="str">
        <f t="shared" si="69"/>
        <v>M1B18P18</v>
      </c>
    </row>
    <row r="149" spans="1:42" x14ac:dyDescent="0.3">
      <c r="A149" s="64">
        <v>2</v>
      </c>
      <c r="B149" s="44">
        <v>20</v>
      </c>
      <c r="C149" s="44" t="s">
        <v>77</v>
      </c>
      <c r="D149" s="42" t="str">
        <f t="shared" si="71"/>
        <v>DI-M2B20P03</v>
      </c>
      <c r="E149" s="42" t="str">
        <f t="shared" si="70"/>
        <v>M2B20P03</v>
      </c>
      <c r="L149" s="68">
        <v>3</v>
      </c>
      <c r="M149" s="69" t="s">
        <v>82</v>
      </c>
      <c r="N149" s="78" t="s">
        <v>179</v>
      </c>
      <c r="O149" s="73" t="str">
        <f t="shared" si="62"/>
        <v>DBO-M3B10P3</v>
      </c>
      <c r="P149" s="68" t="str">
        <f t="shared" si="63"/>
        <v>M3B10P3-1</v>
      </c>
      <c r="Q149" s="68" t="str">
        <f t="shared" si="64"/>
        <v>M3B10P3-2</v>
      </c>
      <c r="R149" s="74" t="str">
        <f t="shared" si="65"/>
        <v>M3B10P3-FLASH</v>
      </c>
      <c r="AL149" s="97">
        <v>1</v>
      </c>
      <c r="AM149" s="93">
        <v>18</v>
      </c>
      <c r="AN149" s="93" t="s">
        <v>200</v>
      </c>
      <c r="AO149" s="57" t="str">
        <f t="shared" si="68"/>
        <v>NVO-M1B18P19</v>
      </c>
      <c r="AP149" s="59" t="str">
        <f t="shared" si="69"/>
        <v>M1B18P19</v>
      </c>
    </row>
    <row r="150" spans="1:42" x14ac:dyDescent="0.3">
      <c r="A150" s="64">
        <v>2</v>
      </c>
      <c r="B150" s="44">
        <v>20</v>
      </c>
      <c r="C150" s="44" t="s">
        <v>78</v>
      </c>
      <c r="D150" s="42" t="str">
        <f t="shared" si="71"/>
        <v>DI-M2B20P04</v>
      </c>
      <c r="E150" s="42" t="str">
        <f t="shared" si="70"/>
        <v>M2B20P04</v>
      </c>
      <c r="L150" s="68">
        <v>3</v>
      </c>
      <c r="M150" s="69" t="s">
        <v>82</v>
      </c>
      <c r="N150" s="78" t="s">
        <v>181</v>
      </c>
      <c r="O150" s="73" t="str">
        <f t="shared" si="62"/>
        <v>DBO-M3B10P4</v>
      </c>
      <c r="P150" s="68" t="str">
        <f t="shared" si="63"/>
        <v>M3B10P4-1</v>
      </c>
      <c r="Q150" s="68" t="str">
        <f t="shared" si="64"/>
        <v>M3B10P4-2</v>
      </c>
      <c r="R150" s="74" t="str">
        <f t="shared" si="65"/>
        <v>M3B10P4-FLASH</v>
      </c>
      <c r="AL150" s="97">
        <v>1</v>
      </c>
      <c r="AM150" s="93">
        <v>18</v>
      </c>
      <c r="AN150" s="93" t="s">
        <v>209</v>
      </c>
      <c r="AO150" s="57" t="str">
        <f t="shared" si="68"/>
        <v>NVO-M1B18P20</v>
      </c>
      <c r="AP150" s="59" t="str">
        <f t="shared" si="69"/>
        <v>M1B18P20</v>
      </c>
    </row>
    <row r="151" spans="1:42" x14ac:dyDescent="0.3">
      <c r="A151" s="64">
        <v>2</v>
      </c>
      <c r="B151" s="44">
        <v>20</v>
      </c>
      <c r="C151" s="44" t="s">
        <v>79</v>
      </c>
      <c r="D151" s="42" t="str">
        <f t="shared" si="71"/>
        <v>DI-M2B20P05</v>
      </c>
      <c r="E151" s="42" t="str">
        <f t="shared" si="70"/>
        <v>M2B20P05</v>
      </c>
      <c r="L151" s="68">
        <v>3</v>
      </c>
      <c r="M151" s="69" t="s">
        <v>82</v>
      </c>
      <c r="N151" s="78" t="s">
        <v>183</v>
      </c>
      <c r="O151" s="73" t="str">
        <f t="shared" si="62"/>
        <v>DBO-M3B10P5</v>
      </c>
      <c r="P151" s="68" t="str">
        <f t="shared" si="63"/>
        <v>M3B10P5-1</v>
      </c>
      <c r="Q151" s="68" t="str">
        <f t="shared" si="64"/>
        <v>M3B10P5-2</v>
      </c>
      <c r="R151" s="74" t="str">
        <f t="shared" si="65"/>
        <v>M3B10P5-FLASH</v>
      </c>
      <c r="AL151" s="97">
        <v>1</v>
      </c>
      <c r="AM151" s="93">
        <v>18</v>
      </c>
      <c r="AN151" s="93" t="s">
        <v>218</v>
      </c>
      <c r="AO151" s="57" t="str">
        <f t="shared" si="68"/>
        <v>NVO-M1B18P21</v>
      </c>
      <c r="AP151" s="59" t="str">
        <f t="shared" si="69"/>
        <v>M1B18P21</v>
      </c>
    </row>
    <row r="152" spans="1:42" x14ac:dyDescent="0.3">
      <c r="A152" s="64">
        <v>2</v>
      </c>
      <c r="B152" s="44">
        <v>20</v>
      </c>
      <c r="C152" s="44" t="s">
        <v>73</v>
      </c>
      <c r="D152" s="42" t="str">
        <f t="shared" si="71"/>
        <v>DI-M2B20P06</v>
      </c>
      <c r="E152" s="42" t="str">
        <f t="shared" si="70"/>
        <v>M2B20P06</v>
      </c>
      <c r="L152" s="68">
        <v>3</v>
      </c>
      <c r="M152" s="69" t="s">
        <v>82</v>
      </c>
      <c r="N152" s="78" t="s">
        <v>185</v>
      </c>
      <c r="O152" s="73" t="str">
        <f t="shared" si="62"/>
        <v>DBO-M3B10P6</v>
      </c>
      <c r="P152" s="68" t="str">
        <f t="shared" si="63"/>
        <v>M3B10P6-1</v>
      </c>
      <c r="Q152" s="68" t="str">
        <f t="shared" si="64"/>
        <v>M3B10P6-2</v>
      </c>
      <c r="R152" s="74" t="str">
        <f t="shared" si="65"/>
        <v>M3B10P6-FLASH</v>
      </c>
      <c r="AL152" s="97">
        <v>1</v>
      </c>
      <c r="AM152" s="93">
        <v>18</v>
      </c>
      <c r="AN152" s="93" t="s">
        <v>298</v>
      </c>
      <c r="AO152" s="57" t="str">
        <f t="shared" si="68"/>
        <v>NVO-M1B18P22</v>
      </c>
      <c r="AP152" s="59" t="str">
        <f t="shared" si="69"/>
        <v>M1B18P22</v>
      </c>
    </row>
    <row r="153" spans="1:42" x14ac:dyDescent="0.3">
      <c r="A153" s="64">
        <v>2</v>
      </c>
      <c r="B153" s="44">
        <v>20</v>
      </c>
      <c r="C153" s="44" t="s">
        <v>74</v>
      </c>
      <c r="D153" s="42" t="str">
        <f t="shared" si="71"/>
        <v>DI-M2B20P07</v>
      </c>
      <c r="E153" s="42" t="str">
        <f t="shared" si="70"/>
        <v>M2B20P07</v>
      </c>
      <c r="L153" s="68">
        <v>3</v>
      </c>
      <c r="M153" s="69" t="s">
        <v>82</v>
      </c>
      <c r="N153" s="78" t="s">
        <v>187</v>
      </c>
      <c r="O153" s="73" t="str">
        <f t="shared" si="62"/>
        <v>DBO-M3B10P7</v>
      </c>
      <c r="P153" s="68" t="str">
        <f t="shared" si="63"/>
        <v>M3B10P7-1</v>
      </c>
      <c r="Q153" s="68" t="str">
        <f t="shared" si="64"/>
        <v>M3B10P7-2</v>
      </c>
      <c r="R153" s="74" t="str">
        <f t="shared" si="65"/>
        <v>M3B10P7-FLASH</v>
      </c>
      <c r="AL153" s="97">
        <v>1</v>
      </c>
      <c r="AM153" s="93">
        <v>18</v>
      </c>
      <c r="AN153" s="93" t="s">
        <v>299</v>
      </c>
      <c r="AO153" s="57" t="str">
        <f t="shared" si="68"/>
        <v>NVO-M1B18P23</v>
      </c>
      <c r="AP153" s="59" t="str">
        <f t="shared" si="69"/>
        <v>M1B18P23</v>
      </c>
    </row>
    <row r="154" spans="1:42" x14ac:dyDescent="0.3">
      <c r="A154" s="64">
        <v>2</v>
      </c>
      <c r="B154" s="44">
        <v>20</v>
      </c>
      <c r="C154" s="44" t="s">
        <v>80</v>
      </c>
      <c r="D154" s="42" t="str">
        <f t="shared" si="71"/>
        <v>DI-M2B20P08</v>
      </c>
      <c r="E154" s="42" t="str">
        <f t="shared" si="70"/>
        <v>M2B20P08</v>
      </c>
      <c r="L154" s="68">
        <v>3</v>
      </c>
      <c r="M154" s="69" t="s">
        <v>82</v>
      </c>
      <c r="N154" s="78" t="s">
        <v>189</v>
      </c>
      <c r="O154" s="75" t="str">
        <f t="shared" si="62"/>
        <v>DBO-M3B10P8</v>
      </c>
      <c r="P154" s="76" t="str">
        <f t="shared" si="63"/>
        <v>M3B10P8-1</v>
      </c>
      <c r="Q154" s="76" t="str">
        <f t="shared" si="64"/>
        <v>M3B10P8-2</v>
      </c>
      <c r="R154" s="77" t="str">
        <f t="shared" si="65"/>
        <v>M3B10P8-FLASH</v>
      </c>
      <c r="AL154" s="97">
        <v>1</v>
      </c>
      <c r="AM154" s="93">
        <v>18</v>
      </c>
      <c r="AN154" s="93" t="s">
        <v>300</v>
      </c>
      <c r="AO154" s="57" t="str">
        <f t="shared" si="68"/>
        <v>NVO-M1B18P24</v>
      </c>
      <c r="AP154" s="59" t="str">
        <f t="shared" si="69"/>
        <v>M1B18P24</v>
      </c>
    </row>
    <row r="155" spans="1:42" x14ac:dyDescent="0.3">
      <c r="A155" s="64">
        <v>2</v>
      </c>
      <c r="B155" s="44">
        <v>20</v>
      </c>
      <c r="C155" s="44" t="s">
        <v>81</v>
      </c>
      <c r="D155" s="42" t="str">
        <f t="shared" si="71"/>
        <v>DI-M2B20P09</v>
      </c>
      <c r="E155" s="42" t="str">
        <f t="shared" si="70"/>
        <v>M2B20P09</v>
      </c>
      <c r="L155" s="68">
        <v>3</v>
      </c>
      <c r="M155" s="69" t="s">
        <v>83</v>
      </c>
      <c r="N155" s="78" t="s">
        <v>175</v>
      </c>
      <c r="O155" s="70" t="str">
        <f>("DBO-M"&amp;$L155&amp;"B"&amp;$M155&amp;"P"&amp;$N155)</f>
        <v>DBO-M3B11P1</v>
      </c>
      <c r="P155" s="71" t="str">
        <f>("M"&amp;$L155&amp;"B"&amp;$M155&amp;"P"&amp;$N155&amp;"-1")</f>
        <v>M3B11P1-1</v>
      </c>
      <c r="Q155" s="71" t="str">
        <f>("M"&amp;$L155&amp;"B"&amp;$M155&amp;"P"&amp;$N155&amp;"-2")</f>
        <v>M3B11P1-2</v>
      </c>
      <c r="R155" s="72" t="str">
        <f>("M"&amp;$L155&amp;"B"&amp;$M155&amp;"P"&amp;$N155&amp;"-FLASH")</f>
        <v>M3B11P1-FLASH</v>
      </c>
      <c r="AL155" s="97">
        <v>1</v>
      </c>
      <c r="AM155" s="93">
        <v>18</v>
      </c>
      <c r="AN155" s="93" t="s">
        <v>301</v>
      </c>
      <c r="AO155" s="57" t="str">
        <f t="shared" si="68"/>
        <v>NVO-M1B18P25</v>
      </c>
      <c r="AP155" s="59" t="str">
        <f t="shared" si="69"/>
        <v>M1B18P25</v>
      </c>
    </row>
    <row r="156" spans="1:42" x14ac:dyDescent="0.3">
      <c r="A156" s="64">
        <v>2</v>
      </c>
      <c r="B156" s="44">
        <v>20</v>
      </c>
      <c r="C156" s="44" t="s">
        <v>82</v>
      </c>
      <c r="D156" s="42" t="str">
        <f t="shared" si="71"/>
        <v>DI-M2B20P10</v>
      </c>
      <c r="E156" s="42" t="str">
        <f t="shared" si="70"/>
        <v>M2B20P10</v>
      </c>
      <c r="L156" s="68">
        <v>3</v>
      </c>
      <c r="M156" s="69" t="s">
        <v>83</v>
      </c>
      <c r="N156" s="78" t="s">
        <v>177</v>
      </c>
      <c r="O156" s="73" t="str">
        <f t="shared" ref="O156:O162" si="72">("DBO-M"&amp;$L156&amp;"B"&amp;$M156&amp;"P"&amp;$N156)</f>
        <v>DBO-M3B11P2</v>
      </c>
      <c r="P156" s="68" t="str">
        <f t="shared" ref="P156:P162" si="73">("M"&amp;$L156&amp;"B"&amp;$M156&amp;"P"&amp;$N156&amp;"-1")</f>
        <v>M3B11P2-1</v>
      </c>
      <c r="Q156" s="68" t="str">
        <f t="shared" ref="Q156:Q162" si="74">("M"&amp;$L156&amp;"B"&amp;$M156&amp;"P"&amp;$N156&amp;"-2")</f>
        <v>M3B11P2-2</v>
      </c>
      <c r="R156" s="74" t="str">
        <f t="shared" ref="R156:R162" si="75">("M"&amp;$L156&amp;"B"&amp;$M156&amp;"P"&amp;$N156&amp;"-FLASH")</f>
        <v>M3B11P2-FLASH</v>
      </c>
      <c r="AL156" s="97">
        <v>1</v>
      </c>
      <c r="AM156" s="93">
        <v>18</v>
      </c>
      <c r="AN156" s="93" t="s">
        <v>302</v>
      </c>
      <c r="AO156" s="57" t="str">
        <f t="shared" si="68"/>
        <v>NVO-M1B18P26</v>
      </c>
      <c r="AP156" s="59" t="str">
        <f t="shared" si="69"/>
        <v>M1B18P26</v>
      </c>
    </row>
    <row r="157" spans="1:42" x14ac:dyDescent="0.3">
      <c r="A157" s="64">
        <v>2</v>
      </c>
      <c r="B157" s="44">
        <v>20</v>
      </c>
      <c r="C157" s="44" t="s">
        <v>83</v>
      </c>
      <c r="D157" s="42" t="str">
        <f t="shared" si="71"/>
        <v>DI-M2B20P11</v>
      </c>
      <c r="E157" s="42" t="str">
        <f t="shared" si="70"/>
        <v>M2B20P11</v>
      </c>
      <c r="L157" s="68">
        <v>3</v>
      </c>
      <c r="M157" s="69" t="s">
        <v>83</v>
      </c>
      <c r="N157" s="78" t="s">
        <v>179</v>
      </c>
      <c r="O157" s="73" t="str">
        <f t="shared" si="72"/>
        <v>DBO-M3B11P3</v>
      </c>
      <c r="P157" s="68" t="str">
        <f t="shared" si="73"/>
        <v>M3B11P3-1</v>
      </c>
      <c r="Q157" s="68" t="str">
        <f t="shared" si="74"/>
        <v>M3B11P3-2</v>
      </c>
      <c r="R157" s="74" t="str">
        <f t="shared" si="75"/>
        <v>M3B11P3-FLASH</v>
      </c>
      <c r="AL157" s="97">
        <v>1</v>
      </c>
      <c r="AM157" s="93">
        <v>18</v>
      </c>
      <c r="AN157" s="93" t="s">
        <v>303</v>
      </c>
      <c r="AO157" s="57" t="str">
        <f t="shared" si="68"/>
        <v>NVO-M1B18P27</v>
      </c>
      <c r="AP157" s="59" t="str">
        <f t="shared" si="69"/>
        <v>M1B18P27</v>
      </c>
    </row>
    <row r="158" spans="1:42" x14ac:dyDescent="0.3">
      <c r="A158" s="64">
        <v>2</v>
      </c>
      <c r="B158" s="44">
        <v>20</v>
      </c>
      <c r="C158" s="44" t="s">
        <v>84</v>
      </c>
      <c r="D158" s="42" t="str">
        <f t="shared" si="71"/>
        <v>DI-M2B20P12</v>
      </c>
      <c r="E158" s="42" t="str">
        <f t="shared" si="70"/>
        <v>M2B20P12</v>
      </c>
      <c r="L158" s="68">
        <v>3</v>
      </c>
      <c r="M158" s="69" t="s">
        <v>83</v>
      </c>
      <c r="N158" s="78" t="s">
        <v>181</v>
      </c>
      <c r="O158" s="73" t="str">
        <f t="shared" si="72"/>
        <v>DBO-M3B11P4</v>
      </c>
      <c r="P158" s="68" t="str">
        <f t="shared" si="73"/>
        <v>M3B11P4-1</v>
      </c>
      <c r="Q158" s="68" t="str">
        <f t="shared" si="74"/>
        <v>M3B11P4-2</v>
      </c>
      <c r="R158" s="74" t="str">
        <f t="shared" si="75"/>
        <v>M3B11P4-FLASH</v>
      </c>
      <c r="AL158" s="97">
        <v>1</v>
      </c>
      <c r="AM158" s="93">
        <v>18</v>
      </c>
      <c r="AN158" s="93" t="s">
        <v>304</v>
      </c>
      <c r="AO158" s="57" t="str">
        <f t="shared" si="68"/>
        <v>NVO-M1B18P28</v>
      </c>
      <c r="AP158" s="59" t="str">
        <f t="shared" si="69"/>
        <v>M1B18P28</v>
      </c>
    </row>
    <row r="159" spans="1:42" x14ac:dyDescent="0.3">
      <c r="A159" s="64">
        <v>2</v>
      </c>
      <c r="B159" s="44">
        <v>20</v>
      </c>
      <c r="C159" s="44" t="s">
        <v>85</v>
      </c>
      <c r="D159" s="42" t="str">
        <f t="shared" si="71"/>
        <v>DI-M2B20P13</v>
      </c>
      <c r="E159" s="42" t="str">
        <f t="shared" si="70"/>
        <v>M2B20P13</v>
      </c>
      <c r="L159" s="68">
        <v>3</v>
      </c>
      <c r="M159" s="69" t="s">
        <v>83</v>
      </c>
      <c r="N159" s="78" t="s">
        <v>183</v>
      </c>
      <c r="O159" s="73" t="str">
        <f t="shared" si="72"/>
        <v>DBO-M3B11P5</v>
      </c>
      <c r="P159" s="68" t="str">
        <f t="shared" si="73"/>
        <v>M3B11P5-1</v>
      </c>
      <c r="Q159" s="68" t="str">
        <f t="shared" si="74"/>
        <v>M3B11P5-2</v>
      </c>
      <c r="R159" s="74" t="str">
        <f t="shared" si="75"/>
        <v>M3B11P5-FLASH</v>
      </c>
      <c r="AL159" s="97">
        <v>1</v>
      </c>
      <c r="AM159" s="93">
        <v>18</v>
      </c>
      <c r="AN159" s="93" t="s">
        <v>305</v>
      </c>
      <c r="AO159" s="57" t="str">
        <f t="shared" si="68"/>
        <v>NVO-M1B18P29</v>
      </c>
      <c r="AP159" s="59" t="str">
        <f t="shared" si="69"/>
        <v>M1B18P29</v>
      </c>
    </row>
    <row r="160" spans="1:42" x14ac:dyDescent="0.3">
      <c r="A160" s="64">
        <v>2</v>
      </c>
      <c r="B160" s="44">
        <v>20</v>
      </c>
      <c r="C160" s="44" t="s">
        <v>86</v>
      </c>
      <c r="D160" s="42" t="str">
        <f t="shared" si="71"/>
        <v>DI-M2B20P14</v>
      </c>
      <c r="E160" s="42" t="str">
        <f t="shared" si="70"/>
        <v>M2B20P14</v>
      </c>
      <c r="L160" s="68">
        <v>3</v>
      </c>
      <c r="M160" s="69" t="s">
        <v>83</v>
      </c>
      <c r="N160" s="78" t="s">
        <v>185</v>
      </c>
      <c r="O160" s="73" t="str">
        <f t="shared" si="72"/>
        <v>DBO-M3B11P6</v>
      </c>
      <c r="P160" s="68" t="str">
        <f t="shared" si="73"/>
        <v>M3B11P6-1</v>
      </c>
      <c r="Q160" s="68" t="str">
        <f t="shared" si="74"/>
        <v>M3B11P6-2</v>
      </c>
      <c r="R160" s="74" t="str">
        <f t="shared" si="75"/>
        <v>M3B11P6-FLASH</v>
      </c>
      <c r="AL160" s="97">
        <v>1</v>
      </c>
      <c r="AM160" s="93">
        <v>18</v>
      </c>
      <c r="AN160" s="93" t="s">
        <v>306</v>
      </c>
      <c r="AO160" s="57" t="str">
        <f t="shared" si="68"/>
        <v>NVO-M1B18P30</v>
      </c>
      <c r="AP160" s="59" t="str">
        <f t="shared" si="69"/>
        <v>M1B18P30</v>
      </c>
    </row>
    <row r="161" spans="1:42" x14ac:dyDescent="0.3">
      <c r="A161" s="64">
        <v>2</v>
      </c>
      <c r="B161" s="44">
        <v>20</v>
      </c>
      <c r="C161" s="44" t="s">
        <v>87</v>
      </c>
      <c r="D161" s="42" t="str">
        <f t="shared" si="71"/>
        <v>DI-M2B20P15</v>
      </c>
      <c r="E161" s="42" t="str">
        <f t="shared" si="70"/>
        <v>M2B20P15</v>
      </c>
      <c r="L161" s="68">
        <v>3</v>
      </c>
      <c r="M161" s="69" t="s">
        <v>83</v>
      </c>
      <c r="N161" s="78" t="s">
        <v>187</v>
      </c>
      <c r="O161" s="73" t="str">
        <f t="shared" si="72"/>
        <v>DBO-M3B11P7</v>
      </c>
      <c r="P161" s="68" t="str">
        <f t="shared" si="73"/>
        <v>M3B11P7-1</v>
      </c>
      <c r="Q161" s="68" t="str">
        <f t="shared" si="74"/>
        <v>M3B11P7-2</v>
      </c>
      <c r="R161" s="74" t="str">
        <f t="shared" si="75"/>
        <v>M3B11P7-FLASH</v>
      </c>
      <c r="AL161" s="97">
        <v>1</v>
      </c>
      <c r="AM161" s="93">
        <v>18</v>
      </c>
      <c r="AN161" s="93" t="s">
        <v>307</v>
      </c>
      <c r="AO161" s="57" t="str">
        <f t="shared" si="68"/>
        <v>NVO-M1B18P31</v>
      </c>
      <c r="AP161" s="59" t="str">
        <f t="shared" si="69"/>
        <v>M1B18P31</v>
      </c>
    </row>
    <row r="162" spans="1:42" ht="15" thickBot="1" x14ac:dyDescent="0.35">
      <c r="A162" s="64">
        <v>2</v>
      </c>
      <c r="B162" s="44">
        <v>20</v>
      </c>
      <c r="C162" s="44" t="s">
        <v>88</v>
      </c>
      <c r="D162" s="43" t="str">
        <f t="shared" si="71"/>
        <v>DI-M2B20P16</v>
      </c>
      <c r="E162" s="43" t="str">
        <f t="shared" si="70"/>
        <v>M2B20P16</v>
      </c>
      <c r="L162" s="68">
        <v>3</v>
      </c>
      <c r="M162" s="69" t="s">
        <v>83</v>
      </c>
      <c r="N162" s="78" t="s">
        <v>189</v>
      </c>
      <c r="O162" s="75" t="str">
        <f t="shared" si="72"/>
        <v>DBO-M3B11P8</v>
      </c>
      <c r="P162" s="76" t="str">
        <f t="shared" si="73"/>
        <v>M3B11P8-1</v>
      </c>
      <c r="Q162" s="76" t="str">
        <f t="shared" si="74"/>
        <v>M3B11P8-2</v>
      </c>
      <c r="R162" s="77" t="str">
        <f t="shared" si="75"/>
        <v>M3B11P8-FLASH</v>
      </c>
      <c r="AL162" s="98">
        <v>1</v>
      </c>
      <c r="AM162" s="99">
        <v>18</v>
      </c>
      <c r="AN162" s="99" t="s">
        <v>308</v>
      </c>
      <c r="AO162" s="11" t="str">
        <f t="shared" si="68"/>
        <v>NVO-M1B18P32</v>
      </c>
      <c r="AP162" s="59" t="str">
        <f t="shared" si="69"/>
        <v>M1B18P32</v>
      </c>
    </row>
    <row r="163" spans="1:42" x14ac:dyDescent="0.3">
      <c r="A163" s="64">
        <v>2</v>
      </c>
      <c r="B163" s="44">
        <v>21</v>
      </c>
      <c r="C163" s="44" t="s">
        <v>75</v>
      </c>
      <c r="D163" s="41" t="str">
        <f t="shared" si="71"/>
        <v>DI-M2B21P01</v>
      </c>
      <c r="E163" s="41" t="str">
        <f t="shared" si="70"/>
        <v>M2B21P01</v>
      </c>
      <c r="AL163" s="100">
        <v>1</v>
      </c>
      <c r="AM163" s="101">
        <v>19</v>
      </c>
      <c r="AN163" s="101" t="s">
        <v>75</v>
      </c>
      <c r="AO163" s="102" t="str">
        <f>("NVO-M"&amp;AL163&amp;"B"&amp;AM163&amp;"P"&amp;AN163)</f>
        <v>NVO-M1B19P01</v>
      </c>
      <c r="AP163" s="59" t="str">
        <f t="shared" si="69"/>
        <v>M1B19P01</v>
      </c>
    </row>
    <row r="164" spans="1:42" x14ac:dyDescent="0.3">
      <c r="A164" s="64">
        <v>2</v>
      </c>
      <c r="B164" s="44">
        <v>21</v>
      </c>
      <c r="C164" s="44" t="s">
        <v>76</v>
      </c>
      <c r="D164" s="42" t="str">
        <f t="shared" si="71"/>
        <v>DI-M2B21P02</v>
      </c>
      <c r="E164" s="42" t="str">
        <f t="shared" si="70"/>
        <v>M2B21P02</v>
      </c>
      <c r="AL164" s="103">
        <v>1</v>
      </c>
      <c r="AM164" s="44">
        <v>19</v>
      </c>
      <c r="AN164" s="44" t="s">
        <v>76</v>
      </c>
      <c r="AO164" s="42" t="str">
        <f t="shared" ref="AO164:AO194" si="76">("NVO-M"&amp;AL164&amp;"B"&amp;AM164&amp;"P"&amp;AN164)</f>
        <v>NVO-M1B19P02</v>
      </c>
      <c r="AP164" s="59" t="str">
        <f t="shared" si="69"/>
        <v>M1B19P02</v>
      </c>
    </row>
    <row r="165" spans="1:42" x14ac:dyDescent="0.3">
      <c r="A165" s="64">
        <v>2</v>
      </c>
      <c r="B165" s="44">
        <v>21</v>
      </c>
      <c r="C165" s="44" t="s">
        <v>77</v>
      </c>
      <c r="D165" s="42" t="str">
        <f t="shared" si="71"/>
        <v>DI-M2B21P03</v>
      </c>
      <c r="E165" s="42" t="str">
        <f t="shared" si="70"/>
        <v>M2B21P03</v>
      </c>
      <c r="AL165" s="103">
        <v>1</v>
      </c>
      <c r="AM165" s="44">
        <v>19</v>
      </c>
      <c r="AN165" s="44" t="s">
        <v>77</v>
      </c>
      <c r="AO165" s="42" t="str">
        <f t="shared" si="76"/>
        <v>NVO-M1B19P03</v>
      </c>
      <c r="AP165" s="59" t="str">
        <f t="shared" si="69"/>
        <v>M1B19P03</v>
      </c>
    </row>
    <row r="166" spans="1:42" x14ac:dyDescent="0.3">
      <c r="A166" s="64">
        <v>2</v>
      </c>
      <c r="B166" s="44">
        <v>21</v>
      </c>
      <c r="C166" s="44" t="s">
        <v>78</v>
      </c>
      <c r="D166" s="42" t="str">
        <f t="shared" si="71"/>
        <v>DI-M2B21P04</v>
      </c>
      <c r="E166" s="42" t="str">
        <f t="shared" si="70"/>
        <v>M2B21P04</v>
      </c>
      <c r="AL166" s="103">
        <v>1</v>
      </c>
      <c r="AM166" s="44">
        <v>19</v>
      </c>
      <c r="AN166" s="44" t="s">
        <v>78</v>
      </c>
      <c r="AO166" s="42" t="str">
        <f t="shared" si="76"/>
        <v>NVO-M1B19P04</v>
      </c>
      <c r="AP166" s="59" t="str">
        <f t="shared" si="69"/>
        <v>M1B19P04</v>
      </c>
    </row>
    <row r="167" spans="1:42" x14ac:dyDescent="0.3">
      <c r="A167" s="64">
        <v>2</v>
      </c>
      <c r="B167" s="44">
        <v>21</v>
      </c>
      <c r="C167" s="44" t="s">
        <v>79</v>
      </c>
      <c r="D167" s="42" t="str">
        <f t="shared" si="71"/>
        <v>DI-M2B21P05</v>
      </c>
      <c r="E167" s="42" t="str">
        <f t="shared" si="70"/>
        <v>M2B21P05</v>
      </c>
      <c r="AL167" s="103">
        <v>1</v>
      </c>
      <c r="AM167" s="44">
        <v>19</v>
      </c>
      <c r="AN167" s="44" t="s">
        <v>79</v>
      </c>
      <c r="AO167" s="42" t="str">
        <f t="shared" si="76"/>
        <v>NVO-M1B19P05</v>
      </c>
      <c r="AP167" s="59" t="str">
        <f t="shared" si="69"/>
        <v>M1B19P05</v>
      </c>
    </row>
    <row r="168" spans="1:42" x14ac:dyDescent="0.3">
      <c r="A168" s="64">
        <v>2</v>
      </c>
      <c r="B168" s="44">
        <v>21</v>
      </c>
      <c r="C168" s="44" t="s">
        <v>73</v>
      </c>
      <c r="D168" s="42" t="str">
        <f t="shared" si="71"/>
        <v>DI-M2B21P06</v>
      </c>
      <c r="E168" s="42" t="str">
        <f t="shared" si="70"/>
        <v>M2B21P06</v>
      </c>
      <c r="AL168" s="103">
        <v>1</v>
      </c>
      <c r="AM168" s="44">
        <v>19</v>
      </c>
      <c r="AN168" s="44" t="s">
        <v>73</v>
      </c>
      <c r="AO168" s="42" t="str">
        <f t="shared" si="76"/>
        <v>NVO-M1B19P06</v>
      </c>
      <c r="AP168" s="59" t="str">
        <f t="shared" si="69"/>
        <v>M1B19P06</v>
      </c>
    </row>
    <row r="169" spans="1:42" x14ac:dyDescent="0.3">
      <c r="A169" s="64">
        <v>2</v>
      </c>
      <c r="B169" s="44">
        <v>21</v>
      </c>
      <c r="C169" s="44" t="s">
        <v>74</v>
      </c>
      <c r="D169" s="42" t="str">
        <f t="shared" si="71"/>
        <v>DI-M2B21P07</v>
      </c>
      <c r="E169" s="42" t="str">
        <f t="shared" si="70"/>
        <v>M2B21P07</v>
      </c>
      <c r="AL169" s="103">
        <v>1</v>
      </c>
      <c r="AM169" s="44">
        <v>19</v>
      </c>
      <c r="AN169" s="44" t="s">
        <v>74</v>
      </c>
      <c r="AO169" s="42" t="str">
        <f t="shared" si="76"/>
        <v>NVO-M1B19P07</v>
      </c>
      <c r="AP169" s="59" t="str">
        <f t="shared" si="69"/>
        <v>M1B19P07</v>
      </c>
    </row>
    <row r="170" spans="1:42" x14ac:dyDescent="0.3">
      <c r="A170" s="64">
        <v>2</v>
      </c>
      <c r="B170" s="44">
        <v>21</v>
      </c>
      <c r="C170" s="44" t="s">
        <v>80</v>
      </c>
      <c r="D170" s="42" t="str">
        <f t="shared" si="71"/>
        <v>DI-M2B21P08</v>
      </c>
      <c r="E170" s="42" t="str">
        <f t="shared" si="70"/>
        <v>M2B21P08</v>
      </c>
      <c r="AL170" s="103">
        <v>1</v>
      </c>
      <c r="AM170" s="44">
        <v>19</v>
      </c>
      <c r="AN170" s="44" t="s">
        <v>80</v>
      </c>
      <c r="AO170" s="42" t="str">
        <f t="shared" si="76"/>
        <v>NVO-M1B19P08</v>
      </c>
      <c r="AP170" s="59" t="str">
        <f t="shared" si="69"/>
        <v>M1B19P08</v>
      </c>
    </row>
    <row r="171" spans="1:42" x14ac:dyDescent="0.3">
      <c r="A171" s="64">
        <v>2</v>
      </c>
      <c r="B171" s="44">
        <v>21</v>
      </c>
      <c r="C171" s="44" t="s">
        <v>81</v>
      </c>
      <c r="D171" s="42" t="str">
        <f t="shared" si="71"/>
        <v>DI-M2B21P09</v>
      </c>
      <c r="E171" s="42" t="str">
        <f t="shared" si="70"/>
        <v>M2B21P09</v>
      </c>
      <c r="AL171" s="103">
        <v>1</v>
      </c>
      <c r="AM171" s="44">
        <v>19</v>
      </c>
      <c r="AN171" s="44" t="s">
        <v>81</v>
      </c>
      <c r="AO171" s="42" t="str">
        <f t="shared" si="76"/>
        <v>NVO-M1B19P09</v>
      </c>
      <c r="AP171" s="59" t="str">
        <f t="shared" si="69"/>
        <v>M1B19P09</v>
      </c>
    </row>
    <row r="172" spans="1:42" x14ac:dyDescent="0.3">
      <c r="A172" s="64">
        <v>2</v>
      </c>
      <c r="B172" s="44">
        <v>21</v>
      </c>
      <c r="C172" s="44" t="s">
        <v>82</v>
      </c>
      <c r="D172" s="42" t="str">
        <f t="shared" si="71"/>
        <v>DI-M2B21P10</v>
      </c>
      <c r="E172" s="42" t="str">
        <f t="shared" si="70"/>
        <v>M2B21P10</v>
      </c>
      <c r="AL172" s="103">
        <v>1</v>
      </c>
      <c r="AM172" s="44">
        <v>19</v>
      </c>
      <c r="AN172" s="44" t="s">
        <v>82</v>
      </c>
      <c r="AO172" s="42" t="str">
        <f t="shared" si="76"/>
        <v>NVO-M1B19P10</v>
      </c>
      <c r="AP172" s="59" t="str">
        <f t="shared" si="69"/>
        <v>M1B19P10</v>
      </c>
    </row>
    <row r="173" spans="1:42" x14ac:dyDescent="0.3">
      <c r="A173" s="64">
        <v>2</v>
      </c>
      <c r="B173" s="44">
        <v>21</v>
      </c>
      <c r="C173" s="44" t="s">
        <v>83</v>
      </c>
      <c r="D173" s="42" t="str">
        <f t="shared" si="71"/>
        <v>DI-M2B21P11</v>
      </c>
      <c r="E173" s="42" t="str">
        <f t="shared" si="70"/>
        <v>M2B21P11</v>
      </c>
      <c r="AL173" s="103">
        <v>1</v>
      </c>
      <c r="AM173" s="44">
        <v>19</v>
      </c>
      <c r="AN173" s="44" t="s">
        <v>83</v>
      </c>
      <c r="AO173" s="42" t="str">
        <f t="shared" si="76"/>
        <v>NVO-M1B19P11</v>
      </c>
      <c r="AP173" s="59" t="str">
        <f t="shared" si="69"/>
        <v>M1B19P11</v>
      </c>
    </row>
    <row r="174" spans="1:42" x14ac:dyDescent="0.3">
      <c r="A174" s="64">
        <v>2</v>
      </c>
      <c r="B174" s="44">
        <v>21</v>
      </c>
      <c r="C174" s="44" t="s">
        <v>84</v>
      </c>
      <c r="D174" s="42" t="str">
        <f t="shared" si="71"/>
        <v>DI-M2B21P12</v>
      </c>
      <c r="E174" s="42" t="str">
        <f t="shared" si="70"/>
        <v>M2B21P12</v>
      </c>
      <c r="AL174" s="103">
        <v>1</v>
      </c>
      <c r="AM174" s="44">
        <v>19</v>
      </c>
      <c r="AN174" s="44" t="s">
        <v>84</v>
      </c>
      <c r="AO174" s="42" t="str">
        <f t="shared" si="76"/>
        <v>NVO-M1B19P12</v>
      </c>
      <c r="AP174" s="59" t="str">
        <f t="shared" si="69"/>
        <v>M1B19P12</v>
      </c>
    </row>
    <row r="175" spans="1:42" x14ac:dyDescent="0.3">
      <c r="A175" s="64">
        <v>2</v>
      </c>
      <c r="B175" s="44">
        <v>21</v>
      </c>
      <c r="C175" s="44" t="s">
        <v>85</v>
      </c>
      <c r="D175" s="42" t="str">
        <f t="shared" si="71"/>
        <v>DI-M2B21P13</v>
      </c>
      <c r="E175" s="42" t="str">
        <f t="shared" si="70"/>
        <v>M2B21P13</v>
      </c>
      <c r="AL175" s="103">
        <v>1</v>
      </c>
      <c r="AM175" s="44">
        <v>19</v>
      </c>
      <c r="AN175" s="44" t="s">
        <v>85</v>
      </c>
      <c r="AO175" s="42" t="str">
        <f t="shared" si="76"/>
        <v>NVO-M1B19P13</v>
      </c>
      <c r="AP175" s="59" t="str">
        <f t="shared" si="69"/>
        <v>M1B19P13</v>
      </c>
    </row>
    <row r="176" spans="1:42" x14ac:dyDescent="0.3">
      <c r="A176" s="64">
        <v>2</v>
      </c>
      <c r="B176" s="44">
        <v>21</v>
      </c>
      <c r="C176" s="44" t="s">
        <v>86</v>
      </c>
      <c r="D176" s="42" t="str">
        <f t="shared" si="71"/>
        <v>DI-M2B21P14</v>
      </c>
      <c r="E176" s="42" t="str">
        <f t="shared" si="70"/>
        <v>M2B21P14</v>
      </c>
      <c r="AL176" s="103">
        <v>1</v>
      </c>
      <c r="AM176" s="44">
        <v>19</v>
      </c>
      <c r="AN176" s="44" t="s">
        <v>86</v>
      </c>
      <c r="AO176" s="42" t="str">
        <f t="shared" si="76"/>
        <v>NVO-M1B19P14</v>
      </c>
      <c r="AP176" s="59" t="str">
        <f t="shared" si="69"/>
        <v>M1B19P14</v>
      </c>
    </row>
    <row r="177" spans="1:42" x14ac:dyDescent="0.3">
      <c r="A177" s="64">
        <v>2</v>
      </c>
      <c r="B177" s="44">
        <v>21</v>
      </c>
      <c r="C177" s="44" t="s">
        <v>87</v>
      </c>
      <c r="D177" s="42" t="str">
        <f t="shared" si="71"/>
        <v>DI-M2B21P15</v>
      </c>
      <c r="E177" s="42" t="str">
        <f t="shared" si="70"/>
        <v>M2B21P15</v>
      </c>
      <c r="AL177" s="103">
        <v>1</v>
      </c>
      <c r="AM177" s="44">
        <v>19</v>
      </c>
      <c r="AN177" s="44" t="s">
        <v>87</v>
      </c>
      <c r="AO177" s="42" t="str">
        <f t="shared" si="76"/>
        <v>NVO-M1B19P15</v>
      </c>
      <c r="AP177" s="59" t="str">
        <f t="shared" si="69"/>
        <v>M1B19P15</v>
      </c>
    </row>
    <row r="178" spans="1:42" x14ac:dyDescent="0.3">
      <c r="A178" s="64">
        <v>2</v>
      </c>
      <c r="B178" s="44">
        <v>21</v>
      </c>
      <c r="C178" s="44" t="s">
        <v>88</v>
      </c>
      <c r="D178" s="43" t="str">
        <f t="shared" si="71"/>
        <v>DI-M2B21P16</v>
      </c>
      <c r="E178" s="43" t="str">
        <f t="shared" si="70"/>
        <v>M2B21P16</v>
      </c>
      <c r="AL178" s="103">
        <v>1</v>
      </c>
      <c r="AM178" s="44">
        <v>19</v>
      </c>
      <c r="AN178" s="44" t="s">
        <v>88</v>
      </c>
      <c r="AO178" s="42" t="str">
        <f t="shared" si="76"/>
        <v>NVO-M1B19P16</v>
      </c>
      <c r="AP178" s="59" t="str">
        <f t="shared" si="69"/>
        <v>M1B19P16</v>
      </c>
    </row>
    <row r="179" spans="1:42" x14ac:dyDescent="0.3">
      <c r="A179" s="28">
        <v>3</v>
      </c>
      <c r="B179" s="69">
        <v>19</v>
      </c>
      <c r="C179" s="69" t="s">
        <v>75</v>
      </c>
      <c r="D179" s="79" t="str">
        <f t="shared" si="71"/>
        <v>DI-M3B19P01</v>
      </c>
      <c r="E179" s="79" t="str">
        <f t="shared" si="70"/>
        <v>M3B19P01</v>
      </c>
      <c r="AL179" s="103">
        <v>1</v>
      </c>
      <c r="AM179" s="44">
        <v>19</v>
      </c>
      <c r="AN179" s="44" t="s">
        <v>297</v>
      </c>
      <c r="AO179" s="42" t="str">
        <f t="shared" si="76"/>
        <v>NVO-M1B19P17</v>
      </c>
      <c r="AP179" s="59" t="str">
        <f t="shared" si="69"/>
        <v>M1B19P17</v>
      </c>
    </row>
    <row r="180" spans="1:42" x14ac:dyDescent="0.3">
      <c r="A180" s="28">
        <v>3</v>
      </c>
      <c r="B180" s="69">
        <v>19</v>
      </c>
      <c r="C180" s="69" t="s">
        <v>76</v>
      </c>
      <c r="D180" s="80" t="str">
        <f t="shared" si="71"/>
        <v>DI-M3B19P02</v>
      </c>
      <c r="E180" s="80" t="str">
        <f t="shared" si="70"/>
        <v>M3B19P02</v>
      </c>
      <c r="AL180" s="103">
        <v>1</v>
      </c>
      <c r="AM180" s="44">
        <v>19</v>
      </c>
      <c r="AN180" s="44" t="s">
        <v>191</v>
      </c>
      <c r="AO180" s="42" t="str">
        <f t="shared" si="76"/>
        <v>NVO-M1B19P18</v>
      </c>
      <c r="AP180" s="59" t="str">
        <f t="shared" si="69"/>
        <v>M1B19P18</v>
      </c>
    </row>
    <row r="181" spans="1:42" x14ac:dyDescent="0.3">
      <c r="A181" s="28">
        <v>3</v>
      </c>
      <c r="B181" s="69">
        <v>19</v>
      </c>
      <c r="C181" s="69" t="s">
        <v>77</v>
      </c>
      <c r="D181" s="80" t="str">
        <f t="shared" si="71"/>
        <v>DI-M3B19P03</v>
      </c>
      <c r="E181" s="80" t="str">
        <f t="shared" si="70"/>
        <v>M3B19P03</v>
      </c>
      <c r="AL181" s="103">
        <v>1</v>
      </c>
      <c r="AM181" s="44">
        <v>19</v>
      </c>
      <c r="AN181" s="44" t="s">
        <v>200</v>
      </c>
      <c r="AO181" s="42" t="str">
        <f t="shared" si="76"/>
        <v>NVO-M1B19P19</v>
      </c>
      <c r="AP181" s="59" t="str">
        <f t="shared" si="69"/>
        <v>M1B19P19</v>
      </c>
    </row>
    <row r="182" spans="1:42" x14ac:dyDescent="0.3">
      <c r="A182" s="28">
        <v>3</v>
      </c>
      <c r="B182" s="69">
        <v>19</v>
      </c>
      <c r="C182" s="69" t="s">
        <v>78</v>
      </c>
      <c r="D182" s="80" t="str">
        <f t="shared" si="71"/>
        <v>DI-M3B19P04</v>
      </c>
      <c r="E182" s="80" t="str">
        <f t="shared" si="70"/>
        <v>M3B19P04</v>
      </c>
      <c r="AL182" s="103">
        <v>1</v>
      </c>
      <c r="AM182" s="44">
        <v>19</v>
      </c>
      <c r="AN182" s="44" t="s">
        <v>209</v>
      </c>
      <c r="AO182" s="42" t="str">
        <f t="shared" si="76"/>
        <v>NVO-M1B19P20</v>
      </c>
      <c r="AP182" s="59" t="str">
        <f t="shared" si="69"/>
        <v>M1B19P20</v>
      </c>
    </row>
    <row r="183" spans="1:42" x14ac:dyDescent="0.3">
      <c r="A183" s="28">
        <v>3</v>
      </c>
      <c r="B183" s="69">
        <v>19</v>
      </c>
      <c r="C183" s="69" t="s">
        <v>79</v>
      </c>
      <c r="D183" s="80" t="str">
        <f t="shared" si="71"/>
        <v>DI-M3B19P05</v>
      </c>
      <c r="E183" s="80" t="str">
        <f t="shared" si="70"/>
        <v>M3B19P05</v>
      </c>
      <c r="AL183" s="103">
        <v>1</v>
      </c>
      <c r="AM183" s="44">
        <v>19</v>
      </c>
      <c r="AN183" s="44" t="s">
        <v>218</v>
      </c>
      <c r="AO183" s="42" t="str">
        <f t="shared" si="76"/>
        <v>NVO-M1B19P21</v>
      </c>
      <c r="AP183" s="59" t="str">
        <f t="shared" si="69"/>
        <v>M1B19P21</v>
      </c>
    </row>
    <row r="184" spans="1:42" x14ac:dyDescent="0.3">
      <c r="A184" s="28">
        <v>3</v>
      </c>
      <c r="B184" s="69">
        <v>19</v>
      </c>
      <c r="C184" s="69" t="s">
        <v>73</v>
      </c>
      <c r="D184" s="80" t="str">
        <f t="shared" si="71"/>
        <v>DI-M3B19P06</v>
      </c>
      <c r="E184" s="80" t="str">
        <f t="shared" si="70"/>
        <v>M3B19P06</v>
      </c>
      <c r="AL184" s="103">
        <v>1</v>
      </c>
      <c r="AM184" s="44">
        <v>19</v>
      </c>
      <c r="AN184" s="44" t="s">
        <v>298</v>
      </c>
      <c r="AO184" s="42" t="str">
        <f t="shared" si="76"/>
        <v>NVO-M1B19P22</v>
      </c>
      <c r="AP184" s="59" t="str">
        <f t="shared" si="69"/>
        <v>M1B19P22</v>
      </c>
    </row>
    <row r="185" spans="1:42" x14ac:dyDescent="0.3">
      <c r="A185" s="28">
        <v>3</v>
      </c>
      <c r="B185" s="69">
        <v>19</v>
      </c>
      <c r="C185" s="69" t="s">
        <v>74</v>
      </c>
      <c r="D185" s="80" t="str">
        <f t="shared" si="71"/>
        <v>DI-M3B19P07</v>
      </c>
      <c r="E185" s="80" t="str">
        <f t="shared" si="70"/>
        <v>M3B19P07</v>
      </c>
      <c r="AL185" s="103">
        <v>1</v>
      </c>
      <c r="AM185" s="44">
        <v>19</v>
      </c>
      <c r="AN185" s="44" t="s">
        <v>299</v>
      </c>
      <c r="AO185" s="42" t="str">
        <f t="shared" si="76"/>
        <v>NVO-M1B19P23</v>
      </c>
      <c r="AP185" s="59" t="str">
        <f t="shared" si="69"/>
        <v>M1B19P23</v>
      </c>
    </row>
    <row r="186" spans="1:42" x14ac:dyDescent="0.3">
      <c r="A186" s="28">
        <v>3</v>
      </c>
      <c r="B186" s="69">
        <v>19</v>
      </c>
      <c r="C186" s="69" t="s">
        <v>80</v>
      </c>
      <c r="D186" s="80" t="str">
        <f t="shared" si="71"/>
        <v>DI-M3B19P08</v>
      </c>
      <c r="E186" s="80" t="str">
        <f t="shared" si="70"/>
        <v>M3B19P08</v>
      </c>
      <c r="AL186" s="103">
        <v>1</v>
      </c>
      <c r="AM186" s="44">
        <v>19</v>
      </c>
      <c r="AN186" s="44" t="s">
        <v>300</v>
      </c>
      <c r="AO186" s="42" t="str">
        <f t="shared" si="76"/>
        <v>NVO-M1B19P24</v>
      </c>
      <c r="AP186" s="59" t="str">
        <f t="shared" si="69"/>
        <v>M1B19P24</v>
      </c>
    </row>
    <row r="187" spans="1:42" x14ac:dyDescent="0.3">
      <c r="A187" s="28">
        <v>3</v>
      </c>
      <c r="B187" s="69">
        <v>19</v>
      </c>
      <c r="C187" s="69" t="s">
        <v>81</v>
      </c>
      <c r="D187" s="80" t="str">
        <f t="shared" si="71"/>
        <v>DI-M3B19P09</v>
      </c>
      <c r="E187" s="80" t="str">
        <f t="shared" si="70"/>
        <v>M3B19P09</v>
      </c>
      <c r="AL187" s="103">
        <v>1</v>
      </c>
      <c r="AM187" s="44">
        <v>19</v>
      </c>
      <c r="AN187" s="44" t="s">
        <v>301</v>
      </c>
      <c r="AO187" s="42" t="str">
        <f t="shared" si="76"/>
        <v>NVO-M1B19P25</v>
      </c>
      <c r="AP187" s="59" t="str">
        <f t="shared" si="69"/>
        <v>M1B19P25</v>
      </c>
    </row>
    <row r="188" spans="1:42" x14ac:dyDescent="0.3">
      <c r="A188" s="28">
        <v>3</v>
      </c>
      <c r="B188" s="69">
        <v>19</v>
      </c>
      <c r="C188" s="69" t="s">
        <v>82</v>
      </c>
      <c r="D188" s="80" t="str">
        <f t="shared" si="71"/>
        <v>DI-M3B19P10</v>
      </c>
      <c r="E188" s="80" t="str">
        <f t="shared" si="70"/>
        <v>M3B19P10</v>
      </c>
      <c r="AL188" s="103">
        <v>1</v>
      </c>
      <c r="AM188" s="44">
        <v>19</v>
      </c>
      <c r="AN188" s="44" t="s">
        <v>302</v>
      </c>
      <c r="AO188" s="42" t="str">
        <f t="shared" si="76"/>
        <v>NVO-M1B19P26</v>
      </c>
      <c r="AP188" s="59" t="str">
        <f t="shared" si="69"/>
        <v>M1B19P26</v>
      </c>
    </row>
    <row r="189" spans="1:42" x14ac:dyDescent="0.3">
      <c r="A189" s="28">
        <v>3</v>
      </c>
      <c r="B189" s="69">
        <v>19</v>
      </c>
      <c r="C189" s="69" t="s">
        <v>83</v>
      </c>
      <c r="D189" s="80" t="str">
        <f t="shared" si="71"/>
        <v>DI-M3B19P11</v>
      </c>
      <c r="E189" s="80" t="str">
        <f t="shared" si="70"/>
        <v>M3B19P11</v>
      </c>
      <c r="AL189" s="103">
        <v>1</v>
      </c>
      <c r="AM189" s="44">
        <v>19</v>
      </c>
      <c r="AN189" s="44" t="s">
        <v>303</v>
      </c>
      <c r="AO189" s="42" t="str">
        <f t="shared" si="76"/>
        <v>NVO-M1B19P27</v>
      </c>
      <c r="AP189" s="59" t="str">
        <f t="shared" si="69"/>
        <v>M1B19P27</v>
      </c>
    </row>
    <row r="190" spans="1:42" x14ac:dyDescent="0.3">
      <c r="A190" s="28">
        <v>3</v>
      </c>
      <c r="B190" s="69">
        <v>19</v>
      </c>
      <c r="C190" s="69" t="s">
        <v>84</v>
      </c>
      <c r="D190" s="80" t="str">
        <f t="shared" si="71"/>
        <v>DI-M3B19P12</v>
      </c>
      <c r="E190" s="80" t="str">
        <f t="shared" si="70"/>
        <v>M3B19P12</v>
      </c>
      <c r="AL190" s="103">
        <v>1</v>
      </c>
      <c r="AM190" s="44">
        <v>19</v>
      </c>
      <c r="AN190" s="44" t="s">
        <v>304</v>
      </c>
      <c r="AO190" s="42" t="str">
        <f t="shared" si="76"/>
        <v>NVO-M1B19P28</v>
      </c>
      <c r="AP190" s="59" t="str">
        <f t="shared" si="69"/>
        <v>M1B19P28</v>
      </c>
    </row>
    <row r="191" spans="1:42" x14ac:dyDescent="0.3">
      <c r="A191" s="28">
        <v>3</v>
      </c>
      <c r="B191" s="69">
        <v>19</v>
      </c>
      <c r="C191" s="69" t="s">
        <v>85</v>
      </c>
      <c r="D191" s="80" t="str">
        <f t="shared" si="71"/>
        <v>DI-M3B19P13</v>
      </c>
      <c r="E191" s="80" t="str">
        <f t="shared" si="70"/>
        <v>M3B19P13</v>
      </c>
      <c r="AL191" s="103">
        <v>1</v>
      </c>
      <c r="AM191" s="44">
        <v>19</v>
      </c>
      <c r="AN191" s="44" t="s">
        <v>305</v>
      </c>
      <c r="AO191" s="42" t="str">
        <f t="shared" si="76"/>
        <v>NVO-M1B19P29</v>
      </c>
      <c r="AP191" s="59" t="str">
        <f t="shared" si="69"/>
        <v>M1B19P29</v>
      </c>
    </row>
    <row r="192" spans="1:42" x14ac:dyDescent="0.3">
      <c r="A192" s="28">
        <v>3</v>
      </c>
      <c r="B192" s="69">
        <v>19</v>
      </c>
      <c r="C192" s="69" t="s">
        <v>86</v>
      </c>
      <c r="D192" s="80" t="str">
        <f t="shared" si="71"/>
        <v>DI-M3B19P14</v>
      </c>
      <c r="E192" s="80" t="str">
        <f t="shared" si="70"/>
        <v>M3B19P14</v>
      </c>
      <c r="AL192" s="103">
        <v>1</v>
      </c>
      <c r="AM192" s="44">
        <v>19</v>
      </c>
      <c r="AN192" s="44" t="s">
        <v>306</v>
      </c>
      <c r="AO192" s="42" t="str">
        <f t="shared" si="76"/>
        <v>NVO-M1B19P30</v>
      </c>
      <c r="AP192" s="59" t="str">
        <f t="shared" si="69"/>
        <v>M1B19P30</v>
      </c>
    </row>
    <row r="193" spans="1:42" x14ac:dyDescent="0.3">
      <c r="A193" s="28">
        <v>3</v>
      </c>
      <c r="B193" s="69">
        <v>19</v>
      </c>
      <c r="C193" s="69" t="s">
        <v>87</v>
      </c>
      <c r="D193" s="80" t="str">
        <f t="shared" si="71"/>
        <v>DI-M3B19P15</v>
      </c>
      <c r="E193" s="80" t="str">
        <f t="shared" si="70"/>
        <v>M3B19P15</v>
      </c>
      <c r="AL193" s="103">
        <v>1</v>
      </c>
      <c r="AM193" s="44">
        <v>19</v>
      </c>
      <c r="AN193" s="44" t="s">
        <v>307</v>
      </c>
      <c r="AO193" s="42" t="str">
        <f t="shared" si="76"/>
        <v>NVO-M1B19P31</v>
      </c>
      <c r="AP193" s="59" t="str">
        <f t="shared" si="69"/>
        <v>M1B19P31</v>
      </c>
    </row>
    <row r="194" spans="1:42" ht="15" thickBot="1" x14ac:dyDescent="0.35">
      <c r="A194" s="28">
        <v>3</v>
      </c>
      <c r="B194" s="69">
        <v>19</v>
      </c>
      <c r="C194" s="69" t="s">
        <v>88</v>
      </c>
      <c r="D194" s="81" t="str">
        <f t="shared" si="71"/>
        <v>DI-M3B19P16</v>
      </c>
      <c r="E194" s="81" t="str">
        <f t="shared" si="70"/>
        <v>M3B19P16</v>
      </c>
      <c r="AL194" s="103">
        <v>1</v>
      </c>
      <c r="AM194" s="44">
        <v>19</v>
      </c>
      <c r="AN194" s="44" t="s">
        <v>308</v>
      </c>
      <c r="AO194" s="42" t="str">
        <f t="shared" si="76"/>
        <v>NVO-M1B19P32</v>
      </c>
      <c r="AP194" s="59" t="str">
        <f t="shared" si="69"/>
        <v>M1B19P32</v>
      </c>
    </row>
    <row r="195" spans="1:42" x14ac:dyDescent="0.3">
      <c r="A195" s="28">
        <v>3</v>
      </c>
      <c r="B195" s="69">
        <v>20</v>
      </c>
      <c r="C195" s="69" t="s">
        <v>75</v>
      </c>
      <c r="D195" s="79" t="str">
        <f t="shared" si="71"/>
        <v>DI-M3B20P01</v>
      </c>
      <c r="E195" s="79" t="str">
        <f t="shared" si="70"/>
        <v>M3B20P01</v>
      </c>
      <c r="AL195" s="100">
        <v>1</v>
      </c>
      <c r="AM195" s="101">
        <v>20</v>
      </c>
      <c r="AN195" s="101" t="s">
        <v>75</v>
      </c>
      <c r="AO195" s="102" t="str">
        <f>("NVO-M"&amp;AL195&amp;"B"&amp;AM195&amp;"P"&amp;AN195)</f>
        <v>NVO-M1B20P01</v>
      </c>
      <c r="AP195" s="59" t="str">
        <f t="shared" si="69"/>
        <v>M1B20P01</v>
      </c>
    </row>
    <row r="196" spans="1:42" x14ac:dyDescent="0.3">
      <c r="A196" s="28">
        <v>3</v>
      </c>
      <c r="B196" s="69">
        <v>20</v>
      </c>
      <c r="C196" s="69" t="s">
        <v>76</v>
      </c>
      <c r="D196" s="80" t="str">
        <f t="shared" si="71"/>
        <v>DI-M3B20P02</v>
      </c>
      <c r="E196" s="80" t="str">
        <f t="shared" si="70"/>
        <v>M3B20P02</v>
      </c>
      <c r="AL196" s="103">
        <v>1</v>
      </c>
      <c r="AM196" s="44">
        <v>20</v>
      </c>
      <c r="AN196" s="44" t="s">
        <v>76</v>
      </c>
      <c r="AO196" s="42" t="str">
        <f t="shared" ref="AO196:AO226" si="77">("NVO-M"&amp;AL196&amp;"B"&amp;AM196&amp;"P"&amp;AN196)</f>
        <v>NVO-M1B20P02</v>
      </c>
      <c r="AP196" s="59" t="str">
        <f t="shared" ref="AP196:AP258" si="78">("M"&amp;$AL196&amp;"B"&amp;AM196&amp;"P"&amp;AN196)</f>
        <v>M1B20P02</v>
      </c>
    </row>
    <row r="197" spans="1:42" x14ac:dyDescent="0.3">
      <c r="A197" s="28">
        <v>3</v>
      </c>
      <c r="B197" s="69">
        <v>20</v>
      </c>
      <c r="C197" s="69" t="s">
        <v>77</v>
      </c>
      <c r="D197" s="80" t="str">
        <f t="shared" si="71"/>
        <v>DI-M3B20P03</v>
      </c>
      <c r="E197" s="80" t="str">
        <f t="shared" si="70"/>
        <v>M3B20P03</v>
      </c>
      <c r="AL197" s="103">
        <v>1</v>
      </c>
      <c r="AM197" s="44">
        <v>20</v>
      </c>
      <c r="AN197" s="44" t="s">
        <v>77</v>
      </c>
      <c r="AO197" s="42" t="str">
        <f t="shared" si="77"/>
        <v>NVO-M1B20P03</v>
      </c>
      <c r="AP197" s="59" t="str">
        <f t="shared" si="78"/>
        <v>M1B20P03</v>
      </c>
    </row>
    <row r="198" spans="1:42" x14ac:dyDescent="0.3">
      <c r="A198" s="28">
        <v>3</v>
      </c>
      <c r="B198" s="69">
        <v>20</v>
      </c>
      <c r="C198" s="69" t="s">
        <v>78</v>
      </c>
      <c r="D198" s="80" t="str">
        <f t="shared" si="71"/>
        <v>DI-M3B20P04</v>
      </c>
      <c r="E198" s="80" t="str">
        <f t="shared" ref="E198:E226" si="79">("M"&amp;$A198&amp;"B"&amp;$B198&amp;"P"&amp;$C198)</f>
        <v>M3B20P04</v>
      </c>
      <c r="AL198" s="103">
        <v>1</v>
      </c>
      <c r="AM198" s="44">
        <v>20</v>
      </c>
      <c r="AN198" s="44" t="s">
        <v>78</v>
      </c>
      <c r="AO198" s="42" t="str">
        <f t="shared" si="77"/>
        <v>NVO-M1B20P04</v>
      </c>
      <c r="AP198" s="59" t="str">
        <f t="shared" si="78"/>
        <v>M1B20P04</v>
      </c>
    </row>
    <row r="199" spans="1:42" x14ac:dyDescent="0.3">
      <c r="A199" s="28">
        <v>3</v>
      </c>
      <c r="B199" s="69">
        <v>20</v>
      </c>
      <c r="C199" s="69" t="s">
        <v>79</v>
      </c>
      <c r="D199" s="80" t="str">
        <f t="shared" ref="D199:D226" si="80">("DI-M"&amp;A199&amp;"B"&amp;B199&amp;"P"&amp;C199)</f>
        <v>DI-M3B20P05</v>
      </c>
      <c r="E199" s="80" t="str">
        <f t="shared" si="79"/>
        <v>M3B20P05</v>
      </c>
      <c r="AL199" s="103">
        <v>1</v>
      </c>
      <c r="AM199" s="44">
        <v>20</v>
      </c>
      <c r="AN199" s="44" t="s">
        <v>79</v>
      </c>
      <c r="AO199" s="42" t="str">
        <f t="shared" si="77"/>
        <v>NVO-M1B20P05</v>
      </c>
      <c r="AP199" s="59" t="str">
        <f t="shared" si="78"/>
        <v>M1B20P05</v>
      </c>
    </row>
    <row r="200" spans="1:42" x14ac:dyDescent="0.3">
      <c r="A200" s="28">
        <v>3</v>
      </c>
      <c r="B200" s="69">
        <v>20</v>
      </c>
      <c r="C200" s="69" t="s">
        <v>73</v>
      </c>
      <c r="D200" s="80" t="str">
        <f t="shared" si="80"/>
        <v>DI-M3B20P06</v>
      </c>
      <c r="E200" s="80" t="str">
        <f t="shared" si="79"/>
        <v>M3B20P06</v>
      </c>
      <c r="AL200" s="103">
        <v>1</v>
      </c>
      <c r="AM200" s="44">
        <v>20</v>
      </c>
      <c r="AN200" s="44" t="s">
        <v>73</v>
      </c>
      <c r="AO200" s="42" t="str">
        <f t="shared" si="77"/>
        <v>NVO-M1B20P06</v>
      </c>
      <c r="AP200" s="59" t="str">
        <f t="shared" si="78"/>
        <v>M1B20P06</v>
      </c>
    </row>
    <row r="201" spans="1:42" x14ac:dyDescent="0.3">
      <c r="A201" s="28">
        <v>3</v>
      </c>
      <c r="B201" s="69">
        <v>20</v>
      </c>
      <c r="C201" s="69" t="s">
        <v>74</v>
      </c>
      <c r="D201" s="80" t="str">
        <f t="shared" si="80"/>
        <v>DI-M3B20P07</v>
      </c>
      <c r="E201" s="80" t="str">
        <f t="shared" si="79"/>
        <v>M3B20P07</v>
      </c>
      <c r="AL201" s="103">
        <v>1</v>
      </c>
      <c r="AM201" s="44">
        <v>20</v>
      </c>
      <c r="AN201" s="44" t="s">
        <v>74</v>
      </c>
      <c r="AO201" s="42" t="str">
        <f t="shared" si="77"/>
        <v>NVO-M1B20P07</v>
      </c>
      <c r="AP201" s="59" t="str">
        <f t="shared" si="78"/>
        <v>M1B20P07</v>
      </c>
    </row>
    <row r="202" spans="1:42" x14ac:dyDescent="0.3">
      <c r="A202" s="28">
        <v>3</v>
      </c>
      <c r="B202" s="69">
        <v>20</v>
      </c>
      <c r="C202" s="69" t="s">
        <v>80</v>
      </c>
      <c r="D202" s="80" t="str">
        <f t="shared" si="80"/>
        <v>DI-M3B20P08</v>
      </c>
      <c r="E202" s="80" t="str">
        <f t="shared" si="79"/>
        <v>M3B20P08</v>
      </c>
      <c r="AL202" s="103">
        <v>1</v>
      </c>
      <c r="AM202" s="44">
        <v>20</v>
      </c>
      <c r="AN202" s="44" t="s">
        <v>80</v>
      </c>
      <c r="AO202" s="42" t="str">
        <f t="shared" si="77"/>
        <v>NVO-M1B20P08</v>
      </c>
      <c r="AP202" s="59" t="str">
        <f t="shared" si="78"/>
        <v>M1B20P08</v>
      </c>
    </row>
    <row r="203" spans="1:42" x14ac:dyDescent="0.3">
      <c r="A203" s="28">
        <v>3</v>
      </c>
      <c r="B203" s="69">
        <v>20</v>
      </c>
      <c r="C203" s="69" t="s">
        <v>81</v>
      </c>
      <c r="D203" s="80" t="str">
        <f t="shared" si="80"/>
        <v>DI-M3B20P09</v>
      </c>
      <c r="E203" s="80" t="str">
        <f t="shared" si="79"/>
        <v>M3B20P09</v>
      </c>
      <c r="AL203" s="103">
        <v>1</v>
      </c>
      <c r="AM203" s="44">
        <v>20</v>
      </c>
      <c r="AN203" s="44" t="s">
        <v>81</v>
      </c>
      <c r="AO203" s="42" t="str">
        <f t="shared" si="77"/>
        <v>NVO-M1B20P09</v>
      </c>
      <c r="AP203" s="59" t="str">
        <f t="shared" si="78"/>
        <v>M1B20P09</v>
      </c>
    </row>
    <row r="204" spans="1:42" x14ac:dyDescent="0.3">
      <c r="A204" s="28">
        <v>3</v>
      </c>
      <c r="B204" s="69">
        <v>20</v>
      </c>
      <c r="C204" s="69" t="s">
        <v>82</v>
      </c>
      <c r="D204" s="80" t="str">
        <f t="shared" si="80"/>
        <v>DI-M3B20P10</v>
      </c>
      <c r="E204" s="80" t="str">
        <f t="shared" si="79"/>
        <v>M3B20P10</v>
      </c>
      <c r="AL204" s="103">
        <v>1</v>
      </c>
      <c r="AM204" s="44">
        <v>20</v>
      </c>
      <c r="AN204" s="44" t="s">
        <v>82</v>
      </c>
      <c r="AO204" s="42" t="str">
        <f t="shared" si="77"/>
        <v>NVO-M1B20P10</v>
      </c>
      <c r="AP204" s="59" t="str">
        <f t="shared" si="78"/>
        <v>M1B20P10</v>
      </c>
    </row>
    <row r="205" spans="1:42" x14ac:dyDescent="0.3">
      <c r="A205" s="28">
        <v>3</v>
      </c>
      <c r="B205" s="69">
        <v>20</v>
      </c>
      <c r="C205" s="69" t="s">
        <v>83</v>
      </c>
      <c r="D205" s="80" t="str">
        <f t="shared" si="80"/>
        <v>DI-M3B20P11</v>
      </c>
      <c r="E205" s="80" t="str">
        <f t="shared" si="79"/>
        <v>M3B20P11</v>
      </c>
      <c r="AL205" s="103">
        <v>1</v>
      </c>
      <c r="AM205" s="44">
        <v>20</v>
      </c>
      <c r="AN205" s="44" t="s">
        <v>83</v>
      </c>
      <c r="AO205" s="42" t="str">
        <f t="shared" si="77"/>
        <v>NVO-M1B20P11</v>
      </c>
      <c r="AP205" s="59" t="str">
        <f t="shared" si="78"/>
        <v>M1B20P11</v>
      </c>
    </row>
    <row r="206" spans="1:42" x14ac:dyDescent="0.3">
      <c r="A206" s="28">
        <v>3</v>
      </c>
      <c r="B206" s="69">
        <v>20</v>
      </c>
      <c r="C206" s="69" t="s">
        <v>84</v>
      </c>
      <c r="D206" s="80" t="str">
        <f t="shared" si="80"/>
        <v>DI-M3B20P12</v>
      </c>
      <c r="E206" s="80" t="str">
        <f t="shared" si="79"/>
        <v>M3B20P12</v>
      </c>
      <c r="AL206" s="103">
        <v>1</v>
      </c>
      <c r="AM206" s="44">
        <v>20</v>
      </c>
      <c r="AN206" s="44" t="s">
        <v>84</v>
      </c>
      <c r="AO206" s="42" t="str">
        <f t="shared" si="77"/>
        <v>NVO-M1B20P12</v>
      </c>
      <c r="AP206" s="59" t="str">
        <f t="shared" si="78"/>
        <v>M1B20P12</v>
      </c>
    </row>
    <row r="207" spans="1:42" x14ac:dyDescent="0.3">
      <c r="A207" s="28">
        <v>3</v>
      </c>
      <c r="B207" s="69">
        <v>20</v>
      </c>
      <c r="C207" s="69" t="s">
        <v>85</v>
      </c>
      <c r="D207" s="80" t="str">
        <f t="shared" si="80"/>
        <v>DI-M3B20P13</v>
      </c>
      <c r="E207" s="80" t="str">
        <f t="shared" si="79"/>
        <v>M3B20P13</v>
      </c>
      <c r="AL207" s="103">
        <v>1</v>
      </c>
      <c r="AM207" s="44">
        <v>20</v>
      </c>
      <c r="AN207" s="44" t="s">
        <v>85</v>
      </c>
      <c r="AO207" s="42" t="str">
        <f t="shared" si="77"/>
        <v>NVO-M1B20P13</v>
      </c>
      <c r="AP207" s="59" t="str">
        <f t="shared" si="78"/>
        <v>M1B20P13</v>
      </c>
    </row>
    <row r="208" spans="1:42" x14ac:dyDescent="0.3">
      <c r="A208" s="28">
        <v>3</v>
      </c>
      <c r="B208" s="69">
        <v>20</v>
      </c>
      <c r="C208" s="69" t="s">
        <v>86</v>
      </c>
      <c r="D208" s="80" t="str">
        <f t="shared" si="80"/>
        <v>DI-M3B20P14</v>
      </c>
      <c r="E208" s="80" t="str">
        <f t="shared" si="79"/>
        <v>M3B20P14</v>
      </c>
      <c r="AL208" s="103">
        <v>1</v>
      </c>
      <c r="AM208" s="44">
        <v>20</v>
      </c>
      <c r="AN208" s="44" t="s">
        <v>86</v>
      </c>
      <c r="AO208" s="42" t="str">
        <f t="shared" si="77"/>
        <v>NVO-M1B20P14</v>
      </c>
      <c r="AP208" s="59" t="str">
        <f t="shared" si="78"/>
        <v>M1B20P14</v>
      </c>
    </row>
    <row r="209" spans="1:42" x14ac:dyDescent="0.3">
      <c r="A209" s="28">
        <v>3</v>
      </c>
      <c r="B209" s="69">
        <v>20</v>
      </c>
      <c r="C209" s="69" t="s">
        <v>87</v>
      </c>
      <c r="D209" s="80" t="str">
        <f t="shared" si="80"/>
        <v>DI-M3B20P15</v>
      </c>
      <c r="E209" s="80" t="str">
        <f t="shared" si="79"/>
        <v>M3B20P15</v>
      </c>
      <c r="AL209" s="103">
        <v>1</v>
      </c>
      <c r="AM209" s="44">
        <v>20</v>
      </c>
      <c r="AN209" s="44" t="s">
        <v>87</v>
      </c>
      <c r="AO209" s="42" t="str">
        <f t="shared" si="77"/>
        <v>NVO-M1B20P15</v>
      </c>
      <c r="AP209" s="59" t="str">
        <f t="shared" si="78"/>
        <v>M1B20P15</v>
      </c>
    </row>
    <row r="210" spans="1:42" x14ac:dyDescent="0.3">
      <c r="A210" s="28">
        <v>3</v>
      </c>
      <c r="B210" s="69">
        <v>20</v>
      </c>
      <c r="C210" s="69" t="s">
        <v>88</v>
      </c>
      <c r="D210" s="81" t="str">
        <f t="shared" si="80"/>
        <v>DI-M3B20P16</v>
      </c>
      <c r="E210" s="81" t="str">
        <f t="shared" si="79"/>
        <v>M3B20P16</v>
      </c>
      <c r="AL210" s="103">
        <v>1</v>
      </c>
      <c r="AM210" s="44">
        <v>20</v>
      </c>
      <c r="AN210" s="44" t="s">
        <v>88</v>
      </c>
      <c r="AO210" s="42" t="str">
        <f t="shared" si="77"/>
        <v>NVO-M1B20P16</v>
      </c>
      <c r="AP210" s="59" t="str">
        <f t="shared" si="78"/>
        <v>M1B20P16</v>
      </c>
    </row>
    <row r="211" spans="1:42" x14ac:dyDescent="0.3">
      <c r="A211" s="28">
        <v>3</v>
      </c>
      <c r="B211" s="69">
        <v>21</v>
      </c>
      <c r="C211" s="69" t="s">
        <v>75</v>
      </c>
      <c r="D211" s="80" t="str">
        <f t="shared" si="80"/>
        <v>DI-M3B21P01</v>
      </c>
      <c r="E211" s="80" t="str">
        <f t="shared" si="79"/>
        <v>M3B21P01</v>
      </c>
      <c r="AL211" s="103">
        <v>1</v>
      </c>
      <c r="AM211" s="44">
        <v>20</v>
      </c>
      <c r="AN211" s="44" t="s">
        <v>297</v>
      </c>
      <c r="AO211" s="42" t="str">
        <f t="shared" si="77"/>
        <v>NVO-M1B20P17</v>
      </c>
      <c r="AP211" s="59" t="str">
        <f t="shared" si="78"/>
        <v>M1B20P17</v>
      </c>
    </row>
    <row r="212" spans="1:42" x14ac:dyDescent="0.3">
      <c r="A212" s="28">
        <v>3</v>
      </c>
      <c r="B212" s="69">
        <v>21</v>
      </c>
      <c r="C212" s="69" t="s">
        <v>76</v>
      </c>
      <c r="D212" s="80" t="str">
        <f t="shared" si="80"/>
        <v>DI-M3B21P02</v>
      </c>
      <c r="E212" s="80" t="str">
        <f t="shared" si="79"/>
        <v>M3B21P02</v>
      </c>
      <c r="AL212" s="103">
        <v>1</v>
      </c>
      <c r="AM212" s="44">
        <v>20</v>
      </c>
      <c r="AN212" s="44" t="s">
        <v>191</v>
      </c>
      <c r="AO212" s="42" t="str">
        <f t="shared" si="77"/>
        <v>NVO-M1B20P18</v>
      </c>
      <c r="AP212" s="59" t="str">
        <f t="shared" si="78"/>
        <v>M1B20P18</v>
      </c>
    </row>
    <row r="213" spans="1:42" x14ac:dyDescent="0.3">
      <c r="A213" s="28">
        <v>3</v>
      </c>
      <c r="B213" s="69">
        <v>21</v>
      </c>
      <c r="C213" s="69" t="s">
        <v>77</v>
      </c>
      <c r="D213" s="80" t="str">
        <f t="shared" si="80"/>
        <v>DI-M3B21P03</v>
      </c>
      <c r="E213" s="80" t="str">
        <f t="shared" si="79"/>
        <v>M3B21P03</v>
      </c>
      <c r="AL213" s="103">
        <v>1</v>
      </c>
      <c r="AM213" s="44">
        <v>20</v>
      </c>
      <c r="AN213" s="44" t="s">
        <v>200</v>
      </c>
      <c r="AO213" s="42" t="str">
        <f t="shared" si="77"/>
        <v>NVO-M1B20P19</v>
      </c>
      <c r="AP213" s="59" t="str">
        <f t="shared" si="78"/>
        <v>M1B20P19</v>
      </c>
    </row>
    <row r="214" spans="1:42" x14ac:dyDescent="0.3">
      <c r="A214" s="28">
        <v>3</v>
      </c>
      <c r="B214" s="69">
        <v>21</v>
      </c>
      <c r="C214" s="69" t="s">
        <v>78</v>
      </c>
      <c r="D214" s="80" t="str">
        <f t="shared" si="80"/>
        <v>DI-M3B21P04</v>
      </c>
      <c r="E214" s="80" t="str">
        <f t="shared" si="79"/>
        <v>M3B21P04</v>
      </c>
      <c r="AL214" s="103">
        <v>1</v>
      </c>
      <c r="AM214" s="44">
        <v>20</v>
      </c>
      <c r="AN214" s="44" t="s">
        <v>209</v>
      </c>
      <c r="AO214" s="42" t="str">
        <f t="shared" si="77"/>
        <v>NVO-M1B20P20</v>
      </c>
      <c r="AP214" s="59" t="str">
        <f t="shared" si="78"/>
        <v>M1B20P20</v>
      </c>
    </row>
    <row r="215" spans="1:42" x14ac:dyDescent="0.3">
      <c r="A215" s="28">
        <v>3</v>
      </c>
      <c r="B215" s="69">
        <v>21</v>
      </c>
      <c r="C215" s="69" t="s">
        <v>79</v>
      </c>
      <c r="D215" s="80" t="str">
        <f t="shared" si="80"/>
        <v>DI-M3B21P05</v>
      </c>
      <c r="E215" s="80" t="str">
        <f t="shared" si="79"/>
        <v>M3B21P05</v>
      </c>
      <c r="AL215" s="103">
        <v>1</v>
      </c>
      <c r="AM215" s="44">
        <v>20</v>
      </c>
      <c r="AN215" s="44" t="s">
        <v>218</v>
      </c>
      <c r="AO215" s="42" t="str">
        <f t="shared" si="77"/>
        <v>NVO-M1B20P21</v>
      </c>
      <c r="AP215" s="59" t="str">
        <f t="shared" si="78"/>
        <v>M1B20P21</v>
      </c>
    </row>
    <row r="216" spans="1:42" x14ac:dyDescent="0.3">
      <c r="A216" s="28">
        <v>3</v>
      </c>
      <c r="B216" s="69">
        <v>21</v>
      </c>
      <c r="C216" s="69" t="s">
        <v>73</v>
      </c>
      <c r="D216" s="80" t="str">
        <f t="shared" si="80"/>
        <v>DI-M3B21P06</v>
      </c>
      <c r="E216" s="80" t="str">
        <f t="shared" si="79"/>
        <v>M3B21P06</v>
      </c>
      <c r="AL216" s="103">
        <v>1</v>
      </c>
      <c r="AM216" s="44">
        <v>20</v>
      </c>
      <c r="AN216" s="44" t="s">
        <v>298</v>
      </c>
      <c r="AO216" s="42" t="str">
        <f t="shared" si="77"/>
        <v>NVO-M1B20P22</v>
      </c>
      <c r="AP216" s="59" t="str">
        <f t="shared" si="78"/>
        <v>M1B20P22</v>
      </c>
    </row>
    <row r="217" spans="1:42" x14ac:dyDescent="0.3">
      <c r="A217" s="28">
        <v>3</v>
      </c>
      <c r="B217" s="69">
        <v>21</v>
      </c>
      <c r="C217" s="69" t="s">
        <v>74</v>
      </c>
      <c r="D217" s="80" t="str">
        <f t="shared" si="80"/>
        <v>DI-M3B21P07</v>
      </c>
      <c r="E217" s="80" t="str">
        <f t="shared" si="79"/>
        <v>M3B21P07</v>
      </c>
      <c r="AL217" s="103">
        <v>1</v>
      </c>
      <c r="AM217" s="44">
        <v>20</v>
      </c>
      <c r="AN217" s="44" t="s">
        <v>299</v>
      </c>
      <c r="AO217" s="42" t="str">
        <f t="shared" si="77"/>
        <v>NVO-M1B20P23</v>
      </c>
      <c r="AP217" s="59" t="str">
        <f t="shared" si="78"/>
        <v>M1B20P23</v>
      </c>
    </row>
    <row r="218" spans="1:42" x14ac:dyDescent="0.3">
      <c r="A218" s="28">
        <v>3</v>
      </c>
      <c r="B218" s="69">
        <v>21</v>
      </c>
      <c r="C218" s="69" t="s">
        <v>80</v>
      </c>
      <c r="D218" s="80" t="str">
        <f t="shared" si="80"/>
        <v>DI-M3B21P08</v>
      </c>
      <c r="E218" s="80" t="str">
        <f t="shared" si="79"/>
        <v>M3B21P08</v>
      </c>
      <c r="AL218" s="103">
        <v>1</v>
      </c>
      <c r="AM218" s="44">
        <v>20</v>
      </c>
      <c r="AN218" s="44" t="s">
        <v>300</v>
      </c>
      <c r="AO218" s="42" t="str">
        <f t="shared" si="77"/>
        <v>NVO-M1B20P24</v>
      </c>
      <c r="AP218" s="59" t="str">
        <f t="shared" si="78"/>
        <v>M1B20P24</v>
      </c>
    </row>
    <row r="219" spans="1:42" x14ac:dyDescent="0.3">
      <c r="A219" s="28">
        <v>3</v>
      </c>
      <c r="B219" s="69">
        <v>21</v>
      </c>
      <c r="C219" s="69" t="s">
        <v>81</v>
      </c>
      <c r="D219" s="80" t="str">
        <f t="shared" si="80"/>
        <v>DI-M3B21P09</v>
      </c>
      <c r="E219" s="80" t="str">
        <f t="shared" si="79"/>
        <v>M3B21P09</v>
      </c>
      <c r="AL219" s="103">
        <v>1</v>
      </c>
      <c r="AM219" s="44">
        <v>20</v>
      </c>
      <c r="AN219" s="44" t="s">
        <v>301</v>
      </c>
      <c r="AO219" s="42" t="str">
        <f t="shared" si="77"/>
        <v>NVO-M1B20P25</v>
      </c>
      <c r="AP219" s="59" t="str">
        <f t="shared" si="78"/>
        <v>M1B20P25</v>
      </c>
    </row>
    <row r="220" spans="1:42" x14ac:dyDescent="0.3">
      <c r="A220" s="28">
        <v>3</v>
      </c>
      <c r="B220" s="69">
        <v>21</v>
      </c>
      <c r="C220" s="69" t="s">
        <v>82</v>
      </c>
      <c r="D220" s="80" t="str">
        <f t="shared" si="80"/>
        <v>DI-M3B21P10</v>
      </c>
      <c r="E220" s="80" t="str">
        <f t="shared" si="79"/>
        <v>M3B21P10</v>
      </c>
      <c r="AL220" s="103">
        <v>1</v>
      </c>
      <c r="AM220" s="44">
        <v>20</v>
      </c>
      <c r="AN220" s="44" t="s">
        <v>302</v>
      </c>
      <c r="AO220" s="42" t="str">
        <f t="shared" si="77"/>
        <v>NVO-M1B20P26</v>
      </c>
      <c r="AP220" s="59" t="str">
        <f t="shared" si="78"/>
        <v>M1B20P26</v>
      </c>
    </row>
    <row r="221" spans="1:42" x14ac:dyDescent="0.3">
      <c r="A221" s="28">
        <v>3</v>
      </c>
      <c r="B221" s="69">
        <v>21</v>
      </c>
      <c r="C221" s="69" t="s">
        <v>83</v>
      </c>
      <c r="D221" s="80" t="str">
        <f t="shared" si="80"/>
        <v>DI-M3B21P11</v>
      </c>
      <c r="E221" s="80" t="str">
        <f t="shared" si="79"/>
        <v>M3B21P11</v>
      </c>
      <c r="AL221" s="103">
        <v>1</v>
      </c>
      <c r="AM221" s="44">
        <v>20</v>
      </c>
      <c r="AN221" s="44" t="s">
        <v>303</v>
      </c>
      <c r="AO221" s="42" t="str">
        <f t="shared" si="77"/>
        <v>NVO-M1B20P27</v>
      </c>
      <c r="AP221" s="59" t="str">
        <f t="shared" si="78"/>
        <v>M1B20P27</v>
      </c>
    </row>
    <row r="222" spans="1:42" x14ac:dyDescent="0.3">
      <c r="A222" s="28">
        <v>3</v>
      </c>
      <c r="B222" s="69">
        <v>21</v>
      </c>
      <c r="C222" s="69" t="s">
        <v>84</v>
      </c>
      <c r="D222" s="80" t="str">
        <f t="shared" si="80"/>
        <v>DI-M3B21P12</v>
      </c>
      <c r="E222" s="80" t="str">
        <f t="shared" si="79"/>
        <v>M3B21P12</v>
      </c>
      <c r="AL222" s="103">
        <v>1</v>
      </c>
      <c r="AM222" s="44">
        <v>20</v>
      </c>
      <c r="AN222" s="44" t="s">
        <v>304</v>
      </c>
      <c r="AO222" s="42" t="str">
        <f t="shared" si="77"/>
        <v>NVO-M1B20P28</v>
      </c>
      <c r="AP222" s="59" t="str">
        <f t="shared" si="78"/>
        <v>M1B20P28</v>
      </c>
    </row>
    <row r="223" spans="1:42" x14ac:dyDescent="0.3">
      <c r="A223" s="28">
        <v>3</v>
      </c>
      <c r="B223" s="69">
        <v>21</v>
      </c>
      <c r="C223" s="69" t="s">
        <v>85</v>
      </c>
      <c r="D223" s="80" t="str">
        <f t="shared" si="80"/>
        <v>DI-M3B21P13</v>
      </c>
      <c r="E223" s="80" t="str">
        <f t="shared" si="79"/>
        <v>M3B21P13</v>
      </c>
      <c r="AL223" s="103">
        <v>1</v>
      </c>
      <c r="AM223" s="44">
        <v>20</v>
      </c>
      <c r="AN223" s="44" t="s">
        <v>305</v>
      </c>
      <c r="AO223" s="42" t="str">
        <f t="shared" si="77"/>
        <v>NVO-M1B20P29</v>
      </c>
      <c r="AP223" s="59" t="str">
        <f t="shared" si="78"/>
        <v>M1B20P29</v>
      </c>
    </row>
    <row r="224" spans="1:42" x14ac:dyDescent="0.3">
      <c r="A224" s="28">
        <v>3</v>
      </c>
      <c r="B224" s="69">
        <v>21</v>
      </c>
      <c r="C224" s="69" t="s">
        <v>86</v>
      </c>
      <c r="D224" s="80" t="str">
        <f t="shared" si="80"/>
        <v>DI-M3B21P14</v>
      </c>
      <c r="E224" s="80" t="str">
        <f t="shared" si="79"/>
        <v>M3B21P14</v>
      </c>
      <c r="AL224" s="103">
        <v>1</v>
      </c>
      <c r="AM224" s="44">
        <v>20</v>
      </c>
      <c r="AN224" s="44" t="s">
        <v>306</v>
      </c>
      <c r="AO224" s="42" t="str">
        <f t="shared" si="77"/>
        <v>NVO-M1B20P30</v>
      </c>
      <c r="AP224" s="59" t="str">
        <f t="shared" si="78"/>
        <v>M1B20P30</v>
      </c>
    </row>
    <row r="225" spans="1:42" x14ac:dyDescent="0.3">
      <c r="A225" s="28">
        <v>3</v>
      </c>
      <c r="B225" s="69">
        <v>21</v>
      </c>
      <c r="C225" s="69" t="s">
        <v>87</v>
      </c>
      <c r="D225" s="80" t="str">
        <f t="shared" si="80"/>
        <v>DI-M3B21P15</v>
      </c>
      <c r="E225" s="80" t="str">
        <f t="shared" si="79"/>
        <v>M3B21P15</v>
      </c>
      <c r="AL225" s="103">
        <v>1</v>
      </c>
      <c r="AM225" s="44">
        <v>20</v>
      </c>
      <c r="AN225" s="44" t="s">
        <v>307</v>
      </c>
      <c r="AO225" s="42" t="str">
        <f t="shared" si="77"/>
        <v>NVO-M1B20P31</v>
      </c>
      <c r="AP225" s="59" t="str">
        <f t="shared" si="78"/>
        <v>M1B20P31</v>
      </c>
    </row>
    <row r="226" spans="1:42" ht="15" thickBot="1" x14ac:dyDescent="0.35">
      <c r="A226" s="28">
        <v>3</v>
      </c>
      <c r="B226" s="69">
        <v>21</v>
      </c>
      <c r="C226" s="69" t="s">
        <v>88</v>
      </c>
      <c r="D226" s="81" t="str">
        <f t="shared" si="80"/>
        <v>DI-M3B21P16</v>
      </c>
      <c r="E226" s="81" t="str">
        <f t="shared" si="79"/>
        <v>M3B21P16</v>
      </c>
      <c r="AL226" s="103">
        <v>1</v>
      </c>
      <c r="AM226" s="44">
        <v>20</v>
      </c>
      <c r="AN226" s="44" t="s">
        <v>308</v>
      </c>
      <c r="AO226" s="42" t="str">
        <f t="shared" si="77"/>
        <v>NVO-M1B20P32</v>
      </c>
      <c r="AP226" s="59" t="str">
        <f t="shared" si="78"/>
        <v>M1B20P32</v>
      </c>
    </row>
    <row r="227" spans="1:42" x14ac:dyDescent="0.3">
      <c r="AL227" s="100">
        <v>1</v>
      </c>
      <c r="AM227" s="101">
        <v>21</v>
      </c>
      <c r="AN227" s="101" t="s">
        <v>75</v>
      </c>
      <c r="AO227" s="102" t="str">
        <f>("NVO-M"&amp;AL227&amp;"B"&amp;AM227&amp;"P"&amp;AN227)</f>
        <v>NVO-M1B21P01</v>
      </c>
      <c r="AP227" s="59" t="str">
        <f t="shared" si="78"/>
        <v>M1B21P01</v>
      </c>
    </row>
    <row r="228" spans="1:42" x14ac:dyDescent="0.3">
      <c r="AL228" s="103">
        <v>1</v>
      </c>
      <c r="AM228" s="44">
        <v>21</v>
      </c>
      <c r="AN228" s="44" t="s">
        <v>76</v>
      </c>
      <c r="AO228" s="42" t="str">
        <f t="shared" ref="AO228:AO258" si="81">("NVO-M"&amp;AL228&amp;"B"&amp;AM228&amp;"P"&amp;AN228)</f>
        <v>NVO-M1B21P02</v>
      </c>
      <c r="AP228" s="59" t="str">
        <f t="shared" si="78"/>
        <v>M1B21P02</v>
      </c>
    </row>
    <row r="229" spans="1:42" x14ac:dyDescent="0.3">
      <c r="AL229" s="103">
        <v>1</v>
      </c>
      <c r="AM229" s="44">
        <v>21</v>
      </c>
      <c r="AN229" s="44" t="s">
        <v>77</v>
      </c>
      <c r="AO229" s="42" t="str">
        <f t="shared" si="81"/>
        <v>NVO-M1B21P03</v>
      </c>
      <c r="AP229" s="59" t="str">
        <f t="shared" si="78"/>
        <v>M1B21P03</v>
      </c>
    </row>
    <row r="230" spans="1:42" x14ac:dyDescent="0.3">
      <c r="AL230" s="103">
        <v>1</v>
      </c>
      <c r="AM230" s="44">
        <v>21</v>
      </c>
      <c r="AN230" s="44" t="s">
        <v>78</v>
      </c>
      <c r="AO230" s="42" t="str">
        <f t="shared" si="81"/>
        <v>NVO-M1B21P04</v>
      </c>
      <c r="AP230" s="59" t="str">
        <f t="shared" si="78"/>
        <v>M1B21P04</v>
      </c>
    </row>
    <row r="231" spans="1:42" x14ac:dyDescent="0.3">
      <c r="AL231" s="103">
        <v>1</v>
      </c>
      <c r="AM231" s="44">
        <v>21</v>
      </c>
      <c r="AN231" s="44" t="s">
        <v>79</v>
      </c>
      <c r="AO231" s="42" t="str">
        <f t="shared" si="81"/>
        <v>NVO-M1B21P05</v>
      </c>
      <c r="AP231" s="59" t="str">
        <f t="shared" si="78"/>
        <v>M1B21P05</v>
      </c>
    </row>
    <row r="232" spans="1:42" x14ac:dyDescent="0.3">
      <c r="AL232" s="103">
        <v>1</v>
      </c>
      <c r="AM232" s="44">
        <v>21</v>
      </c>
      <c r="AN232" s="44" t="s">
        <v>73</v>
      </c>
      <c r="AO232" s="42" t="str">
        <f t="shared" si="81"/>
        <v>NVO-M1B21P06</v>
      </c>
      <c r="AP232" s="59" t="str">
        <f t="shared" si="78"/>
        <v>M1B21P06</v>
      </c>
    </row>
    <row r="233" spans="1:42" x14ac:dyDescent="0.3">
      <c r="AL233" s="103">
        <v>1</v>
      </c>
      <c r="AM233" s="44">
        <v>21</v>
      </c>
      <c r="AN233" s="44" t="s">
        <v>74</v>
      </c>
      <c r="AO233" s="42" t="str">
        <f t="shared" si="81"/>
        <v>NVO-M1B21P07</v>
      </c>
      <c r="AP233" s="59" t="str">
        <f t="shared" si="78"/>
        <v>M1B21P07</v>
      </c>
    </row>
    <row r="234" spans="1:42" x14ac:dyDescent="0.3">
      <c r="AL234" s="103">
        <v>1</v>
      </c>
      <c r="AM234" s="44">
        <v>21</v>
      </c>
      <c r="AN234" s="44" t="s">
        <v>80</v>
      </c>
      <c r="AO234" s="42" t="str">
        <f t="shared" si="81"/>
        <v>NVO-M1B21P08</v>
      </c>
      <c r="AP234" s="59" t="str">
        <f t="shared" si="78"/>
        <v>M1B21P08</v>
      </c>
    </row>
    <row r="235" spans="1:42" x14ac:dyDescent="0.3">
      <c r="AL235" s="103">
        <v>1</v>
      </c>
      <c r="AM235" s="44">
        <v>21</v>
      </c>
      <c r="AN235" s="44" t="s">
        <v>81</v>
      </c>
      <c r="AO235" s="42" t="str">
        <f t="shared" si="81"/>
        <v>NVO-M1B21P09</v>
      </c>
      <c r="AP235" s="59" t="str">
        <f t="shared" si="78"/>
        <v>M1B21P09</v>
      </c>
    </row>
    <row r="236" spans="1:42" x14ac:dyDescent="0.3">
      <c r="AL236" s="103">
        <v>1</v>
      </c>
      <c r="AM236" s="44">
        <v>21</v>
      </c>
      <c r="AN236" s="44" t="s">
        <v>82</v>
      </c>
      <c r="AO236" s="42" t="str">
        <f t="shared" si="81"/>
        <v>NVO-M1B21P10</v>
      </c>
      <c r="AP236" s="59" t="str">
        <f t="shared" si="78"/>
        <v>M1B21P10</v>
      </c>
    </row>
    <row r="237" spans="1:42" x14ac:dyDescent="0.3">
      <c r="AL237" s="103">
        <v>1</v>
      </c>
      <c r="AM237" s="44">
        <v>21</v>
      </c>
      <c r="AN237" s="44" t="s">
        <v>83</v>
      </c>
      <c r="AO237" s="42" t="str">
        <f t="shared" si="81"/>
        <v>NVO-M1B21P11</v>
      </c>
      <c r="AP237" s="59" t="str">
        <f t="shared" si="78"/>
        <v>M1B21P11</v>
      </c>
    </row>
    <row r="238" spans="1:42" x14ac:dyDescent="0.3">
      <c r="AL238" s="103">
        <v>1</v>
      </c>
      <c r="AM238" s="44">
        <v>21</v>
      </c>
      <c r="AN238" s="44" t="s">
        <v>84</v>
      </c>
      <c r="AO238" s="42" t="str">
        <f t="shared" si="81"/>
        <v>NVO-M1B21P12</v>
      </c>
      <c r="AP238" s="59" t="str">
        <f t="shared" si="78"/>
        <v>M1B21P12</v>
      </c>
    </row>
    <row r="239" spans="1:42" x14ac:dyDescent="0.3">
      <c r="AL239" s="103">
        <v>1</v>
      </c>
      <c r="AM239" s="44">
        <v>21</v>
      </c>
      <c r="AN239" s="44" t="s">
        <v>85</v>
      </c>
      <c r="AO239" s="42" t="str">
        <f t="shared" si="81"/>
        <v>NVO-M1B21P13</v>
      </c>
      <c r="AP239" s="59" t="str">
        <f t="shared" si="78"/>
        <v>M1B21P13</v>
      </c>
    </row>
    <row r="240" spans="1:42" x14ac:dyDescent="0.3">
      <c r="AL240" s="103">
        <v>1</v>
      </c>
      <c r="AM240" s="44">
        <v>21</v>
      </c>
      <c r="AN240" s="44" t="s">
        <v>86</v>
      </c>
      <c r="AO240" s="42" t="str">
        <f t="shared" si="81"/>
        <v>NVO-M1B21P14</v>
      </c>
      <c r="AP240" s="59" t="str">
        <f t="shared" si="78"/>
        <v>M1B21P14</v>
      </c>
    </row>
    <row r="241" spans="38:42" x14ac:dyDescent="0.3">
      <c r="AL241" s="103">
        <v>1</v>
      </c>
      <c r="AM241" s="44">
        <v>21</v>
      </c>
      <c r="AN241" s="44" t="s">
        <v>87</v>
      </c>
      <c r="AO241" s="42" t="str">
        <f t="shared" si="81"/>
        <v>NVO-M1B21P15</v>
      </c>
      <c r="AP241" s="59" t="str">
        <f t="shared" si="78"/>
        <v>M1B21P15</v>
      </c>
    </row>
    <row r="242" spans="38:42" x14ac:dyDescent="0.3">
      <c r="AL242" s="103">
        <v>1</v>
      </c>
      <c r="AM242" s="44">
        <v>21</v>
      </c>
      <c r="AN242" s="44" t="s">
        <v>88</v>
      </c>
      <c r="AO242" s="42" t="str">
        <f t="shared" si="81"/>
        <v>NVO-M1B21P16</v>
      </c>
      <c r="AP242" s="59" t="str">
        <f t="shared" si="78"/>
        <v>M1B21P16</v>
      </c>
    </row>
    <row r="243" spans="38:42" x14ac:dyDescent="0.3">
      <c r="AL243" s="103">
        <v>1</v>
      </c>
      <c r="AM243" s="44">
        <v>21</v>
      </c>
      <c r="AN243" s="44" t="s">
        <v>297</v>
      </c>
      <c r="AO243" s="42" t="str">
        <f t="shared" si="81"/>
        <v>NVO-M1B21P17</v>
      </c>
      <c r="AP243" s="59" t="str">
        <f t="shared" si="78"/>
        <v>M1B21P17</v>
      </c>
    </row>
    <row r="244" spans="38:42" x14ac:dyDescent="0.3">
      <c r="AL244" s="103">
        <v>1</v>
      </c>
      <c r="AM244" s="44">
        <v>21</v>
      </c>
      <c r="AN244" s="44" t="s">
        <v>191</v>
      </c>
      <c r="AO244" s="42" t="str">
        <f t="shared" si="81"/>
        <v>NVO-M1B21P18</v>
      </c>
      <c r="AP244" s="59" t="str">
        <f t="shared" si="78"/>
        <v>M1B21P18</v>
      </c>
    </row>
    <row r="245" spans="38:42" x14ac:dyDescent="0.3">
      <c r="AL245" s="103">
        <v>1</v>
      </c>
      <c r="AM245" s="44">
        <v>21</v>
      </c>
      <c r="AN245" s="44" t="s">
        <v>200</v>
      </c>
      <c r="AO245" s="42" t="str">
        <f t="shared" si="81"/>
        <v>NVO-M1B21P19</v>
      </c>
      <c r="AP245" s="59" t="str">
        <f t="shared" si="78"/>
        <v>M1B21P19</v>
      </c>
    </row>
    <row r="246" spans="38:42" x14ac:dyDescent="0.3">
      <c r="AL246" s="103">
        <v>1</v>
      </c>
      <c r="AM246" s="44">
        <v>21</v>
      </c>
      <c r="AN246" s="44" t="s">
        <v>209</v>
      </c>
      <c r="AO246" s="42" t="str">
        <f t="shared" si="81"/>
        <v>NVO-M1B21P20</v>
      </c>
      <c r="AP246" s="59" t="str">
        <f t="shared" si="78"/>
        <v>M1B21P20</v>
      </c>
    </row>
    <row r="247" spans="38:42" x14ac:dyDescent="0.3">
      <c r="AL247" s="103">
        <v>1</v>
      </c>
      <c r="AM247" s="44">
        <v>21</v>
      </c>
      <c r="AN247" s="44" t="s">
        <v>218</v>
      </c>
      <c r="AO247" s="42" t="str">
        <f t="shared" si="81"/>
        <v>NVO-M1B21P21</v>
      </c>
      <c r="AP247" s="59" t="str">
        <f t="shared" si="78"/>
        <v>M1B21P21</v>
      </c>
    </row>
    <row r="248" spans="38:42" x14ac:dyDescent="0.3">
      <c r="AL248" s="103">
        <v>1</v>
      </c>
      <c r="AM248" s="44">
        <v>21</v>
      </c>
      <c r="AN248" s="44" t="s">
        <v>298</v>
      </c>
      <c r="AO248" s="42" t="str">
        <f t="shared" si="81"/>
        <v>NVO-M1B21P22</v>
      </c>
      <c r="AP248" s="59" t="str">
        <f t="shared" si="78"/>
        <v>M1B21P22</v>
      </c>
    </row>
    <row r="249" spans="38:42" x14ac:dyDescent="0.3">
      <c r="AL249" s="103">
        <v>1</v>
      </c>
      <c r="AM249" s="44">
        <v>21</v>
      </c>
      <c r="AN249" s="44" t="s">
        <v>299</v>
      </c>
      <c r="AO249" s="42" t="str">
        <f t="shared" si="81"/>
        <v>NVO-M1B21P23</v>
      </c>
      <c r="AP249" s="59" t="str">
        <f t="shared" si="78"/>
        <v>M1B21P23</v>
      </c>
    </row>
    <row r="250" spans="38:42" x14ac:dyDescent="0.3">
      <c r="AL250" s="103">
        <v>1</v>
      </c>
      <c r="AM250" s="44">
        <v>21</v>
      </c>
      <c r="AN250" s="44" t="s">
        <v>300</v>
      </c>
      <c r="AO250" s="42" t="str">
        <f t="shared" si="81"/>
        <v>NVO-M1B21P24</v>
      </c>
      <c r="AP250" s="59" t="str">
        <f t="shared" si="78"/>
        <v>M1B21P24</v>
      </c>
    </row>
    <row r="251" spans="38:42" x14ac:dyDescent="0.3">
      <c r="AL251" s="103">
        <v>1</v>
      </c>
      <c r="AM251" s="44">
        <v>21</v>
      </c>
      <c r="AN251" s="44" t="s">
        <v>301</v>
      </c>
      <c r="AO251" s="42" t="str">
        <f t="shared" si="81"/>
        <v>NVO-M1B21P25</v>
      </c>
      <c r="AP251" s="59" t="str">
        <f t="shared" si="78"/>
        <v>M1B21P25</v>
      </c>
    </row>
    <row r="252" spans="38:42" x14ac:dyDescent="0.3">
      <c r="AL252" s="103">
        <v>1</v>
      </c>
      <c r="AM252" s="44">
        <v>21</v>
      </c>
      <c r="AN252" s="44" t="s">
        <v>302</v>
      </c>
      <c r="AO252" s="42" t="str">
        <f t="shared" si="81"/>
        <v>NVO-M1B21P26</v>
      </c>
      <c r="AP252" s="59" t="str">
        <f t="shared" si="78"/>
        <v>M1B21P26</v>
      </c>
    </row>
    <row r="253" spans="38:42" x14ac:dyDescent="0.3">
      <c r="AL253" s="103">
        <v>1</v>
      </c>
      <c r="AM253" s="44">
        <v>21</v>
      </c>
      <c r="AN253" s="44" t="s">
        <v>303</v>
      </c>
      <c r="AO253" s="42" t="str">
        <f t="shared" si="81"/>
        <v>NVO-M1B21P27</v>
      </c>
      <c r="AP253" s="59" t="str">
        <f t="shared" si="78"/>
        <v>M1B21P27</v>
      </c>
    </row>
    <row r="254" spans="38:42" x14ac:dyDescent="0.3">
      <c r="AL254" s="103">
        <v>1</v>
      </c>
      <c r="AM254" s="44">
        <v>21</v>
      </c>
      <c r="AN254" s="44" t="s">
        <v>304</v>
      </c>
      <c r="AO254" s="42" t="str">
        <f t="shared" si="81"/>
        <v>NVO-M1B21P28</v>
      </c>
      <c r="AP254" s="59" t="str">
        <f t="shared" si="78"/>
        <v>M1B21P28</v>
      </c>
    </row>
    <row r="255" spans="38:42" x14ac:dyDescent="0.3">
      <c r="AL255" s="103">
        <v>1</v>
      </c>
      <c r="AM255" s="44">
        <v>21</v>
      </c>
      <c r="AN255" s="44" t="s">
        <v>305</v>
      </c>
      <c r="AO255" s="42" t="str">
        <f t="shared" si="81"/>
        <v>NVO-M1B21P29</v>
      </c>
      <c r="AP255" s="59" t="str">
        <f t="shared" si="78"/>
        <v>M1B21P29</v>
      </c>
    </row>
    <row r="256" spans="38:42" x14ac:dyDescent="0.3">
      <c r="AL256" s="103">
        <v>1</v>
      </c>
      <c r="AM256" s="44">
        <v>21</v>
      </c>
      <c r="AN256" s="44" t="s">
        <v>306</v>
      </c>
      <c r="AO256" s="42" t="str">
        <f t="shared" si="81"/>
        <v>NVO-M1B21P30</v>
      </c>
      <c r="AP256" s="59" t="str">
        <f t="shared" si="78"/>
        <v>M1B21P30</v>
      </c>
    </row>
    <row r="257" spans="38:42" x14ac:dyDescent="0.3">
      <c r="AL257" s="103">
        <v>1</v>
      </c>
      <c r="AM257" s="44">
        <v>21</v>
      </c>
      <c r="AN257" s="44" t="s">
        <v>307</v>
      </c>
      <c r="AO257" s="42" t="str">
        <f t="shared" si="81"/>
        <v>NVO-M1B21P31</v>
      </c>
      <c r="AP257" s="59" t="str">
        <f t="shared" si="78"/>
        <v>M1B21P31</v>
      </c>
    </row>
    <row r="258" spans="38:42" ht="15" thickBot="1" x14ac:dyDescent="0.35">
      <c r="AL258" s="104">
        <v>1</v>
      </c>
      <c r="AM258" s="105">
        <v>21</v>
      </c>
      <c r="AN258" s="105" t="s">
        <v>308</v>
      </c>
      <c r="AO258" s="106" t="str">
        <f t="shared" si="81"/>
        <v>NVO-M1B21P32</v>
      </c>
      <c r="AP258" s="59" t="str">
        <f t="shared" si="78"/>
        <v>M1B21P32</v>
      </c>
    </row>
  </sheetData>
  <mergeCells count="6">
    <mergeCell ref="AL1:AP1"/>
    <mergeCell ref="S1:AD1"/>
    <mergeCell ref="F1:K1"/>
    <mergeCell ref="A1:E1"/>
    <mergeCell ref="L1:R1"/>
    <mergeCell ref="AF1:AJ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dimension ref="A1:H31"/>
  <sheetViews>
    <sheetView tabSelected="1" workbookViewId="0">
      <selection activeCell="C13" sqref="C13"/>
    </sheetView>
  </sheetViews>
  <sheetFormatPr defaultRowHeight="14.4" x14ac:dyDescent="0.3"/>
  <cols>
    <col min="1" max="1" width="37.77734375" customWidth="1"/>
    <col min="2" max="2" width="7.44140625" customWidth="1"/>
    <col min="3" max="3" width="32" customWidth="1"/>
    <col min="4" max="4" width="6.5546875" customWidth="1"/>
    <col min="5" max="5" width="33" customWidth="1"/>
    <col min="6" max="6" width="10.44140625" customWidth="1"/>
    <col min="7" max="7" width="30.44140625" customWidth="1"/>
    <col min="8" max="8" width="12.21875" customWidth="1"/>
  </cols>
  <sheetData>
    <row r="1" spans="1:8" ht="21" x14ac:dyDescent="0.4">
      <c r="A1" s="142" t="s">
        <v>109</v>
      </c>
      <c r="B1" s="142"/>
      <c r="C1" s="143"/>
      <c r="D1" s="143"/>
      <c r="E1" s="143"/>
      <c r="F1" s="143"/>
      <c r="G1" s="143"/>
      <c r="H1" s="143"/>
    </row>
    <row r="2" spans="1:8" ht="18" x14ac:dyDescent="0.35">
      <c r="A2" s="138" t="s">
        <v>135</v>
      </c>
      <c r="B2" s="139"/>
      <c r="C2" s="140" t="s">
        <v>738</v>
      </c>
      <c r="D2" s="141"/>
      <c r="E2" s="132" t="s">
        <v>107</v>
      </c>
      <c r="F2" s="132"/>
      <c r="G2" s="132" t="s">
        <v>463</v>
      </c>
      <c r="H2" s="132"/>
    </row>
    <row r="3" spans="1:8" x14ac:dyDescent="0.3">
      <c r="A3" s="42" t="s">
        <v>104</v>
      </c>
      <c r="B3" s="46">
        <v>32</v>
      </c>
      <c r="C3" t="s">
        <v>104</v>
      </c>
      <c r="D3" s="119">
        <v>12</v>
      </c>
      <c r="E3" s="120" t="s">
        <v>108</v>
      </c>
      <c r="F3" s="57"/>
      <c r="G3" s="57" t="s">
        <v>137</v>
      </c>
      <c r="H3" s="57">
        <v>4</v>
      </c>
    </row>
    <row r="4" spans="1:8" x14ac:dyDescent="0.3">
      <c r="A4" s="118" t="s">
        <v>137</v>
      </c>
      <c r="B4" s="119">
        <v>16</v>
      </c>
      <c r="C4" s="55" t="s">
        <v>137</v>
      </c>
      <c r="D4" s="119">
        <v>12</v>
      </c>
      <c r="E4" s="120" t="s">
        <v>105</v>
      </c>
      <c r="F4" s="57"/>
      <c r="G4" s="57" t="s">
        <v>105</v>
      </c>
      <c r="H4" s="57">
        <v>134</v>
      </c>
    </row>
    <row r="5" spans="1:8" x14ac:dyDescent="0.3">
      <c r="A5" s="118" t="s">
        <v>105</v>
      </c>
      <c r="B5" s="119">
        <v>100</v>
      </c>
      <c r="C5" s="123" t="s">
        <v>105</v>
      </c>
      <c r="D5" s="119">
        <v>200</v>
      </c>
      <c r="E5" s="120" t="s">
        <v>106</v>
      </c>
      <c r="F5" s="57"/>
      <c r="G5" s="111"/>
      <c r="H5" s="111"/>
    </row>
    <row r="6" spans="1:8" x14ac:dyDescent="0.3">
      <c r="A6" s="118" t="s">
        <v>106</v>
      </c>
      <c r="B6" s="119">
        <v>14</v>
      </c>
      <c r="C6" s="123" t="s">
        <v>106</v>
      </c>
      <c r="D6" s="119">
        <v>5</v>
      </c>
      <c r="E6" s="120" t="s">
        <v>131</v>
      </c>
      <c r="F6" s="57" t="s">
        <v>134</v>
      </c>
      <c r="G6" s="111"/>
      <c r="H6" s="111"/>
    </row>
    <row r="7" spans="1:8" x14ac:dyDescent="0.3">
      <c r="A7" s="118" t="s">
        <v>136</v>
      </c>
      <c r="B7" s="119" t="s">
        <v>117</v>
      </c>
      <c r="C7" s="123" t="s">
        <v>136</v>
      </c>
      <c r="D7" s="119" t="s">
        <v>117</v>
      </c>
      <c r="E7" s="120" t="s">
        <v>132</v>
      </c>
      <c r="F7" s="57" t="s">
        <v>133</v>
      </c>
      <c r="G7" s="111"/>
      <c r="H7" s="111"/>
    </row>
    <row r="8" spans="1:8" x14ac:dyDescent="0.3">
      <c r="A8" s="122"/>
      <c r="B8" s="121"/>
      <c r="C8" s="123" t="s">
        <v>740</v>
      </c>
      <c r="D8" s="119" t="s">
        <v>117</v>
      </c>
      <c r="E8" s="124"/>
      <c r="F8" s="111"/>
      <c r="G8" s="111"/>
      <c r="H8" s="111"/>
    </row>
    <row r="9" spans="1:8" x14ac:dyDescent="0.3">
      <c r="A9" s="118"/>
      <c r="B9" s="119"/>
      <c r="D9" s="119"/>
    </row>
    <row r="10" spans="1:8" x14ac:dyDescent="0.3">
      <c r="A10" s="118"/>
      <c r="B10" s="119"/>
      <c r="D10" s="119"/>
    </row>
    <row r="11" spans="1:8" x14ac:dyDescent="0.3">
      <c r="A11" s="118"/>
      <c r="B11" s="119"/>
      <c r="D11" s="119"/>
    </row>
    <row r="12" spans="1:8" x14ac:dyDescent="0.3">
      <c r="A12" s="118"/>
      <c r="B12" s="119"/>
      <c r="D12" s="119"/>
    </row>
    <row r="13" spans="1:8" x14ac:dyDescent="0.3">
      <c r="A13" s="118"/>
      <c r="B13" s="119"/>
      <c r="D13" s="119"/>
    </row>
    <row r="14" spans="1:8" x14ac:dyDescent="0.3">
      <c r="A14" s="118"/>
      <c r="B14" s="119"/>
      <c r="D14" s="119"/>
    </row>
    <row r="15" spans="1:8" x14ac:dyDescent="0.3">
      <c r="A15" s="118"/>
      <c r="B15" s="119"/>
      <c r="D15" s="119"/>
    </row>
    <row r="16" spans="1:8" x14ac:dyDescent="0.3">
      <c r="A16" s="118"/>
      <c r="B16" s="119"/>
      <c r="D16" s="119"/>
    </row>
    <row r="17" spans="1:4" x14ac:dyDescent="0.3">
      <c r="A17" s="118"/>
      <c r="B17" s="119"/>
      <c r="D17" s="119"/>
    </row>
    <row r="18" spans="1:4" x14ac:dyDescent="0.3">
      <c r="A18" s="118"/>
      <c r="B18" s="119"/>
      <c r="D18" s="119"/>
    </row>
    <row r="19" spans="1:4" x14ac:dyDescent="0.3">
      <c r="A19" s="118"/>
      <c r="B19" s="119"/>
      <c r="D19" s="119"/>
    </row>
    <row r="20" spans="1:4" x14ac:dyDescent="0.3">
      <c r="A20" s="118"/>
      <c r="B20" s="119"/>
      <c r="D20" s="119"/>
    </row>
    <row r="21" spans="1:4" x14ac:dyDescent="0.3">
      <c r="A21" s="118"/>
      <c r="B21" s="119"/>
      <c r="D21" s="119"/>
    </row>
    <row r="22" spans="1:4" x14ac:dyDescent="0.3">
      <c r="A22" s="118"/>
      <c r="B22" s="119"/>
      <c r="D22" s="119"/>
    </row>
    <row r="23" spans="1:4" x14ac:dyDescent="0.3">
      <c r="A23" s="118"/>
      <c r="B23" s="119"/>
      <c r="D23" s="119"/>
    </row>
    <row r="24" spans="1:4" x14ac:dyDescent="0.3">
      <c r="A24" s="118"/>
      <c r="B24" s="119"/>
      <c r="D24" s="119"/>
    </row>
    <row r="25" spans="1:4" x14ac:dyDescent="0.3">
      <c r="A25" s="118"/>
      <c r="B25" s="119"/>
      <c r="D25" s="119"/>
    </row>
    <row r="26" spans="1:4" x14ac:dyDescent="0.3">
      <c r="A26" s="118"/>
      <c r="B26" s="119"/>
      <c r="D26" s="119"/>
    </row>
    <row r="27" spans="1:4" x14ac:dyDescent="0.3">
      <c r="A27" s="118"/>
      <c r="B27" s="119"/>
      <c r="D27" s="119"/>
    </row>
    <row r="28" spans="1:4" x14ac:dyDescent="0.3">
      <c r="A28" s="118"/>
      <c r="B28" s="119"/>
      <c r="D28" s="119"/>
    </row>
    <row r="29" spans="1:4" x14ac:dyDescent="0.3">
      <c r="A29" s="118"/>
      <c r="B29" s="119"/>
      <c r="D29" s="119"/>
    </row>
    <row r="30" spans="1:4" x14ac:dyDescent="0.3">
      <c r="A30" s="118"/>
      <c r="B30" s="119"/>
      <c r="D30" s="119"/>
    </row>
    <row r="31" spans="1:4" x14ac:dyDescent="0.3">
      <c r="A31" s="118"/>
    </row>
  </sheetData>
  <dataConsolidate/>
  <mergeCells count="5">
    <mergeCell ref="A2:B2"/>
    <mergeCell ref="C2:D2"/>
    <mergeCell ref="E2:F2"/>
    <mergeCell ref="A1:H1"/>
    <mergeCell ref="G2:H2"/>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5124" r:id="rId4" name="CommandButton21">
          <controlPr defaultSize="0" autoLine="0" r:id="rId5">
            <anchor moveWithCells="1">
              <from>
                <xdr:col>0</xdr:col>
                <xdr:colOff>205740</xdr:colOff>
                <xdr:row>9</xdr:row>
                <xdr:rowOff>0</xdr:rowOff>
              </from>
              <to>
                <xdr:col>0</xdr:col>
                <xdr:colOff>1478280</xdr:colOff>
                <xdr:row>10</xdr:row>
                <xdr:rowOff>121920</xdr:rowOff>
              </to>
            </anchor>
          </controlPr>
        </control>
      </mc:Choice>
      <mc:Fallback>
        <control shapeId="5124" r:id="rId4" name="CommandButton2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G62"/>
  <sheetViews>
    <sheetView topLeftCell="A15" workbookViewId="0">
      <selection activeCell="C3" sqref="C3"/>
    </sheetView>
  </sheetViews>
  <sheetFormatPr defaultRowHeight="14.4" x14ac:dyDescent="0.3"/>
  <cols>
    <col min="1" max="1" width="33.77734375" customWidth="1"/>
    <col min="2" max="2" width="26.21875" customWidth="1"/>
    <col min="3" max="3" width="18.21875" style="65" customWidth="1"/>
    <col min="4" max="4" width="16.44140625" customWidth="1"/>
    <col min="5" max="5" width="16.21875" customWidth="1"/>
    <col min="6" max="6" width="20" customWidth="1"/>
  </cols>
  <sheetData>
    <row r="1" spans="1:7" ht="21" x14ac:dyDescent="0.4">
      <c r="A1" s="144" t="s">
        <v>116</v>
      </c>
      <c r="B1" s="144"/>
      <c r="C1" s="144"/>
      <c r="D1" s="144"/>
      <c r="E1" s="144"/>
      <c r="F1" s="144"/>
    </row>
    <row r="2" spans="1:7" x14ac:dyDescent="0.3">
      <c r="A2" t="s">
        <v>369</v>
      </c>
    </row>
    <row r="3" spans="1:7" x14ac:dyDescent="0.3">
      <c r="A3" s="57" t="s">
        <v>368</v>
      </c>
      <c r="B3" s="57">
        <v>8</v>
      </c>
    </row>
    <row r="4" spans="1:7" x14ac:dyDescent="0.3">
      <c r="A4" s="57" t="s">
        <v>367</v>
      </c>
      <c r="B4" s="57">
        <v>119</v>
      </c>
    </row>
    <row r="5" spans="1:7" x14ac:dyDescent="0.3">
      <c r="A5" s="57" t="s">
        <v>113</v>
      </c>
      <c r="B5" s="60" t="s">
        <v>117</v>
      </c>
    </row>
    <row r="6" spans="1:7" x14ac:dyDescent="0.3">
      <c r="A6" s="57" t="s">
        <v>114</v>
      </c>
      <c r="B6" s="57" t="s">
        <v>569</v>
      </c>
      <c r="C6" s="57" t="s">
        <v>569</v>
      </c>
      <c r="D6" s="57" t="s">
        <v>569</v>
      </c>
      <c r="E6" s="57" t="s">
        <v>569</v>
      </c>
      <c r="F6" s="57" t="s">
        <v>569</v>
      </c>
      <c r="G6" s="58" t="s">
        <v>115</v>
      </c>
    </row>
    <row r="7" spans="1:7" x14ac:dyDescent="0.3">
      <c r="A7" s="46" t="s">
        <v>380</v>
      </c>
      <c r="B7" s="57">
        <v>0</v>
      </c>
      <c r="C7" s="57">
        <v>1</v>
      </c>
      <c r="D7" s="57">
        <v>2</v>
      </c>
      <c r="E7" s="57">
        <v>3</v>
      </c>
      <c r="F7" s="42">
        <v>4</v>
      </c>
    </row>
    <row r="8" spans="1:7" x14ac:dyDescent="0.3">
      <c r="A8" t="s">
        <v>115</v>
      </c>
      <c r="B8" s="57" t="s">
        <v>673</v>
      </c>
      <c r="C8" s="57" t="s">
        <v>681</v>
      </c>
      <c r="D8" s="57" t="s">
        <v>689</v>
      </c>
      <c r="E8" s="57" t="s">
        <v>697</v>
      </c>
      <c r="F8" s="52" t="s">
        <v>705</v>
      </c>
    </row>
    <row r="9" spans="1:7" x14ac:dyDescent="0.3">
      <c r="A9" s="42"/>
      <c r="B9" s="57" t="s">
        <v>674</v>
      </c>
      <c r="C9" s="57" t="s">
        <v>682</v>
      </c>
      <c r="D9" s="57" t="s">
        <v>690</v>
      </c>
      <c r="E9" s="57" t="s">
        <v>698</v>
      </c>
      <c r="F9" s="46" t="s">
        <v>706</v>
      </c>
    </row>
    <row r="10" spans="1:7" x14ac:dyDescent="0.3">
      <c r="A10" s="42"/>
      <c r="B10" s="57" t="s">
        <v>675</v>
      </c>
      <c r="C10" s="57" t="s">
        <v>683</v>
      </c>
      <c r="D10" s="57" t="s">
        <v>691</v>
      </c>
      <c r="E10" s="57" t="s">
        <v>699</v>
      </c>
      <c r="F10" s="46" t="s">
        <v>707</v>
      </c>
    </row>
    <row r="11" spans="1:7" x14ac:dyDescent="0.3">
      <c r="A11" s="42"/>
      <c r="B11" s="57" t="s">
        <v>676</v>
      </c>
      <c r="C11" s="57" t="s">
        <v>684</v>
      </c>
      <c r="D11" s="57" t="s">
        <v>692</v>
      </c>
      <c r="E11" s="57" t="s">
        <v>700</v>
      </c>
      <c r="F11" s="46" t="s">
        <v>708</v>
      </c>
    </row>
    <row r="12" spans="1:7" x14ac:dyDescent="0.3">
      <c r="A12" s="42"/>
      <c r="B12" s="57" t="s">
        <v>677</v>
      </c>
      <c r="C12" s="57" t="s">
        <v>685</v>
      </c>
      <c r="D12" s="57" t="s">
        <v>693</v>
      </c>
      <c r="E12" s="57" t="s">
        <v>701</v>
      </c>
      <c r="F12" s="46" t="s">
        <v>709</v>
      </c>
    </row>
    <row r="13" spans="1:7" x14ac:dyDescent="0.3">
      <c r="A13" s="42"/>
      <c r="B13" s="57" t="s">
        <v>678</v>
      </c>
      <c r="C13" s="57" t="s">
        <v>686</v>
      </c>
      <c r="D13" s="57" t="s">
        <v>694</v>
      </c>
      <c r="E13" s="57" t="s">
        <v>702</v>
      </c>
      <c r="F13" s="46" t="s">
        <v>710</v>
      </c>
    </row>
    <row r="14" spans="1:7" x14ac:dyDescent="0.3">
      <c r="A14" s="43"/>
      <c r="B14" s="57" t="s">
        <v>679</v>
      </c>
      <c r="C14" s="57" t="s">
        <v>687</v>
      </c>
      <c r="D14" s="57" t="s">
        <v>695</v>
      </c>
      <c r="E14" s="57" t="s">
        <v>703</v>
      </c>
      <c r="F14" s="46" t="s">
        <v>711</v>
      </c>
    </row>
    <row r="15" spans="1:7" x14ac:dyDescent="0.3">
      <c r="A15" s="41"/>
      <c r="B15" s="57" t="s">
        <v>680</v>
      </c>
      <c r="C15" s="57" t="s">
        <v>688</v>
      </c>
      <c r="D15" s="57" t="s">
        <v>696</v>
      </c>
      <c r="E15" s="57" t="s">
        <v>704</v>
      </c>
      <c r="F15" s="48" t="s">
        <v>712</v>
      </c>
    </row>
    <row r="16" spans="1:7" x14ac:dyDescent="0.3">
      <c r="A16" s="42"/>
      <c r="B16" s="57" t="s">
        <v>115</v>
      </c>
      <c r="C16" s="57" t="s">
        <v>115</v>
      </c>
      <c r="D16" s="57" t="s">
        <v>115</v>
      </c>
      <c r="E16" s="57" t="s">
        <v>115</v>
      </c>
      <c r="F16" s="57" t="s">
        <v>115</v>
      </c>
    </row>
    <row r="17" spans="1:7" x14ac:dyDescent="0.3">
      <c r="A17" s="42"/>
    </row>
    <row r="18" spans="1:7" x14ac:dyDescent="0.3">
      <c r="A18" s="42"/>
      <c r="C18"/>
    </row>
    <row r="19" spans="1:7" x14ac:dyDescent="0.3">
      <c r="A19" s="42"/>
      <c r="C19"/>
    </row>
    <row r="20" spans="1:7" x14ac:dyDescent="0.3">
      <c r="A20" s="42"/>
      <c r="C20"/>
    </row>
    <row r="21" spans="1:7" x14ac:dyDescent="0.3">
      <c r="A21" s="42"/>
      <c r="C21"/>
    </row>
    <row r="24" spans="1:7" ht="28.8" x14ac:dyDescent="0.3">
      <c r="A24" t="s">
        <v>71</v>
      </c>
      <c r="C24" s="65" t="s">
        <v>372</v>
      </c>
    </row>
    <row r="25" spans="1:7" x14ac:dyDescent="0.3">
      <c r="A25" s="57" t="s">
        <v>368</v>
      </c>
      <c r="B25" s="57">
        <v>8</v>
      </c>
    </row>
    <row r="26" spans="1:7" x14ac:dyDescent="0.3">
      <c r="A26" s="57" t="s">
        <v>367</v>
      </c>
      <c r="B26" s="57">
        <v>8</v>
      </c>
    </row>
    <row r="27" spans="1:7" x14ac:dyDescent="0.3">
      <c r="A27" s="57" t="s">
        <v>113</v>
      </c>
      <c r="B27" s="60" t="s">
        <v>117</v>
      </c>
    </row>
    <row r="28" spans="1:7" x14ac:dyDescent="0.3">
      <c r="A28" s="57" t="s">
        <v>114</v>
      </c>
      <c r="B28" s="57" t="s">
        <v>569</v>
      </c>
      <c r="C28" s="57" t="s">
        <v>569</v>
      </c>
      <c r="D28" s="57" t="s">
        <v>569</v>
      </c>
      <c r="E28" s="57" t="s">
        <v>569</v>
      </c>
      <c r="F28" s="57" t="s">
        <v>569</v>
      </c>
      <c r="G28" s="58" t="s">
        <v>115</v>
      </c>
    </row>
    <row r="29" spans="1:7" x14ac:dyDescent="0.3">
      <c r="A29" s="41" t="s">
        <v>381</v>
      </c>
      <c r="B29" s="57">
        <v>0</v>
      </c>
      <c r="C29" s="57">
        <v>1</v>
      </c>
      <c r="D29" s="57">
        <v>2</v>
      </c>
      <c r="E29" s="57">
        <v>3</v>
      </c>
      <c r="F29" s="57">
        <v>4</v>
      </c>
    </row>
    <row r="30" spans="1:7" x14ac:dyDescent="0.3">
      <c r="A30" t="s">
        <v>115</v>
      </c>
      <c r="B30" s="41" t="s">
        <v>713</v>
      </c>
      <c r="C30" t="s">
        <v>721</v>
      </c>
      <c r="D30" t="s">
        <v>729</v>
      </c>
      <c r="E30" s="52" t="s">
        <v>210</v>
      </c>
      <c r="F30" s="52" t="s">
        <v>219</v>
      </c>
    </row>
    <row r="31" spans="1:7" x14ac:dyDescent="0.3">
      <c r="B31" s="42" t="s">
        <v>714</v>
      </c>
      <c r="C31" t="s">
        <v>722</v>
      </c>
      <c r="D31" t="s">
        <v>730</v>
      </c>
      <c r="E31" s="46" t="s">
        <v>211</v>
      </c>
      <c r="F31" s="46" t="s">
        <v>220</v>
      </c>
    </row>
    <row r="32" spans="1:7" x14ac:dyDescent="0.3">
      <c r="B32" s="42" t="s">
        <v>715</v>
      </c>
      <c r="C32" t="s">
        <v>723</v>
      </c>
      <c r="D32" t="s">
        <v>731</v>
      </c>
      <c r="E32" s="46" t="s">
        <v>212</v>
      </c>
      <c r="F32" s="46" t="s">
        <v>221</v>
      </c>
    </row>
    <row r="33" spans="1:6" x14ac:dyDescent="0.3">
      <c r="B33" s="42" t="s">
        <v>716</v>
      </c>
      <c r="C33" t="s">
        <v>724</v>
      </c>
      <c r="D33" t="s">
        <v>732</v>
      </c>
      <c r="E33" s="46" t="s">
        <v>213</v>
      </c>
      <c r="F33" s="46" t="s">
        <v>222</v>
      </c>
    </row>
    <row r="34" spans="1:6" x14ac:dyDescent="0.3">
      <c r="B34" s="42" t="s">
        <v>717</v>
      </c>
      <c r="C34" t="s">
        <v>725</v>
      </c>
      <c r="D34" t="s">
        <v>733</v>
      </c>
      <c r="E34" s="46" t="s">
        <v>214</v>
      </c>
      <c r="F34" s="46" t="s">
        <v>223</v>
      </c>
    </row>
    <row r="35" spans="1:6" x14ac:dyDescent="0.3">
      <c r="B35" s="42" t="s">
        <v>718</v>
      </c>
      <c r="C35" t="s">
        <v>726</v>
      </c>
      <c r="D35" t="s">
        <v>734</v>
      </c>
      <c r="E35" s="46" t="s">
        <v>215</v>
      </c>
      <c r="F35" s="46" t="s">
        <v>224</v>
      </c>
    </row>
    <row r="36" spans="1:6" x14ac:dyDescent="0.3">
      <c r="B36" s="42" t="s">
        <v>719</v>
      </c>
      <c r="C36" t="s">
        <v>727</v>
      </c>
      <c r="D36" t="s">
        <v>735</v>
      </c>
      <c r="E36" s="46" t="s">
        <v>216</v>
      </c>
      <c r="F36" s="46" t="s">
        <v>225</v>
      </c>
    </row>
    <row r="37" spans="1:6" x14ac:dyDescent="0.3">
      <c r="B37" s="43" t="s">
        <v>720</v>
      </c>
      <c r="C37" t="s">
        <v>728</v>
      </c>
      <c r="D37" t="s">
        <v>736</v>
      </c>
      <c r="E37" s="48" t="s">
        <v>217</v>
      </c>
      <c r="F37" s="48" t="s">
        <v>226</v>
      </c>
    </row>
    <row r="38" spans="1:6" x14ac:dyDescent="0.3">
      <c r="B38" s="58" t="s">
        <v>115</v>
      </c>
      <c r="C38" s="58" t="s">
        <v>115</v>
      </c>
      <c r="D38" s="58" t="s">
        <v>115</v>
      </c>
      <c r="E38" s="58" t="s">
        <v>115</v>
      </c>
      <c r="F38" s="58" t="s">
        <v>115</v>
      </c>
    </row>
    <row r="39" spans="1:6" x14ac:dyDescent="0.3">
      <c r="B39" s="64"/>
    </row>
    <row r="40" spans="1:6" x14ac:dyDescent="0.3">
      <c r="B40" s="64"/>
    </row>
    <row r="41" spans="1:6" x14ac:dyDescent="0.3">
      <c r="B41" s="64"/>
    </row>
    <row r="42" spans="1:6" ht="28.8" x14ac:dyDescent="0.3">
      <c r="A42" t="s">
        <v>385</v>
      </c>
      <c r="B42" s="64"/>
      <c r="C42" s="65" t="s">
        <v>376</v>
      </c>
    </row>
    <row r="43" spans="1:6" x14ac:dyDescent="0.3">
      <c r="A43" t="s">
        <v>377</v>
      </c>
      <c r="B43" s="64" t="s">
        <v>378</v>
      </c>
    </row>
    <row r="44" spans="1:6" x14ac:dyDescent="0.3">
      <c r="A44" t="s">
        <v>379</v>
      </c>
      <c r="B44" s="64">
        <v>10</v>
      </c>
    </row>
    <row r="45" spans="1:6" x14ac:dyDescent="0.3">
      <c r="A45" t="s">
        <v>382</v>
      </c>
      <c r="B45" s="64">
        <v>5</v>
      </c>
    </row>
    <row r="46" spans="1:6" x14ac:dyDescent="0.3">
      <c r="A46" s="57" t="s">
        <v>113</v>
      </c>
      <c r="B46" s="60" t="s">
        <v>117</v>
      </c>
    </row>
    <row r="47" spans="1:6" x14ac:dyDescent="0.3">
      <c r="A47" s="57" t="s">
        <v>114</v>
      </c>
      <c r="B47" s="64" t="s">
        <v>384</v>
      </c>
    </row>
    <row r="48" spans="1:6" x14ac:dyDescent="0.3">
      <c r="B48" s="64"/>
    </row>
    <row r="49" spans="1:5" x14ac:dyDescent="0.3">
      <c r="A49" t="s">
        <v>115</v>
      </c>
      <c r="B49" s="64"/>
    </row>
    <row r="50" spans="1:5" x14ac:dyDescent="0.3">
      <c r="B50" s="64"/>
    </row>
    <row r="51" spans="1:5" x14ac:dyDescent="0.3">
      <c r="B51" s="64"/>
    </row>
    <row r="52" spans="1:5" x14ac:dyDescent="0.3">
      <c r="B52" s="64"/>
    </row>
    <row r="53" spans="1:5" x14ac:dyDescent="0.3">
      <c r="B53" s="64"/>
    </row>
    <row r="54" spans="1:5" x14ac:dyDescent="0.3">
      <c r="A54" s="66" t="s">
        <v>155</v>
      </c>
      <c r="B54" s="66"/>
      <c r="C54" s="67" t="s">
        <v>156</v>
      </c>
      <c r="D54" s="66" t="s">
        <v>157</v>
      </c>
      <c r="E54" s="66" t="s">
        <v>158</v>
      </c>
    </row>
    <row r="55" spans="1:5" s="82" customFormat="1" ht="57.6" x14ac:dyDescent="0.3">
      <c r="A55" s="82" t="s">
        <v>143</v>
      </c>
      <c r="C55" s="107" t="s">
        <v>375</v>
      </c>
      <c r="E55" s="82" t="s">
        <v>159</v>
      </c>
    </row>
    <row r="56" spans="1:5" s="82" customFormat="1" ht="72" x14ac:dyDescent="0.3">
      <c r="A56" s="82" t="s">
        <v>144</v>
      </c>
      <c r="C56" s="107" t="s">
        <v>373</v>
      </c>
      <c r="E56" s="82" t="s">
        <v>374</v>
      </c>
    </row>
    <row r="57" spans="1:5" ht="86.4" x14ac:dyDescent="0.3">
      <c r="A57" t="s">
        <v>145</v>
      </c>
      <c r="C57" s="65" t="s">
        <v>148</v>
      </c>
      <c r="D57" t="s">
        <v>146</v>
      </c>
      <c r="E57" s="65" t="s">
        <v>386</v>
      </c>
    </row>
    <row r="58" spans="1:5" ht="86.4" x14ac:dyDescent="0.3">
      <c r="A58" t="s">
        <v>147</v>
      </c>
      <c r="C58" s="65" t="s">
        <v>148</v>
      </c>
      <c r="D58" t="s">
        <v>146</v>
      </c>
      <c r="E58" s="65" t="s">
        <v>370</v>
      </c>
    </row>
    <row r="59" spans="1:5" ht="172.8" x14ac:dyDescent="0.3">
      <c r="A59" t="s">
        <v>149</v>
      </c>
      <c r="C59" s="65" t="s">
        <v>150</v>
      </c>
      <c r="D59" t="s">
        <v>146</v>
      </c>
      <c r="E59" s="65" t="s">
        <v>160</v>
      </c>
    </row>
    <row r="60" spans="1:5" ht="115.2" x14ac:dyDescent="0.3">
      <c r="A60" t="s">
        <v>383</v>
      </c>
      <c r="C60" s="65" t="s">
        <v>151</v>
      </c>
      <c r="D60" t="s">
        <v>146</v>
      </c>
      <c r="E60" s="65"/>
    </row>
    <row r="61" spans="1:5" ht="115.2" x14ac:dyDescent="0.3">
      <c r="A61" t="s">
        <v>152</v>
      </c>
      <c r="C61" s="65" t="s">
        <v>151</v>
      </c>
      <c r="D61" t="s">
        <v>146</v>
      </c>
      <c r="E61" s="65" t="s">
        <v>161</v>
      </c>
    </row>
    <row r="62" spans="1:5" ht="100.8" x14ac:dyDescent="0.3">
      <c r="A62" t="s">
        <v>153</v>
      </c>
      <c r="C62" s="65" t="s">
        <v>154</v>
      </c>
      <c r="D62" t="s">
        <v>146</v>
      </c>
      <c r="E62" s="65" t="s">
        <v>371</v>
      </c>
    </row>
  </sheetData>
  <mergeCells count="1">
    <mergeCell ref="A1:F1"/>
  </mergeCells>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9"/>
  <dimension ref="A1:AF1000"/>
  <sheetViews>
    <sheetView topLeftCell="I1" workbookViewId="0">
      <pane ySplit="1" topLeftCell="A2" activePane="bottomLeft" state="frozen"/>
      <selection pane="bottomLeft" activeCell="I19" sqref="I19"/>
    </sheetView>
  </sheetViews>
  <sheetFormatPr defaultRowHeight="14.4" x14ac:dyDescent="0.3"/>
  <cols>
    <col min="1" max="64" width="16.6640625" customWidth="1"/>
    <col min="65" max="167" width="15.77734375" customWidth="1"/>
  </cols>
  <sheetData>
    <row r="1" spans="1:32" ht="20.25" customHeight="1" x14ac:dyDescent="0.3">
      <c r="A1" s="145" t="s">
        <v>858</v>
      </c>
      <c r="B1" s="145"/>
      <c r="C1" s="145" t="s">
        <v>859</v>
      </c>
      <c r="D1" s="145"/>
      <c r="E1" s="145" t="s">
        <v>860</v>
      </c>
      <c r="F1" s="145"/>
      <c r="G1" s="145" t="s">
        <v>861</v>
      </c>
      <c r="H1" s="145"/>
      <c r="I1" s="145" t="s">
        <v>862</v>
      </c>
      <c r="J1" s="145"/>
      <c r="K1" s="145" t="s">
        <v>863</v>
      </c>
      <c r="L1" s="145"/>
      <c r="M1" s="145" t="s">
        <v>864</v>
      </c>
      <c r="N1" s="145"/>
      <c r="O1" s="145" t="s">
        <v>865</v>
      </c>
      <c r="P1" s="145"/>
      <c r="Q1" s="145" t="s">
        <v>866</v>
      </c>
      <c r="R1" s="145"/>
      <c r="S1" s="145" t="s">
        <v>867</v>
      </c>
      <c r="T1" s="145"/>
      <c r="U1" s="145" t="s">
        <v>868</v>
      </c>
      <c r="V1" s="145"/>
      <c r="W1" s="145" t="s">
        <v>869</v>
      </c>
      <c r="X1" s="145"/>
      <c r="Y1" s="145" t="s">
        <v>870</v>
      </c>
      <c r="Z1" s="145"/>
      <c r="AA1" s="145" t="s">
        <v>871</v>
      </c>
      <c r="AB1" s="145"/>
      <c r="AC1" s="145" t="s">
        <v>872</v>
      </c>
      <c r="AD1" s="145"/>
      <c r="AE1" s="145" t="s">
        <v>873</v>
      </c>
      <c r="AF1" s="145"/>
    </row>
    <row r="2" spans="1:32" x14ac:dyDescent="0.3">
      <c r="A2" s="126" t="s">
        <v>961</v>
      </c>
      <c r="B2" s="66" t="s">
        <v>962</v>
      </c>
      <c r="C2" s="126" t="s">
        <v>961</v>
      </c>
      <c r="D2" s="66" t="s">
        <v>962</v>
      </c>
      <c r="E2" s="126" t="s">
        <v>961</v>
      </c>
      <c r="F2" s="66" t="s">
        <v>962</v>
      </c>
      <c r="G2" s="126" t="s">
        <v>961</v>
      </c>
      <c r="H2" s="66" t="s">
        <v>962</v>
      </c>
      <c r="I2" s="126" t="s">
        <v>961</v>
      </c>
      <c r="J2" s="66" t="s">
        <v>962</v>
      </c>
      <c r="K2" s="126" t="s">
        <v>961</v>
      </c>
      <c r="L2" s="66" t="s">
        <v>962</v>
      </c>
      <c r="M2" s="126" t="s">
        <v>961</v>
      </c>
      <c r="N2" s="66" t="s">
        <v>962</v>
      </c>
      <c r="O2" s="126" t="s">
        <v>961</v>
      </c>
      <c r="P2" s="127" t="s">
        <v>962</v>
      </c>
      <c r="Q2" s="66" t="s">
        <v>961</v>
      </c>
      <c r="R2" s="66" t="s">
        <v>962</v>
      </c>
      <c r="S2" s="126" t="s">
        <v>961</v>
      </c>
      <c r="T2" s="66" t="s">
        <v>962</v>
      </c>
      <c r="U2" s="126" t="s">
        <v>961</v>
      </c>
      <c r="V2" s="66" t="s">
        <v>962</v>
      </c>
      <c r="W2" s="126" t="s">
        <v>961</v>
      </c>
      <c r="X2" s="66" t="s">
        <v>962</v>
      </c>
      <c r="Y2" s="126" t="s">
        <v>961</v>
      </c>
      <c r="Z2" s="66" t="s">
        <v>962</v>
      </c>
      <c r="AA2" s="126" t="s">
        <v>961</v>
      </c>
      <c r="AB2" s="66" t="s">
        <v>962</v>
      </c>
      <c r="AC2" s="126" t="s">
        <v>961</v>
      </c>
      <c r="AD2" s="66" t="s">
        <v>962</v>
      </c>
      <c r="AE2" s="126" t="s">
        <v>961</v>
      </c>
      <c r="AF2" s="127" t="s">
        <v>962</v>
      </c>
    </row>
    <row r="3" spans="1:32" x14ac:dyDescent="0.3">
      <c r="A3" s="118" t="s">
        <v>963</v>
      </c>
      <c r="B3" t="s">
        <v>967</v>
      </c>
      <c r="C3" s="118" t="s">
        <v>963</v>
      </c>
      <c r="D3" t="s">
        <v>1014</v>
      </c>
      <c r="E3" s="118" t="s">
        <v>963</v>
      </c>
      <c r="F3" t="s">
        <v>1061</v>
      </c>
      <c r="G3" s="118" t="s">
        <v>963</v>
      </c>
      <c r="H3" t="s">
        <v>1108</v>
      </c>
      <c r="I3" s="118" t="s">
        <v>963</v>
      </c>
      <c r="J3" t="s">
        <v>1155</v>
      </c>
      <c r="K3" s="118" t="s">
        <v>963</v>
      </c>
      <c r="L3" t="s">
        <v>1202</v>
      </c>
      <c r="M3" s="118" t="s">
        <v>963</v>
      </c>
      <c r="N3" t="s">
        <v>1249</v>
      </c>
      <c r="O3" s="118" t="s">
        <v>963</v>
      </c>
      <c r="P3" s="119" t="s">
        <v>1296</v>
      </c>
      <c r="Q3" t="s">
        <v>963</v>
      </c>
      <c r="R3" t="s">
        <v>1343</v>
      </c>
      <c r="S3" s="118" t="s">
        <v>963</v>
      </c>
      <c r="T3" t="s">
        <v>1390</v>
      </c>
      <c r="U3" s="118" t="s">
        <v>963</v>
      </c>
      <c r="V3" t="s">
        <v>1437</v>
      </c>
      <c r="W3" s="118" t="s">
        <v>963</v>
      </c>
      <c r="X3" t="s">
        <v>1484</v>
      </c>
      <c r="Y3" s="118" t="s">
        <v>963</v>
      </c>
      <c r="Z3" t="s">
        <v>1531</v>
      </c>
      <c r="AA3" s="118" t="s">
        <v>963</v>
      </c>
      <c r="AB3" t="s">
        <v>1578</v>
      </c>
      <c r="AC3" s="118" t="s">
        <v>963</v>
      </c>
      <c r="AD3" t="s">
        <v>1625</v>
      </c>
      <c r="AE3" s="118" t="s">
        <v>963</v>
      </c>
      <c r="AF3" s="119" t="s">
        <v>1672</v>
      </c>
    </row>
    <row r="4" spans="1:32" x14ac:dyDescent="0.3">
      <c r="A4" s="118" t="s">
        <v>966</v>
      </c>
      <c r="B4" t="s">
        <v>968</v>
      </c>
      <c r="C4" s="118" t="s">
        <v>1001</v>
      </c>
      <c r="D4" t="s">
        <v>1015</v>
      </c>
      <c r="E4" s="118" t="s">
        <v>1038</v>
      </c>
      <c r="F4" t="s">
        <v>1062</v>
      </c>
      <c r="G4" s="118" t="s">
        <v>1075</v>
      </c>
      <c r="H4" t="s">
        <v>1109</v>
      </c>
      <c r="I4" s="118" t="s">
        <v>1112</v>
      </c>
      <c r="J4" t="s">
        <v>1156</v>
      </c>
      <c r="K4" s="118" t="s">
        <v>1147</v>
      </c>
      <c r="L4" t="s">
        <v>1203</v>
      </c>
      <c r="M4" s="118" t="s">
        <v>1184</v>
      </c>
      <c r="N4" t="s">
        <v>1250</v>
      </c>
      <c r="O4" s="118" t="s">
        <v>1221</v>
      </c>
      <c r="P4" s="119" t="s">
        <v>1297</v>
      </c>
      <c r="Q4" t="s">
        <v>1258</v>
      </c>
      <c r="R4" t="s">
        <v>1344</v>
      </c>
      <c r="S4" s="118" t="s">
        <v>1295</v>
      </c>
      <c r="T4" t="s">
        <v>1391</v>
      </c>
      <c r="U4" s="118" t="s">
        <v>1330</v>
      </c>
      <c r="V4" t="s">
        <v>1438</v>
      </c>
      <c r="W4" s="118" t="s">
        <v>1367</v>
      </c>
      <c r="X4" t="s">
        <v>1485</v>
      </c>
      <c r="Y4" s="118" t="s">
        <v>1404</v>
      </c>
      <c r="Z4" t="s">
        <v>1532</v>
      </c>
      <c r="AA4" s="118" t="s">
        <v>1441</v>
      </c>
      <c r="AB4" t="s">
        <v>1579</v>
      </c>
      <c r="AC4" s="118" t="s">
        <v>1476</v>
      </c>
      <c r="AD4" t="s">
        <v>1626</v>
      </c>
      <c r="AE4" s="118" t="s">
        <v>1513</v>
      </c>
      <c r="AF4" s="119" t="s">
        <v>1673</v>
      </c>
    </row>
    <row r="5" spans="1:32" x14ac:dyDescent="0.3">
      <c r="A5" s="118" t="s">
        <v>971</v>
      </c>
      <c r="B5" t="s">
        <v>972</v>
      </c>
      <c r="C5" s="118" t="s">
        <v>1006</v>
      </c>
      <c r="D5" t="s">
        <v>1019</v>
      </c>
      <c r="E5" s="118" t="s">
        <v>1043</v>
      </c>
      <c r="F5" t="s">
        <v>1066</v>
      </c>
      <c r="G5" s="118" t="s">
        <v>1080</v>
      </c>
      <c r="H5" t="s">
        <v>1113</v>
      </c>
      <c r="I5" s="118" t="s">
        <v>1117</v>
      </c>
      <c r="J5" t="s">
        <v>1160</v>
      </c>
      <c r="K5" s="118" t="s">
        <v>1154</v>
      </c>
      <c r="L5" t="s">
        <v>1207</v>
      </c>
      <c r="M5" s="118" t="s">
        <v>1189</v>
      </c>
      <c r="N5" t="s">
        <v>1254</v>
      </c>
      <c r="O5" s="118" t="s">
        <v>1226</v>
      </c>
      <c r="P5" s="119" t="s">
        <v>1301</v>
      </c>
      <c r="Q5" t="s">
        <v>1263</v>
      </c>
      <c r="R5" t="s">
        <v>1348</v>
      </c>
      <c r="S5" s="118" t="s">
        <v>1300</v>
      </c>
      <c r="T5" t="s">
        <v>1395</v>
      </c>
      <c r="U5" s="118" t="s">
        <v>1335</v>
      </c>
      <c r="V5" t="s">
        <v>1442</v>
      </c>
      <c r="W5" s="118" t="s">
        <v>1372</v>
      </c>
      <c r="X5" t="s">
        <v>1489</v>
      </c>
      <c r="Y5" s="118" t="s">
        <v>1409</v>
      </c>
      <c r="Z5" t="s">
        <v>1536</v>
      </c>
      <c r="AA5" s="118" t="s">
        <v>1446</v>
      </c>
      <c r="AB5" t="s">
        <v>1583</v>
      </c>
      <c r="AC5" s="118" t="s">
        <v>1483</v>
      </c>
      <c r="AD5" t="s">
        <v>1630</v>
      </c>
      <c r="AE5" s="118" t="s">
        <v>1518</v>
      </c>
      <c r="AF5" s="119" t="s">
        <v>1677</v>
      </c>
    </row>
    <row r="6" spans="1:32" x14ac:dyDescent="0.3">
      <c r="A6" s="118" t="s">
        <v>976</v>
      </c>
      <c r="B6" t="s">
        <v>973</v>
      </c>
      <c r="C6" s="118" t="s">
        <v>1013</v>
      </c>
      <c r="D6" t="s">
        <v>1020</v>
      </c>
      <c r="E6" s="118" t="s">
        <v>1048</v>
      </c>
      <c r="F6" t="s">
        <v>1067</v>
      </c>
      <c r="G6" s="118" t="s">
        <v>1085</v>
      </c>
      <c r="H6" t="s">
        <v>1114</v>
      </c>
      <c r="I6" s="118" t="s">
        <v>1122</v>
      </c>
      <c r="J6" t="s">
        <v>1161</v>
      </c>
      <c r="K6" s="118" t="s">
        <v>1159</v>
      </c>
      <c r="L6" t="s">
        <v>1208</v>
      </c>
      <c r="M6" s="118" t="s">
        <v>1194</v>
      </c>
      <c r="N6" t="s">
        <v>1255</v>
      </c>
      <c r="O6" s="118" t="s">
        <v>1231</v>
      </c>
      <c r="P6" s="119" t="s">
        <v>1302</v>
      </c>
      <c r="Q6" t="s">
        <v>1268</v>
      </c>
      <c r="R6" t="s">
        <v>1349</v>
      </c>
      <c r="S6" s="118" t="s">
        <v>1305</v>
      </c>
      <c r="T6" t="s">
        <v>1396</v>
      </c>
      <c r="U6" s="118" t="s">
        <v>1342</v>
      </c>
      <c r="V6" t="s">
        <v>1443</v>
      </c>
      <c r="W6" s="118" t="s">
        <v>1377</v>
      </c>
      <c r="X6" t="s">
        <v>1490</v>
      </c>
      <c r="Y6" s="118" t="s">
        <v>1414</v>
      </c>
      <c r="Z6" t="s">
        <v>1537</v>
      </c>
      <c r="AA6" s="118" t="s">
        <v>1451</v>
      </c>
      <c r="AB6" t="s">
        <v>1584</v>
      </c>
      <c r="AC6" s="118" t="s">
        <v>1488</v>
      </c>
      <c r="AD6" t="s">
        <v>1631</v>
      </c>
      <c r="AE6" s="118" t="s">
        <v>1523</v>
      </c>
      <c r="AF6" s="119" t="s">
        <v>1678</v>
      </c>
    </row>
    <row r="7" spans="1:32" x14ac:dyDescent="0.3">
      <c r="A7" s="118" t="s">
        <v>981</v>
      </c>
      <c r="B7" t="s">
        <v>977</v>
      </c>
      <c r="C7" s="118" t="s">
        <v>1018</v>
      </c>
      <c r="D7" t="s">
        <v>1024</v>
      </c>
      <c r="E7" s="118" t="s">
        <v>1053</v>
      </c>
      <c r="F7" t="s">
        <v>1071</v>
      </c>
      <c r="G7" s="118" t="s">
        <v>1090</v>
      </c>
      <c r="H7" t="s">
        <v>1118</v>
      </c>
      <c r="I7" s="118" t="s">
        <v>1127</v>
      </c>
      <c r="J7" t="s">
        <v>1165</v>
      </c>
      <c r="K7" s="118" t="s">
        <v>1164</v>
      </c>
      <c r="L7" t="s">
        <v>1212</v>
      </c>
      <c r="M7" s="118" t="s">
        <v>1201</v>
      </c>
      <c r="N7" t="s">
        <v>1259</v>
      </c>
      <c r="O7" s="118" t="s">
        <v>1236</v>
      </c>
      <c r="P7" s="119" t="s">
        <v>1306</v>
      </c>
      <c r="Q7" t="s">
        <v>1273</v>
      </c>
      <c r="R7" t="s">
        <v>1353</v>
      </c>
      <c r="S7" s="118" t="s">
        <v>1310</v>
      </c>
      <c r="T7" t="s">
        <v>1400</v>
      </c>
      <c r="U7" s="118" t="s">
        <v>1347</v>
      </c>
      <c r="V7" t="s">
        <v>1447</v>
      </c>
      <c r="W7" s="118" t="s">
        <v>1382</v>
      </c>
      <c r="X7" t="s">
        <v>1494</v>
      </c>
      <c r="Y7" s="118" t="s">
        <v>1419</v>
      </c>
      <c r="Z7" t="s">
        <v>1541</v>
      </c>
      <c r="AA7" s="118" t="s">
        <v>1456</v>
      </c>
      <c r="AB7" t="s">
        <v>1588</v>
      </c>
      <c r="AC7" s="118" t="s">
        <v>1493</v>
      </c>
      <c r="AD7" t="s">
        <v>1635</v>
      </c>
      <c r="AE7" s="118" t="s">
        <v>1530</v>
      </c>
      <c r="AF7" s="119" t="s">
        <v>1682</v>
      </c>
    </row>
    <row r="8" spans="1:32" x14ac:dyDescent="0.3">
      <c r="A8" s="118" t="s">
        <v>986</v>
      </c>
      <c r="B8" t="s">
        <v>978</v>
      </c>
      <c r="C8" s="118" t="s">
        <v>1023</v>
      </c>
      <c r="D8" t="s">
        <v>1025</v>
      </c>
      <c r="E8" s="118" t="s">
        <v>1060</v>
      </c>
      <c r="F8" t="s">
        <v>1072</v>
      </c>
      <c r="G8" s="118" t="s">
        <v>1095</v>
      </c>
      <c r="H8" t="s">
        <v>1119</v>
      </c>
      <c r="I8" s="118" t="s">
        <v>1132</v>
      </c>
      <c r="J8" t="s">
        <v>1166</v>
      </c>
      <c r="K8" s="118" t="s">
        <v>1169</v>
      </c>
      <c r="L8" t="s">
        <v>1213</v>
      </c>
      <c r="M8" s="118" t="s">
        <v>1206</v>
      </c>
      <c r="N8" t="s">
        <v>1260</v>
      </c>
      <c r="O8" s="118" t="s">
        <v>1241</v>
      </c>
      <c r="P8" s="119" t="s">
        <v>1307</v>
      </c>
      <c r="Q8" t="s">
        <v>1278</v>
      </c>
      <c r="R8" t="s">
        <v>1354</v>
      </c>
      <c r="S8" s="118" t="s">
        <v>1315</v>
      </c>
      <c r="T8" t="s">
        <v>1401</v>
      </c>
      <c r="U8" s="118" t="s">
        <v>1352</v>
      </c>
      <c r="V8" t="s">
        <v>1448</v>
      </c>
      <c r="W8" s="118" t="s">
        <v>1389</v>
      </c>
      <c r="X8" t="s">
        <v>1495</v>
      </c>
      <c r="Y8" s="118" t="s">
        <v>1424</v>
      </c>
      <c r="Z8" t="s">
        <v>1542</v>
      </c>
      <c r="AA8" s="118" t="s">
        <v>1461</v>
      </c>
      <c r="AB8" t="s">
        <v>1589</v>
      </c>
      <c r="AC8" s="118" t="s">
        <v>1498</v>
      </c>
      <c r="AD8" t="s">
        <v>1636</v>
      </c>
      <c r="AE8" s="118" t="s">
        <v>1535</v>
      </c>
      <c r="AF8" s="119" t="s">
        <v>1683</v>
      </c>
    </row>
    <row r="9" spans="1:32" x14ac:dyDescent="0.3">
      <c r="A9" s="118" t="s">
        <v>991</v>
      </c>
      <c r="B9" t="s">
        <v>982</v>
      </c>
      <c r="C9" s="118" t="s">
        <v>1028</v>
      </c>
      <c r="D9" t="s">
        <v>1029</v>
      </c>
      <c r="E9" s="118" t="s">
        <v>1065</v>
      </c>
      <c r="F9" t="s">
        <v>1076</v>
      </c>
      <c r="G9" s="118" t="s">
        <v>1100</v>
      </c>
      <c r="H9" t="s">
        <v>1123</v>
      </c>
      <c r="I9" s="118" t="s">
        <v>1137</v>
      </c>
      <c r="J9" t="s">
        <v>1170</v>
      </c>
      <c r="K9" s="118" t="s">
        <v>1174</v>
      </c>
      <c r="L9" t="s">
        <v>1217</v>
      </c>
      <c r="M9" s="118" t="s">
        <v>1211</v>
      </c>
      <c r="N9" t="s">
        <v>1264</v>
      </c>
      <c r="O9" s="118" t="s">
        <v>1248</v>
      </c>
      <c r="P9" s="119" t="s">
        <v>1311</v>
      </c>
      <c r="Q9" t="s">
        <v>1283</v>
      </c>
      <c r="R9" t="s">
        <v>1358</v>
      </c>
      <c r="S9" s="118" t="s">
        <v>1320</v>
      </c>
      <c r="T9" t="s">
        <v>1405</v>
      </c>
      <c r="U9" s="118" t="s">
        <v>1357</v>
      </c>
      <c r="V9" t="s">
        <v>1452</v>
      </c>
      <c r="W9" s="118" t="s">
        <v>1394</v>
      </c>
      <c r="X9" t="s">
        <v>1499</v>
      </c>
      <c r="Y9" s="118" t="s">
        <v>1429</v>
      </c>
      <c r="Z9" t="s">
        <v>1546</v>
      </c>
      <c r="AA9" s="118" t="s">
        <v>1466</v>
      </c>
      <c r="AB9" t="s">
        <v>1593</v>
      </c>
      <c r="AC9" s="118" t="s">
        <v>1503</v>
      </c>
      <c r="AD9" t="s">
        <v>1640</v>
      </c>
      <c r="AE9" s="118" t="s">
        <v>1540</v>
      </c>
      <c r="AF9" s="119" t="s">
        <v>1687</v>
      </c>
    </row>
    <row r="10" spans="1:32" x14ac:dyDescent="0.3">
      <c r="A10" s="118" t="s">
        <v>996</v>
      </c>
      <c r="B10" t="s">
        <v>983</v>
      </c>
      <c r="C10" s="118" t="s">
        <v>1033</v>
      </c>
      <c r="D10" t="s">
        <v>1030</v>
      </c>
      <c r="E10" s="118" t="s">
        <v>1070</v>
      </c>
      <c r="F10" t="s">
        <v>1077</v>
      </c>
      <c r="G10" s="118" t="s">
        <v>1107</v>
      </c>
      <c r="H10" t="s">
        <v>1124</v>
      </c>
      <c r="I10" s="118" t="s">
        <v>1142</v>
      </c>
      <c r="J10" t="s">
        <v>1171</v>
      </c>
      <c r="K10" s="118" t="s">
        <v>1179</v>
      </c>
      <c r="L10" t="s">
        <v>1218</v>
      </c>
      <c r="M10" s="118" t="s">
        <v>1216</v>
      </c>
      <c r="N10" t="s">
        <v>1265</v>
      </c>
      <c r="O10" s="118" t="s">
        <v>1253</v>
      </c>
      <c r="P10" s="119" t="s">
        <v>1312</v>
      </c>
      <c r="Q10" t="s">
        <v>1288</v>
      </c>
      <c r="R10" t="s">
        <v>1359</v>
      </c>
      <c r="S10" s="118" t="s">
        <v>1325</v>
      </c>
      <c r="T10" t="s">
        <v>1406</v>
      </c>
      <c r="U10" s="118" t="s">
        <v>1362</v>
      </c>
      <c r="V10" t="s">
        <v>1453</v>
      </c>
      <c r="W10" s="118" t="s">
        <v>1399</v>
      </c>
      <c r="X10" t="s">
        <v>1500</v>
      </c>
      <c r="Y10" s="118" t="s">
        <v>1436</v>
      </c>
      <c r="Z10" t="s">
        <v>1547</v>
      </c>
      <c r="AA10" s="118" t="s">
        <v>1471</v>
      </c>
      <c r="AB10" t="s">
        <v>1594</v>
      </c>
      <c r="AC10" s="118" t="s">
        <v>1508</v>
      </c>
      <c r="AD10" t="s">
        <v>1641</v>
      </c>
      <c r="AE10" s="118" t="s">
        <v>1545</v>
      </c>
      <c r="AF10" s="119" t="s">
        <v>1688</v>
      </c>
    </row>
    <row r="11" spans="1:32" x14ac:dyDescent="0.3">
      <c r="A11" s="118" t="s">
        <v>1550</v>
      </c>
      <c r="B11" t="s">
        <v>987</v>
      </c>
      <c r="C11" s="118" t="s">
        <v>1602</v>
      </c>
      <c r="D11" t="s">
        <v>1034</v>
      </c>
      <c r="E11" s="118" t="s">
        <v>1654</v>
      </c>
      <c r="F11" t="s">
        <v>1081</v>
      </c>
      <c r="G11" s="118" t="s">
        <v>1706</v>
      </c>
      <c r="H11" t="s">
        <v>1128</v>
      </c>
      <c r="I11" s="118" t="s">
        <v>1756</v>
      </c>
      <c r="J11" t="s">
        <v>1175</v>
      </c>
      <c r="K11" s="118" t="s">
        <v>1806</v>
      </c>
      <c r="L11" t="s">
        <v>1222</v>
      </c>
      <c r="M11" s="118" t="s">
        <v>1856</v>
      </c>
      <c r="N11" t="s">
        <v>1269</v>
      </c>
      <c r="O11" s="118" t="s">
        <v>1906</v>
      </c>
      <c r="P11" s="119" t="s">
        <v>1316</v>
      </c>
      <c r="Q11" t="s">
        <v>1956</v>
      </c>
      <c r="R11" t="s">
        <v>1363</v>
      </c>
      <c r="S11" s="118" t="s">
        <v>2006</v>
      </c>
      <c r="T11" t="s">
        <v>1410</v>
      </c>
      <c r="U11" s="118" t="s">
        <v>2056</v>
      </c>
      <c r="V11" t="s">
        <v>1457</v>
      </c>
      <c r="W11" s="118" t="s">
        <v>2106</v>
      </c>
      <c r="X11" t="s">
        <v>1504</v>
      </c>
      <c r="Y11" s="118" t="s">
        <v>2156</v>
      </c>
      <c r="Z11" t="s">
        <v>1551</v>
      </c>
      <c r="AA11" s="118" t="s">
        <v>2206</v>
      </c>
      <c r="AB11" t="s">
        <v>1598</v>
      </c>
      <c r="AC11" s="118" t="s">
        <v>2256</v>
      </c>
      <c r="AD11" t="s">
        <v>1645</v>
      </c>
      <c r="AE11" s="118" t="s">
        <v>2306</v>
      </c>
      <c r="AF11" s="119" t="s">
        <v>1692</v>
      </c>
    </row>
    <row r="12" spans="1:32" x14ac:dyDescent="0.3">
      <c r="A12" s="118" t="s">
        <v>1555</v>
      </c>
      <c r="B12" t="s">
        <v>988</v>
      </c>
      <c r="C12" s="118" t="s">
        <v>1607</v>
      </c>
      <c r="D12" t="s">
        <v>1035</v>
      </c>
      <c r="E12" s="118" t="s">
        <v>1659</v>
      </c>
      <c r="F12" t="s">
        <v>1082</v>
      </c>
      <c r="G12" s="118" t="s">
        <v>1711</v>
      </c>
      <c r="H12" t="s">
        <v>1129</v>
      </c>
      <c r="I12" s="118" t="s">
        <v>1761</v>
      </c>
      <c r="J12" t="s">
        <v>1176</v>
      </c>
      <c r="K12" s="118" t="s">
        <v>1811</v>
      </c>
      <c r="L12" t="s">
        <v>1223</v>
      </c>
      <c r="M12" s="118" t="s">
        <v>1861</v>
      </c>
      <c r="N12" t="s">
        <v>1270</v>
      </c>
      <c r="O12" s="118" t="s">
        <v>1911</v>
      </c>
      <c r="P12" s="119" t="s">
        <v>1317</v>
      </c>
      <c r="Q12" t="s">
        <v>1961</v>
      </c>
      <c r="R12" t="s">
        <v>1364</v>
      </c>
      <c r="S12" s="118" t="s">
        <v>2011</v>
      </c>
      <c r="T12" t="s">
        <v>1411</v>
      </c>
      <c r="U12" s="118" t="s">
        <v>2061</v>
      </c>
      <c r="V12" t="s">
        <v>1458</v>
      </c>
      <c r="W12" s="118" t="s">
        <v>2111</v>
      </c>
      <c r="X12" t="s">
        <v>1505</v>
      </c>
      <c r="Y12" s="118" t="s">
        <v>2161</v>
      </c>
      <c r="Z12" t="s">
        <v>1552</v>
      </c>
      <c r="AA12" s="118" t="s">
        <v>2211</v>
      </c>
      <c r="AB12" t="s">
        <v>1599</v>
      </c>
      <c r="AC12" s="118" t="s">
        <v>2261</v>
      </c>
      <c r="AD12" t="s">
        <v>1646</v>
      </c>
      <c r="AE12" s="118" t="s">
        <v>2311</v>
      </c>
      <c r="AF12" s="119" t="s">
        <v>1693</v>
      </c>
    </row>
    <row r="13" spans="1:32" x14ac:dyDescent="0.3">
      <c r="A13" s="118" t="s">
        <v>1560</v>
      </c>
      <c r="B13" t="s">
        <v>992</v>
      </c>
      <c r="C13" s="118" t="s">
        <v>1612</v>
      </c>
      <c r="D13" t="s">
        <v>1039</v>
      </c>
      <c r="E13" s="118" t="s">
        <v>1664</v>
      </c>
      <c r="F13" t="s">
        <v>1086</v>
      </c>
      <c r="G13" s="118" t="s">
        <v>1716</v>
      </c>
      <c r="H13" t="s">
        <v>1133</v>
      </c>
      <c r="I13" s="118" t="s">
        <v>1766</v>
      </c>
      <c r="J13" t="s">
        <v>1180</v>
      </c>
      <c r="K13" s="118" t="s">
        <v>1816</v>
      </c>
      <c r="L13" t="s">
        <v>1227</v>
      </c>
      <c r="M13" s="118" t="s">
        <v>1866</v>
      </c>
      <c r="N13" t="s">
        <v>1274</v>
      </c>
      <c r="O13" s="118" t="s">
        <v>1916</v>
      </c>
      <c r="P13" s="119" t="s">
        <v>1321</v>
      </c>
      <c r="Q13" t="s">
        <v>1966</v>
      </c>
      <c r="R13" t="s">
        <v>1368</v>
      </c>
      <c r="S13" s="118" t="s">
        <v>2016</v>
      </c>
      <c r="T13" t="s">
        <v>1415</v>
      </c>
      <c r="U13" s="118" t="s">
        <v>2066</v>
      </c>
      <c r="V13" t="s">
        <v>1462</v>
      </c>
      <c r="W13" s="118" t="s">
        <v>2116</v>
      </c>
      <c r="X13" t="s">
        <v>1509</v>
      </c>
      <c r="Y13" s="118" t="s">
        <v>2166</v>
      </c>
      <c r="Z13" t="s">
        <v>1556</v>
      </c>
      <c r="AA13" s="118" t="s">
        <v>2216</v>
      </c>
      <c r="AB13" t="s">
        <v>1603</v>
      </c>
      <c r="AC13" s="118" t="s">
        <v>2266</v>
      </c>
      <c r="AD13" t="s">
        <v>1650</v>
      </c>
      <c r="AE13" s="118" t="s">
        <v>2316</v>
      </c>
      <c r="AF13" s="119" t="s">
        <v>1697</v>
      </c>
    </row>
    <row r="14" spans="1:32" x14ac:dyDescent="0.3">
      <c r="A14" s="118" t="s">
        <v>1565</v>
      </c>
      <c r="B14" t="s">
        <v>993</v>
      </c>
      <c r="C14" s="118" t="s">
        <v>1617</v>
      </c>
      <c r="D14" t="s">
        <v>1040</v>
      </c>
      <c r="E14" s="118" t="s">
        <v>1671</v>
      </c>
      <c r="F14" t="s">
        <v>1087</v>
      </c>
      <c r="G14" s="118" t="s">
        <v>1721</v>
      </c>
      <c r="H14" t="s">
        <v>1134</v>
      </c>
      <c r="I14" s="118" t="s">
        <v>1771</v>
      </c>
      <c r="J14" t="s">
        <v>1181</v>
      </c>
      <c r="K14" s="118" t="s">
        <v>1821</v>
      </c>
      <c r="L14" t="s">
        <v>1228</v>
      </c>
      <c r="M14" s="118" t="s">
        <v>1871</v>
      </c>
      <c r="N14" t="s">
        <v>1275</v>
      </c>
      <c r="O14" s="118" t="s">
        <v>1921</v>
      </c>
      <c r="P14" s="119" t="s">
        <v>1322</v>
      </c>
      <c r="Q14" t="s">
        <v>1971</v>
      </c>
      <c r="R14" t="s">
        <v>1369</v>
      </c>
      <c r="S14" s="118" t="s">
        <v>2021</v>
      </c>
      <c r="T14" t="s">
        <v>1416</v>
      </c>
      <c r="U14" s="118" t="s">
        <v>2071</v>
      </c>
      <c r="V14" t="s">
        <v>1463</v>
      </c>
      <c r="W14" s="118" t="s">
        <v>2121</v>
      </c>
      <c r="X14" t="s">
        <v>1510</v>
      </c>
      <c r="Y14" s="118" t="s">
        <v>2171</v>
      </c>
      <c r="Z14" t="s">
        <v>1557</v>
      </c>
      <c r="AA14" s="118" t="s">
        <v>2221</v>
      </c>
      <c r="AB14" t="s">
        <v>1604</v>
      </c>
      <c r="AC14" s="118" t="s">
        <v>2271</v>
      </c>
      <c r="AD14" t="s">
        <v>1651</v>
      </c>
      <c r="AE14" s="118" t="s">
        <v>2321</v>
      </c>
      <c r="AF14" s="119" t="s">
        <v>1698</v>
      </c>
    </row>
    <row r="15" spans="1:32" x14ac:dyDescent="0.3">
      <c r="A15" s="118" t="s">
        <v>1570</v>
      </c>
      <c r="B15" t="s">
        <v>997</v>
      </c>
      <c r="C15" s="118" t="s">
        <v>1624</v>
      </c>
      <c r="D15" t="s">
        <v>1044</v>
      </c>
      <c r="E15" s="118" t="s">
        <v>1676</v>
      </c>
      <c r="F15" t="s">
        <v>1091</v>
      </c>
      <c r="G15" s="118" t="s">
        <v>1726</v>
      </c>
      <c r="H15" t="s">
        <v>1138</v>
      </c>
      <c r="I15" s="118" t="s">
        <v>1776</v>
      </c>
      <c r="J15" t="s">
        <v>1185</v>
      </c>
      <c r="K15" s="118" t="s">
        <v>1826</v>
      </c>
      <c r="L15" t="s">
        <v>1232</v>
      </c>
      <c r="M15" s="118" t="s">
        <v>1876</v>
      </c>
      <c r="N15" t="s">
        <v>1279</v>
      </c>
      <c r="O15" s="118" t="s">
        <v>1926</v>
      </c>
      <c r="P15" s="119" t="s">
        <v>1326</v>
      </c>
      <c r="Q15" t="s">
        <v>1976</v>
      </c>
      <c r="R15" t="s">
        <v>1373</v>
      </c>
      <c r="S15" s="118" t="s">
        <v>2026</v>
      </c>
      <c r="T15" t="s">
        <v>1420</v>
      </c>
      <c r="U15" s="118" t="s">
        <v>2076</v>
      </c>
      <c r="V15" t="s">
        <v>1467</v>
      </c>
      <c r="W15" s="118" t="s">
        <v>2126</v>
      </c>
      <c r="X15" t="s">
        <v>1514</v>
      </c>
      <c r="Y15" s="118" t="s">
        <v>2176</v>
      </c>
      <c r="Z15" t="s">
        <v>1561</v>
      </c>
      <c r="AA15" s="118" t="s">
        <v>2226</v>
      </c>
      <c r="AB15" t="s">
        <v>1608</v>
      </c>
      <c r="AC15" s="118" t="s">
        <v>2276</v>
      </c>
      <c r="AD15" t="s">
        <v>1655</v>
      </c>
      <c r="AE15" s="118" t="s">
        <v>2326</v>
      </c>
      <c r="AF15" s="119" t="s">
        <v>1702</v>
      </c>
    </row>
    <row r="16" spans="1:32" x14ac:dyDescent="0.3">
      <c r="A16" s="118" t="s">
        <v>1577</v>
      </c>
      <c r="B16" t="s">
        <v>998</v>
      </c>
      <c r="C16" s="118" t="s">
        <v>1629</v>
      </c>
      <c r="D16" t="s">
        <v>1045</v>
      </c>
      <c r="E16" s="118" t="s">
        <v>1681</v>
      </c>
      <c r="F16" t="s">
        <v>1092</v>
      </c>
      <c r="G16" s="118" t="s">
        <v>1731</v>
      </c>
      <c r="H16" t="s">
        <v>1139</v>
      </c>
      <c r="I16" s="118" t="s">
        <v>1781</v>
      </c>
      <c r="J16" t="s">
        <v>1186</v>
      </c>
      <c r="K16" s="118" t="s">
        <v>1831</v>
      </c>
      <c r="L16" t="s">
        <v>1233</v>
      </c>
      <c r="M16" s="118" t="s">
        <v>1881</v>
      </c>
      <c r="N16" t="s">
        <v>1280</v>
      </c>
      <c r="O16" s="118" t="s">
        <v>1931</v>
      </c>
      <c r="P16" s="119" t="s">
        <v>1327</v>
      </c>
      <c r="Q16" t="s">
        <v>1981</v>
      </c>
      <c r="R16" t="s">
        <v>1374</v>
      </c>
      <c r="S16" s="118" t="s">
        <v>2031</v>
      </c>
      <c r="T16" t="s">
        <v>1421</v>
      </c>
      <c r="U16" s="118" t="s">
        <v>2081</v>
      </c>
      <c r="V16" t="s">
        <v>1468</v>
      </c>
      <c r="W16" s="118" t="s">
        <v>2131</v>
      </c>
      <c r="X16" t="s">
        <v>1515</v>
      </c>
      <c r="Y16" s="118" t="s">
        <v>2181</v>
      </c>
      <c r="Z16" t="s">
        <v>1562</v>
      </c>
      <c r="AA16" s="118" t="s">
        <v>2231</v>
      </c>
      <c r="AB16" t="s">
        <v>1609</v>
      </c>
      <c r="AC16" s="118" t="s">
        <v>2281</v>
      </c>
      <c r="AD16" t="s">
        <v>1656</v>
      </c>
      <c r="AE16" s="118" t="s">
        <v>2331</v>
      </c>
      <c r="AF16" s="119" t="s">
        <v>1703</v>
      </c>
    </row>
    <row r="17" spans="1:32" x14ac:dyDescent="0.3">
      <c r="A17" s="118" t="s">
        <v>1582</v>
      </c>
      <c r="B17" t="s">
        <v>1002</v>
      </c>
      <c r="C17" s="118" t="s">
        <v>1634</v>
      </c>
      <c r="D17" t="s">
        <v>1049</v>
      </c>
      <c r="E17" s="118" t="s">
        <v>1686</v>
      </c>
      <c r="F17" t="s">
        <v>1096</v>
      </c>
      <c r="G17" s="118" t="s">
        <v>1736</v>
      </c>
      <c r="H17" t="s">
        <v>1143</v>
      </c>
      <c r="I17" s="118" t="s">
        <v>1786</v>
      </c>
      <c r="J17" t="s">
        <v>1190</v>
      </c>
      <c r="K17" s="118" t="s">
        <v>1836</v>
      </c>
      <c r="L17" t="s">
        <v>1237</v>
      </c>
      <c r="M17" s="118" t="s">
        <v>1886</v>
      </c>
      <c r="N17" t="s">
        <v>1284</v>
      </c>
      <c r="O17" s="118" t="s">
        <v>1936</v>
      </c>
      <c r="P17" s="119" t="s">
        <v>1331</v>
      </c>
      <c r="Q17" t="s">
        <v>1986</v>
      </c>
      <c r="R17" t="s">
        <v>1378</v>
      </c>
      <c r="S17" s="118" t="s">
        <v>2036</v>
      </c>
      <c r="T17" t="s">
        <v>1425</v>
      </c>
      <c r="U17" s="118" t="s">
        <v>2086</v>
      </c>
      <c r="V17" t="s">
        <v>1472</v>
      </c>
      <c r="W17" s="118" t="s">
        <v>2136</v>
      </c>
      <c r="X17" t="s">
        <v>1519</v>
      </c>
      <c r="Y17" s="118" t="s">
        <v>2186</v>
      </c>
      <c r="Z17" t="s">
        <v>1566</v>
      </c>
      <c r="AA17" s="118" t="s">
        <v>2236</v>
      </c>
      <c r="AB17" t="s">
        <v>1613</v>
      </c>
      <c r="AC17" s="118" t="s">
        <v>2286</v>
      </c>
      <c r="AD17" t="s">
        <v>1660</v>
      </c>
      <c r="AE17" s="118" t="s">
        <v>2336</v>
      </c>
      <c r="AF17" s="119" t="s">
        <v>1707</v>
      </c>
    </row>
    <row r="18" spans="1:32" x14ac:dyDescent="0.3">
      <c r="A18" s="118" t="s">
        <v>1587</v>
      </c>
      <c r="B18" t="s">
        <v>1003</v>
      </c>
      <c r="C18" s="118" t="s">
        <v>1639</v>
      </c>
      <c r="D18" t="s">
        <v>1050</v>
      </c>
      <c r="E18" s="118" t="s">
        <v>1691</v>
      </c>
      <c r="F18" t="s">
        <v>1097</v>
      </c>
      <c r="G18" s="118" t="s">
        <v>1741</v>
      </c>
      <c r="H18" t="s">
        <v>1144</v>
      </c>
      <c r="I18" s="118" t="s">
        <v>1791</v>
      </c>
      <c r="J18" t="s">
        <v>1191</v>
      </c>
      <c r="K18" s="118" t="s">
        <v>1841</v>
      </c>
      <c r="L18" t="s">
        <v>1238</v>
      </c>
      <c r="M18" s="118" t="s">
        <v>1891</v>
      </c>
      <c r="N18" t="s">
        <v>1285</v>
      </c>
      <c r="O18" s="118" t="s">
        <v>1941</v>
      </c>
      <c r="P18" s="119" t="s">
        <v>1332</v>
      </c>
      <c r="Q18" t="s">
        <v>1991</v>
      </c>
      <c r="R18" t="s">
        <v>1379</v>
      </c>
      <c r="S18" s="118" t="s">
        <v>2041</v>
      </c>
      <c r="T18" t="s">
        <v>1426</v>
      </c>
      <c r="U18" s="118" t="s">
        <v>2091</v>
      </c>
      <c r="V18" t="s">
        <v>1473</v>
      </c>
      <c r="W18" s="118" t="s">
        <v>2141</v>
      </c>
      <c r="X18" t="s">
        <v>1520</v>
      </c>
      <c r="Y18" s="118" t="s">
        <v>2191</v>
      </c>
      <c r="Z18" t="s">
        <v>1567</v>
      </c>
      <c r="AA18" s="118" t="s">
        <v>2241</v>
      </c>
      <c r="AB18" t="s">
        <v>1614</v>
      </c>
      <c r="AC18" s="118" t="s">
        <v>2291</v>
      </c>
      <c r="AD18" t="s">
        <v>1661</v>
      </c>
      <c r="AE18" s="118" t="s">
        <v>2341</v>
      </c>
      <c r="AF18" s="119" t="s">
        <v>1708</v>
      </c>
    </row>
    <row r="19" spans="1:32" x14ac:dyDescent="0.3">
      <c r="A19" s="118" t="s">
        <v>1592</v>
      </c>
      <c r="B19" t="s">
        <v>1007</v>
      </c>
      <c r="C19" s="118" t="s">
        <v>1644</v>
      </c>
      <c r="D19" t="s">
        <v>1054</v>
      </c>
      <c r="E19" s="118" t="s">
        <v>1696</v>
      </c>
      <c r="F19" t="s">
        <v>1101</v>
      </c>
      <c r="G19" s="118" t="s">
        <v>1746</v>
      </c>
      <c r="H19" t="s">
        <v>1148</v>
      </c>
      <c r="I19" s="118" t="s">
        <v>1796</v>
      </c>
      <c r="J19" t="s">
        <v>1195</v>
      </c>
      <c r="K19" s="118" t="s">
        <v>1846</v>
      </c>
      <c r="L19" t="s">
        <v>1242</v>
      </c>
      <c r="M19" s="118" t="s">
        <v>1896</v>
      </c>
      <c r="N19" t="s">
        <v>1289</v>
      </c>
      <c r="O19" s="118" t="s">
        <v>1946</v>
      </c>
      <c r="P19" s="119" t="s">
        <v>1336</v>
      </c>
      <c r="Q19" t="s">
        <v>1996</v>
      </c>
      <c r="R19" t="s">
        <v>1383</v>
      </c>
      <c r="S19" s="118" t="s">
        <v>2046</v>
      </c>
      <c r="T19" t="s">
        <v>1430</v>
      </c>
      <c r="U19" s="118" t="s">
        <v>2096</v>
      </c>
      <c r="V19" t="s">
        <v>1477</v>
      </c>
      <c r="W19" s="118" t="s">
        <v>2146</v>
      </c>
      <c r="X19" t="s">
        <v>1524</v>
      </c>
      <c r="Y19" s="118" t="s">
        <v>2196</v>
      </c>
      <c r="Z19" t="s">
        <v>1571</v>
      </c>
      <c r="AA19" s="118" t="s">
        <v>2246</v>
      </c>
      <c r="AB19" t="s">
        <v>1618</v>
      </c>
      <c r="AC19" s="118" t="s">
        <v>2296</v>
      </c>
      <c r="AD19" t="s">
        <v>1665</v>
      </c>
      <c r="AE19" s="118" t="s">
        <v>2346</v>
      </c>
      <c r="AF19" s="119" t="s">
        <v>1712</v>
      </c>
    </row>
    <row r="20" spans="1:32" x14ac:dyDescent="0.3">
      <c r="A20" s="118" t="s">
        <v>1597</v>
      </c>
      <c r="B20" t="s">
        <v>1008</v>
      </c>
      <c r="C20" s="118" t="s">
        <v>1649</v>
      </c>
      <c r="D20" t="s">
        <v>1055</v>
      </c>
      <c r="E20" s="118" t="s">
        <v>1701</v>
      </c>
      <c r="F20" t="s">
        <v>1102</v>
      </c>
      <c r="G20" s="118" t="s">
        <v>1751</v>
      </c>
      <c r="H20" t="s">
        <v>1149</v>
      </c>
      <c r="I20" s="118" t="s">
        <v>1801</v>
      </c>
      <c r="J20" t="s">
        <v>1196</v>
      </c>
      <c r="K20" s="118" t="s">
        <v>1851</v>
      </c>
      <c r="L20" t="s">
        <v>1243</v>
      </c>
      <c r="M20" s="118" t="s">
        <v>1901</v>
      </c>
      <c r="N20" t="s">
        <v>1290</v>
      </c>
      <c r="O20" s="118" t="s">
        <v>1951</v>
      </c>
      <c r="P20" s="119" t="s">
        <v>1337</v>
      </c>
      <c r="Q20" t="s">
        <v>2001</v>
      </c>
      <c r="R20" t="s">
        <v>1384</v>
      </c>
      <c r="S20" s="118" t="s">
        <v>2051</v>
      </c>
      <c r="T20" t="s">
        <v>1431</v>
      </c>
      <c r="U20" s="118" t="s">
        <v>2101</v>
      </c>
      <c r="V20" t="s">
        <v>1478</v>
      </c>
      <c r="W20" s="118" t="s">
        <v>2151</v>
      </c>
      <c r="X20" t="s">
        <v>1525</v>
      </c>
      <c r="Y20" s="118" t="s">
        <v>2201</v>
      </c>
      <c r="Z20" t="s">
        <v>1572</v>
      </c>
      <c r="AA20" s="118" t="s">
        <v>2251</v>
      </c>
      <c r="AB20" t="s">
        <v>1619</v>
      </c>
      <c r="AC20" s="118" t="s">
        <v>2301</v>
      </c>
      <c r="AD20" t="s">
        <v>1666</v>
      </c>
      <c r="AE20" s="118" t="s">
        <v>2351</v>
      </c>
      <c r="AF20" s="119" t="s">
        <v>1713</v>
      </c>
    </row>
    <row r="21" spans="1:32" x14ac:dyDescent="0.3">
      <c r="A21" s="118" t="s">
        <v>2356</v>
      </c>
      <c r="B21" t="s">
        <v>1717</v>
      </c>
      <c r="C21" s="118" t="s">
        <v>2406</v>
      </c>
      <c r="D21" t="s">
        <v>1767</v>
      </c>
      <c r="E21" s="118" t="s">
        <v>2456</v>
      </c>
      <c r="F21" t="s">
        <v>1817</v>
      </c>
      <c r="G21" s="118" t="s">
        <v>2506</v>
      </c>
      <c r="H21" t="s">
        <v>1867</v>
      </c>
      <c r="I21" s="118" t="s">
        <v>2556</v>
      </c>
      <c r="J21" t="s">
        <v>1917</v>
      </c>
      <c r="K21" s="118" t="s">
        <v>2606</v>
      </c>
      <c r="L21" t="s">
        <v>1967</v>
      </c>
      <c r="M21" s="118" t="s">
        <v>2656</v>
      </c>
      <c r="N21" t="s">
        <v>2017</v>
      </c>
      <c r="O21" s="118" t="s">
        <v>2706</v>
      </c>
      <c r="P21" s="119" t="s">
        <v>2067</v>
      </c>
      <c r="Q21" t="s">
        <v>2756</v>
      </c>
      <c r="R21" t="s">
        <v>2117</v>
      </c>
      <c r="S21" s="118" t="s">
        <v>2806</v>
      </c>
      <c r="T21" t="s">
        <v>2167</v>
      </c>
      <c r="U21" s="118" t="s">
        <v>2856</v>
      </c>
      <c r="V21" t="s">
        <v>2217</v>
      </c>
      <c r="W21" s="118" t="s">
        <v>2906</v>
      </c>
      <c r="X21" t="s">
        <v>2267</v>
      </c>
      <c r="Y21" s="118" t="s">
        <v>2956</v>
      </c>
      <c r="Z21" t="s">
        <v>2317</v>
      </c>
      <c r="AA21" s="118" t="s">
        <v>3006</v>
      </c>
      <c r="AB21" t="s">
        <v>2367</v>
      </c>
      <c r="AC21" s="118" t="s">
        <v>3056</v>
      </c>
      <c r="AD21" t="s">
        <v>2417</v>
      </c>
      <c r="AE21" s="118" t="s">
        <v>3106</v>
      </c>
      <c r="AF21" s="119" t="s">
        <v>2467</v>
      </c>
    </row>
    <row r="22" spans="1:32" x14ac:dyDescent="0.3">
      <c r="A22" s="118" t="s">
        <v>2361</v>
      </c>
      <c r="B22" t="s">
        <v>1718</v>
      </c>
      <c r="C22" s="118" t="s">
        <v>2411</v>
      </c>
      <c r="D22" t="s">
        <v>1768</v>
      </c>
      <c r="E22" s="118" t="s">
        <v>2461</v>
      </c>
      <c r="F22" t="s">
        <v>1818</v>
      </c>
      <c r="G22" s="118" t="s">
        <v>2511</v>
      </c>
      <c r="H22" t="s">
        <v>1868</v>
      </c>
      <c r="I22" s="118" t="s">
        <v>2561</v>
      </c>
      <c r="J22" t="s">
        <v>1918</v>
      </c>
      <c r="K22" s="118" t="s">
        <v>2611</v>
      </c>
      <c r="L22" t="s">
        <v>1968</v>
      </c>
      <c r="M22" s="118" t="s">
        <v>2661</v>
      </c>
      <c r="N22" t="s">
        <v>2018</v>
      </c>
      <c r="O22" s="118" t="s">
        <v>2711</v>
      </c>
      <c r="P22" s="119" t="s">
        <v>2068</v>
      </c>
      <c r="Q22" t="s">
        <v>2761</v>
      </c>
      <c r="R22" t="s">
        <v>2118</v>
      </c>
      <c r="S22" s="118" t="s">
        <v>2811</v>
      </c>
      <c r="T22" t="s">
        <v>2168</v>
      </c>
      <c r="U22" s="118" t="s">
        <v>2861</v>
      </c>
      <c r="V22" t="s">
        <v>2218</v>
      </c>
      <c r="W22" s="118" t="s">
        <v>2911</v>
      </c>
      <c r="X22" t="s">
        <v>2268</v>
      </c>
      <c r="Y22" s="118" t="s">
        <v>2961</v>
      </c>
      <c r="Z22" t="s">
        <v>2318</v>
      </c>
      <c r="AA22" s="118" t="s">
        <v>3011</v>
      </c>
      <c r="AB22" t="s">
        <v>2368</v>
      </c>
      <c r="AC22" s="118" t="s">
        <v>3061</v>
      </c>
      <c r="AD22" t="s">
        <v>2418</v>
      </c>
      <c r="AE22" s="118" t="s">
        <v>3111</v>
      </c>
      <c r="AF22" s="119" t="s">
        <v>2468</v>
      </c>
    </row>
    <row r="23" spans="1:32" x14ac:dyDescent="0.3">
      <c r="A23" s="118" t="s">
        <v>2366</v>
      </c>
      <c r="B23" t="s">
        <v>1722</v>
      </c>
      <c r="C23" s="118" t="s">
        <v>2416</v>
      </c>
      <c r="D23" t="s">
        <v>1772</v>
      </c>
      <c r="E23" s="118" t="s">
        <v>2466</v>
      </c>
      <c r="F23" t="s">
        <v>1822</v>
      </c>
      <c r="G23" s="118" t="s">
        <v>2516</v>
      </c>
      <c r="H23" t="s">
        <v>1872</v>
      </c>
      <c r="I23" s="118" t="s">
        <v>2566</v>
      </c>
      <c r="J23" t="s">
        <v>1922</v>
      </c>
      <c r="K23" s="118" t="s">
        <v>2616</v>
      </c>
      <c r="L23" t="s">
        <v>1972</v>
      </c>
      <c r="M23" s="118" t="s">
        <v>2666</v>
      </c>
      <c r="N23" t="s">
        <v>2022</v>
      </c>
      <c r="O23" s="118" t="s">
        <v>2716</v>
      </c>
      <c r="P23" s="119" t="s">
        <v>2072</v>
      </c>
      <c r="Q23" t="s">
        <v>2766</v>
      </c>
      <c r="R23" t="s">
        <v>2122</v>
      </c>
      <c r="S23" s="118" t="s">
        <v>2816</v>
      </c>
      <c r="T23" t="s">
        <v>2172</v>
      </c>
      <c r="U23" s="118" t="s">
        <v>2866</v>
      </c>
      <c r="V23" t="s">
        <v>2222</v>
      </c>
      <c r="W23" s="118" t="s">
        <v>2916</v>
      </c>
      <c r="X23" t="s">
        <v>2272</v>
      </c>
      <c r="Y23" s="118" t="s">
        <v>2966</v>
      </c>
      <c r="Z23" t="s">
        <v>2322</v>
      </c>
      <c r="AA23" s="118" t="s">
        <v>3016</v>
      </c>
      <c r="AB23" t="s">
        <v>2372</v>
      </c>
      <c r="AC23" s="118" t="s">
        <v>3066</v>
      </c>
      <c r="AD23" t="s">
        <v>2422</v>
      </c>
      <c r="AE23" s="118" t="s">
        <v>3116</v>
      </c>
      <c r="AF23" s="119" t="s">
        <v>2472</v>
      </c>
    </row>
    <row r="24" spans="1:32" x14ac:dyDescent="0.3">
      <c r="A24" s="118" t="s">
        <v>2371</v>
      </c>
      <c r="B24" t="s">
        <v>1723</v>
      </c>
      <c r="C24" s="118" t="s">
        <v>2421</v>
      </c>
      <c r="D24" t="s">
        <v>1773</v>
      </c>
      <c r="E24" s="118" t="s">
        <v>2471</v>
      </c>
      <c r="F24" t="s">
        <v>1823</v>
      </c>
      <c r="G24" s="118" t="s">
        <v>2521</v>
      </c>
      <c r="H24" t="s">
        <v>1873</v>
      </c>
      <c r="I24" s="118" t="s">
        <v>2571</v>
      </c>
      <c r="J24" t="s">
        <v>1923</v>
      </c>
      <c r="K24" s="118" t="s">
        <v>2621</v>
      </c>
      <c r="L24" t="s">
        <v>1973</v>
      </c>
      <c r="M24" s="118" t="s">
        <v>2671</v>
      </c>
      <c r="N24" t="s">
        <v>2023</v>
      </c>
      <c r="O24" s="118" t="s">
        <v>2721</v>
      </c>
      <c r="P24" s="119" t="s">
        <v>2073</v>
      </c>
      <c r="Q24" t="s">
        <v>2771</v>
      </c>
      <c r="R24" t="s">
        <v>2123</v>
      </c>
      <c r="S24" s="118" t="s">
        <v>2821</v>
      </c>
      <c r="T24" t="s">
        <v>2173</v>
      </c>
      <c r="U24" s="118" t="s">
        <v>2871</v>
      </c>
      <c r="V24" t="s">
        <v>2223</v>
      </c>
      <c r="W24" s="118" t="s">
        <v>2921</v>
      </c>
      <c r="X24" t="s">
        <v>2273</v>
      </c>
      <c r="Y24" s="118" t="s">
        <v>2971</v>
      </c>
      <c r="Z24" t="s">
        <v>2323</v>
      </c>
      <c r="AA24" s="118" t="s">
        <v>3021</v>
      </c>
      <c r="AB24" t="s">
        <v>2373</v>
      </c>
      <c r="AC24" s="118" t="s">
        <v>3071</v>
      </c>
      <c r="AD24" t="s">
        <v>2423</v>
      </c>
      <c r="AE24" s="118" t="s">
        <v>3121</v>
      </c>
      <c r="AF24" s="119" t="s">
        <v>2473</v>
      </c>
    </row>
    <row r="25" spans="1:32" x14ac:dyDescent="0.3">
      <c r="A25" s="118" t="s">
        <v>2376</v>
      </c>
      <c r="B25" t="s">
        <v>1727</v>
      </c>
      <c r="C25" s="118" t="s">
        <v>2426</v>
      </c>
      <c r="D25" t="s">
        <v>1777</v>
      </c>
      <c r="E25" s="118" t="s">
        <v>2476</v>
      </c>
      <c r="F25" t="s">
        <v>1827</v>
      </c>
      <c r="G25" s="118" t="s">
        <v>2526</v>
      </c>
      <c r="H25" t="s">
        <v>1877</v>
      </c>
      <c r="I25" s="118" t="s">
        <v>2576</v>
      </c>
      <c r="J25" t="s">
        <v>1927</v>
      </c>
      <c r="K25" s="118" t="s">
        <v>2626</v>
      </c>
      <c r="L25" t="s">
        <v>1977</v>
      </c>
      <c r="M25" s="118" t="s">
        <v>2676</v>
      </c>
      <c r="N25" t="s">
        <v>2027</v>
      </c>
      <c r="O25" s="118" t="s">
        <v>2726</v>
      </c>
      <c r="P25" s="119" t="s">
        <v>2077</v>
      </c>
      <c r="Q25" t="s">
        <v>2776</v>
      </c>
      <c r="R25" t="s">
        <v>2127</v>
      </c>
      <c r="S25" s="118" t="s">
        <v>2826</v>
      </c>
      <c r="T25" t="s">
        <v>2177</v>
      </c>
      <c r="U25" s="118" t="s">
        <v>2876</v>
      </c>
      <c r="V25" t="s">
        <v>2227</v>
      </c>
      <c r="W25" s="118" t="s">
        <v>2926</v>
      </c>
      <c r="X25" t="s">
        <v>2277</v>
      </c>
      <c r="Y25" s="118" t="s">
        <v>2976</v>
      </c>
      <c r="Z25" t="s">
        <v>2327</v>
      </c>
      <c r="AA25" s="118" t="s">
        <v>3026</v>
      </c>
      <c r="AB25" t="s">
        <v>2377</v>
      </c>
      <c r="AC25" s="118" t="s">
        <v>3076</v>
      </c>
      <c r="AD25" t="s">
        <v>2427</v>
      </c>
      <c r="AE25" s="118" t="s">
        <v>3126</v>
      </c>
      <c r="AF25" s="119" t="s">
        <v>2477</v>
      </c>
    </row>
    <row r="26" spans="1:32" x14ac:dyDescent="0.3">
      <c r="A26" s="118" t="s">
        <v>2381</v>
      </c>
      <c r="B26" t="s">
        <v>1728</v>
      </c>
      <c r="C26" s="118" t="s">
        <v>2431</v>
      </c>
      <c r="D26" t="s">
        <v>1778</v>
      </c>
      <c r="E26" s="118" t="s">
        <v>2481</v>
      </c>
      <c r="F26" t="s">
        <v>1828</v>
      </c>
      <c r="G26" s="118" t="s">
        <v>2531</v>
      </c>
      <c r="H26" t="s">
        <v>1878</v>
      </c>
      <c r="I26" s="118" t="s">
        <v>2581</v>
      </c>
      <c r="J26" t="s">
        <v>1928</v>
      </c>
      <c r="K26" s="118" t="s">
        <v>2631</v>
      </c>
      <c r="L26" t="s">
        <v>1978</v>
      </c>
      <c r="M26" s="118" t="s">
        <v>2681</v>
      </c>
      <c r="N26" t="s">
        <v>2028</v>
      </c>
      <c r="O26" s="118" t="s">
        <v>2731</v>
      </c>
      <c r="P26" s="119" t="s">
        <v>2078</v>
      </c>
      <c r="Q26" t="s">
        <v>2781</v>
      </c>
      <c r="R26" t="s">
        <v>2128</v>
      </c>
      <c r="S26" s="118" t="s">
        <v>2831</v>
      </c>
      <c r="T26" t="s">
        <v>2178</v>
      </c>
      <c r="U26" s="118" t="s">
        <v>2881</v>
      </c>
      <c r="V26" t="s">
        <v>2228</v>
      </c>
      <c r="W26" s="118" t="s">
        <v>2931</v>
      </c>
      <c r="X26" t="s">
        <v>2278</v>
      </c>
      <c r="Y26" s="118" t="s">
        <v>2981</v>
      </c>
      <c r="Z26" t="s">
        <v>2328</v>
      </c>
      <c r="AA26" s="118" t="s">
        <v>3031</v>
      </c>
      <c r="AB26" t="s">
        <v>2378</v>
      </c>
      <c r="AC26" s="118" t="s">
        <v>3081</v>
      </c>
      <c r="AD26" t="s">
        <v>2428</v>
      </c>
      <c r="AE26" s="118" t="s">
        <v>3131</v>
      </c>
      <c r="AF26" s="119" t="s">
        <v>2478</v>
      </c>
    </row>
    <row r="27" spans="1:32" x14ac:dyDescent="0.3">
      <c r="A27" s="118" t="s">
        <v>2386</v>
      </c>
      <c r="B27" t="s">
        <v>1732</v>
      </c>
      <c r="C27" s="118" t="s">
        <v>2436</v>
      </c>
      <c r="D27" t="s">
        <v>1782</v>
      </c>
      <c r="E27" s="118" t="s">
        <v>2486</v>
      </c>
      <c r="F27" t="s">
        <v>1832</v>
      </c>
      <c r="G27" s="118" t="s">
        <v>2536</v>
      </c>
      <c r="H27" t="s">
        <v>1882</v>
      </c>
      <c r="I27" s="118" t="s">
        <v>2586</v>
      </c>
      <c r="J27" t="s">
        <v>1932</v>
      </c>
      <c r="K27" s="118" t="s">
        <v>2636</v>
      </c>
      <c r="L27" t="s">
        <v>1982</v>
      </c>
      <c r="M27" s="118" t="s">
        <v>2686</v>
      </c>
      <c r="N27" t="s">
        <v>2032</v>
      </c>
      <c r="O27" s="118" t="s">
        <v>2736</v>
      </c>
      <c r="P27" s="119" t="s">
        <v>2082</v>
      </c>
      <c r="Q27" t="s">
        <v>2786</v>
      </c>
      <c r="R27" t="s">
        <v>2132</v>
      </c>
      <c r="S27" s="118" t="s">
        <v>2836</v>
      </c>
      <c r="T27" t="s">
        <v>2182</v>
      </c>
      <c r="U27" s="118" t="s">
        <v>2886</v>
      </c>
      <c r="V27" t="s">
        <v>2232</v>
      </c>
      <c r="W27" s="118" t="s">
        <v>2936</v>
      </c>
      <c r="X27" t="s">
        <v>2282</v>
      </c>
      <c r="Y27" s="118" t="s">
        <v>2986</v>
      </c>
      <c r="Z27" t="s">
        <v>2332</v>
      </c>
      <c r="AA27" s="118" t="s">
        <v>3036</v>
      </c>
      <c r="AB27" t="s">
        <v>2382</v>
      </c>
      <c r="AC27" s="118" t="s">
        <v>3086</v>
      </c>
      <c r="AD27" t="s">
        <v>2432</v>
      </c>
      <c r="AE27" s="118" t="s">
        <v>3136</v>
      </c>
      <c r="AF27" s="119" t="s">
        <v>2482</v>
      </c>
    </row>
    <row r="28" spans="1:32" x14ac:dyDescent="0.3">
      <c r="A28" s="118" t="s">
        <v>2391</v>
      </c>
      <c r="B28" t="s">
        <v>1733</v>
      </c>
      <c r="C28" s="118" t="s">
        <v>2441</v>
      </c>
      <c r="D28" t="s">
        <v>1783</v>
      </c>
      <c r="E28" s="118" t="s">
        <v>2491</v>
      </c>
      <c r="F28" t="s">
        <v>1833</v>
      </c>
      <c r="G28" s="118" t="s">
        <v>2541</v>
      </c>
      <c r="H28" t="s">
        <v>1883</v>
      </c>
      <c r="I28" s="118" t="s">
        <v>2591</v>
      </c>
      <c r="J28" t="s">
        <v>1933</v>
      </c>
      <c r="K28" s="118" t="s">
        <v>2641</v>
      </c>
      <c r="L28" t="s">
        <v>1983</v>
      </c>
      <c r="M28" s="118" t="s">
        <v>2691</v>
      </c>
      <c r="N28" t="s">
        <v>2033</v>
      </c>
      <c r="O28" s="118" t="s">
        <v>2741</v>
      </c>
      <c r="P28" s="119" t="s">
        <v>2083</v>
      </c>
      <c r="Q28" t="s">
        <v>2791</v>
      </c>
      <c r="R28" t="s">
        <v>2133</v>
      </c>
      <c r="S28" s="118" t="s">
        <v>2841</v>
      </c>
      <c r="T28" t="s">
        <v>2183</v>
      </c>
      <c r="U28" s="118" t="s">
        <v>2891</v>
      </c>
      <c r="V28" t="s">
        <v>2233</v>
      </c>
      <c r="W28" s="118" t="s">
        <v>2941</v>
      </c>
      <c r="X28" t="s">
        <v>2283</v>
      </c>
      <c r="Y28" s="118" t="s">
        <v>2991</v>
      </c>
      <c r="Z28" t="s">
        <v>2333</v>
      </c>
      <c r="AA28" s="118" t="s">
        <v>3041</v>
      </c>
      <c r="AB28" t="s">
        <v>2383</v>
      </c>
      <c r="AC28" s="118" t="s">
        <v>3091</v>
      </c>
      <c r="AD28" t="s">
        <v>2433</v>
      </c>
      <c r="AE28" s="118" t="s">
        <v>3141</v>
      </c>
      <c r="AF28" s="119" t="s">
        <v>2483</v>
      </c>
    </row>
    <row r="29" spans="1:32" x14ac:dyDescent="0.3">
      <c r="A29" s="118" t="s">
        <v>2396</v>
      </c>
      <c r="B29" t="s">
        <v>1737</v>
      </c>
      <c r="C29" s="118" t="s">
        <v>2446</v>
      </c>
      <c r="D29" t="s">
        <v>1787</v>
      </c>
      <c r="E29" s="118" t="s">
        <v>2496</v>
      </c>
      <c r="F29" t="s">
        <v>1837</v>
      </c>
      <c r="G29" s="118" t="s">
        <v>2546</v>
      </c>
      <c r="H29" t="s">
        <v>1887</v>
      </c>
      <c r="I29" s="118" t="s">
        <v>2596</v>
      </c>
      <c r="J29" t="s">
        <v>1937</v>
      </c>
      <c r="K29" s="118" t="s">
        <v>2646</v>
      </c>
      <c r="L29" t="s">
        <v>1987</v>
      </c>
      <c r="M29" s="118" t="s">
        <v>2696</v>
      </c>
      <c r="N29" t="s">
        <v>2037</v>
      </c>
      <c r="O29" s="118" t="s">
        <v>2746</v>
      </c>
      <c r="P29" s="119" t="s">
        <v>2087</v>
      </c>
      <c r="Q29" t="s">
        <v>2796</v>
      </c>
      <c r="R29" t="s">
        <v>2137</v>
      </c>
      <c r="S29" s="118" t="s">
        <v>2846</v>
      </c>
      <c r="T29" t="s">
        <v>2187</v>
      </c>
      <c r="U29" s="118" t="s">
        <v>2896</v>
      </c>
      <c r="V29" t="s">
        <v>2237</v>
      </c>
      <c r="W29" s="118" t="s">
        <v>2946</v>
      </c>
      <c r="X29" t="s">
        <v>2287</v>
      </c>
      <c r="Y29" s="118" t="s">
        <v>2996</v>
      </c>
      <c r="Z29" t="s">
        <v>2337</v>
      </c>
      <c r="AA29" s="118" t="s">
        <v>3046</v>
      </c>
      <c r="AB29" t="s">
        <v>2387</v>
      </c>
      <c r="AC29" s="118" t="s">
        <v>3096</v>
      </c>
      <c r="AD29" t="s">
        <v>2437</v>
      </c>
      <c r="AE29" s="118" t="s">
        <v>3146</v>
      </c>
      <c r="AF29" s="119" t="s">
        <v>2487</v>
      </c>
    </row>
    <row r="30" spans="1:32" x14ac:dyDescent="0.3">
      <c r="A30" s="118" t="s">
        <v>2401</v>
      </c>
      <c r="B30" t="s">
        <v>1738</v>
      </c>
      <c r="C30" s="118" t="s">
        <v>2451</v>
      </c>
      <c r="D30" t="s">
        <v>1788</v>
      </c>
      <c r="E30" s="118" t="s">
        <v>2501</v>
      </c>
      <c r="F30" t="s">
        <v>1838</v>
      </c>
      <c r="G30" s="118" t="s">
        <v>2551</v>
      </c>
      <c r="H30" t="s">
        <v>1888</v>
      </c>
      <c r="I30" s="118" t="s">
        <v>2601</v>
      </c>
      <c r="J30" t="s">
        <v>1938</v>
      </c>
      <c r="K30" s="118" t="s">
        <v>2651</v>
      </c>
      <c r="L30" t="s">
        <v>1988</v>
      </c>
      <c r="M30" s="118" t="s">
        <v>2701</v>
      </c>
      <c r="N30" t="s">
        <v>2038</v>
      </c>
      <c r="O30" s="118" t="s">
        <v>2751</v>
      </c>
      <c r="P30" s="119" t="s">
        <v>2088</v>
      </c>
      <c r="Q30" t="s">
        <v>2801</v>
      </c>
      <c r="R30" t="s">
        <v>2138</v>
      </c>
      <c r="S30" s="118" t="s">
        <v>2851</v>
      </c>
      <c r="T30" t="s">
        <v>2188</v>
      </c>
      <c r="U30" s="118" t="s">
        <v>2901</v>
      </c>
      <c r="V30" t="s">
        <v>2238</v>
      </c>
      <c r="W30" s="118" t="s">
        <v>2951</v>
      </c>
      <c r="X30" t="s">
        <v>2288</v>
      </c>
      <c r="Y30" s="118" t="s">
        <v>3001</v>
      </c>
      <c r="Z30" t="s">
        <v>2338</v>
      </c>
      <c r="AA30" s="118" t="s">
        <v>3051</v>
      </c>
      <c r="AB30" t="s">
        <v>2388</v>
      </c>
      <c r="AC30" s="118" t="s">
        <v>3101</v>
      </c>
      <c r="AD30" t="s">
        <v>2438</v>
      </c>
      <c r="AE30" s="118" t="s">
        <v>3151</v>
      </c>
      <c r="AF30" s="119" t="s">
        <v>2488</v>
      </c>
    </row>
    <row r="31" spans="1:32" x14ac:dyDescent="0.3">
      <c r="A31" s="118" t="s">
        <v>3156</v>
      </c>
      <c r="B31" t="s">
        <v>1742</v>
      </c>
      <c r="C31" s="118" t="s">
        <v>3206</v>
      </c>
      <c r="D31" t="s">
        <v>1792</v>
      </c>
      <c r="E31" s="118" t="s">
        <v>3256</v>
      </c>
      <c r="F31" t="s">
        <v>1842</v>
      </c>
      <c r="G31" s="118" t="s">
        <v>3306</v>
      </c>
      <c r="H31" t="s">
        <v>1892</v>
      </c>
      <c r="I31" s="118" t="s">
        <v>3356</v>
      </c>
      <c r="J31" t="s">
        <v>1942</v>
      </c>
      <c r="K31" s="118" t="s">
        <v>3406</v>
      </c>
      <c r="L31" t="s">
        <v>1992</v>
      </c>
      <c r="M31" s="118" t="s">
        <v>3456</v>
      </c>
      <c r="N31" t="s">
        <v>2042</v>
      </c>
      <c r="O31" s="118" t="s">
        <v>3506</v>
      </c>
      <c r="P31" s="119" t="s">
        <v>2092</v>
      </c>
      <c r="R31" t="s">
        <v>2142</v>
      </c>
      <c r="S31" s="118"/>
      <c r="T31" t="s">
        <v>2192</v>
      </c>
      <c r="U31" s="118"/>
      <c r="V31" t="s">
        <v>2242</v>
      </c>
      <c r="W31" s="118"/>
      <c r="X31" t="s">
        <v>2292</v>
      </c>
      <c r="Y31" s="118"/>
      <c r="Z31" t="s">
        <v>2342</v>
      </c>
      <c r="AA31" s="118"/>
      <c r="AB31" t="s">
        <v>2392</v>
      </c>
      <c r="AC31" s="118"/>
      <c r="AD31" t="s">
        <v>2442</v>
      </c>
      <c r="AE31" s="118"/>
      <c r="AF31" s="119" t="s">
        <v>2492</v>
      </c>
    </row>
    <row r="32" spans="1:32" x14ac:dyDescent="0.3">
      <c r="A32" s="118" t="s">
        <v>3161</v>
      </c>
      <c r="B32" t="s">
        <v>1743</v>
      </c>
      <c r="C32" s="118" t="s">
        <v>3211</v>
      </c>
      <c r="D32" t="s">
        <v>1793</v>
      </c>
      <c r="E32" s="118" t="s">
        <v>3261</v>
      </c>
      <c r="F32" t="s">
        <v>1843</v>
      </c>
      <c r="G32" s="118" t="s">
        <v>3311</v>
      </c>
      <c r="H32" t="s">
        <v>1893</v>
      </c>
      <c r="I32" s="118" t="s">
        <v>3361</v>
      </c>
      <c r="J32" t="s">
        <v>1943</v>
      </c>
      <c r="K32" s="118" t="s">
        <v>3411</v>
      </c>
      <c r="L32" t="s">
        <v>1993</v>
      </c>
      <c r="M32" s="118" t="s">
        <v>3461</v>
      </c>
      <c r="N32" t="s">
        <v>2043</v>
      </c>
      <c r="O32" s="118" t="s">
        <v>3511</v>
      </c>
      <c r="P32" s="119" t="s">
        <v>2093</v>
      </c>
      <c r="R32" t="s">
        <v>2143</v>
      </c>
      <c r="S32" s="118"/>
      <c r="T32" t="s">
        <v>2193</v>
      </c>
      <c r="U32" s="118"/>
      <c r="V32" t="s">
        <v>2243</v>
      </c>
      <c r="W32" s="118"/>
      <c r="X32" t="s">
        <v>2293</v>
      </c>
      <c r="Y32" s="118"/>
      <c r="Z32" t="s">
        <v>2343</v>
      </c>
      <c r="AA32" s="118"/>
      <c r="AB32" t="s">
        <v>2393</v>
      </c>
      <c r="AC32" s="118"/>
      <c r="AD32" t="s">
        <v>2443</v>
      </c>
      <c r="AE32" s="118"/>
      <c r="AF32" s="119" t="s">
        <v>2493</v>
      </c>
    </row>
    <row r="33" spans="1:32" x14ac:dyDescent="0.3">
      <c r="A33" s="118" t="s">
        <v>3166</v>
      </c>
      <c r="B33" t="s">
        <v>1747</v>
      </c>
      <c r="C33" s="118" t="s">
        <v>3216</v>
      </c>
      <c r="D33" t="s">
        <v>1797</v>
      </c>
      <c r="E33" s="118" t="s">
        <v>3266</v>
      </c>
      <c r="F33" t="s">
        <v>1847</v>
      </c>
      <c r="G33" s="118" t="s">
        <v>3316</v>
      </c>
      <c r="H33" t="s">
        <v>1897</v>
      </c>
      <c r="I33" s="118" t="s">
        <v>3366</v>
      </c>
      <c r="J33" t="s">
        <v>1947</v>
      </c>
      <c r="K33" s="118" t="s">
        <v>3416</v>
      </c>
      <c r="L33" t="s">
        <v>1997</v>
      </c>
      <c r="M33" s="118" t="s">
        <v>3466</v>
      </c>
      <c r="N33" t="s">
        <v>2047</v>
      </c>
      <c r="O33" s="118"/>
      <c r="P33" s="119" t="s">
        <v>2097</v>
      </c>
      <c r="R33" t="s">
        <v>2147</v>
      </c>
      <c r="S33" s="118"/>
      <c r="T33" t="s">
        <v>2197</v>
      </c>
      <c r="U33" s="118"/>
      <c r="V33" t="s">
        <v>2247</v>
      </c>
      <c r="W33" s="118"/>
      <c r="X33" t="s">
        <v>2297</v>
      </c>
      <c r="Y33" s="118"/>
      <c r="Z33" t="s">
        <v>2347</v>
      </c>
      <c r="AA33" s="118"/>
      <c r="AB33" t="s">
        <v>2397</v>
      </c>
      <c r="AC33" s="118"/>
      <c r="AD33" t="s">
        <v>2447</v>
      </c>
      <c r="AE33" s="118"/>
      <c r="AF33" s="119" t="s">
        <v>2497</v>
      </c>
    </row>
    <row r="34" spans="1:32" x14ac:dyDescent="0.3">
      <c r="A34" s="118" t="s">
        <v>3171</v>
      </c>
      <c r="B34" t="s">
        <v>1748</v>
      </c>
      <c r="C34" s="118" t="s">
        <v>3221</v>
      </c>
      <c r="D34" t="s">
        <v>1798</v>
      </c>
      <c r="E34" s="118" t="s">
        <v>3271</v>
      </c>
      <c r="F34" t="s">
        <v>1848</v>
      </c>
      <c r="G34" s="118" t="s">
        <v>3321</v>
      </c>
      <c r="H34" t="s">
        <v>1898</v>
      </c>
      <c r="I34" s="118" t="s">
        <v>3371</v>
      </c>
      <c r="J34" t="s">
        <v>1948</v>
      </c>
      <c r="K34" s="118" t="s">
        <v>3421</v>
      </c>
      <c r="L34" t="s">
        <v>1998</v>
      </c>
      <c r="M34" s="118" t="s">
        <v>3471</v>
      </c>
      <c r="N34" t="s">
        <v>2048</v>
      </c>
      <c r="O34" s="118"/>
      <c r="P34" s="119" t="s">
        <v>2098</v>
      </c>
      <c r="R34" t="s">
        <v>2148</v>
      </c>
      <c r="S34" s="118"/>
      <c r="T34" t="s">
        <v>2198</v>
      </c>
      <c r="U34" s="118"/>
      <c r="V34" t="s">
        <v>2248</v>
      </c>
      <c r="W34" s="118"/>
      <c r="X34" t="s">
        <v>2298</v>
      </c>
      <c r="Y34" s="118"/>
      <c r="Z34" t="s">
        <v>2348</v>
      </c>
      <c r="AA34" s="118"/>
      <c r="AB34" t="s">
        <v>2398</v>
      </c>
      <c r="AC34" s="118"/>
      <c r="AD34" t="s">
        <v>2448</v>
      </c>
      <c r="AE34" s="118"/>
      <c r="AF34" s="119" t="s">
        <v>2498</v>
      </c>
    </row>
    <row r="35" spans="1:32" x14ac:dyDescent="0.3">
      <c r="A35" s="118" t="s">
        <v>3176</v>
      </c>
      <c r="B35" t="s">
        <v>1752</v>
      </c>
      <c r="C35" s="118" t="s">
        <v>3226</v>
      </c>
      <c r="D35" t="s">
        <v>1802</v>
      </c>
      <c r="E35" s="118" t="s">
        <v>3276</v>
      </c>
      <c r="F35" t="s">
        <v>1852</v>
      </c>
      <c r="G35" s="118" t="s">
        <v>3326</v>
      </c>
      <c r="H35" t="s">
        <v>1902</v>
      </c>
      <c r="I35" s="118" t="s">
        <v>3376</v>
      </c>
      <c r="J35" t="s">
        <v>1952</v>
      </c>
      <c r="K35" s="118" t="s">
        <v>3426</v>
      </c>
      <c r="L35" t="s">
        <v>2002</v>
      </c>
      <c r="M35" s="118" t="s">
        <v>3476</v>
      </c>
      <c r="N35" t="s">
        <v>2052</v>
      </c>
      <c r="O35" s="118"/>
      <c r="P35" s="119" t="s">
        <v>2102</v>
      </c>
      <c r="R35" t="s">
        <v>2152</v>
      </c>
      <c r="S35" s="118"/>
      <c r="T35" t="s">
        <v>2202</v>
      </c>
      <c r="U35" s="118"/>
      <c r="V35" t="s">
        <v>2252</v>
      </c>
      <c r="W35" s="118"/>
      <c r="X35" t="s">
        <v>2302</v>
      </c>
      <c r="Y35" s="118"/>
      <c r="Z35" t="s">
        <v>2352</v>
      </c>
      <c r="AA35" s="118"/>
      <c r="AB35" t="s">
        <v>2402</v>
      </c>
      <c r="AC35" s="118"/>
      <c r="AD35" t="s">
        <v>2452</v>
      </c>
      <c r="AE35" s="118"/>
      <c r="AF35" s="119" t="s">
        <v>2502</v>
      </c>
    </row>
    <row r="36" spans="1:32" x14ac:dyDescent="0.3">
      <c r="A36" s="118" t="s">
        <v>3181</v>
      </c>
      <c r="B36" t="s">
        <v>1753</v>
      </c>
      <c r="C36" s="118" t="s">
        <v>3231</v>
      </c>
      <c r="D36" t="s">
        <v>1803</v>
      </c>
      <c r="E36" s="118" t="s">
        <v>3281</v>
      </c>
      <c r="F36" t="s">
        <v>1853</v>
      </c>
      <c r="G36" s="118" t="s">
        <v>3331</v>
      </c>
      <c r="H36" t="s">
        <v>1903</v>
      </c>
      <c r="I36" s="118" t="s">
        <v>3381</v>
      </c>
      <c r="J36" t="s">
        <v>1953</v>
      </c>
      <c r="K36" s="118" t="s">
        <v>3431</v>
      </c>
      <c r="L36" t="s">
        <v>2003</v>
      </c>
      <c r="M36" s="118" t="s">
        <v>3481</v>
      </c>
      <c r="N36" t="s">
        <v>2053</v>
      </c>
      <c r="O36" s="118"/>
      <c r="P36" s="119" t="s">
        <v>2103</v>
      </c>
      <c r="R36" t="s">
        <v>2153</v>
      </c>
      <c r="S36" s="118"/>
      <c r="T36" t="s">
        <v>2203</v>
      </c>
      <c r="U36" s="118"/>
      <c r="V36" t="s">
        <v>2253</v>
      </c>
      <c r="W36" s="118"/>
      <c r="X36" t="s">
        <v>2303</v>
      </c>
      <c r="Y36" s="118"/>
      <c r="Z36" t="s">
        <v>2353</v>
      </c>
      <c r="AA36" s="118"/>
      <c r="AB36" t="s">
        <v>2403</v>
      </c>
      <c r="AC36" s="118"/>
      <c r="AD36" t="s">
        <v>2453</v>
      </c>
      <c r="AE36" s="118"/>
      <c r="AF36" s="119" t="s">
        <v>2503</v>
      </c>
    </row>
    <row r="37" spans="1:32" x14ac:dyDescent="0.3">
      <c r="A37" s="118" t="s">
        <v>3186</v>
      </c>
      <c r="B37" t="s">
        <v>1757</v>
      </c>
      <c r="C37" s="118" t="s">
        <v>3236</v>
      </c>
      <c r="D37" t="s">
        <v>1807</v>
      </c>
      <c r="E37" s="118" t="s">
        <v>3286</v>
      </c>
      <c r="F37" t="s">
        <v>1857</v>
      </c>
      <c r="G37" s="118" t="s">
        <v>3336</v>
      </c>
      <c r="H37" t="s">
        <v>1907</v>
      </c>
      <c r="I37" s="118" t="s">
        <v>3386</v>
      </c>
      <c r="J37" t="s">
        <v>1957</v>
      </c>
      <c r="K37" s="118" t="s">
        <v>3436</v>
      </c>
      <c r="L37" t="s">
        <v>2007</v>
      </c>
      <c r="M37" s="118" t="s">
        <v>3486</v>
      </c>
      <c r="N37" t="s">
        <v>2057</v>
      </c>
      <c r="O37" s="118"/>
      <c r="P37" s="119" t="s">
        <v>2107</v>
      </c>
      <c r="R37" t="s">
        <v>2157</v>
      </c>
      <c r="S37" s="118"/>
      <c r="T37" t="s">
        <v>2207</v>
      </c>
      <c r="U37" s="118"/>
      <c r="V37" t="s">
        <v>2257</v>
      </c>
      <c r="W37" s="118"/>
      <c r="X37" t="s">
        <v>2307</v>
      </c>
      <c r="Y37" s="118"/>
      <c r="Z37" t="s">
        <v>2357</v>
      </c>
      <c r="AA37" s="118"/>
      <c r="AB37" t="s">
        <v>2407</v>
      </c>
      <c r="AC37" s="118"/>
      <c r="AD37" t="s">
        <v>2457</v>
      </c>
      <c r="AE37" s="118"/>
      <c r="AF37" s="119" t="s">
        <v>2507</v>
      </c>
    </row>
    <row r="38" spans="1:32" x14ac:dyDescent="0.3">
      <c r="A38" s="118" t="s">
        <v>3191</v>
      </c>
      <c r="B38" t="s">
        <v>1758</v>
      </c>
      <c r="C38" s="118" t="s">
        <v>3241</v>
      </c>
      <c r="D38" t="s">
        <v>1808</v>
      </c>
      <c r="E38" s="118" t="s">
        <v>3291</v>
      </c>
      <c r="F38" t="s">
        <v>1858</v>
      </c>
      <c r="G38" s="118" t="s">
        <v>3341</v>
      </c>
      <c r="H38" t="s">
        <v>1908</v>
      </c>
      <c r="I38" s="118" t="s">
        <v>3391</v>
      </c>
      <c r="J38" t="s">
        <v>1958</v>
      </c>
      <c r="K38" s="118" t="s">
        <v>3441</v>
      </c>
      <c r="L38" t="s">
        <v>2008</v>
      </c>
      <c r="M38" s="118" t="s">
        <v>3491</v>
      </c>
      <c r="N38" t="s">
        <v>2058</v>
      </c>
      <c r="O38" s="118"/>
      <c r="P38" s="119" t="s">
        <v>2108</v>
      </c>
      <c r="R38" t="s">
        <v>2158</v>
      </c>
      <c r="S38" s="118"/>
      <c r="T38" t="s">
        <v>2208</v>
      </c>
      <c r="U38" s="118"/>
      <c r="V38" t="s">
        <v>2258</v>
      </c>
      <c r="W38" s="118"/>
      <c r="X38" t="s">
        <v>2308</v>
      </c>
      <c r="Y38" s="118"/>
      <c r="Z38" t="s">
        <v>2358</v>
      </c>
      <c r="AA38" s="118"/>
      <c r="AB38" t="s">
        <v>2408</v>
      </c>
      <c r="AC38" s="118"/>
      <c r="AD38" t="s">
        <v>2458</v>
      </c>
      <c r="AE38" s="118"/>
      <c r="AF38" s="119" t="s">
        <v>2508</v>
      </c>
    </row>
    <row r="39" spans="1:32" x14ac:dyDescent="0.3">
      <c r="A39" s="118" t="s">
        <v>3196</v>
      </c>
      <c r="B39" t="s">
        <v>1762</v>
      </c>
      <c r="C39" s="118" t="s">
        <v>3246</v>
      </c>
      <c r="D39" t="s">
        <v>1812</v>
      </c>
      <c r="E39" s="118" t="s">
        <v>3296</v>
      </c>
      <c r="F39" t="s">
        <v>1862</v>
      </c>
      <c r="G39" s="118" t="s">
        <v>3346</v>
      </c>
      <c r="H39" t="s">
        <v>1912</v>
      </c>
      <c r="I39" s="118" t="s">
        <v>3396</v>
      </c>
      <c r="J39" t="s">
        <v>1962</v>
      </c>
      <c r="K39" s="118" t="s">
        <v>3446</v>
      </c>
      <c r="L39" t="s">
        <v>2012</v>
      </c>
      <c r="M39" s="118" t="s">
        <v>3496</v>
      </c>
      <c r="N39" t="s">
        <v>2062</v>
      </c>
      <c r="O39" s="118"/>
      <c r="P39" s="119" t="s">
        <v>2112</v>
      </c>
      <c r="R39" t="s">
        <v>2162</v>
      </c>
      <c r="S39" s="118"/>
      <c r="T39" t="s">
        <v>2212</v>
      </c>
      <c r="U39" s="118"/>
      <c r="V39" t="s">
        <v>2262</v>
      </c>
      <c r="W39" s="118"/>
      <c r="X39" t="s">
        <v>2312</v>
      </c>
      <c r="Y39" s="118"/>
      <c r="Z39" t="s">
        <v>2362</v>
      </c>
      <c r="AA39" s="118"/>
      <c r="AB39" t="s">
        <v>2412</v>
      </c>
      <c r="AC39" s="118"/>
      <c r="AD39" t="s">
        <v>2462</v>
      </c>
      <c r="AE39" s="118"/>
      <c r="AF39" s="119" t="s">
        <v>2512</v>
      </c>
    </row>
    <row r="40" spans="1:32" x14ac:dyDescent="0.3">
      <c r="A40" s="118" t="s">
        <v>3201</v>
      </c>
      <c r="B40" t="s">
        <v>1763</v>
      </c>
      <c r="C40" s="118" t="s">
        <v>3251</v>
      </c>
      <c r="D40" t="s">
        <v>1813</v>
      </c>
      <c r="E40" s="118" t="s">
        <v>3301</v>
      </c>
      <c r="F40" t="s">
        <v>1863</v>
      </c>
      <c r="G40" s="118" t="s">
        <v>3351</v>
      </c>
      <c r="H40" t="s">
        <v>1913</v>
      </c>
      <c r="I40" s="118" t="s">
        <v>3401</v>
      </c>
      <c r="J40" t="s">
        <v>1963</v>
      </c>
      <c r="K40" s="118" t="s">
        <v>3451</v>
      </c>
      <c r="L40" t="s">
        <v>2013</v>
      </c>
      <c r="M40" s="118" t="s">
        <v>3501</v>
      </c>
      <c r="N40" t="s">
        <v>2063</v>
      </c>
      <c r="O40" s="118"/>
      <c r="P40" s="119" t="s">
        <v>2113</v>
      </c>
      <c r="R40" t="s">
        <v>2163</v>
      </c>
      <c r="S40" s="118"/>
      <c r="T40" t="s">
        <v>2213</v>
      </c>
      <c r="U40" s="118"/>
      <c r="V40" t="s">
        <v>2263</v>
      </c>
      <c r="W40" s="118"/>
      <c r="X40" t="s">
        <v>2313</v>
      </c>
      <c r="Y40" s="118"/>
      <c r="Z40" t="s">
        <v>2363</v>
      </c>
      <c r="AA40" s="118"/>
      <c r="AB40" t="s">
        <v>2413</v>
      </c>
      <c r="AC40" s="118"/>
      <c r="AD40" t="s">
        <v>2463</v>
      </c>
      <c r="AE40" s="118"/>
      <c r="AF40" s="119" t="s">
        <v>2513</v>
      </c>
    </row>
    <row r="41" spans="1:32" x14ac:dyDescent="0.3">
      <c r="A41" s="118"/>
      <c r="B41" t="s">
        <v>2517</v>
      </c>
      <c r="C41" s="118"/>
      <c r="D41" t="s">
        <v>2567</v>
      </c>
      <c r="E41" s="118"/>
      <c r="F41" t="s">
        <v>2617</v>
      </c>
      <c r="G41" s="118"/>
      <c r="H41" t="s">
        <v>2667</v>
      </c>
      <c r="I41" s="118"/>
      <c r="J41" t="s">
        <v>2717</v>
      </c>
      <c r="K41" s="118"/>
      <c r="L41" t="s">
        <v>2767</v>
      </c>
      <c r="M41" s="118"/>
      <c r="N41" t="s">
        <v>2817</v>
      </c>
      <c r="O41" s="118"/>
      <c r="P41" s="119" t="s">
        <v>2867</v>
      </c>
      <c r="R41" t="s">
        <v>2917</v>
      </c>
      <c r="S41" s="118"/>
      <c r="T41" t="s">
        <v>2967</v>
      </c>
      <c r="U41" s="118"/>
      <c r="V41" t="s">
        <v>3017</v>
      </c>
      <c r="W41" s="118"/>
      <c r="X41" t="s">
        <v>3067</v>
      </c>
      <c r="Y41" s="118"/>
      <c r="Z41" t="s">
        <v>3117</v>
      </c>
      <c r="AA41" s="118"/>
      <c r="AB41" t="s">
        <v>3167</v>
      </c>
      <c r="AC41" s="118"/>
      <c r="AD41" t="s">
        <v>3217</v>
      </c>
      <c r="AE41" s="118"/>
      <c r="AF41" s="119" t="s">
        <v>3267</v>
      </c>
    </row>
    <row r="42" spans="1:32" x14ac:dyDescent="0.3">
      <c r="A42" s="118"/>
      <c r="B42" t="s">
        <v>2518</v>
      </c>
      <c r="C42" s="118"/>
      <c r="D42" t="s">
        <v>2568</v>
      </c>
      <c r="E42" s="118"/>
      <c r="F42" t="s">
        <v>2618</v>
      </c>
      <c r="G42" s="118"/>
      <c r="H42" t="s">
        <v>2668</v>
      </c>
      <c r="I42" s="118"/>
      <c r="J42" t="s">
        <v>2718</v>
      </c>
      <c r="K42" s="118"/>
      <c r="L42" t="s">
        <v>2768</v>
      </c>
      <c r="M42" s="118"/>
      <c r="N42" t="s">
        <v>2818</v>
      </c>
      <c r="O42" s="118"/>
      <c r="P42" s="119" t="s">
        <v>2868</v>
      </c>
      <c r="R42" t="s">
        <v>2918</v>
      </c>
      <c r="S42" s="118"/>
      <c r="T42" t="s">
        <v>2968</v>
      </c>
      <c r="U42" s="118"/>
      <c r="V42" t="s">
        <v>3018</v>
      </c>
      <c r="W42" s="118"/>
      <c r="X42" t="s">
        <v>3068</v>
      </c>
      <c r="Y42" s="118"/>
      <c r="Z42" t="s">
        <v>3118</v>
      </c>
      <c r="AA42" s="118"/>
      <c r="AB42" t="s">
        <v>3168</v>
      </c>
      <c r="AC42" s="118"/>
      <c r="AD42" t="s">
        <v>3218</v>
      </c>
      <c r="AE42" s="118"/>
      <c r="AF42" s="119" t="s">
        <v>3268</v>
      </c>
    </row>
    <row r="43" spans="1:32" x14ac:dyDescent="0.3">
      <c r="A43" s="118"/>
      <c r="B43" t="s">
        <v>2522</v>
      </c>
      <c r="C43" s="118"/>
      <c r="D43" t="s">
        <v>2572</v>
      </c>
      <c r="E43" s="118"/>
      <c r="F43" t="s">
        <v>2622</v>
      </c>
      <c r="G43" s="118"/>
      <c r="H43" t="s">
        <v>2672</v>
      </c>
      <c r="I43" s="118"/>
      <c r="J43" t="s">
        <v>2722</v>
      </c>
      <c r="K43" s="118"/>
      <c r="L43" t="s">
        <v>2772</v>
      </c>
      <c r="M43" s="118"/>
      <c r="N43" t="s">
        <v>2822</v>
      </c>
      <c r="O43" s="118"/>
      <c r="P43" s="119" t="s">
        <v>2872</v>
      </c>
      <c r="R43" t="s">
        <v>2922</v>
      </c>
      <c r="S43" s="118"/>
      <c r="T43" t="s">
        <v>2972</v>
      </c>
      <c r="U43" s="118"/>
      <c r="V43" t="s">
        <v>3022</v>
      </c>
      <c r="W43" s="118"/>
      <c r="X43" t="s">
        <v>3072</v>
      </c>
      <c r="Y43" s="118"/>
      <c r="Z43" t="s">
        <v>3122</v>
      </c>
      <c r="AA43" s="118"/>
      <c r="AB43" t="s">
        <v>3172</v>
      </c>
      <c r="AC43" s="118"/>
      <c r="AD43" t="s">
        <v>3222</v>
      </c>
      <c r="AE43" s="118"/>
      <c r="AF43" s="119" t="s">
        <v>3272</v>
      </c>
    </row>
    <row r="44" spans="1:32" x14ac:dyDescent="0.3">
      <c r="A44" s="118"/>
      <c r="B44" t="s">
        <v>2523</v>
      </c>
      <c r="C44" s="118"/>
      <c r="D44" t="s">
        <v>2573</v>
      </c>
      <c r="E44" s="118"/>
      <c r="F44" t="s">
        <v>2623</v>
      </c>
      <c r="G44" s="118"/>
      <c r="H44" t="s">
        <v>2673</v>
      </c>
      <c r="I44" s="118"/>
      <c r="J44" t="s">
        <v>2723</v>
      </c>
      <c r="K44" s="118"/>
      <c r="L44" t="s">
        <v>2773</v>
      </c>
      <c r="M44" s="118"/>
      <c r="N44" t="s">
        <v>2823</v>
      </c>
      <c r="O44" s="118"/>
      <c r="P44" s="119" t="s">
        <v>2873</v>
      </c>
      <c r="R44" t="s">
        <v>2923</v>
      </c>
      <c r="S44" s="118"/>
      <c r="T44" t="s">
        <v>2973</v>
      </c>
      <c r="U44" s="118"/>
      <c r="V44" t="s">
        <v>3023</v>
      </c>
      <c r="W44" s="118"/>
      <c r="X44" t="s">
        <v>3073</v>
      </c>
      <c r="Y44" s="118"/>
      <c r="Z44" t="s">
        <v>3123</v>
      </c>
      <c r="AA44" s="118"/>
      <c r="AB44" t="s">
        <v>3173</v>
      </c>
      <c r="AC44" s="118"/>
      <c r="AD44" t="s">
        <v>3223</v>
      </c>
      <c r="AE44" s="118"/>
      <c r="AF44" s="119" t="s">
        <v>3273</v>
      </c>
    </row>
    <row r="45" spans="1:32" x14ac:dyDescent="0.3">
      <c r="A45" s="118"/>
      <c r="B45" t="s">
        <v>2527</v>
      </c>
      <c r="C45" s="118"/>
      <c r="D45" t="s">
        <v>2577</v>
      </c>
      <c r="E45" s="118"/>
      <c r="F45" t="s">
        <v>2627</v>
      </c>
      <c r="G45" s="118"/>
      <c r="H45" t="s">
        <v>2677</v>
      </c>
      <c r="I45" s="118"/>
      <c r="J45" t="s">
        <v>2727</v>
      </c>
      <c r="K45" s="118"/>
      <c r="L45" t="s">
        <v>2777</v>
      </c>
      <c r="M45" s="118"/>
      <c r="N45" t="s">
        <v>2827</v>
      </c>
      <c r="O45" s="118"/>
      <c r="P45" s="119" t="s">
        <v>2877</v>
      </c>
      <c r="R45" t="s">
        <v>2927</v>
      </c>
      <c r="S45" s="118"/>
      <c r="T45" t="s">
        <v>2977</v>
      </c>
      <c r="U45" s="118"/>
      <c r="V45" t="s">
        <v>3027</v>
      </c>
      <c r="W45" s="118"/>
      <c r="X45" t="s">
        <v>3077</v>
      </c>
      <c r="Y45" s="118"/>
      <c r="Z45" t="s">
        <v>3127</v>
      </c>
      <c r="AA45" s="118"/>
      <c r="AB45" t="s">
        <v>3177</v>
      </c>
      <c r="AC45" s="118"/>
      <c r="AD45" t="s">
        <v>3227</v>
      </c>
      <c r="AE45" s="118"/>
      <c r="AF45" s="119" t="s">
        <v>3277</v>
      </c>
    </row>
    <row r="46" spans="1:32" x14ac:dyDescent="0.3">
      <c r="A46" s="118"/>
      <c r="B46" t="s">
        <v>2528</v>
      </c>
      <c r="C46" s="118"/>
      <c r="D46" t="s">
        <v>2578</v>
      </c>
      <c r="E46" s="118"/>
      <c r="F46" t="s">
        <v>2628</v>
      </c>
      <c r="G46" s="118"/>
      <c r="H46" t="s">
        <v>2678</v>
      </c>
      <c r="I46" s="118"/>
      <c r="J46" t="s">
        <v>2728</v>
      </c>
      <c r="K46" s="118"/>
      <c r="L46" t="s">
        <v>2778</v>
      </c>
      <c r="M46" s="118"/>
      <c r="N46" t="s">
        <v>2828</v>
      </c>
      <c r="O46" s="118"/>
      <c r="P46" s="119" t="s">
        <v>2878</v>
      </c>
      <c r="R46" t="s">
        <v>2928</v>
      </c>
      <c r="S46" s="118"/>
      <c r="T46" t="s">
        <v>2978</v>
      </c>
      <c r="U46" s="118"/>
      <c r="V46" t="s">
        <v>3028</v>
      </c>
      <c r="W46" s="118"/>
      <c r="X46" t="s">
        <v>3078</v>
      </c>
      <c r="Y46" s="118"/>
      <c r="Z46" t="s">
        <v>3128</v>
      </c>
      <c r="AA46" s="118"/>
      <c r="AB46" t="s">
        <v>3178</v>
      </c>
      <c r="AC46" s="118"/>
      <c r="AD46" t="s">
        <v>3228</v>
      </c>
      <c r="AE46" s="118"/>
      <c r="AF46" s="119" t="s">
        <v>3278</v>
      </c>
    </row>
    <row r="47" spans="1:32" x14ac:dyDescent="0.3">
      <c r="A47" s="118"/>
      <c r="B47" t="s">
        <v>2532</v>
      </c>
      <c r="C47" s="118"/>
      <c r="D47" t="s">
        <v>2582</v>
      </c>
      <c r="E47" s="118"/>
      <c r="F47" t="s">
        <v>2632</v>
      </c>
      <c r="G47" s="118"/>
      <c r="H47" t="s">
        <v>2682</v>
      </c>
      <c r="I47" s="118"/>
      <c r="J47" t="s">
        <v>2732</v>
      </c>
      <c r="K47" s="118"/>
      <c r="L47" t="s">
        <v>2782</v>
      </c>
      <c r="M47" s="118"/>
      <c r="N47" t="s">
        <v>2832</v>
      </c>
      <c r="O47" s="118"/>
      <c r="P47" s="119" t="s">
        <v>2882</v>
      </c>
      <c r="R47" t="s">
        <v>2932</v>
      </c>
      <c r="S47" s="118"/>
      <c r="T47" t="s">
        <v>2982</v>
      </c>
      <c r="U47" s="118"/>
      <c r="V47" t="s">
        <v>3032</v>
      </c>
      <c r="W47" s="118"/>
      <c r="X47" t="s">
        <v>3082</v>
      </c>
      <c r="Y47" s="118"/>
      <c r="Z47" t="s">
        <v>3132</v>
      </c>
      <c r="AA47" s="118"/>
      <c r="AB47" t="s">
        <v>3182</v>
      </c>
      <c r="AC47" s="118"/>
      <c r="AD47" t="s">
        <v>3232</v>
      </c>
      <c r="AE47" s="118"/>
      <c r="AF47" s="119" t="s">
        <v>3282</v>
      </c>
    </row>
    <row r="48" spans="1:32" x14ac:dyDescent="0.3">
      <c r="A48" s="118"/>
      <c r="B48" t="s">
        <v>2533</v>
      </c>
      <c r="C48" s="118"/>
      <c r="D48" t="s">
        <v>2583</v>
      </c>
      <c r="E48" s="118"/>
      <c r="F48" t="s">
        <v>2633</v>
      </c>
      <c r="G48" s="118"/>
      <c r="H48" t="s">
        <v>2683</v>
      </c>
      <c r="I48" s="118"/>
      <c r="J48" t="s">
        <v>2733</v>
      </c>
      <c r="K48" s="118"/>
      <c r="L48" t="s">
        <v>2783</v>
      </c>
      <c r="M48" s="118"/>
      <c r="N48" t="s">
        <v>2833</v>
      </c>
      <c r="O48" s="118"/>
      <c r="P48" s="119" t="s">
        <v>2883</v>
      </c>
      <c r="R48" t="s">
        <v>2933</v>
      </c>
      <c r="S48" s="118"/>
      <c r="T48" t="s">
        <v>2983</v>
      </c>
      <c r="U48" s="118"/>
      <c r="V48" t="s">
        <v>3033</v>
      </c>
      <c r="W48" s="118"/>
      <c r="X48" t="s">
        <v>3083</v>
      </c>
      <c r="Y48" s="118"/>
      <c r="Z48" t="s">
        <v>3133</v>
      </c>
      <c r="AA48" s="118"/>
      <c r="AB48" t="s">
        <v>3183</v>
      </c>
      <c r="AC48" s="118"/>
      <c r="AD48" t="s">
        <v>3233</v>
      </c>
      <c r="AE48" s="118"/>
      <c r="AF48" s="119" t="s">
        <v>3283</v>
      </c>
    </row>
    <row r="49" spans="1:32" x14ac:dyDescent="0.3">
      <c r="A49" s="118"/>
      <c r="B49" t="s">
        <v>2537</v>
      </c>
      <c r="C49" s="118"/>
      <c r="D49" t="s">
        <v>2587</v>
      </c>
      <c r="E49" s="118"/>
      <c r="F49" t="s">
        <v>2637</v>
      </c>
      <c r="G49" s="118"/>
      <c r="H49" t="s">
        <v>2687</v>
      </c>
      <c r="I49" s="118"/>
      <c r="J49" t="s">
        <v>2737</v>
      </c>
      <c r="K49" s="118"/>
      <c r="L49" t="s">
        <v>2787</v>
      </c>
      <c r="M49" s="118"/>
      <c r="N49" t="s">
        <v>2837</v>
      </c>
      <c r="O49" s="118"/>
      <c r="P49" s="119" t="s">
        <v>2887</v>
      </c>
      <c r="R49" t="s">
        <v>2937</v>
      </c>
      <c r="S49" s="118"/>
      <c r="T49" t="s">
        <v>2987</v>
      </c>
      <c r="U49" s="118"/>
      <c r="V49" t="s">
        <v>3037</v>
      </c>
      <c r="W49" s="118"/>
      <c r="X49" t="s">
        <v>3087</v>
      </c>
      <c r="Y49" s="118"/>
      <c r="Z49" t="s">
        <v>3137</v>
      </c>
      <c r="AA49" s="118"/>
      <c r="AB49" t="s">
        <v>3187</v>
      </c>
      <c r="AC49" s="118"/>
      <c r="AD49" t="s">
        <v>3237</v>
      </c>
      <c r="AE49" s="118"/>
      <c r="AF49" s="119" t="s">
        <v>3287</v>
      </c>
    </row>
    <row r="50" spans="1:32" x14ac:dyDescent="0.3">
      <c r="A50" s="118"/>
      <c r="B50" t="s">
        <v>2538</v>
      </c>
      <c r="C50" s="118"/>
      <c r="D50" t="s">
        <v>2588</v>
      </c>
      <c r="E50" s="118"/>
      <c r="F50" t="s">
        <v>2638</v>
      </c>
      <c r="G50" s="118"/>
      <c r="H50" t="s">
        <v>2688</v>
      </c>
      <c r="I50" s="118"/>
      <c r="J50" t="s">
        <v>2738</v>
      </c>
      <c r="K50" s="118"/>
      <c r="L50" t="s">
        <v>2788</v>
      </c>
      <c r="M50" s="118"/>
      <c r="N50" t="s">
        <v>2838</v>
      </c>
      <c r="O50" s="118"/>
      <c r="P50" s="119" t="s">
        <v>2888</v>
      </c>
      <c r="R50" t="s">
        <v>2938</v>
      </c>
      <c r="S50" s="118"/>
      <c r="T50" t="s">
        <v>2988</v>
      </c>
      <c r="U50" s="118"/>
      <c r="V50" t="s">
        <v>3038</v>
      </c>
      <c r="W50" s="118"/>
      <c r="X50" t="s">
        <v>3088</v>
      </c>
      <c r="Y50" s="118"/>
      <c r="Z50" t="s">
        <v>3138</v>
      </c>
      <c r="AA50" s="118"/>
      <c r="AB50" t="s">
        <v>3188</v>
      </c>
      <c r="AC50" s="118"/>
      <c r="AD50" t="s">
        <v>3238</v>
      </c>
      <c r="AE50" s="118"/>
      <c r="AF50" s="119" t="s">
        <v>3288</v>
      </c>
    </row>
    <row r="51" spans="1:32" x14ac:dyDescent="0.3">
      <c r="A51" s="118"/>
      <c r="B51" t="s">
        <v>2542</v>
      </c>
      <c r="C51" s="118"/>
      <c r="D51" t="s">
        <v>2592</v>
      </c>
      <c r="E51" s="118"/>
      <c r="F51" t="s">
        <v>2642</v>
      </c>
      <c r="G51" s="118"/>
      <c r="H51" t="s">
        <v>2692</v>
      </c>
      <c r="I51" s="118"/>
      <c r="J51" t="s">
        <v>2742</v>
      </c>
      <c r="K51" s="118"/>
      <c r="L51" t="s">
        <v>2792</v>
      </c>
      <c r="M51" s="118"/>
      <c r="N51" t="s">
        <v>2842</v>
      </c>
      <c r="O51" s="118"/>
      <c r="P51" s="119" t="s">
        <v>2892</v>
      </c>
      <c r="R51" t="s">
        <v>2942</v>
      </c>
      <c r="S51" s="118"/>
      <c r="T51" t="s">
        <v>2992</v>
      </c>
      <c r="U51" s="118"/>
      <c r="V51" t="s">
        <v>3042</v>
      </c>
      <c r="W51" s="118"/>
      <c r="X51" t="s">
        <v>3092</v>
      </c>
      <c r="Y51" s="118"/>
      <c r="Z51" t="s">
        <v>3142</v>
      </c>
      <c r="AA51" s="118"/>
      <c r="AB51" t="s">
        <v>3192</v>
      </c>
      <c r="AC51" s="118"/>
      <c r="AD51" t="s">
        <v>3242</v>
      </c>
      <c r="AE51" s="118"/>
      <c r="AF51" s="119" t="s">
        <v>3292</v>
      </c>
    </row>
    <row r="52" spans="1:32" x14ac:dyDescent="0.3">
      <c r="A52" s="118"/>
      <c r="B52" t="s">
        <v>2543</v>
      </c>
      <c r="C52" s="118"/>
      <c r="D52" t="s">
        <v>2593</v>
      </c>
      <c r="E52" s="118"/>
      <c r="F52" t="s">
        <v>2643</v>
      </c>
      <c r="G52" s="118"/>
      <c r="H52" t="s">
        <v>2693</v>
      </c>
      <c r="I52" s="118"/>
      <c r="J52" t="s">
        <v>2743</v>
      </c>
      <c r="K52" s="118"/>
      <c r="L52" t="s">
        <v>2793</v>
      </c>
      <c r="M52" s="118"/>
      <c r="N52" t="s">
        <v>2843</v>
      </c>
      <c r="O52" s="118"/>
      <c r="P52" s="119" t="s">
        <v>2893</v>
      </c>
      <c r="R52" t="s">
        <v>2943</v>
      </c>
      <c r="S52" s="118"/>
      <c r="T52" t="s">
        <v>2993</v>
      </c>
      <c r="U52" s="118"/>
      <c r="V52" t="s">
        <v>3043</v>
      </c>
      <c r="W52" s="118"/>
      <c r="X52" t="s">
        <v>3093</v>
      </c>
      <c r="Y52" s="118"/>
      <c r="Z52" t="s">
        <v>3143</v>
      </c>
      <c r="AA52" s="118"/>
      <c r="AB52" t="s">
        <v>3193</v>
      </c>
      <c r="AC52" s="118"/>
      <c r="AD52" t="s">
        <v>3243</v>
      </c>
      <c r="AE52" s="118"/>
      <c r="AF52" s="119" t="s">
        <v>3293</v>
      </c>
    </row>
    <row r="53" spans="1:32" x14ac:dyDescent="0.3">
      <c r="A53" s="118"/>
      <c r="B53" t="s">
        <v>2547</v>
      </c>
      <c r="C53" s="118"/>
      <c r="D53" t="s">
        <v>2597</v>
      </c>
      <c r="E53" s="118"/>
      <c r="F53" t="s">
        <v>2647</v>
      </c>
      <c r="G53" s="118"/>
      <c r="H53" t="s">
        <v>2697</v>
      </c>
      <c r="I53" s="118"/>
      <c r="J53" t="s">
        <v>2747</v>
      </c>
      <c r="K53" s="118"/>
      <c r="L53" t="s">
        <v>2797</v>
      </c>
      <c r="M53" s="118"/>
      <c r="N53" t="s">
        <v>2847</v>
      </c>
      <c r="O53" s="118"/>
      <c r="P53" s="119" t="s">
        <v>2897</v>
      </c>
      <c r="R53" t="s">
        <v>2947</v>
      </c>
      <c r="S53" s="118"/>
      <c r="T53" t="s">
        <v>2997</v>
      </c>
      <c r="U53" s="118"/>
      <c r="V53" t="s">
        <v>3047</v>
      </c>
      <c r="W53" s="118"/>
      <c r="X53" t="s">
        <v>3097</v>
      </c>
      <c r="Y53" s="118"/>
      <c r="Z53" t="s">
        <v>3147</v>
      </c>
      <c r="AA53" s="118"/>
      <c r="AB53" t="s">
        <v>3197</v>
      </c>
      <c r="AC53" s="118"/>
      <c r="AD53" t="s">
        <v>3247</v>
      </c>
      <c r="AE53" s="118"/>
      <c r="AF53" s="119" t="s">
        <v>3297</v>
      </c>
    </row>
    <row r="54" spans="1:32" x14ac:dyDescent="0.3">
      <c r="A54" s="118"/>
      <c r="B54" t="s">
        <v>2548</v>
      </c>
      <c r="C54" s="118"/>
      <c r="D54" t="s">
        <v>2598</v>
      </c>
      <c r="E54" s="118"/>
      <c r="F54" t="s">
        <v>2648</v>
      </c>
      <c r="G54" s="118"/>
      <c r="H54" t="s">
        <v>2698</v>
      </c>
      <c r="I54" s="118"/>
      <c r="J54" t="s">
        <v>2748</v>
      </c>
      <c r="K54" s="118"/>
      <c r="L54" t="s">
        <v>2798</v>
      </c>
      <c r="M54" s="118"/>
      <c r="N54" t="s">
        <v>2848</v>
      </c>
      <c r="O54" s="118"/>
      <c r="P54" s="119" t="s">
        <v>2898</v>
      </c>
      <c r="R54" t="s">
        <v>2948</v>
      </c>
      <c r="S54" s="118"/>
      <c r="T54" t="s">
        <v>2998</v>
      </c>
      <c r="U54" s="118"/>
      <c r="V54" t="s">
        <v>3048</v>
      </c>
      <c r="W54" s="118"/>
      <c r="X54" t="s">
        <v>3098</v>
      </c>
      <c r="Y54" s="118"/>
      <c r="Z54" t="s">
        <v>3148</v>
      </c>
      <c r="AA54" s="118"/>
      <c r="AB54" t="s">
        <v>3198</v>
      </c>
      <c r="AC54" s="118"/>
      <c r="AD54" t="s">
        <v>3248</v>
      </c>
      <c r="AE54" s="118"/>
      <c r="AF54" s="119" t="s">
        <v>3298</v>
      </c>
    </row>
    <row r="55" spans="1:32" x14ac:dyDescent="0.3">
      <c r="A55" s="118"/>
      <c r="B55" t="s">
        <v>2552</v>
      </c>
      <c r="C55" s="118"/>
      <c r="D55" t="s">
        <v>2602</v>
      </c>
      <c r="E55" s="118"/>
      <c r="F55" t="s">
        <v>2652</v>
      </c>
      <c r="G55" s="118"/>
      <c r="H55" t="s">
        <v>2702</v>
      </c>
      <c r="I55" s="118"/>
      <c r="J55" t="s">
        <v>2752</v>
      </c>
      <c r="K55" s="118"/>
      <c r="L55" t="s">
        <v>2802</v>
      </c>
      <c r="M55" s="118"/>
      <c r="N55" t="s">
        <v>2852</v>
      </c>
      <c r="O55" s="118"/>
      <c r="P55" s="119" t="s">
        <v>2902</v>
      </c>
      <c r="R55" t="s">
        <v>2952</v>
      </c>
      <c r="S55" s="118"/>
      <c r="T55" t="s">
        <v>3002</v>
      </c>
      <c r="U55" s="118"/>
      <c r="V55" t="s">
        <v>3052</v>
      </c>
      <c r="W55" s="118"/>
      <c r="X55" t="s">
        <v>3102</v>
      </c>
      <c r="Y55" s="118"/>
      <c r="Z55" t="s">
        <v>3152</v>
      </c>
      <c r="AA55" s="118"/>
      <c r="AB55" t="s">
        <v>3202</v>
      </c>
      <c r="AC55" s="118"/>
      <c r="AD55" t="s">
        <v>3252</v>
      </c>
      <c r="AE55" s="118"/>
      <c r="AF55" s="119" t="s">
        <v>3302</v>
      </c>
    </row>
    <row r="56" spans="1:32" x14ac:dyDescent="0.3">
      <c r="A56" s="118"/>
      <c r="B56" t="s">
        <v>2553</v>
      </c>
      <c r="C56" s="118"/>
      <c r="D56" t="s">
        <v>2603</v>
      </c>
      <c r="E56" s="118"/>
      <c r="F56" t="s">
        <v>2653</v>
      </c>
      <c r="G56" s="118"/>
      <c r="H56" t="s">
        <v>2703</v>
      </c>
      <c r="I56" s="118"/>
      <c r="J56" t="s">
        <v>2753</v>
      </c>
      <c r="K56" s="118"/>
      <c r="L56" t="s">
        <v>2803</v>
      </c>
      <c r="M56" s="118"/>
      <c r="N56" t="s">
        <v>2853</v>
      </c>
      <c r="O56" s="118"/>
      <c r="P56" s="119" t="s">
        <v>2903</v>
      </c>
      <c r="R56" t="s">
        <v>2953</v>
      </c>
      <c r="S56" s="118"/>
      <c r="T56" t="s">
        <v>3003</v>
      </c>
      <c r="U56" s="118"/>
      <c r="V56" t="s">
        <v>3053</v>
      </c>
      <c r="W56" s="118"/>
      <c r="X56" t="s">
        <v>3103</v>
      </c>
      <c r="Y56" s="118"/>
      <c r="Z56" t="s">
        <v>3153</v>
      </c>
      <c r="AA56" s="118"/>
      <c r="AB56" t="s">
        <v>3203</v>
      </c>
      <c r="AC56" s="118"/>
      <c r="AD56" t="s">
        <v>3253</v>
      </c>
      <c r="AE56" s="118"/>
      <c r="AF56" s="119" t="s">
        <v>3303</v>
      </c>
    </row>
    <row r="57" spans="1:32" x14ac:dyDescent="0.3">
      <c r="A57" s="118"/>
      <c r="B57" t="s">
        <v>2557</v>
      </c>
      <c r="C57" s="118"/>
      <c r="D57" t="s">
        <v>2607</v>
      </c>
      <c r="E57" s="118"/>
      <c r="F57" t="s">
        <v>2657</v>
      </c>
      <c r="G57" s="118"/>
      <c r="H57" t="s">
        <v>2707</v>
      </c>
      <c r="I57" s="118"/>
      <c r="J57" t="s">
        <v>2757</v>
      </c>
      <c r="K57" s="118"/>
      <c r="L57" t="s">
        <v>2807</v>
      </c>
      <c r="M57" s="118"/>
      <c r="N57" t="s">
        <v>2857</v>
      </c>
      <c r="O57" s="118"/>
      <c r="P57" s="119" t="s">
        <v>2907</v>
      </c>
      <c r="R57" t="s">
        <v>2957</v>
      </c>
      <c r="S57" s="118"/>
      <c r="T57" t="s">
        <v>3007</v>
      </c>
      <c r="U57" s="118"/>
      <c r="V57" t="s">
        <v>3057</v>
      </c>
      <c r="W57" s="118"/>
      <c r="X57" t="s">
        <v>3107</v>
      </c>
      <c r="Y57" s="118"/>
      <c r="Z57" t="s">
        <v>3157</v>
      </c>
      <c r="AA57" s="118"/>
      <c r="AB57" t="s">
        <v>3207</v>
      </c>
      <c r="AC57" s="118"/>
      <c r="AD57" t="s">
        <v>3257</v>
      </c>
      <c r="AE57" s="118"/>
      <c r="AF57" s="119" t="s">
        <v>3307</v>
      </c>
    </row>
    <row r="58" spans="1:32" x14ac:dyDescent="0.3">
      <c r="A58" s="118"/>
      <c r="B58" t="s">
        <v>2558</v>
      </c>
      <c r="C58" s="118"/>
      <c r="D58" t="s">
        <v>2608</v>
      </c>
      <c r="E58" s="118"/>
      <c r="F58" t="s">
        <v>2658</v>
      </c>
      <c r="G58" s="118"/>
      <c r="H58" t="s">
        <v>2708</v>
      </c>
      <c r="I58" s="118"/>
      <c r="J58" t="s">
        <v>2758</v>
      </c>
      <c r="K58" s="118"/>
      <c r="L58" t="s">
        <v>2808</v>
      </c>
      <c r="M58" s="118"/>
      <c r="N58" t="s">
        <v>2858</v>
      </c>
      <c r="O58" s="118"/>
      <c r="P58" s="119" t="s">
        <v>2908</v>
      </c>
      <c r="R58" t="s">
        <v>2958</v>
      </c>
      <c r="S58" s="118"/>
      <c r="T58" t="s">
        <v>3008</v>
      </c>
      <c r="U58" s="118"/>
      <c r="V58" t="s">
        <v>3058</v>
      </c>
      <c r="W58" s="118"/>
      <c r="X58" t="s">
        <v>3108</v>
      </c>
      <c r="Y58" s="118"/>
      <c r="Z58" t="s">
        <v>3158</v>
      </c>
      <c r="AA58" s="118"/>
      <c r="AB58" t="s">
        <v>3208</v>
      </c>
      <c r="AC58" s="118"/>
      <c r="AD58" t="s">
        <v>3258</v>
      </c>
      <c r="AE58" s="118"/>
      <c r="AF58" s="119" t="s">
        <v>3308</v>
      </c>
    </row>
    <row r="59" spans="1:32" x14ac:dyDescent="0.3">
      <c r="A59" s="118"/>
      <c r="B59" t="s">
        <v>2562</v>
      </c>
      <c r="C59" s="118"/>
      <c r="D59" t="s">
        <v>2612</v>
      </c>
      <c r="E59" s="118"/>
      <c r="F59" t="s">
        <v>2662</v>
      </c>
      <c r="G59" s="118"/>
      <c r="H59" t="s">
        <v>2712</v>
      </c>
      <c r="I59" s="118"/>
      <c r="J59" t="s">
        <v>2762</v>
      </c>
      <c r="K59" s="118"/>
      <c r="L59" t="s">
        <v>2812</v>
      </c>
      <c r="M59" s="118"/>
      <c r="N59" t="s">
        <v>2862</v>
      </c>
      <c r="O59" s="118"/>
      <c r="P59" s="119" t="s">
        <v>2912</v>
      </c>
      <c r="R59" t="s">
        <v>2962</v>
      </c>
      <c r="S59" s="118"/>
      <c r="T59" t="s">
        <v>3012</v>
      </c>
      <c r="U59" s="118"/>
      <c r="V59" t="s">
        <v>3062</v>
      </c>
      <c r="W59" s="118"/>
      <c r="X59" t="s">
        <v>3112</v>
      </c>
      <c r="Y59" s="118"/>
      <c r="Z59" t="s">
        <v>3162</v>
      </c>
      <c r="AA59" s="118"/>
      <c r="AB59" t="s">
        <v>3212</v>
      </c>
      <c r="AC59" s="118"/>
      <c r="AD59" t="s">
        <v>3262</v>
      </c>
      <c r="AE59" s="118"/>
      <c r="AF59" s="119" t="s">
        <v>3312</v>
      </c>
    </row>
    <row r="60" spans="1:32" ht="13.5" customHeight="1" x14ac:dyDescent="0.3">
      <c r="A60" s="118"/>
      <c r="B60" t="s">
        <v>2563</v>
      </c>
      <c r="C60" s="118"/>
      <c r="D60" t="s">
        <v>2613</v>
      </c>
      <c r="E60" s="118"/>
      <c r="F60" t="s">
        <v>2663</v>
      </c>
      <c r="G60" s="118"/>
      <c r="H60" t="s">
        <v>2713</v>
      </c>
      <c r="I60" s="118"/>
      <c r="J60" t="s">
        <v>2763</v>
      </c>
      <c r="K60" s="118"/>
      <c r="L60" t="s">
        <v>2813</v>
      </c>
      <c r="M60" s="118"/>
      <c r="N60" t="s">
        <v>2863</v>
      </c>
      <c r="O60" s="118"/>
      <c r="P60" s="119" t="s">
        <v>2913</v>
      </c>
      <c r="R60" t="s">
        <v>2963</v>
      </c>
      <c r="S60" s="118"/>
      <c r="T60" t="s">
        <v>3013</v>
      </c>
      <c r="U60" s="118"/>
      <c r="V60" t="s">
        <v>3063</v>
      </c>
      <c r="W60" s="118"/>
      <c r="X60" t="s">
        <v>3113</v>
      </c>
      <c r="Y60" s="118"/>
      <c r="Z60" t="s">
        <v>3163</v>
      </c>
      <c r="AA60" s="118"/>
      <c r="AB60" t="s">
        <v>3213</v>
      </c>
      <c r="AC60" s="118"/>
      <c r="AD60" t="s">
        <v>3263</v>
      </c>
      <c r="AE60" s="118"/>
      <c r="AF60" s="119" t="s">
        <v>3313</v>
      </c>
    </row>
    <row r="61" spans="1:32" x14ac:dyDescent="0.3">
      <c r="A61" s="118"/>
      <c r="B61" t="s">
        <v>3317</v>
      </c>
      <c r="C61" s="118"/>
      <c r="D61" t="s">
        <v>3367</v>
      </c>
      <c r="E61" s="118"/>
      <c r="F61" t="s">
        <v>3417</v>
      </c>
      <c r="G61" s="118"/>
      <c r="H61" t="s">
        <v>3467</v>
      </c>
      <c r="I61" s="118"/>
      <c r="K61" s="118"/>
      <c r="M61" s="118"/>
      <c r="O61" s="118"/>
      <c r="P61" s="119"/>
      <c r="S61" s="118"/>
      <c r="U61" s="118"/>
      <c r="W61" s="118"/>
      <c r="Y61" s="118"/>
      <c r="AA61" s="118"/>
      <c r="AC61" s="118"/>
      <c r="AE61" s="118"/>
      <c r="AF61" s="119"/>
    </row>
    <row r="62" spans="1:32" x14ac:dyDescent="0.3">
      <c r="A62" s="118"/>
      <c r="B62" t="s">
        <v>3318</v>
      </c>
      <c r="C62" s="118"/>
      <c r="D62" t="s">
        <v>3368</v>
      </c>
      <c r="E62" s="118"/>
      <c r="F62" t="s">
        <v>3418</v>
      </c>
      <c r="G62" s="118"/>
      <c r="H62" t="s">
        <v>3468</v>
      </c>
      <c r="I62" s="118"/>
      <c r="K62" s="118"/>
      <c r="M62" s="118"/>
      <c r="O62" s="118"/>
      <c r="P62" s="119"/>
      <c r="S62" s="118"/>
      <c r="U62" s="118"/>
      <c r="W62" s="118"/>
      <c r="Y62" s="118"/>
      <c r="AA62" s="118"/>
      <c r="AC62" s="118"/>
      <c r="AE62" s="118"/>
      <c r="AF62" s="119"/>
    </row>
    <row r="63" spans="1:32" x14ac:dyDescent="0.3">
      <c r="A63" s="118"/>
      <c r="B63" t="s">
        <v>3322</v>
      </c>
      <c r="C63" s="118"/>
      <c r="D63" t="s">
        <v>3372</v>
      </c>
      <c r="E63" s="118"/>
      <c r="F63" t="s">
        <v>3422</v>
      </c>
      <c r="G63" s="118"/>
      <c r="H63" t="s">
        <v>3472</v>
      </c>
      <c r="I63" s="118"/>
      <c r="K63" s="118"/>
      <c r="M63" s="118"/>
      <c r="O63" s="118"/>
      <c r="P63" s="119"/>
      <c r="S63" s="118"/>
      <c r="U63" s="118"/>
      <c r="W63" s="118"/>
      <c r="Y63" s="118"/>
      <c r="AA63" s="118"/>
      <c r="AC63" s="118"/>
      <c r="AE63" s="118"/>
      <c r="AF63" s="119"/>
    </row>
    <row r="64" spans="1:32" x14ac:dyDescent="0.3">
      <c r="A64" s="118"/>
      <c r="B64" t="s">
        <v>3323</v>
      </c>
      <c r="C64" s="118"/>
      <c r="D64" t="s">
        <v>3373</v>
      </c>
      <c r="E64" s="118"/>
      <c r="F64" t="s">
        <v>3423</v>
      </c>
      <c r="G64" s="118"/>
      <c r="H64" t="s">
        <v>3473</v>
      </c>
      <c r="I64" s="118"/>
      <c r="K64" s="118"/>
      <c r="M64" s="118"/>
      <c r="O64" s="118"/>
      <c r="P64" s="119"/>
      <c r="S64" s="118"/>
      <c r="U64" s="118"/>
      <c r="W64" s="118"/>
      <c r="Y64" s="118"/>
      <c r="AA64" s="118"/>
      <c r="AC64" s="118"/>
      <c r="AE64" s="118"/>
      <c r="AF64" s="119"/>
    </row>
    <row r="65" spans="1:32" x14ac:dyDescent="0.3">
      <c r="A65" s="118"/>
      <c r="B65" t="s">
        <v>3327</v>
      </c>
      <c r="C65" s="118"/>
      <c r="D65" t="s">
        <v>3377</v>
      </c>
      <c r="E65" s="118"/>
      <c r="F65" t="s">
        <v>3427</v>
      </c>
      <c r="G65" s="118"/>
      <c r="H65" t="s">
        <v>3477</v>
      </c>
      <c r="I65" s="118"/>
      <c r="K65" s="118"/>
      <c r="M65" s="118"/>
      <c r="O65" s="118"/>
      <c r="P65" s="119"/>
      <c r="S65" s="118"/>
      <c r="U65" s="118"/>
      <c r="W65" s="118"/>
      <c r="Y65" s="118"/>
      <c r="AA65" s="118"/>
      <c r="AC65" s="118"/>
      <c r="AE65" s="118"/>
      <c r="AF65" s="119"/>
    </row>
    <row r="66" spans="1:32" x14ac:dyDescent="0.3">
      <c r="A66" s="118"/>
      <c r="B66" t="s">
        <v>3328</v>
      </c>
      <c r="C66" s="118"/>
      <c r="D66" t="s">
        <v>3378</v>
      </c>
      <c r="E66" s="118"/>
      <c r="F66" t="s">
        <v>3428</v>
      </c>
      <c r="G66" s="118"/>
      <c r="H66" t="s">
        <v>3478</v>
      </c>
      <c r="I66" s="118"/>
      <c r="K66" s="118"/>
      <c r="M66" s="118"/>
      <c r="O66" s="118"/>
      <c r="P66" s="119"/>
      <c r="S66" s="118"/>
      <c r="U66" s="118"/>
      <c r="W66" s="118"/>
      <c r="Y66" s="118"/>
      <c r="AA66" s="118"/>
      <c r="AC66" s="118"/>
      <c r="AE66" s="118"/>
      <c r="AF66" s="119"/>
    </row>
    <row r="67" spans="1:32" x14ac:dyDescent="0.3">
      <c r="A67" s="118"/>
      <c r="B67" t="s">
        <v>3332</v>
      </c>
      <c r="C67" s="118"/>
      <c r="D67" t="s">
        <v>3382</v>
      </c>
      <c r="E67" s="118"/>
      <c r="F67" t="s">
        <v>3432</v>
      </c>
      <c r="G67" s="118"/>
      <c r="H67" t="s">
        <v>3482</v>
      </c>
      <c r="I67" s="118"/>
      <c r="K67" s="118"/>
      <c r="M67" s="118"/>
      <c r="O67" s="118"/>
      <c r="P67" s="119"/>
      <c r="S67" s="118"/>
      <c r="U67" s="118"/>
      <c r="W67" s="118"/>
      <c r="Y67" s="118"/>
      <c r="AA67" s="118"/>
      <c r="AC67" s="118"/>
      <c r="AE67" s="118"/>
      <c r="AF67" s="119"/>
    </row>
    <row r="68" spans="1:32" x14ac:dyDescent="0.3">
      <c r="A68" s="118"/>
      <c r="B68" t="s">
        <v>3333</v>
      </c>
      <c r="C68" s="118"/>
      <c r="D68" t="s">
        <v>3383</v>
      </c>
      <c r="E68" s="118"/>
      <c r="F68" t="s">
        <v>3433</v>
      </c>
      <c r="G68" s="118"/>
      <c r="H68" t="s">
        <v>3483</v>
      </c>
      <c r="I68" s="118"/>
      <c r="K68" s="118"/>
      <c r="M68" s="118"/>
      <c r="O68" s="118"/>
      <c r="P68" s="119"/>
      <c r="S68" s="118"/>
      <c r="U68" s="118"/>
      <c r="W68" s="118"/>
      <c r="Y68" s="118"/>
      <c r="AA68" s="118"/>
      <c r="AC68" s="118"/>
      <c r="AE68" s="118"/>
      <c r="AF68" s="119"/>
    </row>
    <row r="69" spans="1:32" x14ac:dyDescent="0.3">
      <c r="A69" s="118"/>
      <c r="B69" t="s">
        <v>3337</v>
      </c>
      <c r="C69" s="118"/>
      <c r="D69" t="s">
        <v>3387</v>
      </c>
      <c r="E69" s="118"/>
      <c r="F69" t="s">
        <v>3437</v>
      </c>
      <c r="G69" s="118"/>
      <c r="H69" t="s">
        <v>3487</v>
      </c>
      <c r="I69" s="118"/>
      <c r="K69" s="118"/>
      <c r="M69" s="118"/>
      <c r="O69" s="118"/>
      <c r="P69" s="119"/>
      <c r="S69" s="118"/>
      <c r="U69" s="118"/>
      <c r="W69" s="118"/>
      <c r="Y69" s="118"/>
      <c r="AA69" s="118"/>
      <c r="AC69" s="118"/>
      <c r="AE69" s="118"/>
      <c r="AF69" s="119"/>
    </row>
    <row r="70" spans="1:32" x14ac:dyDescent="0.3">
      <c r="A70" s="118"/>
      <c r="B70" t="s">
        <v>3338</v>
      </c>
      <c r="C70" s="118"/>
      <c r="D70" t="s">
        <v>3388</v>
      </c>
      <c r="E70" s="118"/>
      <c r="F70" t="s">
        <v>3438</v>
      </c>
      <c r="G70" s="118"/>
      <c r="H70" t="s">
        <v>3488</v>
      </c>
      <c r="I70" s="118"/>
      <c r="K70" s="118"/>
      <c r="M70" s="118"/>
      <c r="O70" s="118"/>
      <c r="P70" s="119"/>
      <c r="S70" s="118"/>
      <c r="U70" s="118"/>
      <c r="W70" s="118"/>
      <c r="Y70" s="118"/>
      <c r="AA70" s="118"/>
      <c r="AC70" s="118"/>
      <c r="AE70" s="118"/>
      <c r="AF70" s="119"/>
    </row>
    <row r="71" spans="1:32" x14ac:dyDescent="0.3">
      <c r="A71" s="118"/>
      <c r="B71" t="s">
        <v>3342</v>
      </c>
      <c r="C71" s="118"/>
      <c r="D71" t="s">
        <v>3392</v>
      </c>
      <c r="E71" s="118"/>
      <c r="F71" t="s">
        <v>3442</v>
      </c>
      <c r="G71" s="118"/>
      <c r="H71" t="s">
        <v>3492</v>
      </c>
      <c r="I71" s="118"/>
      <c r="K71" s="118"/>
      <c r="M71" s="118"/>
      <c r="O71" s="118"/>
      <c r="P71" s="119"/>
      <c r="S71" s="118"/>
      <c r="U71" s="118"/>
      <c r="W71" s="118"/>
      <c r="Y71" s="118"/>
      <c r="AA71" s="118"/>
      <c r="AC71" s="118"/>
      <c r="AE71" s="118"/>
      <c r="AF71" s="119"/>
    </row>
    <row r="72" spans="1:32" x14ac:dyDescent="0.3">
      <c r="A72" s="118"/>
      <c r="B72" t="s">
        <v>3343</v>
      </c>
      <c r="C72" s="118"/>
      <c r="D72" t="s">
        <v>3393</v>
      </c>
      <c r="E72" s="118"/>
      <c r="F72" t="s">
        <v>3443</v>
      </c>
      <c r="G72" s="118"/>
      <c r="H72" t="s">
        <v>3493</v>
      </c>
      <c r="I72" s="118"/>
      <c r="K72" s="118"/>
      <c r="M72" s="118"/>
      <c r="O72" s="118"/>
      <c r="P72" s="119"/>
      <c r="S72" s="118"/>
      <c r="U72" s="118"/>
      <c r="W72" s="118"/>
      <c r="Y72" s="118"/>
      <c r="AA72" s="118"/>
      <c r="AC72" s="118"/>
      <c r="AE72" s="118"/>
      <c r="AF72" s="119"/>
    </row>
    <row r="73" spans="1:32" x14ac:dyDescent="0.3">
      <c r="A73" s="118"/>
      <c r="B73" t="s">
        <v>3347</v>
      </c>
      <c r="C73" s="118"/>
      <c r="D73" t="s">
        <v>3397</v>
      </c>
      <c r="E73" s="118"/>
      <c r="F73" t="s">
        <v>3447</v>
      </c>
      <c r="G73" s="118"/>
      <c r="H73" t="s">
        <v>3497</v>
      </c>
      <c r="I73" s="118"/>
      <c r="K73" s="118"/>
      <c r="M73" s="118"/>
      <c r="O73" s="118"/>
      <c r="P73" s="119"/>
      <c r="S73" s="118"/>
      <c r="U73" s="118"/>
      <c r="W73" s="118"/>
      <c r="Y73" s="118"/>
      <c r="AA73" s="118"/>
      <c r="AC73" s="118"/>
      <c r="AE73" s="118"/>
      <c r="AF73" s="119"/>
    </row>
    <row r="74" spans="1:32" x14ac:dyDescent="0.3">
      <c r="A74" s="118"/>
      <c r="B74" t="s">
        <v>3348</v>
      </c>
      <c r="C74" s="118"/>
      <c r="D74" t="s">
        <v>3398</v>
      </c>
      <c r="E74" s="118"/>
      <c r="F74" t="s">
        <v>3448</v>
      </c>
      <c r="G74" s="118"/>
      <c r="H74" t="s">
        <v>3498</v>
      </c>
      <c r="I74" s="118"/>
      <c r="K74" s="118"/>
      <c r="M74" s="118"/>
      <c r="O74" s="118"/>
      <c r="P74" s="119"/>
      <c r="S74" s="118"/>
      <c r="U74" s="118"/>
      <c r="W74" s="118"/>
      <c r="Y74" s="118"/>
      <c r="AA74" s="118"/>
      <c r="AC74" s="118"/>
      <c r="AE74" s="118"/>
      <c r="AF74" s="119"/>
    </row>
    <row r="75" spans="1:32" x14ac:dyDescent="0.3">
      <c r="A75" s="118"/>
      <c r="B75" t="s">
        <v>3352</v>
      </c>
      <c r="C75" s="118"/>
      <c r="D75" t="s">
        <v>3402</v>
      </c>
      <c r="E75" s="118"/>
      <c r="F75" t="s">
        <v>3452</v>
      </c>
      <c r="G75" s="118"/>
      <c r="H75" t="s">
        <v>3502</v>
      </c>
      <c r="I75" s="118"/>
      <c r="K75" s="118"/>
      <c r="M75" s="118"/>
      <c r="O75" s="118"/>
      <c r="P75" s="119"/>
      <c r="S75" s="118"/>
      <c r="U75" s="118"/>
      <c r="W75" s="118"/>
      <c r="Y75" s="118"/>
      <c r="AA75" s="118"/>
      <c r="AC75" s="118"/>
      <c r="AE75" s="118"/>
      <c r="AF75" s="119"/>
    </row>
    <row r="76" spans="1:32" x14ac:dyDescent="0.3">
      <c r="A76" s="118"/>
      <c r="B76" t="s">
        <v>3353</v>
      </c>
      <c r="C76" s="118"/>
      <c r="D76" t="s">
        <v>3403</v>
      </c>
      <c r="E76" s="118"/>
      <c r="F76" t="s">
        <v>3453</v>
      </c>
      <c r="G76" s="118"/>
      <c r="H76" t="s">
        <v>3503</v>
      </c>
      <c r="I76" s="118"/>
      <c r="K76" s="118"/>
      <c r="M76" s="118"/>
      <c r="O76" s="118"/>
      <c r="P76" s="119"/>
      <c r="S76" s="118"/>
      <c r="U76" s="118"/>
      <c r="W76" s="118"/>
      <c r="Y76" s="118"/>
      <c r="AA76" s="118"/>
      <c r="AC76" s="118"/>
      <c r="AE76" s="118"/>
      <c r="AF76" s="119"/>
    </row>
    <row r="77" spans="1:32" x14ac:dyDescent="0.3">
      <c r="A77" s="118"/>
      <c r="B77" t="s">
        <v>3357</v>
      </c>
      <c r="C77" s="118"/>
      <c r="D77" t="s">
        <v>3407</v>
      </c>
      <c r="E77" s="118"/>
      <c r="F77" t="s">
        <v>3457</v>
      </c>
      <c r="G77" s="118"/>
      <c r="H77" t="s">
        <v>3507</v>
      </c>
      <c r="I77" s="118"/>
      <c r="K77" s="118"/>
      <c r="M77" s="118"/>
      <c r="O77" s="118"/>
      <c r="P77" s="119"/>
      <c r="S77" s="118"/>
      <c r="U77" s="118"/>
      <c r="W77" s="118"/>
      <c r="Y77" s="118"/>
      <c r="AA77" s="118"/>
      <c r="AC77" s="118"/>
      <c r="AE77" s="118"/>
      <c r="AF77" s="119"/>
    </row>
    <row r="78" spans="1:32" x14ac:dyDescent="0.3">
      <c r="A78" s="118"/>
      <c r="B78" t="s">
        <v>3358</v>
      </c>
      <c r="C78" s="118"/>
      <c r="D78" t="s">
        <v>3408</v>
      </c>
      <c r="E78" s="118"/>
      <c r="F78" t="s">
        <v>3458</v>
      </c>
      <c r="G78" s="118"/>
      <c r="H78" t="s">
        <v>3508</v>
      </c>
      <c r="I78" s="118"/>
      <c r="K78" s="118"/>
      <c r="M78" s="118"/>
      <c r="O78" s="118"/>
      <c r="P78" s="119"/>
      <c r="S78" s="118"/>
      <c r="U78" s="118"/>
      <c r="W78" s="118"/>
      <c r="Y78" s="118"/>
      <c r="AA78" s="118"/>
      <c r="AC78" s="118"/>
      <c r="AE78" s="118"/>
      <c r="AF78" s="119"/>
    </row>
    <row r="79" spans="1:32" x14ac:dyDescent="0.3">
      <c r="A79" s="118"/>
      <c r="B79" t="s">
        <v>3362</v>
      </c>
      <c r="C79" s="118"/>
      <c r="D79" t="s">
        <v>3412</v>
      </c>
      <c r="E79" s="118"/>
      <c r="F79" t="s">
        <v>3462</v>
      </c>
      <c r="G79" s="118"/>
      <c r="H79" t="s">
        <v>3512</v>
      </c>
      <c r="I79" s="118"/>
      <c r="K79" s="118"/>
      <c r="M79" s="118"/>
      <c r="O79" s="118"/>
      <c r="P79" s="119"/>
      <c r="S79" s="118"/>
      <c r="U79" s="118"/>
      <c r="W79" s="118"/>
      <c r="Y79" s="118"/>
      <c r="AA79" s="118"/>
      <c r="AC79" s="118"/>
      <c r="AE79" s="118"/>
      <c r="AF79" s="119"/>
    </row>
    <row r="80" spans="1:32" x14ac:dyDescent="0.3">
      <c r="A80" s="118"/>
      <c r="B80" t="s">
        <v>3363</v>
      </c>
      <c r="C80" s="118"/>
      <c r="D80" t="s">
        <v>3413</v>
      </c>
      <c r="E80" s="118"/>
      <c r="F80" t="s">
        <v>3463</v>
      </c>
      <c r="G80" s="118"/>
      <c r="H80" t="s">
        <v>3513</v>
      </c>
      <c r="I80" s="118"/>
      <c r="K80" s="118"/>
      <c r="M80" s="118"/>
      <c r="O80" s="118"/>
      <c r="P80" s="119"/>
      <c r="S80" s="118"/>
      <c r="U80" s="118"/>
      <c r="W80" s="118"/>
      <c r="Y80" s="118"/>
      <c r="AA80" s="118"/>
      <c r="AC80" s="118"/>
      <c r="AE80" s="118"/>
      <c r="AF80" s="119"/>
    </row>
    <row r="81" spans="1:32" x14ac:dyDescent="0.3">
      <c r="A81" s="118"/>
      <c r="C81" s="118"/>
      <c r="E81" s="118"/>
      <c r="G81" s="118"/>
      <c r="I81" s="118"/>
      <c r="K81" s="118"/>
      <c r="M81" s="118"/>
      <c r="O81" s="118"/>
      <c r="P81" s="119"/>
      <c r="S81" s="118"/>
      <c r="U81" s="118"/>
      <c r="W81" s="118"/>
      <c r="Y81" s="118"/>
      <c r="AA81" s="118"/>
      <c r="AC81" s="118"/>
      <c r="AE81" s="118"/>
      <c r="AF81" s="119"/>
    </row>
    <row r="82" spans="1:32" x14ac:dyDescent="0.3">
      <c r="A82" s="118"/>
      <c r="C82" s="118"/>
      <c r="E82" s="118"/>
      <c r="G82" s="118"/>
      <c r="I82" s="118"/>
      <c r="K82" s="118"/>
      <c r="M82" s="118"/>
      <c r="O82" s="118"/>
      <c r="P82" s="119"/>
      <c r="S82" s="118"/>
      <c r="U82" s="118"/>
      <c r="W82" s="118"/>
      <c r="Y82" s="118"/>
      <c r="AA82" s="118"/>
      <c r="AC82" s="118"/>
      <c r="AE82" s="118"/>
      <c r="AF82" s="119"/>
    </row>
    <row r="83" spans="1:32" x14ac:dyDescent="0.3">
      <c r="A83" s="118"/>
      <c r="C83" s="118"/>
      <c r="E83" s="118"/>
      <c r="G83" s="118"/>
      <c r="I83" s="118"/>
      <c r="K83" s="118"/>
      <c r="M83" s="118"/>
      <c r="O83" s="118"/>
      <c r="P83" s="119"/>
      <c r="S83" s="118"/>
      <c r="U83" s="118"/>
      <c r="W83" s="118"/>
      <c r="Y83" s="118"/>
      <c r="AA83" s="118"/>
      <c r="AC83" s="118"/>
      <c r="AE83" s="118"/>
      <c r="AF83" s="119"/>
    </row>
    <row r="84" spans="1:32" x14ac:dyDescent="0.3">
      <c r="A84" s="118"/>
      <c r="C84" s="118"/>
      <c r="E84" s="118"/>
      <c r="G84" s="118"/>
      <c r="I84" s="118"/>
      <c r="K84" s="118"/>
      <c r="M84" s="118"/>
      <c r="O84" s="118"/>
      <c r="P84" s="119"/>
      <c r="S84" s="118"/>
      <c r="U84" s="118"/>
      <c r="W84" s="118"/>
      <c r="Y84" s="118"/>
      <c r="AA84" s="118"/>
      <c r="AC84" s="118"/>
      <c r="AE84" s="118"/>
      <c r="AF84" s="119"/>
    </row>
    <row r="85" spans="1:32" x14ac:dyDescent="0.3">
      <c r="A85" s="118"/>
      <c r="C85" s="118"/>
      <c r="E85" s="118"/>
      <c r="G85" s="118"/>
      <c r="I85" s="118"/>
      <c r="K85" s="118"/>
      <c r="M85" s="118"/>
      <c r="O85" s="118"/>
      <c r="P85" s="119"/>
      <c r="S85" s="118"/>
      <c r="U85" s="118"/>
      <c r="W85" s="118"/>
      <c r="Y85" s="118"/>
      <c r="AA85" s="118"/>
      <c r="AC85" s="118"/>
      <c r="AE85" s="118"/>
      <c r="AF85" s="119"/>
    </row>
    <row r="86" spans="1:32" x14ac:dyDescent="0.3">
      <c r="A86" s="118"/>
      <c r="C86" s="118"/>
      <c r="E86" s="118"/>
      <c r="G86" s="118"/>
      <c r="I86" s="118"/>
      <c r="K86" s="118"/>
      <c r="M86" s="118"/>
      <c r="O86" s="118"/>
      <c r="P86" s="119"/>
      <c r="S86" s="118"/>
      <c r="U86" s="118"/>
      <c r="W86" s="118"/>
      <c r="Y86" s="118"/>
      <c r="AA86" s="118"/>
      <c r="AC86" s="118"/>
      <c r="AE86" s="118"/>
      <c r="AF86" s="119"/>
    </row>
    <row r="87" spans="1:32" x14ac:dyDescent="0.3">
      <c r="A87" s="118"/>
      <c r="C87" s="118"/>
      <c r="E87" s="118"/>
      <c r="G87" s="118"/>
      <c r="I87" s="118"/>
      <c r="K87" s="118"/>
      <c r="M87" s="118"/>
      <c r="O87" s="118"/>
      <c r="P87" s="119"/>
      <c r="S87" s="118"/>
      <c r="U87" s="118"/>
      <c r="W87" s="118"/>
      <c r="Y87" s="118"/>
      <c r="AA87" s="118"/>
      <c r="AC87" s="118"/>
      <c r="AE87" s="118"/>
      <c r="AF87" s="119"/>
    </row>
    <row r="88" spans="1:32" x14ac:dyDescent="0.3">
      <c r="A88" s="118"/>
      <c r="C88" s="118"/>
      <c r="E88" s="118"/>
      <c r="G88" s="118"/>
      <c r="I88" s="118"/>
      <c r="K88" s="118"/>
      <c r="M88" s="118"/>
      <c r="O88" s="118"/>
      <c r="P88" s="119"/>
      <c r="S88" s="118"/>
      <c r="U88" s="118"/>
      <c r="W88" s="118"/>
      <c r="Y88" s="118"/>
      <c r="AA88" s="118"/>
      <c r="AC88" s="118"/>
      <c r="AE88" s="118"/>
      <c r="AF88" s="119"/>
    </row>
    <row r="89" spans="1:32" x14ac:dyDescent="0.3">
      <c r="A89" s="118"/>
      <c r="C89" s="118"/>
      <c r="E89" s="118"/>
      <c r="G89" s="118"/>
      <c r="I89" s="118"/>
      <c r="K89" s="118"/>
      <c r="M89" s="118"/>
      <c r="O89" s="118"/>
      <c r="P89" s="119"/>
      <c r="S89" s="118"/>
      <c r="U89" s="118"/>
      <c r="W89" s="118"/>
      <c r="Y89" s="118"/>
      <c r="AA89" s="118"/>
      <c r="AC89" s="118"/>
      <c r="AE89" s="118"/>
      <c r="AF89" s="119"/>
    </row>
    <row r="90" spans="1:32" x14ac:dyDescent="0.3">
      <c r="A90" s="118"/>
      <c r="C90" s="118"/>
      <c r="E90" s="118"/>
      <c r="G90" s="118"/>
      <c r="I90" s="118"/>
      <c r="K90" s="118"/>
      <c r="M90" s="118"/>
      <c r="O90" s="118"/>
      <c r="P90" s="119"/>
      <c r="S90" s="118"/>
      <c r="U90" s="118"/>
      <c r="W90" s="118"/>
      <c r="Y90" s="118"/>
      <c r="AA90" s="118"/>
      <c r="AC90" s="118"/>
      <c r="AE90" s="118"/>
      <c r="AF90" s="119"/>
    </row>
    <row r="91" spans="1:32" x14ac:dyDescent="0.3">
      <c r="A91" s="118"/>
      <c r="C91" s="118"/>
      <c r="E91" s="118"/>
      <c r="G91" s="118"/>
      <c r="I91" s="118"/>
      <c r="K91" s="118"/>
      <c r="M91" s="118"/>
      <c r="O91" s="118"/>
      <c r="P91" s="119"/>
      <c r="S91" s="118"/>
      <c r="U91" s="118"/>
      <c r="W91" s="118"/>
      <c r="Y91" s="118"/>
      <c r="AA91" s="118"/>
      <c r="AC91" s="118"/>
      <c r="AE91" s="118"/>
      <c r="AF91" s="119"/>
    </row>
    <row r="92" spans="1:32" x14ac:dyDescent="0.3">
      <c r="A92" s="118"/>
      <c r="C92" s="118"/>
      <c r="E92" s="118"/>
      <c r="G92" s="118"/>
      <c r="I92" s="118"/>
      <c r="K92" s="118"/>
      <c r="M92" s="118"/>
      <c r="O92" s="118"/>
      <c r="P92" s="119"/>
      <c r="S92" s="118"/>
      <c r="U92" s="118"/>
      <c r="W92" s="118"/>
      <c r="Y92" s="118"/>
      <c r="AA92" s="118"/>
      <c r="AC92" s="118"/>
      <c r="AE92" s="118"/>
      <c r="AF92" s="119"/>
    </row>
    <row r="93" spans="1:32" x14ac:dyDescent="0.3">
      <c r="A93" s="118"/>
      <c r="C93" s="118"/>
      <c r="E93" s="118"/>
      <c r="G93" s="118"/>
      <c r="I93" s="118"/>
      <c r="K93" s="118"/>
      <c r="M93" s="118"/>
      <c r="O93" s="118"/>
      <c r="P93" s="119"/>
      <c r="S93" s="118"/>
      <c r="U93" s="118"/>
      <c r="W93" s="118"/>
      <c r="Y93" s="118"/>
      <c r="AA93" s="118"/>
      <c r="AC93" s="118"/>
      <c r="AE93" s="118"/>
      <c r="AF93" s="119"/>
    </row>
    <row r="94" spans="1:32" x14ac:dyDescent="0.3">
      <c r="A94" s="118"/>
      <c r="C94" s="118"/>
      <c r="E94" s="118"/>
      <c r="G94" s="118"/>
      <c r="I94" s="118"/>
      <c r="K94" s="118"/>
      <c r="M94" s="118"/>
      <c r="O94" s="118"/>
      <c r="P94" s="119"/>
      <c r="S94" s="118"/>
      <c r="U94" s="118"/>
      <c r="W94" s="118"/>
      <c r="Y94" s="118"/>
      <c r="AA94" s="118"/>
      <c r="AC94" s="118"/>
      <c r="AE94" s="118"/>
      <c r="AF94" s="119"/>
    </row>
    <row r="95" spans="1:32" x14ac:dyDescent="0.3">
      <c r="A95" s="118"/>
      <c r="C95" s="118"/>
      <c r="E95" s="118"/>
      <c r="G95" s="118"/>
      <c r="I95" s="118"/>
      <c r="K95" s="118"/>
      <c r="M95" s="118"/>
      <c r="O95" s="118"/>
      <c r="P95" s="119"/>
      <c r="S95" s="118"/>
      <c r="U95" s="118"/>
      <c r="W95" s="118"/>
      <c r="Y95" s="118"/>
      <c r="AA95" s="118"/>
      <c r="AC95" s="118"/>
      <c r="AE95" s="118"/>
      <c r="AF95" s="119"/>
    </row>
    <row r="96" spans="1:32" x14ac:dyDescent="0.3">
      <c r="A96" s="118"/>
      <c r="C96" s="118"/>
      <c r="E96" s="118"/>
      <c r="G96" s="118"/>
      <c r="I96" s="118"/>
      <c r="K96" s="118"/>
      <c r="M96" s="118"/>
      <c r="O96" s="118"/>
      <c r="P96" s="119"/>
      <c r="S96" s="118"/>
      <c r="U96" s="118"/>
      <c r="W96" s="118"/>
      <c r="Y96" s="118"/>
      <c r="AA96" s="118"/>
      <c r="AC96" s="118"/>
      <c r="AE96" s="118"/>
      <c r="AF96" s="119"/>
    </row>
    <row r="97" spans="1:32" x14ac:dyDescent="0.3">
      <c r="A97" s="118"/>
      <c r="C97" s="118"/>
      <c r="E97" s="118"/>
      <c r="G97" s="118"/>
      <c r="I97" s="118"/>
      <c r="K97" s="118"/>
      <c r="M97" s="118"/>
      <c r="O97" s="118"/>
      <c r="P97" s="119"/>
      <c r="S97" s="118"/>
      <c r="U97" s="118"/>
      <c r="W97" s="118"/>
      <c r="Y97" s="118"/>
      <c r="AA97" s="118"/>
      <c r="AC97" s="118"/>
      <c r="AE97" s="118"/>
      <c r="AF97" s="119"/>
    </row>
    <row r="98" spans="1:32" x14ac:dyDescent="0.3">
      <c r="A98" s="118"/>
      <c r="C98" s="118"/>
      <c r="E98" s="118"/>
      <c r="G98" s="118"/>
      <c r="I98" s="118"/>
      <c r="K98" s="118"/>
      <c r="M98" s="118"/>
      <c r="O98" s="118"/>
      <c r="P98" s="119"/>
      <c r="S98" s="118"/>
      <c r="U98" s="118"/>
      <c r="W98" s="118"/>
      <c r="Y98" s="118"/>
      <c r="AA98" s="118"/>
      <c r="AC98" s="118"/>
      <c r="AE98" s="118"/>
      <c r="AF98" s="119"/>
    </row>
    <row r="99" spans="1:32" x14ac:dyDescent="0.3">
      <c r="A99" s="118"/>
      <c r="C99" s="118"/>
      <c r="E99" s="118"/>
      <c r="G99" s="118"/>
      <c r="I99" s="118"/>
      <c r="K99" s="118"/>
      <c r="M99" s="118"/>
      <c r="O99" s="118"/>
      <c r="P99" s="119"/>
      <c r="S99" s="118"/>
      <c r="U99" s="118"/>
      <c r="W99" s="118"/>
      <c r="Y99" s="118"/>
      <c r="AA99" s="118"/>
      <c r="AC99" s="118"/>
      <c r="AE99" s="118"/>
      <c r="AF99" s="119"/>
    </row>
    <row r="100" spans="1:32" x14ac:dyDescent="0.3">
      <c r="A100" s="118"/>
      <c r="C100" s="118"/>
      <c r="E100" s="118"/>
      <c r="G100" s="118"/>
      <c r="I100" s="118"/>
      <c r="K100" s="118"/>
      <c r="M100" s="118"/>
      <c r="O100" s="118"/>
      <c r="P100" s="119"/>
      <c r="S100" s="118"/>
      <c r="U100" s="118"/>
      <c r="W100" s="118"/>
      <c r="Y100" s="118"/>
      <c r="AA100" s="118"/>
      <c r="AC100" s="118"/>
      <c r="AE100" s="118"/>
      <c r="AF100" s="119"/>
    </row>
    <row r="101" spans="1:32" x14ac:dyDescent="0.3">
      <c r="A101" s="118"/>
      <c r="C101" s="118"/>
      <c r="E101" s="118"/>
      <c r="G101" s="118"/>
      <c r="I101" s="118"/>
      <c r="K101" s="118"/>
      <c r="M101" s="118"/>
      <c r="O101" s="118"/>
      <c r="P101" s="119"/>
      <c r="S101" s="118"/>
      <c r="U101" s="118"/>
      <c r="W101" s="118"/>
      <c r="Y101" s="118"/>
      <c r="AA101" s="118"/>
      <c r="AC101" s="118"/>
      <c r="AE101" s="118"/>
      <c r="AF101" s="119"/>
    </row>
    <row r="102" spans="1:32" x14ac:dyDescent="0.3">
      <c r="A102" s="118"/>
      <c r="C102" s="118"/>
      <c r="E102" s="118"/>
      <c r="G102" s="118"/>
      <c r="I102" s="118"/>
      <c r="K102" s="118"/>
      <c r="M102" s="118"/>
      <c r="O102" s="118"/>
      <c r="P102" s="119"/>
      <c r="S102" s="118"/>
      <c r="U102" s="118"/>
      <c r="W102" s="118"/>
      <c r="Y102" s="118"/>
      <c r="AA102" s="118"/>
      <c r="AC102" s="118"/>
      <c r="AE102" s="118"/>
      <c r="AF102" s="119"/>
    </row>
    <row r="103" spans="1:32" x14ac:dyDescent="0.3">
      <c r="A103" s="118"/>
      <c r="C103" s="118"/>
      <c r="E103" s="118"/>
      <c r="G103" s="118"/>
      <c r="I103" s="118"/>
      <c r="K103" s="118"/>
      <c r="M103" s="118"/>
      <c r="O103" s="118"/>
      <c r="P103" s="119"/>
      <c r="S103" s="118"/>
      <c r="U103" s="118"/>
      <c r="W103" s="118"/>
      <c r="Y103" s="118"/>
      <c r="AA103" s="118"/>
      <c r="AC103" s="118"/>
      <c r="AE103" s="118"/>
      <c r="AF103" s="119"/>
    </row>
    <row r="104" spans="1:32" x14ac:dyDescent="0.3">
      <c r="A104" s="118"/>
      <c r="C104" s="118"/>
      <c r="E104" s="118"/>
      <c r="G104" s="118"/>
      <c r="I104" s="118"/>
      <c r="K104" s="118"/>
      <c r="M104" s="118"/>
      <c r="O104" s="118"/>
      <c r="P104" s="119"/>
      <c r="S104" s="118"/>
      <c r="U104" s="118"/>
      <c r="W104" s="118"/>
      <c r="Y104" s="118"/>
      <c r="AA104" s="118"/>
      <c r="AC104" s="118"/>
      <c r="AE104" s="118"/>
      <c r="AF104" s="119"/>
    </row>
    <row r="105" spans="1:32" x14ac:dyDescent="0.3">
      <c r="A105" s="118"/>
      <c r="C105" s="118"/>
      <c r="E105" s="118"/>
      <c r="G105" s="118"/>
      <c r="I105" s="118"/>
      <c r="K105" s="118"/>
      <c r="M105" s="118"/>
      <c r="O105" s="118"/>
      <c r="P105" s="119"/>
      <c r="S105" s="118"/>
      <c r="U105" s="118"/>
      <c r="W105" s="118"/>
      <c r="Y105" s="118"/>
      <c r="AA105" s="118"/>
      <c r="AC105" s="118"/>
      <c r="AE105" s="118"/>
      <c r="AF105" s="119"/>
    </row>
    <row r="106" spans="1:32" x14ac:dyDescent="0.3">
      <c r="A106" s="118"/>
      <c r="C106" s="118"/>
      <c r="E106" s="118"/>
      <c r="G106" s="118"/>
      <c r="I106" s="118"/>
      <c r="K106" s="118"/>
      <c r="M106" s="118"/>
      <c r="O106" s="118"/>
      <c r="P106" s="119"/>
      <c r="S106" s="118"/>
      <c r="U106" s="118"/>
      <c r="W106" s="118"/>
      <c r="Y106" s="118"/>
      <c r="AA106" s="118"/>
      <c r="AC106" s="118"/>
      <c r="AE106" s="118"/>
      <c r="AF106" s="119"/>
    </row>
    <row r="107" spans="1:32" x14ac:dyDescent="0.3">
      <c r="A107" s="118"/>
      <c r="C107" s="118"/>
      <c r="E107" s="118"/>
      <c r="G107" s="118"/>
      <c r="I107" s="118"/>
      <c r="K107" s="118"/>
      <c r="M107" s="118"/>
      <c r="O107" s="118"/>
      <c r="P107" s="119"/>
      <c r="S107" s="118"/>
      <c r="U107" s="118"/>
      <c r="W107" s="118"/>
      <c r="Y107" s="118"/>
      <c r="AA107" s="118"/>
      <c r="AC107" s="118"/>
      <c r="AE107" s="118"/>
      <c r="AF107" s="119"/>
    </row>
    <row r="108" spans="1:32" x14ac:dyDescent="0.3">
      <c r="A108" s="118"/>
      <c r="C108" s="118"/>
      <c r="E108" s="118"/>
      <c r="G108" s="118"/>
      <c r="I108" s="118"/>
      <c r="K108" s="118"/>
      <c r="M108" s="118"/>
      <c r="O108" s="118"/>
      <c r="P108" s="119"/>
      <c r="S108" s="118"/>
      <c r="U108" s="118"/>
      <c r="W108" s="118"/>
      <c r="Y108" s="118"/>
      <c r="AA108" s="118"/>
      <c r="AC108" s="118"/>
      <c r="AE108" s="118"/>
      <c r="AF108" s="119"/>
    </row>
    <row r="109" spans="1:32" x14ac:dyDescent="0.3">
      <c r="A109" s="118"/>
      <c r="C109" s="118"/>
      <c r="E109" s="118"/>
      <c r="G109" s="118"/>
      <c r="I109" s="118"/>
      <c r="K109" s="118"/>
      <c r="M109" s="118"/>
      <c r="O109" s="118"/>
      <c r="P109" s="119"/>
      <c r="S109" s="118"/>
      <c r="U109" s="118"/>
      <c r="W109" s="118"/>
      <c r="Y109" s="118"/>
      <c r="AA109" s="118"/>
      <c r="AC109" s="118"/>
      <c r="AE109" s="118"/>
      <c r="AF109" s="119"/>
    </row>
    <row r="110" spans="1:32" x14ac:dyDescent="0.3">
      <c r="A110" s="118"/>
      <c r="C110" s="118"/>
      <c r="E110" s="118"/>
      <c r="G110" s="118"/>
      <c r="I110" s="118"/>
      <c r="K110" s="118"/>
      <c r="M110" s="118"/>
      <c r="O110" s="118"/>
      <c r="P110" s="119"/>
      <c r="S110" s="118"/>
      <c r="U110" s="118"/>
      <c r="W110" s="118"/>
      <c r="Y110" s="118"/>
      <c r="AA110" s="118"/>
      <c r="AC110" s="118"/>
      <c r="AE110" s="118"/>
      <c r="AF110" s="119"/>
    </row>
    <row r="111" spans="1:32" x14ac:dyDescent="0.3">
      <c r="A111" s="118"/>
      <c r="C111" s="118"/>
      <c r="E111" s="118"/>
      <c r="G111" s="118"/>
      <c r="I111" s="118"/>
      <c r="K111" s="118"/>
      <c r="M111" s="118"/>
      <c r="O111" s="118"/>
      <c r="P111" s="119"/>
      <c r="S111" s="118"/>
      <c r="U111" s="118"/>
      <c r="W111" s="118"/>
      <c r="Y111" s="118"/>
      <c r="AA111" s="118"/>
      <c r="AC111" s="118"/>
      <c r="AE111" s="118"/>
      <c r="AF111" s="119"/>
    </row>
    <row r="112" spans="1:32" x14ac:dyDescent="0.3">
      <c r="A112" s="118"/>
      <c r="C112" s="118"/>
      <c r="E112" s="118"/>
      <c r="G112" s="118"/>
      <c r="I112" s="118"/>
      <c r="K112" s="118"/>
      <c r="M112" s="118"/>
      <c r="O112" s="118"/>
      <c r="P112" s="119"/>
      <c r="S112" s="118"/>
      <c r="U112" s="118"/>
      <c r="W112" s="118"/>
      <c r="Y112" s="118"/>
      <c r="AA112" s="118"/>
      <c r="AC112" s="118"/>
      <c r="AE112" s="118"/>
      <c r="AF112" s="119"/>
    </row>
    <row r="113" spans="1:32" x14ac:dyDescent="0.3">
      <c r="A113" s="118"/>
      <c r="C113" s="118"/>
      <c r="E113" s="118"/>
      <c r="G113" s="118"/>
      <c r="I113" s="118"/>
      <c r="K113" s="118"/>
      <c r="M113" s="118"/>
      <c r="O113" s="118"/>
      <c r="P113" s="119"/>
      <c r="S113" s="118"/>
      <c r="U113" s="118"/>
      <c r="W113" s="118"/>
      <c r="Y113" s="118"/>
      <c r="AA113" s="118"/>
      <c r="AC113" s="118"/>
      <c r="AE113" s="118"/>
      <c r="AF113" s="119"/>
    </row>
    <row r="114" spans="1:32" x14ac:dyDescent="0.3">
      <c r="A114" s="118"/>
      <c r="C114" s="118"/>
      <c r="E114" s="118"/>
      <c r="G114" s="118"/>
      <c r="I114" s="118"/>
      <c r="K114" s="118"/>
      <c r="M114" s="118"/>
      <c r="O114" s="118"/>
      <c r="P114" s="119"/>
      <c r="S114" s="118"/>
      <c r="U114" s="118"/>
      <c r="W114" s="118"/>
      <c r="Y114" s="118"/>
      <c r="AA114" s="118"/>
      <c r="AC114" s="118"/>
      <c r="AE114" s="118"/>
      <c r="AF114" s="119"/>
    </row>
    <row r="115" spans="1:32" x14ac:dyDescent="0.3">
      <c r="A115" s="118"/>
      <c r="C115" s="118"/>
      <c r="E115" s="118"/>
      <c r="G115" s="118"/>
      <c r="I115" s="118"/>
      <c r="K115" s="118"/>
      <c r="M115" s="118"/>
      <c r="O115" s="118"/>
      <c r="P115" s="119"/>
      <c r="S115" s="118"/>
      <c r="U115" s="118"/>
      <c r="W115" s="118"/>
      <c r="Y115" s="118"/>
      <c r="AA115" s="118"/>
      <c r="AC115" s="118"/>
      <c r="AE115" s="118"/>
      <c r="AF115" s="119"/>
    </row>
    <row r="116" spans="1:32" x14ac:dyDescent="0.3">
      <c r="A116" s="118"/>
      <c r="C116" s="118"/>
      <c r="E116" s="118"/>
      <c r="G116" s="118"/>
      <c r="I116" s="118"/>
      <c r="K116" s="118"/>
      <c r="M116" s="118"/>
      <c r="O116" s="118"/>
      <c r="P116" s="119"/>
      <c r="S116" s="118"/>
      <c r="U116" s="118"/>
      <c r="W116" s="118"/>
      <c r="Y116" s="118"/>
      <c r="AA116" s="118"/>
      <c r="AC116" s="118"/>
      <c r="AE116" s="118"/>
      <c r="AF116" s="119"/>
    </row>
    <row r="117" spans="1:32" x14ac:dyDescent="0.3">
      <c r="A117" s="118"/>
      <c r="C117" s="118"/>
      <c r="E117" s="118"/>
      <c r="G117" s="118"/>
      <c r="I117" s="118"/>
      <c r="K117" s="118"/>
      <c r="M117" s="118"/>
      <c r="O117" s="118"/>
      <c r="P117" s="119"/>
      <c r="S117" s="118"/>
      <c r="U117" s="118"/>
      <c r="W117" s="118"/>
      <c r="Y117" s="118"/>
      <c r="AA117" s="118"/>
      <c r="AC117" s="118"/>
      <c r="AE117" s="118"/>
      <c r="AF117" s="119"/>
    </row>
    <row r="118" spans="1:32" x14ac:dyDescent="0.3">
      <c r="A118" s="118"/>
      <c r="C118" s="118"/>
      <c r="E118" s="118"/>
      <c r="G118" s="118"/>
      <c r="I118" s="118"/>
      <c r="K118" s="118"/>
      <c r="M118" s="118"/>
      <c r="O118" s="118"/>
      <c r="P118" s="119"/>
      <c r="S118" s="118"/>
      <c r="U118" s="118"/>
      <c r="W118" s="118"/>
      <c r="Y118" s="118"/>
      <c r="AA118" s="118"/>
      <c r="AC118" s="118"/>
      <c r="AE118" s="118"/>
      <c r="AF118" s="119"/>
    </row>
    <row r="119" spans="1:32" x14ac:dyDescent="0.3">
      <c r="A119" s="118"/>
      <c r="C119" s="118"/>
      <c r="E119" s="118"/>
      <c r="G119" s="118"/>
      <c r="I119" s="118"/>
      <c r="K119" s="118"/>
      <c r="M119" s="118"/>
      <c r="O119" s="118"/>
      <c r="P119" s="119"/>
      <c r="S119" s="118"/>
      <c r="U119" s="118"/>
      <c r="W119" s="118"/>
      <c r="Y119" s="118"/>
      <c r="AA119" s="118"/>
      <c r="AC119" s="118"/>
      <c r="AE119" s="118"/>
      <c r="AF119" s="119"/>
    </row>
    <row r="120" spans="1:32" x14ac:dyDescent="0.3">
      <c r="A120" s="118"/>
      <c r="C120" s="118"/>
      <c r="E120" s="118"/>
      <c r="G120" s="118"/>
      <c r="I120" s="118"/>
      <c r="K120" s="118"/>
      <c r="M120" s="118"/>
      <c r="O120" s="118"/>
      <c r="P120" s="119"/>
      <c r="S120" s="118"/>
      <c r="U120" s="118"/>
      <c r="W120" s="118"/>
      <c r="Y120" s="118"/>
      <c r="AA120" s="118"/>
      <c r="AC120" s="118"/>
      <c r="AE120" s="118"/>
      <c r="AF120" s="119"/>
    </row>
    <row r="121" spans="1:32" x14ac:dyDescent="0.3">
      <c r="A121" s="118"/>
      <c r="C121" s="118"/>
      <c r="E121" s="118"/>
      <c r="G121" s="118"/>
      <c r="I121" s="118"/>
      <c r="K121" s="118"/>
      <c r="M121" s="118"/>
      <c r="O121" s="118"/>
      <c r="P121" s="119"/>
      <c r="S121" s="118"/>
      <c r="U121" s="118"/>
      <c r="W121" s="118"/>
      <c r="Y121" s="118"/>
      <c r="AA121" s="118"/>
      <c r="AC121" s="118"/>
      <c r="AE121" s="118"/>
      <c r="AF121" s="119"/>
    </row>
    <row r="122" spans="1:32" x14ac:dyDescent="0.3">
      <c r="A122" s="118"/>
      <c r="C122" s="118"/>
      <c r="E122" s="118"/>
      <c r="G122" s="118"/>
      <c r="I122" s="118"/>
      <c r="K122" s="118"/>
      <c r="M122" s="118"/>
      <c r="O122" s="118"/>
      <c r="P122" s="119"/>
      <c r="S122" s="118"/>
      <c r="U122" s="118"/>
      <c r="W122" s="118"/>
      <c r="Y122" s="118"/>
      <c r="AA122" s="118"/>
      <c r="AC122" s="118"/>
      <c r="AE122" s="118"/>
      <c r="AF122" s="119"/>
    </row>
    <row r="123" spans="1:32" x14ac:dyDescent="0.3">
      <c r="A123" s="118"/>
      <c r="C123" s="118"/>
      <c r="E123" s="118"/>
      <c r="G123" s="118"/>
      <c r="I123" s="118"/>
      <c r="K123" s="118"/>
      <c r="M123" s="118"/>
      <c r="O123" s="118"/>
      <c r="P123" s="119"/>
      <c r="S123" s="118"/>
      <c r="U123" s="118"/>
      <c r="W123" s="118"/>
      <c r="Y123" s="118"/>
      <c r="AA123" s="118"/>
      <c r="AC123" s="118"/>
      <c r="AE123" s="118"/>
      <c r="AF123" s="119"/>
    </row>
    <row r="124" spans="1:32" x14ac:dyDescent="0.3">
      <c r="A124" s="118"/>
      <c r="C124" s="118"/>
      <c r="E124" s="118"/>
      <c r="G124" s="118"/>
      <c r="I124" s="118"/>
      <c r="K124" s="118"/>
      <c r="M124" s="118"/>
      <c r="O124" s="118"/>
      <c r="P124" s="119"/>
      <c r="S124" s="118"/>
      <c r="U124" s="118"/>
      <c r="W124" s="118"/>
      <c r="Y124" s="118"/>
      <c r="AA124" s="118"/>
      <c r="AC124" s="118"/>
      <c r="AE124" s="118"/>
      <c r="AF124" s="119"/>
    </row>
    <row r="125" spans="1:32" x14ac:dyDescent="0.3">
      <c r="A125" s="118"/>
      <c r="C125" s="118"/>
      <c r="E125" s="118"/>
      <c r="G125" s="118"/>
      <c r="I125" s="118"/>
      <c r="K125" s="118"/>
      <c r="M125" s="118"/>
      <c r="O125" s="118"/>
      <c r="P125" s="119"/>
      <c r="S125" s="118"/>
      <c r="U125" s="118"/>
      <c r="W125" s="118"/>
      <c r="Y125" s="118"/>
      <c r="AA125" s="118"/>
      <c r="AC125" s="118"/>
      <c r="AE125" s="118"/>
      <c r="AF125" s="119"/>
    </row>
    <row r="126" spans="1:32" x14ac:dyDescent="0.3">
      <c r="A126" s="118"/>
      <c r="C126" s="118"/>
      <c r="E126" s="118"/>
      <c r="G126" s="118"/>
      <c r="I126" s="118"/>
      <c r="K126" s="118"/>
      <c r="M126" s="118"/>
      <c r="O126" s="118"/>
      <c r="P126" s="119"/>
      <c r="S126" s="118"/>
      <c r="U126" s="118"/>
      <c r="W126" s="118"/>
      <c r="Y126" s="118"/>
      <c r="AA126" s="118"/>
      <c r="AC126" s="118"/>
      <c r="AE126" s="118"/>
      <c r="AF126" s="119"/>
    </row>
    <row r="127" spans="1:32" x14ac:dyDescent="0.3">
      <c r="A127" s="118"/>
      <c r="C127" s="118"/>
      <c r="E127" s="118"/>
      <c r="G127" s="118"/>
      <c r="I127" s="118"/>
      <c r="K127" s="118"/>
      <c r="M127" s="118"/>
      <c r="O127" s="118"/>
      <c r="P127" s="119"/>
      <c r="S127" s="118"/>
      <c r="U127" s="118"/>
      <c r="W127" s="118"/>
      <c r="Y127" s="118"/>
      <c r="AA127" s="118"/>
      <c r="AC127" s="118"/>
      <c r="AE127" s="118"/>
      <c r="AF127" s="119"/>
    </row>
    <row r="128" spans="1:32" x14ac:dyDescent="0.3">
      <c r="A128" s="118"/>
      <c r="C128" s="118"/>
      <c r="E128" s="118"/>
      <c r="G128" s="118"/>
      <c r="I128" s="118"/>
      <c r="K128" s="118"/>
      <c r="M128" s="118"/>
      <c r="O128" s="118"/>
      <c r="P128" s="119"/>
      <c r="S128" s="118"/>
      <c r="U128" s="118"/>
      <c r="W128" s="118"/>
      <c r="Y128" s="118"/>
      <c r="AA128" s="118"/>
      <c r="AC128" s="118"/>
      <c r="AE128" s="118"/>
      <c r="AF128" s="119"/>
    </row>
    <row r="129" spans="1:32" x14ac:dyDescent="0.3">
      <c r="A129" s="118"/>
      <c r="C129" s="118"/>
      <c r="E129" s="118"/>
      <c r="G129" s="118"/>
      <c r="I129" s="118"/>
      <c r="K129" s="118"/>
      <c r="M129" s="118"/>
      <c r="O129" s="118"/>
      <c r="P129" s="119"/>
      <c r="S129" s="118"/>
      <c r="U129" s="118"/>
      <c r="W129" s="118"/>
      <c r="Y129" s="118"/>
      <c r="AA129" s="118"/>
      <c r="AC129" s="118"/>
      <c r="AE129" s="118"/>
      <c r="AF129" s="119"/>
    </row>
    <row r="130" spans="1:32" x14ac:dyDescent="0.3">
      <c r="A130" s="118"/>
      <c r="C130" s="118"/>
      <c r="E130" s="118"/>
      <c r="G130" s="118"/>
      <c r="I130" s="118"/>
      <c r="K130" s="118"/>
      <c r="M130" s="118"/>
      <c r="O130" s="118"/>
      <c r="P130" s="119"/>
      <c r="S130" s="118"/>
      <c r="U130" s="118"/>
      <c r="W130" s="118"/>
      <c r="Y130" s="118"/>
      <c r="AA130" s="118"/>
      <c r="AC130" s="118"/>
      <c r="AE130" s="118"/>
      <c r="AF130" s="119"/>
    </row>
    <row r="131" spans="1:32" x14ac:dyDescent="0.3">
      <c r="A131" s="118"/>
      <c r="C131" s="118"/>
      <c r="E131" s="118"/>
      <c r="G131" s="118"/>
      <c r="I131" s="118"/>
      <c r="K131" s="118"/>
      <c r="M131" s="118"/>
      <c r="O131" s="118"/>
      <c r="P131" s="119"/>
      <c r="S131" s="118"/>
      <c r="U131" s="118"/>
      <c r="W131" s="118"/>
      <c r="Y131" s="118"/>
      <c r="AA131" s="118"/>
      <c r="AC131" s="118"/>
      <c r="AE131" s="118"/>
      <c r="AF131" s="119"/>
    </row>
    <row r="132" spans="1:32" x14ac:dyDescent="0.3">
      <c r="A132" s="118"/>
      <c r="C132" s="118"/>
      <c r="E132" s="118"/>
      <c r="G132" s="118"/>
      <c r="I132" s="118"/>
      <c r="K132" s="118"/>
      <c r="M132" s="118"/>
      <c r="O132" s="118"/>
      <c r="P132" s="119"/>
      <c r="S132" s="118"/>
      <c r="U132" s="118"/>
      <c r="W132" s="118"/>
      <c r="Y132" s="118"/>
      <c r="AA132" s="118"/>
      <c r="AC132" s="118"/>
      <c r="AE132" s="118"/>
      <c r="AF132" s="119"/>
    </row>
    <row r="133" spans="1:32" x14ac:dyDescent="0.3">
      <c r="A133" s="118"/>
      <c r="C133" s="118"/>
      <c r="E133" s="118"/>
      <c r="G133" s="118"/>
      <c r="I133" s="118"/>
      <c r="K133" s="118"/>
      <c r="M133" s="118"/>
      <c r="O133" s="118"/>
      <c r="P133" s="119"/>
      <c r="S133" s="118"/>
      <c r="U133" s="118"/>
      <c r="W133" s="118"/>
      <c r="Y133" s="118"/>
      <c r="AA133" s="118"/>
      <c r="AC133" s="118"/>
      <c r="AE133" s="118"/>
      <c r="AF133" s="119"/>
    </row>
    <row r="134" spans="1:32" x14ac:dyDescent="0.3">
      <c r="A134" s="118"/>
      <c r="C134" s="118"/>
      <c r="E134" s="118"/>
      <c r="G134" s="118"/>
      <c r="I134" s="118"/>
      <c r="K134" s="118"/>
      <c r="M134" s="118"/>
      <c r="O134" s="118"/>
      <c r="P134" s="119"/>
      <c r="S134" s="118"/>
      <c r="U134" s="118"/>
      <c r="W134" s="118"/>
      <c r="Y134" s="118"/>
      <c r="AA134" s="118"/>
      <c r="AC134" s="118"/>
      <c r="AE134" s="118"/>
      <c r="AF134" s="119"/>
    </row>
    <row r="135" spans="1:32" x14ac:dyDescent="0.3">
      <c r="A135" s="118"/>
      <c r="C135" s="118"/>
      <c r="E135" s="118"/>
      <c r="G135" s="118"/>
      <c r="I135" s="118"/>
      <c r="K135" s="118"/>
      <c r="M135" s="118"/>
      <c r="O135" s="118"/>
      <c r="P135" s="119"/>
      <c r="S135" s="118"/>
      <c r="U135" s="118"/>
      <c r="W135" s="118"/>
      <c r="Y135" s="118"/>
      <c r="AA135" s="118"/>
      <c r="AC135" s="118"/>
      <c r="AE135" s="118"/>
      <c r="AF135" s="119"/>
    </row>
    <row r="136" spans="1:32" x14ac:dyDescent="0.3">
      <c r="A136" s="118"/>
      <c r="C136" s="118"/>
      <c r="E136" s="118"/>
      <c r="G136" s="118"/>
      <c r="I136" s="118"/>
      <c r="K136" s="118"/>
      <c r="M136" s="118"/>
      <c r="O136" s="118"/>
      <c r="P136" s="119"/>
      <c r="S136" s="118"/>
      <c r="U136" s="118"/>
      <c r="W136" s="118"/>
      <c r="Y136" s="118"/>
      <c r="AA136" s="118"/>
      <c r="AC136" s="118"/>
      <c r="AE136" s="118"/>
      <c r="AF136" s="119"/>
    </row>
    <row r="137" spans="1:32" x14ac:dyDescent="0.3">
      <c r="A137" s="118"/>
      <c r="C137" s="118"/>
      <c r="E137" s="118"/>
      <c r="G137" s="118"/>
      <c r="I137" s="118"/>
      <c r="K137" s="118"/>
      <c r="M137" s="118"/>
      <c r="O137" s="118"/>
      <c r="P137" s="119"/>
      <c r="S137" s="118"/>
      <c r="U137" s="118"/>
      <c r="W137" s="118"/>
      <c r="Y137" s="118"/>
      <c r="AA137" s="118"/>
      <c r="AC137" s="118"/>
      <c r="AE137" s="118"/>
      <c r="AF137" s="119"/>
    </row>
    <row r="138" spans="1:32" x14ac:dyDescent="0.3">
      <c r="A138" s="118"/>
      <c r="C138" s="118"/>
      <c r="E138" s="118"/>
      <c r="G138" s="118"/>
      <c r="I138" s="118"/>
      <c r="K138" s="118"/>
      <c r="M138" s="118"/>
      <c r="O138" s="118"/>
      <c r="P138" s="119"/>
      <c r="S138" s="118"/>
      <c r="U138" s="118"/>
      <c r="W138" s="118"/>
      <c r="Y138" s="118"/>
      <c r="AA138" s="118"/>
      <c r="AC138" s="118"/>
      <c r="AE138" s="118"/>
      <c r="AF138" s="119"/>
    </row>
    <row r="139" spans="1:32" x14ac:dyDescent="0.3">
      <c r="A139" s="118"/>
      <c r="C139" s="118"/>
      <c r="E139" s="118"/>
      <c r="G139" s="118"/>
      <c r="I139" s="118"/>
      <c r="K139" s="118"/>
      <c r="M139" s="118"/>
      <c r="O139" s="118"/>
      <c r="P139" s="119"/>
      <c r="S139" s="118"/>
      <c r="U139" s="118"/>
      <c r="W139" s="118"/>
      <c r="Y139" s="118"/>
      <c r="AA139" s="118"/>
      <c r="AC139" s="118"/>
      <c r="AE139" s="118"/>
      <c r="AF139" s="119"/>
    </row>
    <row r="140" spans="1:32" x14ac:dyDescent="0.3">
      <c r="A140" s="118"/>
      <c r="C140" s="118"/>
      <c r="E140" s="118"/>
      <c r="G140" s="118"/>
      <c r="I140" s="118"/>
      <c r="K140" s="118"/>
      <c r="M140" s="118"/>
      <c r="O140" s="118"/>
      <c r="P140" s="119"/>
      <c r="S140" s="118"/>
      <c r="U140" s="118"/>
      <c r="W140" s="118"/>
      <c r="Y140" s="118"/>
      <c r="AA140" s="118"/>
      <c r="AC140" s="118"/>
      <c r="AE140" s="118"/>
      <c r="AF140" s="119"/>
    </row>
    <row r="141" spans="1:32" x14ac:dyDescent="0.3">
      <c r="A141" s="118"/>
      <c r="C141" s="118"/>
      <c r="E141" s="118"/>
      <c r="G141" s="118"/>
      <c r="I141" s="118"/>
      <c r="K141" s="118"/>
      <c r="M141" s="118"/>
      <c r="O141" s="118"/>
      <c r="P141" s="119"/>
      <c r="S141" s="118"/>
      <c r="U141" s="118"/>
      <c r="W141" s="118"/>
      <c r="Y141" s="118"/>
      <c r="AA141" s="118"/>
      <c r="AC141" s="118"/>
      <c r="AE141" s="118"/>
      <c r="AF141" s="119"/>
    </row>
    <row r="142" spans="1:32" x14ac:dyDescent="0.3">
      <c r="A142" s="118"/>
      <c r="C142" s="118"/>
      <c r="E142" s="118"/>
      <c r="G142" s="118"/>
      <c r="I142" s="118"/>
      <c r="K142" s="118"/>
      <c r="M142" s="118"/>
      <c r="O142" s="118"/>
      <c r="P142" s="119"/>
      <c r="S142" s="118"/>
      <c r="U142" s="118"/>
      <c r="W142" s="118"/>
      <c r="Y142" s="118"/>
      <c r="AA142" s="118"/>
      <c r="AC142" s="118"/>
      <c r="AE142" s="118"/>
      <c r="AF142" s="119"/>
    </row>
    <row r="143" spans="1:32" x14ac:dyDescent="0.3">
      <c r="A143" s="118"/>
      <c r="C143" s="118"/>
      <c r="E143" s="118"/>
      <c r="G143" s="118"/>
      <c r="I143" s="118"/>
      <c r="K143" s="118"/>
      <c r="M143" s="118"/>
      <c r="O143" s="118"/>
      <c r="P143" s="119"/>
      <c r="S143" s="118"/>
      <c r="U143" s="118"/>
      <c r="W143" s="118"/>
      <c r="Y143" s="118"/>
      <c r="AA143" s="118"/>
      <c r="AC143" s="118"/>
      <c r="AE143" s="118"/>
      <c r="AF143" s="119"/>
    </row>
    <row r="144" spans="1:32" x14ac:dyDescent="0.3">
      <c r="A144" s="118"/>
      <c r="C144" s="118"/>
      <c r="E144" s="118"/>
      <c r="G144" s="118"/>
      <c r="I144" s="118"/>
      <c r="K144" s="118"/>
      <c r="M144" s="118"/>
      <c r="O144" s="118"/>
      <c r="P144" s="119"/>
      <c r="S144" s="118"/>
      <c r="U144" s="118"/>
      <c r="W144" s="118"/>
      <c r="Y144" s="118"/>
      <c r="AA144" s="118"/>
      <c r="AC144" s="118"/>
      <c r="AE144" s="118"/>
      <c r="AF144" s="119"/>
    </row>
    <row r="145" spans="1:32" x14ac:dyDescent="0.3">
      <c r="A145" s="118"/>
      <c r="C145" s="118"/>
      <c r="E145" s="118"/>
      <c r="G145" s="118"/>
      <c r="I145" s="118"/>
      <c r="K145" s="118"/>
      <c r="M145" s="118"/>
      <c r="O145" s="118"/>
      <c r="P145" s="119"/>
      <c r="S145" s="118"/>
      <c r="U145" s="118"/>
      <c r="W145" s="118"/>
      <c r="Y145" s="118"/>
      <c r="AA145" s="118"/>
      <c r="AC145" s="118"/>
      <c r="AE145" s="118"/>
      <c r="AF145" s="119"/>
    </row>
    <row r="146" spans="1:32" x14ac:dyDescent="0.3">
      <c r="A146" s="118"/>
      <c r="C146" s="118"/>
      <c r="E146" s="118"/>
      <c r="G146" s="118"/>
      <c r="I146" s="118"/>
      <c r="K146" s="118"/>
      <c r="M146" s="118"/>
      <c r="O146" s="118"/>
      <c r="P146" s="119"/>
      <c r="S146" s="118"/>
      <c r="U146" s="118"/>
      <c r="W146" s="118"/>
      <c r="Y146" s="118"/>
      <c r="AA146" s="118"/>
      <c r="AC146" s="118"/>
      <c r="AE146" s="118"/>
      <c r="AF146" s="119"/>
    </row>
    <row r="147" spans="1:32" x14ac:dyDescent="0.3">
      <c r="A147" s="118"/>
      <c r="C147" s="118"/>
      <c r="E147" s="118"/>
      <c r="G147" s="118"/>
      <c r="I147" s="118"/>
      <c r="K147" s="118"/>
      <c r="M147" s="118"/>
      <c r="O147" s="118"/>
      <c r="P147" s="119"/>
      <c r="S147" s="118"/>
      <c r="U147" s="118"/>
      <c r="W147" s="118"/>
      <c r="Y147" s="118"/>
      <c r="AA147" s="118"/>
      <c r="AC147" s="118"/>
      <c r="AE147" s="118"/>
      <c r="AF147" s="119"/>
    </row>
    <row r="148" spans="1:32" x14ac:dyDescent="0.3">
      <c r="A148" s="118"/>
      <c r="C148" s="118"/>
      <c r="E148" s="118"/>
      <c r="G148" s="118"/>
      <c r="I148" s="118"/>
      <c r="K148" s="118"/>
      <c r="M148" s="118"/>
      <c r="O148" s="118"/>
      <c r="P148" s="119"/>
      <c r="S148" s="118"/>
      <c r="U148" s="118"/>
      <c r="W148" s="118"/>
      <c r="Y148" s="118"/>
      <c r="AA148" s="118"/>
      <c r="AC148" s="118"/>
      <c r="AE148" s="118"/>
      <c r="AF148" s="119"/>
    </row>
    <row r="149" spans="1:32" x14ac:dyDescent="0.3">
      <c r="A149" s="118"/>
      <c r="C149" s="118"/>
      <c r="E149" s="118"/>
      <c r="G149" s="118"/>
      <c r="I149" s="118"/>
      <c r="K149" s="118"/>
      <c r="M149" s="118"/>
      <c r="O149" s="118"/>
      <c r="P149" s="119"/>
      <c r="S149" s="118"/>
      <c r="U149" s="118"/>
      <c r="W149" s="118"/>
      <c r="Y149" s="118"/>
      <c r="AA149" s="118"/>
      <c r="AC149" s="118"/>
      <c r="AE149" s="118"/>
      <c r="AF149" s="119"/>
    </row>
    <row r="150" spans="1:32" x14ac:dyDescent="0.3">
      <c r="A150" s="118"/>
      <c r="C150" s="118"/>
      <c r="E150" s="118"/>
      <c r="G150" s="118"/>
      <c r="I150" s="118"/>
      <c r="K150" s="118"/>
      <c r="M150" s="118"/>
      <c r="O150" s="118"/>
      <c r="P150" s="119"/>
      <c r="S150" s="118"/>
      <c r="U150" s="118"/>
      <c r="W150" s="118"/>
      <c r="Y150" s="118"/>
      <c r="AA150" s="118"/>
      <c r="AC150" s="118"/>
      <c r="AE150" s="118"/>
      <c r="AF150" s="119"/>
    </row>
    <row r="151" spans="1:32" x14ac:dyDescent="0.3">
      <c r="A151" s="118"/>
      <c r="C151" s="118"/>
      <c r="E151" s="118"/>
      <c r="G151" s="118"/>
      <c r="I151" s="118"/>
      <c r="K151" s="118"/>
      <c r="M151" s="118"/>
      <c r="O151" s="118"/>
      <c r="P151" s="119"/>
      <c r="S151" s="118"/>
      <c r="U151" s="118"/>
      <c r="W151" s="118"/>
      <c r="Y151" s="118"/>
      <c r="AA151" s="118"/>
      <c r="AC151" s="118"/>
      <c r="AE151" s="118"/>
      <c r="AF151" s="119"/>
    </row>
    <row r="152" spans="1:32" x14ac:dyDescent="0.3">
      <c r="A152" s="118"/>
      <c r="C152" s="118"/>
      <c r="E152" s="118"/>
      <c r="G152" s="118"/>
      <c r="I152" s="118"/>
      <c r="K152" s="118"/>
      <c r="M152" s="118"/>
      <c r="O152" s="118"/>
      <c r="P152" s="119"/>
      <c r="S152" s="118"/>
      <c r="U152" s="118"/>
      <c r="W152" s="118"/>
      <c r="Y152" s="118"/>
      <c r="AA152" s="118"/>
      <c r="AC152" s="118"/>
      <c r="AE152" s="118"/>
      <c r="AF152" s="119"/>
    </row>
    <row r="153" spans="1:32" x14ac:dyDescent="0.3">
      <c r="A153" s="118"/>
      <c r="C153" s="118"/>
      <c r="E153" s="118"/>
      <c r="G153" s="118"/>
      <c r="I153" s="118"/>
      <c r="K153" s="118"/>
      <c r="M153" s="118"/>
      <c r="O153" s="118"/>
      <c r="P153" s="119"/>
      <c r="S153" s="118"/>
      <c r="U153" s="118"/>
      <c r="W153" s="118"/>
      <c r="Y153" s="118"/>
      <c r="AA153" s="118"/>
      <c r="AC153" s="118"/>
      <c r="AE153" s="118"/>
      <c r="AF153" s="119"/>
    </row>
    <row r="154" spans="1:32" x14ac:dyDescent="0.3">
      <c r="A154" s="118"/>
      <c r="C154" s="118"/>
      <c r="E154" s="118"/>
      <c r="G154" s="118"/>
      <c r="I154" s="118"/>
      <c r="K154" s="118"/>
      <c r="M154" s="118"/>
      <c r="O154" s="118"/>
      <c r="P154" s="119"/>
      <c r="S154" s="118"/>
      <c r="U154" s="118"/>
      <c r="W154" s="118"/>
      <c r="Y154" s="118"/>
      <c r="AA154" s="118"/>
      <c r="AC154" s="118"/>
      <c r="AE154" s="118"/>
      <c r="AF154" s="119"/>
    </row>
    <row r="155" spans="1:32" x14ac:dyDescent="0.3">
      <c r="A155" s="118"/>
      <c r="C155" s="118"/>
      <c r="E155" s="118"/>
      <c r="G155" s="118"/>
      <c r="I155" s="118"/>
      <c r="K155" s="118"/>
      <c r="M155" s="118"/>
      <c r="O155" s="118"/>
      <c r="P155" s="119"/>
      <c r="S155" s="118"/>
      <c r="U155" s="118"/>
      <c r="W155" s="118"/>
      <c r="Y155" s="118"/>
      <c r="AA155" s="118"/>
      <c r="AC155" s="118"/>
      <c r="AE155" s="118"/>
      <c r="AF155" s="119"/>
    </row>
    <row r="156" spans="1:32" x14ac:dyDescent="0.3">
      <c r="A156" s="118"/>
      <c r="C156" s="118"/>
      <c r="E156" s="118"/>
      <c r="G156" s="118"/>
      <c r="I156" s="118"/>
      <c r="K156" s="118"/>
      <c r="M156" s="118"/>
      <c r="O156" s="118"/>
      <c r="P156" s="119"/>
      <c r="S156" s="118"/>
      <c r="U156" s="118"/>
      <c r="W156" s="118"/>
      <c r="Y156" s="118"/>
      <c r="AA156" s="118"/>
      <c r="AC156" s="118"/>
      <c r="AE156" s="118"/>
      <c r="AF156" s="119"/>
    </row>
    <row r="157" spans="1:32" x14ac:dyDescent="0.3">
      <c r="A157" s="118"/>
      <c r="C157" s="118"/>
      <c r="E157" s="118"/>
      <c r="G157" s="118"/>
      <c r="I157" s="118"/>
      <c r="K157" s="118"/>
      <c r="M157" s="118"/>
      <c r="O157" s="118"/>
      <c r="P157" s="119"/>
      <c r="S157" s="118"/>
      <c r="U157" s="118"/>
      <c r="W157" s="118"/>
      <c r="Y157" s="118"/>
      <c r="AA157" s="118"/>
      <c r="AC157" s="118"/>
      <c r="AE157" s="118"/>
      <c r="AF157" s="119"/>
    </row>
    <row r="158" spans="1:32" x14ac:dyDescent="0.3">
      <c r="A158" s="118"/>
      <c r="C158" s="118"/>
      <c r="E158" s="118"/>
      <c r="G158" s="118"/>
      <c r="I158" s="118"/>
      <c r="K158" s="118"/>
      <c r="M158" s="118"/>
      <c r="O158" s="118"/>
      <c r="P158" s="119"/>
      <c r="S158" s="118"/>
      <c r="U158" s="118"/>
      <c r="W158" s="118"/>
      <c r="Y158" s="118"/>
      <c r="AA158" s="118"/>
      <c r="AC158" s="118"/>
      <c r="AE158" s="118"/>
      <c r="AF158" s="119"/>
    </row>
    <row r="159" spans="1:32" x14ac:dyDescent="0.3">
      <c r="A159" s="118"/>
      <c r="C159" s="118"/>
      <c r="E159" s="118"/>
      <c r="G159" s="118"/>
      <c r="I159" s="118"/>
      <c r="K159" s="118"/>
      <c r="M159" s="118"/>
      <c r="O159" s="118"/>
      <c r="P159" s="119"/>
      <c r="S159" s="118"/>
      <c r="U159" s="118"/>
      <c r="W159" s="118"/>
      <c r="Y159" s="118"/>
      <c r="AA159" s="118"/>
      <c r="AC159" s="118"/>
      <c r="AE159" s="118"/>
      <c r="AF159" s="119"/>
    </row>
    <row r="160" spans="1:32" x14ac:dyDescent="0.3">
      <c r="A160" s="118"/>
      <c r="C160" s="118"/>
      <c r="E160" s="118"/>
      <c r="G160" s="118"/>
      <c r="I160" s="118"/>
      <c r="K160" s="118"/>
      <c r="M160" s="118"/>
      <c r="O160" s="118"/>
      <c r="P160" s="119"/>
      <c r="S160" s="118"/>
      <c r="U160" s="118"/>
      <c r="W160" s="118"/>
      <c r="Y160" s="118"/>
      <c r="AA160" s="118"/>
      <c r="AC160" s="118"/>
      <c r="AE160" s="118"/>
      <c r="AF160" s="119"/>
    </row>
    <row r="161" spans="1:32" x14ac:dyDescent="0.3">
      <c r="A161" s="118"/>
      <c r="C161" s="118"/>
      <c r="E161" s="118"/>
      <c r="G161" s="118"/>
      <c r="I161" s="118"/>
      <c r="K161" s="118"/>
      <c r="M161" s="118"/>
      <c r="O161" s="118"/>
      <c r="P161" s="119"/>
      <c r="S161" s="118"/>
      <c r="U161" s="118"/>
      <c r="W161" s="118"/>
      <c r="Y161" s="118"/>
      <c r="AA161" s="118"/>
      <c r="AC161" s="118"/>
      <c r="AE161" s="118"/>
      <c r="AF161" s="119"/>
    </row>
    <row r="162" spans="1:32" x14ac:dyDescent="0.3">
      <c r="A162" s="118"/>
      <c r="C162" s="118"/>
      <c r="E162" s="118"/>
      <c r="G162" s="118"/>
      <c r="I162" s="118"/>
      <c r="K162" s="118"/>
      <c r="M162" s="118"/>
      <c r="O162" s="118"/>
      <c r="P162" s="119"/>
      <c r="S162" s="118"/>
      <c r="U162" s="118"/>
      <c r="W162" s="118"/>
      <c r="Y162" s="118"/>
      <c r="AA162" s="118"/>
      <c r="AC162" s="118"/>
      <c r="AE162" s="118"/>
      <c r="AF162" s="119"/>
    </row>
    <row r="163" spans="1:32" x14ac:dyDescent="0.3">
      <c r="A163" s="118"/>
      <c r="C163" s="118"/>
      <c r="E163" s="118"/>
      <c r="G163" s="118"/>
      <c r="I163" s="118"/>
      <c r="K163" s="118"/>
      <c r="M163" s="118"/>
      <c r="O163" s="118"/>
      <c r="P163" s="119"/>
      <c r="S163" s="118"/>
      <c r="U163" s="118"/>
      <c r="W163" s="118"/>
      <c r="Y163" s="118"/>
      <c r="AA163" s="118"/>
      <c r="AC163" s="118"/>
      <c r="AE163" s="118"/>
      <c r="AF163" s="119"/>
    </row>
    <row r="164" spans="1:32" x14ac:dyDescent="0.3">
      <c r="A164" s="118"/>
      <c r="C164" s="118"/>
      <c r="E164" s="118"/>
      <c r="G164" s="118"/>
      <c r="I164" s="118"/>
      <c r="K164" s="118"/>
      <c r="M164" s="118"/>
      <c r="O164" s="118"/>
      <c r="P164" s="119"/>
      <c r="S164" s="118"/>
      <c r="U164" s="118"/>
      <c r="W164" s="118"/>
      <c r="Y164" s="118"/>
      <c r="AA164" s="118"/>
      <c r="AC164" s="118"/>
      <c r="AE164" s="118"/>
      <c r="AF164" s="119"/>
    </row>
    <row r="165" spans="1:32" x14ac:dyDescent="0.3">
      <c r="A165" s="118"/>
      <c r="C165" s="118"/>
      <c r="E165" s="118"/>
      <c r="G165" s="118"/>
      <c r="I165" s="118"/>
      <c r="K165" s="118"/>
      <c r="M165" s="118"/>
      <c r="O165" s="118"/>
      <c r="P165" s="119"/>
      <c r="S165" s="118"/>
      <c r="U165" s="118"/>
      <c r="W165" s="118"/>
      <c r="Y165" s="118"/>
      <c r="AA165" s="118"/>
      <c r="AC165" s="118"/>
      <c r="AE165" s="118"/>
      <c r="AF165" s="119"/>
    </row>
    <row r="166" spans="1:32" x14ac:dyDescent="0.3">
      <c r="A166" s="118"/>
      <c r="C166" s="118"/>
      <c r="E166" s="118"/>
      <c r="G166" s="118"/>
      <c r="I166" s="118"/>
      <c r="K166" s="118"/>
      <c r="M166" s="118"/>
      <c r="O166" s="118"/>
      <c r="P166" s="119"/>
      <c r="S166" s="118"/>
      <c r="U166" s="118"/>
      <c r="W166" s="118"/>
      <c r="Y166" s="118"/>
      <c r="AA166" s="118"/>
      <c r="AC166" s="118"/>
      <c r="AE166" s="118"/>
      <c r="AF166" s="119"/>
    </row>
    <row r="167" spans="1:32" x14ac:dyDescent="0.3">
      <c r="A167" s="118"/>
      <c r="C167" s="118"/>
      <c r="E167" s="118"/>
      <c r="G167" s="118"/>
      <c r="I167" s="118"/>
      <c r="K167" s="118"/>
      <c r="M167" s="118"/>
      <c r="O167" s="118"/>
      <c r="P167" s="119"/>
      <c r="S167" s="118"/>
      <c r="U167" s="118"/>
      <c r="W167" s="118"/>
      <c r="Y167" s="118"/>
      <c r="AA167" s="118"/>
      <c r="AC167" s="118"/>
      <c r="AE167" s="118"/>
      <c r="AF167" s="119"/>
    </row>
    <row r="168" spans="1:32" x14ac:dyDescent="0.3">
      <c r="A168" s="118"/>
      <c r="C168" s="118"/>
      <c r="E168" s="118"/>
      <c r="G168" s="118"/>
      <c r="I168" s="118"/>
      <c r="K168" s="118"/>
      <c r="M168" s="118"/>
      <c r="O168" s="118"/>
      <c r="P168" s="119"/>
      <c r="S168" s="118"/>
      <c r="U168" s="118"/>
      <c r="W168" s="118"/>
      <c r="Y168" s="118"/>
      <c r="AA168" s="118"/>
      <c r="AC168" s="118"/>
      <c r="AE168" s="118"/>
      <c r="AF168" s="119"/>
    </row>
    <row r="169" spans="1:32" x14ac:dyDescent="0.3">
      <c r="A169" s="118"/>
      <c r="C169" s="118"/>
      <c r="E169" s="118"/>
      <c r="G169" s="118"/>
      <c r="I169" s="118"/>
      <c r="K169" s="118"/>
      <c r="M169" s="118"/>
      <c r="O169" s="118"/>
      <c r="P169" s="119"/>
      <c r="S169" s="118"/>
      <c r="U169" s="118"/>
      <c r="W169" s="118"/>
      <c r="Y169" s="118"/>
      <c r="AA169" s="118"/>
      <c r="AC169" s="118"/>
      <c r="AE169" s="118"/>
      <c r="AF169" s="119"/>
    </row>
    <row r="170" spans="1:32" x14ac:dyDescent="0.3">
      <c r="A170" s="118"/>
      <c r="C170" s="118"/>
      <c r="E170" s="118"/>
      <c r="G170" s="118"/>
      <c r="I170" s="118"/>
      <c r="K170" s="118"/>
      <c r="M170" s="118"/>
      <c r="O170" s="118"/>
      <c r="P170" s="119"/>
      <c r="S170" s="118"/>
      <c r="U170" s="118"/>
      <c r="W170" s="118"/>
      <c r="Y170" s="118"/>
      <c r="AA170" s="118"/>
      <c r="AC170" s="118"/>
      <c r="AE170" s="118"/>
      <c r="AF170" s="119"/>
    </row>
    <row r="171" spans="1:32" x14ac:dyDescent="0.3">
      <c r="A171" s="118"/>
      <c r="C171" s="118"/>
      <c r="E171" s="118"/>
      <c r="G171" s="118"/>
      <c r="I171" s="118"/>
      <c r="K171" s="118"/>
      <c r="M171" s="118"/>
      <c r="O171" s="118"/>
      <c r="P171" s="119"/>
      <c r="S171" s="118"/>
      <c r="U171" s="118"/>
      <c r="W171" s="118"/>
      <c r="Y171" s="118"/>
      <c r="AA171" s="118"/>
      <c r="AC171" s="118"/>
      <c r="AE171" s="118"/>
      <c r="AF171" s="119"/>
    </row>
    <row r="172" spans="1:32" x14ac:dyDescent="0.3">
      <c r="A172" s="118"/>
      <c r="C172" s="118"/>
      <c r="E172" s="118"/>
      <c r="G172" s="118"/>
      <c r="I172" s="118"/>
      <c r="K172" s="118"/>
      <c r="M172" s="118"/>
      <c r="O172" s="118"/>
      <c r="P172" s="119"/>
      <c r="S172" s="118"/>
      <c r="U172" s="118"/>
      <c r="W172" s="118"/>
      <c r="Y172" s="118"/>
      <c r="AA172" s="118"/>
      <c r="AC172" s="118"/>
      <c r="AE172" s="118"/>
      <c r="AF172" s="119"/>
    </row>
    <row r="173" spans="1:32" x14ac:dyDescent="0.3">
      <c r="A173" s="118"/>
      <c r="C173" s="118"/>
      <c r="E173" s="118"/>
      <c r="G173" s="118"/>
      <c r="I173" s="118"/>
      <c r="K173" s="118"/>
      <c r="M173" s="118"/>
      <c r="O173" s="118"/>
      <c r="P173" s="119"/>
      <c r="S173" s="118"/>
      <c r="U173" s="118"/>
      <c r="W173" s="118"/>
      <c r="Y173" s="118"/>
      <c r="AA173" s="118"/>
      <c r="AC173" s="118"/>
      <c r="AE173" s="118"/>
      <c r="AF173" s="119"/>
    </row>
    <row r="174" spans="1:32" x14ac:dyDescent="0.3">
      <c r="A174" s="118"/>
      <c r="C174" s="118"/>
      <c r="E174" s="118"/>
      <c r="G174" s="118"/>
      <c r="I174" s="118"/>
      <c r="K174" s="118"/>
      <c r="M174" s="118"/>
      <c r="O174" s="118"/>
      <c r="P174" s="119"/>
      <c r="S174" s="118"/>
      <c r="U174" s="118"/>
      <c r="W174" s="118"/>
      <c r="Y174" s="118"/>
      <c r="AA174" s="118"/>
      <c r="AC174" s="118"/>
      <c r="AE174" s="118"/>
      <c r="AF174" s="119"/>
    </row>
    <row r="175" spans="1:32" x14ac:dyDescent="0.3">
      <c r="A175" s="118"/>
      <c r="C175" s="118"/>
      <c r="E175" s="118"/>
      <c r="G175" s="118"/>
      <c r="I175" s="118"/>
      <c r="K175" s="118"/>
      <c r="M175" s="118"/>
      <c r="O175" s="118"/>
      <c r="P175" s="119"/>
      <c r="S175" s="118"/>
      <c r="U175" s="118"/>
      <c r="W175" s="118"/>
      <c r="Y175" s="118"/>
      <c r="AA175" s="118"/>
      <c r="AC175" s="118"/>
      <c r="AE175" s="118"/>
      <c r="AF175" s="119"/>
    </row>
    <row r="176" spans="1:32" x14ac:dyDescent="0.3">
      <c r="A176" s="118"/>
      <c r="C176" s="118"/>
      <c r="E176" s="118"/>
      <c r="G176" s="118"/>
      <c r="I176" s="118"/>
      <c r="K176" s="118"/>
      <c r="M176" s="118"/>
      <c r="O176" s="118"/>
      <c r="P176" s="119"/>
      <c r="S176" s="118"/>
      <c r="U176" s="118"/>
      <c r="W176" s="118"/>
      <c r="Y176" s="118"/>
      <c r="AA176" s="118"/>
      <c r="AC176" s="118"/>
      <c r="AE176" s="118"/>
      <c r="AF176" s="119"/>
    </row>
    <row r="177" spans="1:32" x14ac:dyDescent="0.3">
      <c r="A177" s="118"/>
      <c r="C177" s="118"/>
      <c r="E177" s="118"/>
      <c r="G177" s="118"/>
      <c r="I177" s="118"/>
      <c r="K177" s="118"/>
      <c r="M177" s="118"/>
      <c r="O177" s="118"/>
      <c r="P177" s="119"/>
      <c r="S177" s="118"/>
      <c r="U177" s="118"/>
      <c r="W177" s="118"/>
      <c r="Y177" s="118"/>
      <c r="AA177" s="118"/>
      <c r="AC177" s="118"/>
      <c r="AE177" s="118"/>
      <c r="AF177" s="119"/>
    </row>
    <row r="178" spans="1:32" x14ac:dyDescent="0.3">
      <c r="A178" s="118"/>
      <c r="C178" s="118"/>
      <c r="E178" s="118"/>
      <c r="G178" s="118"/>
      <c r="I178" s="118"/>
      <c r="K178" s="118"/>
      <c r="M178" s="118"/>
      <c r="O178" s="118"/>
      <c r="P178" s="119"/>
      <c r="S178" s="118"/>
      <c r="U178" s="118"/>
      <c r="W178" s="118"/>
      <c r="Y178" s="118"/>
      <c r="AA178" s="118"/>
      <c r="AC178" s="118"/>
      <c r="AE178" s="118"/>
      <c r="AF178" s="119"/>
    </row>
    <row r="179" spans="1:32" x14ac:dyDescent="0.3">
      <c r="A179" s="118"/>
      <c r="C179" s="118"/>
      <c r="E179" s="118"/>
      <c r="G179" s="118"/>
      <c r="I179" s="118"/>
      <c r="K179" s="118"/>
      <c r="M179" s="118"/>
      <c r="O179" s="118"/>
      <c r="P179" s="119"/>
      <c r="S179" s="118"/>
      <c r="U179" s="118"/>
      <c r="W179" s="118"/>
      <c r="Y179" s="118"/>
      <c r="AA179" s="118"/>
      <c r="AC179" s="118"/>
      <c r="AE179" s="118"/>
      <c r="AF179" s="119"/>
    </row>
    <row r="180" spans="1:32" x14ac:dyDescent="0.3">
      <c r="A180" s="118"/>
      <c r="C180" s="118"/>
      <c r="E180" s="118"/>
      <c r="G180" s="118"/>
      <c r="I180" s="118"/>
      <c r="K180" s="118"/>
      <c r="M180" s="118"/>
      <c r="O180" s="118"/>
      <c r="P180" s="119"/>
      <c r="S180" s="118"/>
      <c r="U180" s="118"/>
      <c r="W180" s="118"/>
      <c r="Y180" s="118"/>
      <c r="AA180" s="118"/>
      <c r="AC180" s="118"/>
      <c r="AE180" s="118"/>
      <c r="AF180" s="119"/>
    </row>
    <row r="181" spans="1:32" x14ac:dyDescent="0.3">
      <c r="A181" s="118"/>
      <c r="C181" s="118"/>
      <c r="E181" s="118"/>
      <c r="G181" s="118"/>
      <c r="I181" s="118"/>
      <c r="K181" s="118"/>
      <c r="M181" s="118"/>
      <c r="O181" s="118"/>
      <c r="P181" s="119"/>
      <c r="S181" s="118"/>
      <c r="U181" s="118"/>
      <c r="W181" s="118"/>
      <c r="Y181" s="118"/>
      <c r="AA181" s="118"/>
      <c r="AC181" s="118"/>
      <c r="AE181" s="118"/>
      <c r="AF181" s="119"/>
    </row>
    <row r="182" spans="1:32" x14ac:dyDescent="0.3">
      <c r="A182" s="118"/>
      <c r="C182" s="118"/>
      <c r="E182" s="118"/>
      <c r="G182" s="118"/>
      <c r="I182" s="118"/>
      <c r="K182" s="118"/>
      <c r="M182" s="118"/>
      <c r="O182" s="118"/>
      <c r="P182" s="119"/>
      <c r="S182" s="118"/>
      <c r="U182" s="118"/>
      <c r="W182" s="118"/>
      <c r="Y182" s="118"/>
      <c r="AA182" s="118"/>
      <c r="AC182" s="118"/>
      <c r="AE182" s="118"/>
      <c r="AF182" s="119"/>
    </row>
    <row r="183" spans="1:32" x14ac:dyDescent="0.3">
      <c r="A183" s="118"/>
      <c r="C183" s="118"/>
      <c r="E183" s="118"/>
      <c r="G183" s="118"/>
      <c r="I183" s="118"/>
      <c r="K183" s="118"/>
      <c r="M183" s="118"/>
      <c r="O183" s="118"/>
      <c r="P183" s="119"/>
      <c r="S183" s="118"/>
      <c r="U183" s="118"/>
      <c r="W183" s="118"/>
      <c r="Y183" s="118"/>
      <c r="AA183" s="118"/>
      <c r="AC183" s="118"/>
      <c r="AE183" s="118"/>
      <c r="AF183" s="119"/>
    </row>
    <row r="184" spans="1:32" x14ac:dyDescent="0.3">
      <c r="A184" s="118"/>
      <c r="C184" s="118"/>
      <c r="E184" s="118"/>
      <c r="G184" s="118"/>
      <c r="I184" s="118"/>
      <c r="K184" s="118"/>
      <c r="M184" s="118"/>
      <c r="O184" s="118"/>
      <c r="P184" s="119"/>
      <c r="S184" s="118"/>
      <c r="U184" s="118"/>
      <c r="W184" s="118"/>
      <c r="Y184" s="118"/>
      <c r="AA184" s="118"/>
      <c r="AC184" s="118"/>
      <c r="AE184" s="118"/>
      <c r="AF184" s="119"/>
    </row>
    <row r="185" spans="1:32" x14ac:dyDescent="0.3">
      <c r="A185" s="118"/>
      <c r="C185" s="118"/>
      <c r="E185" s="118"/>
      <c r="G185" s="118"/>
      <c r="I185" s="118"/>
      <c r="K185" s="118"/>
      <c r="M185" s="118"/>
      <c r="O185" s="118"/>
      <c r="P185" s="119"/>
      <c r="S185" s="118"/>
      <c r="U185" s="118"/>
      <c r="W185" s="118"/>
      <c r="Y185" s="118"/>
      <c r="AA185" s="118"/>
      <c r="AC185" s="118"/>
      <c r="AE185" s="118"/>
      <c r="AF185" s="119"/>
    </row>
    <row r="186" spans="1:32" x14ac:dyDescent="0.3">
      <c r="A186" s="118"/>
      <c r="C186" s="118"/>
      <c r="E186" s="118"/>
      <c r="G186" s="118"/>
      <c r="I186" s="118"/>
      <c r="K186" s="118"/>
      <c r="M186" s="118"/>
      <c r="O186" s="118"/>
      <c r="P186" s="119"/>
      <c r="S186" s="118"/>
      <c r="U186" s="118"/>
      <c r="W186" s="118"/>
      <c r="Y186" s="118"/>
      <c r="AA186" s="118"/>
      <c r="AC186" s="118"/>
      <c r="AE186" s="118"/>
      <c r="AF186" s="119"/>
    </row>
    <row r="187" spans="1:32" x14ac:dyDescent="0.3">
      <c r="A187" s="118"/>
      <c r="C187" s="118"/>
      <c r="E187" s="118"/>
      <c r="G187" s="118"/>
      <c r="I187" s="118"/>
      <c r="K187" s="118"/>
      <c r="M187" s="118"/>
      <c r="O187" s="118"/>
      <c r="P187" s="119"/>
      <c r="S187" s="118"/>
      <c r="U187" s="118"/>
      <c r="W187" s="118"/>
      <c r="Y187" s="118"/>
      <c r="AA187" s="118"/>
      <c r="AC187" s="118"/>
      <c r="AE187" s="118"/>
      <c r="AF187" s="119"/>
    </row>
    <row r="188" spans="1:32" x14ac:dyDescent="0.3">
      <c r="A188" s="118"/>
      <c r="C188" s="118"/>
      <c r="E188" s="118"/>
      <c r="G188" s="118"/>
      <c r="I188" s="118"/>
      <c r="K188" s="118"/>
      <c r="M188" s="118"/>
      <c r="O188" s="118"/>
      <c r="P188" s="119"/>
      <c r="S188" s="118"/>
      <c r="U188" s="118"/>
      <c r="W188" s="118"/>
      <c r="Y188" s="118"/>
      <c r="AA188" s="118"/>
      <c r="AC188" s="118"/>
      <c r="AE188" s="118"/>
      <c r="AF188" s="119"/>
    </row>
    <row r="189" spans="1:32" x14ac:dyDescent="0.3">
      <c r="A189" s="118"/>
      <c r="C189" s="118"/>
      <c r="E189" s="118"/>
      <c r="G189" s="118"/>
      <c r="I189" s="118"/>
      <c r="K189" s="118"/>
      <c r="M189" s="118"/>
      <c r="O189" s="118"/>
      <c r="P189" s="119"/>
      <c r="S189" s="118"/>
      <c r="U189" s="118"/>
      <c r="W189" s="118"/>
      <c r="Y189" s="118"/>
      <c r="AA189" s="118"/>
      <c r="AC189" s="118"/>
      <c r="AE189" s="118"/>
      <c r="AF189" s="119"/>
    </row>
    <row r="190" spans="1:32" x14ac:dyDescent="0.3">
      <c r="A190" s="118"/>
      <c r="C190" s="118"/>
      <c r="E190" s="118"/>
      <c r="G190" s="118"/>
      <c r="I190" s="118"/>
      <c r="K190" s="118"/>
      <c r="M190" s="118"/>
      <c r="O190" s="118"/>
      <c r="P190" s="119"/>
      <c r="S190" s="118"/>
      <c r="U190" s="118"/>
      <c r="W190" s="118"/>
      <c r="Y190" s="118"/>
      <c r="AA190" s="118"/>
      <c r="AC190" s="118"/>
      <c r="AE190" s="118"/>
      <c r="AF190" s="119"/>
    </row>
    <row r="191" spans="1:32" x14ac:dyDescent="0.3">
      <c r="A191" s="118"/>
      <c r="C191" s="118"/>
      <c r="E191" s="118"/>
      <c r="G191" s="118"/>
      <c r="I191" s="118"/>
      <c r="K191" s="118"/>
      <c r="M191" s="118"/>
      <c r="O191" s="118"/>
      <c r="P191" s="119"/>
      <c r="S191" s="118"/>
      <c r="U191" s="118"/>
      <c r="W191" s="118"/>
      <c r="Y191" s="118"/>
      <c r="AA191" s="118"/>
      <c r="AC191" s="118"/>
      <c r="AE191" s="118"/>
      <c r="AF191" s="119"/>
    </row>
    <row r="192" spans="1:32" x14ac:dyDescent="0.3">
      <c r="A192" s="118"/>
      <c r="C192" s="118"/>
      <c r="E192" s="118"/>
      <c r="G192" s="118"/>
      <c r="I192" s="118"/>
      <c r="K192" s="118"/>
      <c r="M192" s="118"/>
      <c r="O192" s="118"/>
      <c r="P192" s="119"/>
      <c r="S192" s="118"/>
      <c r="U192" s="118"/>
      <c r="W192" s="118"/>
      <c r="Y192" s="118"/>
      <c r="AA192" s="118"/>
      <c r="AC192" s="118"/>
      <c r="AE192" s="118"/>
      <c r="AF192" s="119"/>
    </row>
    <row r="193" spans="1:32" x14ac:dyDescent="0.3">
      <c r="A193" s="118"/>
      <c r="C193" s="118"/>
      <c r="E193" s="118"/>
      <c r="G193" s="118"/>
      <c r="I193" s="118"/>
      <c r="K193" s="118"/>
      <c r="M193" s="118"/>
      <c r="O193" s="118"/>
      <c r="P193" s="119"/>
      <c r="S193" s="118"/>
      <c r="U193" s="118"/>
      <c r="W193" s="118"/>
      <c r="Y193" s="118"/>
      <c r="AA193" s="118"/>
      <c r="AC193" s="118"/>
      <c r="AE193" s="118"/>
      <c r="AF193" s="119"/>
    </row>
    <row r="194" spans="1:32" x14ac:dyDescent="0.3">
      <c r="A194" s="118"/>
      <c r="C194" s="118"/>
      <c r="E194" s="118"/>
      <c r="G194" s="118"/>
      <c r="I194" s="118"/>
      <c r="K194" s="118"/>
      <c r="M194" s="118"/>
      <c r="O194" s="118"/>
      <c r="P194" s="119"/>
      <c r="S194" s="118"/>
      <c r="U194" s="118"/>
      <c r="W194" s="118"/>
      <c r="Y194" s="118"/>
      <c r="AA194" s="118"/>
      <c r="AC194" s="118"/>
      <c r="AE194" s="118"/>
      <c r="AF194" s="119"/>
    </row>
    <row r="195" spans="1:32" x14ac:dyDescent="0.3">
      <c r="A195" s="118"/>
      <c r="C195" s="118"/>
      <c r="E195" s="118"/>
      <c r="G195" s="118"/>
      <c r="I195" s="118"/>
      <c r="K195" s="118"/>
      <c r="M195" s="118"/>
      <c r="O195" s="118"/>
      <c r="P195" s="119"/>
      <c r="S195" s="118"/>
      <c r="U195" s="118"/>
      <c r="W195" s="118"/>
      <c r="Y195" s="118"/>
      <c r="AA195" s="118"/>
      <c r="AC195" s="118"/>
      <c r="AE195" s="118"/>
      <c r="AF195" s="119"/>
    </row>
    <row r="196" spans="1:32" x14ac:dyDescent="0.3">
      <c r="A196" s="118"/>
      <c r="C196" s="118"/>
      <c r="E196" s="118"/>
      <c r="G196" s="118"/>
      <c r="I196" s="118"/>
      <c r="K196" s="118"/>
      <c r="M196" s="118"/>
      <c r="O196" s="118"/>
      <c r="P196" s="119"/>
      <c r="S196" s="118"/>
      <c r="U196" s="118"/>
      <c r="W196" s="118"/>
      <c r="Y196" s="118"/>
      <c r="AA196" s="118"/>
      <c r="AC196" s="118"/>
      <c r="AE196" s="118"/>
      <c r="AF196" s="119"/>
    </row>
    <row r="197" spans="1:32" x14ac:dyDescent="0.3">
      <c r="A197" s="118"/>
      <c r="C197" s="118"/>
      <c r="E197" s="118"/>
      <c r="G197" s="118"/>
      <c r="I197" s="118"/>
      <c r="K197" s="118"/>
      <c r="M197" s="118"/>
      <c r="O197" s="118"/>
      <c r="P197" s="119"/>
      <c r="S197" s="118"/>
      <c r="U197" s="118"/>
      <c r="W197" s="118"/>
      <c r="Y197" s="118"/>
      <c r="AA197" s="118"/>
      <c r="AC197" s="118"/>
      <c r="AE197" s="118"/>
      <c r="AF197" s="119"/>
    </row>
    <row r="198" spans="1:32" x14ac:dyDescent="0.3">
      <c r="A198" s="118"/>
      <c r="C198" s="118"/>
      <c r="E198" s="118"/>
      <c r="G198" s="118"/>
      <c r="I198" s="118"/>
      <c r="K198" s="118"/>
      <c r="M198" s="118"/>
      <c r="O198" s="118"/>
      <c r="P198" s="119"/>
      <c r="S198" s="118"/>
      <c r="U198" s="118"/>
      <c r="W198" s="118"/>
      <c r="Y198" s="118"/>
      <c r="AA198" s="118"/>
      <c r="AC198" s="118"/>
      <c r="AE198" s="118"/>
      <c r="AF198" s="119"/>
    </row>
    <row r="199" spans="1:32" x14ac:dyDescent="0.3">
      <c r="A199" s="118"/>
      <c r="C199" s="118"/>
      <c r="E199" s="118"/>
      <c r="G199" s="118"/>
      <c r="I199" s="118"/>
      <c r="K199" s="118"/>
      <c r="M199" s="118"/>
      <c r="O199" s="118"/>
      <c r="P199" s="119"/>
      <c r="S199" s="118"/>
      <c r="U199" s="118"/>
      <c r="W199" s="118"/>
      <c r="Y199" s="118"/>
      <c r="AA199" s="118"/>
      <c r="AC199" s="118"/>
      <c r="AE199" s="118"/>
      <c r="AF199" s="119"/>
    </row>
    <row r="200" spans="1:32" x14ac:dyDescent="0.3">
      <c r="A200" s="118"/>
      <c r="C200" s="118"/>
      <c r="E200" s="118"/>
      <c r="G200" s="118"/>
      <c r="I200" s="118"/>
      <c r="K200" s="118"/>
      <c r="M200" s="118"/>
      <c r="O200" s="118"/>
      <c r="P200" s="119"/>
      <c r="S200" s="118"/>
      <c r="U200" s="118"/>
      <c r="W200" s="118"/>
      <c r="Y200" s="118"/>
      <c r="AA200" s="118"/>
      <c r="AC200" s="118"/>
      <c r="AE200" s="118"/>
      <c r="AF200" s="119"/>
    </row>
    <row r="201" spans="1:32" x14ac:dyDescent="0.3">
      <c r="A201" s="118"/>
      <c r="C201" s="118"/>
      <c r="E201" s="118"/>
      <c r="G201" s="118"/>
      <c r="I201" s="118"/>
      <c r="K201" s="118"/>
      <c r="M201" s="118"/>
      <c r="O201" s="118"/>
      <c r="P201" s="119"/>
      <c r="S201" s="118"/>
      <c r="U201" s="118"/>
      <c r="W201" s="118"/>
      <c r="Y201" s="118"/>
      <c r="AA201" s="118"/>
      <c r="AC201" s="118"/>
      <c r="AE201" s="118"/>
      <c r="AF201" s="119"/>
    </row>
    <row r="202" spans="1:32" x14ac:dyDescent="0.3">
      <c r="A202" s="118"/>
      <c r="C202" s="118"/>
      <c r="E202" s="118"/>
      <c r="G202" s="118"/>
      <c r="I202" s="118"/>
      <c r="K202" s="118"/>
      <c r="M202" s="118"/>
      <c r="O202" s="118"/>
      <c r="P202" s="119"/>
      <c r="S202" s="118"/>
      <c r="U202" s="118"/>
      <c r="W202" s="118"/>
      <c r="Y202" s="118"/>
      <c r="AA202" s="118"/>
      <c r="AC202" s="118"/>
      <c r="AE202" s="118"/>
      <c r="AF202" s="119"/>
    </row>
    <row r="203" spans="1:32" x14ac:dyDescent="0.3">
      <c r="A203" s="118"/>
      <c r="C203" s="118"/>
      <c r="E203" s="118"/>
      <c r="G203" s="118"/>
      <c r="I203" s="118"/>
      <c r="K203" s="118"/>
      <c r="M203" s="118"/>
      <c r="O203" s="118"/>
      <c r="P203" s="119"/>
      <c r="S203" s="118"/>
      <c r="U203" s="118"/>
      <c r="W203" s="118"/>
      <c r="Y203" s="118"/>
      <c r="AA203" s="118"/>
      <c r="AC203" s="118"/>
      <c r="AE203" s="118"/>
      <c r="AF203" s="119"/>
    </row>
    <row r="204" spans="1:32" x14ac:dyDescent="0.3">
      <c r="A204" s="118"/>
      <c r="C204" s="118"/>
      <c r="E204" s="118"/>
      <c r="G204" s="118"/>
      <c r="I204" s="118"/>
      <c r="K204" s="118"/>
      <c r="M204" s="118"/>
      <c r="O204" s="118"/>
      <c r="P204" s="119"/>
      <c r="S204" s="118"/>
      <c r="U204" s="118"/>
      <c r="W204" s="118"/>
      <c r="Y204" s="118"/>
      <c r="AA204" s="118"/>
      <c r="AC204" s="118"/>
      <c r="AE204" s="118"/>
      <c r="AF204" s="119"/>
    </row>
    <row r="205" spans="1:32" x14ac:dyDescent="0.3">
      <c r="A205" s="118"/>
      <c r="C205" s="118"/>
      <c r="E205" s="118"/>
      <c r="G205" s="118"/>
      <c r="I205" s="118"/>
      <c r="K205" s="118"/>
      <c r="M205" s="118"/>
      <c r="O205" s="118"/>
      <c r="P205" s="119"/>
      <c r="S205" s="118"/>
      <c r="U205" s="118"/>
      <c r="W205" s="118"/>
      <c r="Y205" s="118"/>
      <c r="AA205" s="118"/>
      <c r="AC205" s="118"/>
      <c r="AE205" s="118"/>
      <c r="AF205" s="119"/>
    </row>
    <row r="206" spans="1:32" x14ac:dyDescent="0.3">
      <c r="A206" s="118"/>
      <c r="C206" s="118"/>
      <c r="E206" s="118"/>
      <c r="G206" s="118"/>
      <c r="I206" s="118"/>
      <c r="K206" s="118"/>
      <c r="M206" s="118"/>
      <c r="O206" s="118"/>
      <c r="P206" s="119"/>
      <c r="S206" s="118"/>
      <c r="U206" s="118"/>
      <c r="W206" s="118"/>
      <c r="Y206" s="118"/>
      <c r="AA206" s="118"/>
      <c r="AC206" s="118"/>
      <c r="AE206" s="118"/>
      <c r="AF206" s="119"/>
    </row>
    <row r="207" spans="1:32" x14ac:dyDescent="0.3">
      <c r="A207" s="118"/>
      <c r="C207" s="118"/>
      <c r="E207" s="118"/>
      <c r="G207" s="118"/>
      <c r="I207" s="118"/>
      <c r="K207" s="118"/>
      <c r="M207" s="118"/>
      <c r="O207" s="118"/>
      <c r="P207" s="119"/>
      <c r="S207" s="118"/>
      <c r="U207" s="118"/>
      <c r="W207" s="118"/>
      <c r="Y207" s="118"/>
      <c r="AA207" s="118"/>
      <c r="AC207" s="118"/>
      <c r="AE207" s="118"/>
      <c r="AF207" s="119"/>
    </row>
    <row r="208" spans="1:32" x14ac:dyDescent="0.3">
      <c r="A208" s="118"/>
      <c r="C208" s="118"/>
      <c r="E208" s="118"/>
      <c r="G208" s="118"/>
      <c r="I208" s="118"/>
      <c r="K208" s="118"/>
      <c r="M208" s="118"/>
      <c r="O208" s="118"/>
      <c r="P208" s="119"/>
      <c r="S208" s="118"/>
      <c r="U208" s="118"/>
      <c r="W208" s="118"/>
      <c r="Y208" s="118"/>
      <c r="AA208" s="118"/>
      <c r="AC208" s="118"/>
      <c r="AE208" s="118"/>
      <c r="AF208" s="119"/>
    </row>
    <row r="209" spans="1:32" x14ac:dyDescent="0.3">
      <c r="A209" s="118"/>
      <c r="C209" s="118"/>
      <c r="E209" s="118"/>
      <c r="G209" s="118"/>
      <c r="I209" s="118"/>
      <c r="K209" s="118"/>
      <c r="M209" s="118"/>
      <c r="O209" s="118"/>
      <c r="P209" s="119"/>
      <c r="S209" s="118"/>
      <c r="U209" s="118"/>
      <c r="W209" s="118"/>
      <c r="Y209" s="118"/>
      <c r="AA209" s="118"/>
      <c r="AC209" s="118"/>
      <c r="AE209" s="118"/>
      <c r="AF209" s="119"/>
    </row>
    <row r="210" spans="1:32" x14ac:dyDescent="0.3">
      <c r="A210" s="118"/>
      <c r="C210" s="118"/>
      <c r="E210" s="118"/>
      <c r="G210" s="118"/>
      <c r="I210" s="118"/>
      <c r="K210" s="118"/>
      <c r="M210" s="118"/>
      <c r="O210" s="118"/>
      <c r="P210" s="119"/>
      <c r="S210" s="118"/>
      <c r="U210" s="118"/>
      <c r="W210" s="118"/>
      <c r="Y210" s="118"/>
      <c r="AA210" s="118"/>
      <c r="AC210" s="118"/>
      <c r="AE210" s="118"/>
      <c r="AF210" s="119"/>
    </row>
    <row r="211" spans="1:32" x14ac:dyDescent="0.3">
      <c r="A211" s="118"/>
      <c r="C211" s="118"/>
      <c r="E211" s="118"/>
      <c r="G211" s="118"/>
      <c r="I211" s="118"/>
      <c r="K211" s="118"/>
      <c r="M211" s="118"/>
      <c r="O211" s="118"/>
      <c r="P211" s="119"/>
      <c r="S211" s="118"/>
      <c r="U211" s="118"/>
      <c r="W211" s="118"/>
      <c r="Y211" s="118"/>
      <c r="AA211" s="118"/>
      <c r="AC211" s="118"/>
      <c r="AE211" s="118"/>
      <c r="AF211" s="119"/>
    </row>
    <row r="212" spans="1:32" x14ac:dyDescent="0.3">
      <c r="A212" s="118"/>
      <c r="C212" s="118"/>
      <c r="E212" s="118"/>
      <c r="G212" s="118"/>
      <c r="I212" s="118"/>
      <c r="K212" s="118"/>
      <c r="M212" s="118"/>
      <c r="O212" s="118"/>
      <c r="P212" s="119"/>
      <c r="S212" s="118"/>
      <c r="U212" s="118"/>
      <c r="W212" s="118"/>
      <c r="Y212" s="118"/>
      <c r="AA212" s="118"/>
      <c r="AC212" s="118"/>
      <c r="AE212" s="118"/>
      <c r="AF212" s="119"/>
    </row>
    <row r="213" spans="1:32" x14ac:dyDescent="0.3">
      <c r="A213" s="118"/>
      <c r="C213" s="118"/>
      <c r="E213" s="118"/>
      <c r="G213" s="118"/>
      <c r="I213" s="118"/>
      <c r="K213" s="118"/>
      <c r="M213" s="118"/>
      <c r="O213" s="118"/>
      <c r="P213" s="119"/>
      <c r="S213" s="118"/>
      <c r="U213" s="118"/>
      <c r="W213" s="118"/>
      <c r="Y213" s="118"/>
      <c r="AA213" s="118"/>
      <c r="AC213" s="118"/>
      <c r="AE213" s="118"/>
      <c r="AF213" s="119"/>
    </row>
    <row r="214" spans="1:32" x14ac:dyDescent="0.3">
      <c r="A214" s="118"/>
      <c r="C214" s="118"/>
      <c r="E214" s="118"/>
      <c r="G214" s="118"/>
      <c r="I214" s="118"/>
      <c r="K214" s="118"/>
      <c r="M214" s="118"/>
      <c r="O214" s="118"/>
      <c r="P214" s="119"/>
      <c r="S214" s="118"/>
      <c r="U214" s="118"/>
      <c r="W214" s="118"/>
      <c r="Y214" s="118"/>
      <c r="AA214" s="118"/>
      <c r="AC214" s="118"/>
      <c r="AE214" s="118"/>
      <c r="AF214" s="119"/>
    </row>
    <row r="215" spans="1:32" x14ac:dyDescent="0.3">
      <c r="A215" s="118"/>
      <c r="C215" s="118"/>
      <c r="E215" s="118"/>
      <c r="G215" s="118"/>
      <c r="I215" s="118"/>
      <c r="K215" s="118"/>
      <c r="M215" s="118"/>
      <c r="O215" s="118"/>
      <c r="P215" s="119"/>
      <c r="S215" s="118"/>
      <c r="U215" s="118"/>
      <c r="W215" s="118"/>
      <c r="Y215" s="118"/>
      <c r="AA215" s="118"/>
      <c r="AC215" s="118"/>
      <c r="AE215" s="118"/>
      <c r="AF215" s="119"/>
    </row>
    <row r="216" spans="1:32" x14ac:dyDescent="0.3">
      <c r="A216" s="118"/>
      <c r="C216" s="118"/>
      <c r="E216" s="118"/>
      <c r="G216" s="118"/>
      <c r="I216" s="118"/>
      <c r="K216" s="118"/>
      <c r="M216" s="118"/>
      <c r="O216" s="118"/>
      <c r="P216" s="119"/>
      <c r="S216" s="118"/>
      <c r="U216" s="118"/>
      <c r="W216" s="118"/>
      <c r="Y216" s="118"/>
      <c r="AA216" s="118"/>
      <c r="AC216" s="118"/>
      <c r="AE216" s="118"/>
      <c r="AF216" s="119"/>
    </row>
    <row r="217" spans="1:32" x14ac:dyDescent="0.3">
      <c r="A217" s="118"/>
      <c r="C217" s="118"/>
      <c r="E217" s="118"/>
      <c r="G217" s="118"/>
      <c r="I217" s="118"/>
      <c r="K217" s="118"/>
      <c r="M217" s="118"/>
      <c r="O217" s="118"/>
      <c r="P217" s="119"/>
      <c r="S217" s="118"/>
      <c r="U217" s="118"/>
      <c r="W217" s="118"/>
      <c r="Y217" s="118"/>
      <c r="AA217" s="118"/>
      <c r="AC217" s="118"/>
      <c r="AE217" s="118"/>
      <c r="AF217" s="119"/>
    </row>
    <row r="218" spans="1:32" x14ac:dyDescent="0.3">
      <c r="A218" s="118"/>
      <c r="C218" s="118"/>
      <c r="E218" s="118"/>
      <c r="G218" s="118"/>
      <c r="I218" s="118"/>
      <c r="K218" s="118"/>
      <c r="M218" s="118"/>
      <c r="O218" s="118"/>
      <c r="P218" s="119"/>
      <c r="S218" s="118"/>
      <c r="U218" s="118"/>
      <c r="W218" s="118"/>
      <c r="Y218" s="118"/>
      <c r="AA218" s="118"/>
      <c r="AC218" s="118"/>
      <c r="AE218" s="118"/>
      <c r="AF218" s="119"/>
    </row>
    <row r="219" spans="1:32" x14ac:dyDescent="0.3">
      <c r="A219" s="118"/>
      <c r="C219" s="118"/>
      <c r="E219" s="118"/>
      <c r="G219" s="118"/>
      <c r="I219" s="118"/>
      <c r="K219" s="118"/>
      <c r="M219" s="118"/>
      <c r="O219" s="118"/>
      <c r="P219" s="119"/>
      <c r="S219" s="118"/>
      <c r="U219" s="118"/>
      <c r="W219" s="118"/>
      <c r="Y219" s="118"/>
      <c r="AA219" s="118"/>
      <c r="AC219" s="118"/>
      <c r="AE219" s="118"/>
      <c r="AF219" s="119"/>
    </row>
    <row r="220" spans="1:32" x14ac:dyDescent="0.3">
      <c r="A220" s="118"/>
      <c r="C220" s="118"/>
      <c r="E220" s="118"/>
      <c r="G220" s="118"/>
      <c r="I220" s="118"/>
      <c r="K220" s="118"/>
      <c r="M220" s="118"/>
      <c r="O220" s="118"/>
      <c r="P220" s="119"/>
      <c r="S220" s="118"/>
      <c r="U220" s="118"/>
      <c r="W220" s="118"/>
      <c r="Y220" s="118"/>
      <c r="AA220" s="118"/>
      <c r="AC220" s="118"/>
      <c r="AE220" s="118"/>
      <c r="AF220" s="119"/>
    </row>
    <row r="221" spans="1:32" x14ac:dyDescent="0.3">
      <c r="A221" s="118"/>
      <c r="C221" s="118"/>
      <c r="E221" s="118"/>
      <c r="G221" s="118"/>
      <c r="I221" s="118"/>
      <c r="K221" s="118"/>
      <c r="M221" s="118"/>
      <c r="O221" s="118"/>
      <c r="P221" s="119"/>
      <c r="S221" s="118"/>
      <c r="U221" s="118"/>
      <c r="W221" s="118"/>
      <c r="Y221" s="118"/>
      <c r="AA221" s="118"/>
      <c r="AC221" s="118"/>
      <c r="AE221" s="118"/>
      <c r="AF221" s="119"/>
    </row>
    <row r="222" spans="1:32" x14ac:dyDescent="0.3">
      <c r="A222" s="118"/>
      <c r="C222" s="118"/>
      <c r="E222" s="118"/>
      <c r="G222" s="118"/>
      <c r="I222" s="118"/>
      <c r="K222" s="118"/>
      <c r="M222" s="118"/>
      <c r="O222" s="118"/>
      <c r="P222" s="119"/>
      <c r="S222" s="118"/>
      <c r="U222" s="118"/>
      <c r="W222" s="118"/>
      <c r="Y222" s="118"/>
      <c r="AA222" s="118"/>
      <c r="AC222" s="118"/>
      <c r="AE222" s="118"/>
      <c r="AF222" s="119"/>
    </row>
    <row r="223" spans="1:32" x14ac:dyDescent="0.3">
      <c r="A223" s="118"/>
      <c r="C223" s="118"/>
      <c r="E223" s="118"/>
      <c r="G223" s="118"/>
      <c r="I223" s="118"/>
      <c r="K223" s="118"/>
      <c r="M223" s="118"/>
      <c r="O223" s="118"/>
      <c r="P223" s="119"/>
      <c r="S223" s="118"/>
      <c r="U223" s="118"/>
      <c r="W223" s="118"/>
      <c r="Y223" s="118"/>
      <c r="AA223" s="118"/>
      <c r="AC223" s="118"/>
      <c r="AE223" s="118"/>
      <c r="AF223" s="119"/>
    </row>
    <row r="224" spans="1:32" x14ac:dyDescent="0.3">
      <c r="A224" s="118"/>
      <c r="C224" s="118"/>
      <c r="E224" s="118"/>
      <c r="G224" s="118"/>
      <c r="I224" s="118"/>
      <c r="K224" s="118"/>
      <c r="M224" s="118"/>
      <c r="O224" s="118"/>
      <c r="P224" s="119"/>
      <c r="S224" s="118"/>
      <c r="U224" s="118"/>
      <c r="W224" s="118"/>
      <c r="Y224" s="118"/>
      <c r="AA224" s="118"/>
      <c r="AC224" s="118"/>
      <c r="AE224" s="118"/>
      <c r="AF224" s="119"/>
    </row>
    <row r="225" spans="1:32" x14ac:dyDescent="0.3">
      <c r="A225" s="118"/>
      <c r="C225" s="118"/>
      <c r="E225" s="118"/>
      <c r="G225" s="118"/>
      <c r="I225" s="118"/>
      <c r="K225" s="118"/>
      <c r="M225" s="118"/>
      <c r="O225" s="118"/>
      <c r="P225" s="119"/>
      <c r="S225" s="118"/>
      <c r="U225" s="118"/>
      <c r="W225" s="118"/>
      <c r="Y225" s="118"/>
      <c r="AA225" s="118"/>
      <c r="AC225" s="118"/>
      <c r="AE225" s="118"/>
      <c r="AF225" s="119"/>
    </row>
    <row r="226" spans="1:32" x14ac:dyDescent="0.3">
      <c r="A226" s="118"/>
      <c r="C226" s="118"/>
      <c r="E226" s="118"/>
      <c r="G226" s="118"/>
      <c r="I226" s="118"/>
      <c r="K226" s="118"/>
      <c r="M226" s="118"/>
      <c r="O226" s="118"/>
      <c r="P226" s="119"/>
      <c r="S226" s="118"/>
      <c r="U226" s="118"/>
      <c r="W226" s="118"/>
      <c r="Y226" s="118"/>
      <c r="AA226" s="118"/>
      <c r="AC226" s="118"/>
      <c r="AE226" s="118"/>
      <c r="AF226" s="119"/>
    </row>
    <row r="227" spans="1:32" x14ac:dyDescent="0.3">
      <c r="A227" s="118"/>
      <c r="C227" s="118"/>
      <c r="E227" s="118"/>
      <c r="G227" s="118"/>
      <c r="I227" s="118"/>
      <c r="K227" s="118"/>
      <c r="M227" s="118"/>
      <c r="O227" s="118"/>
      <c r="P227" s="119"/>
      <c r="S227" s="118"/>
      <c r="U227" s="118"/>
      <c r="W227" s="118"/>
      <c r="Y227" s="118"/>
      <c r="AA227" s="118"/>
      <c r="AC227" s="118"/>
      <c r="AE227" s="118"/>
      <c r="AF227" s="119"/>
    </row>
    <row r="228" spans="1:32" x14ac:dyDescent="0.3">
      <c r="A228" s="118"/>
      <c r="C228" s="118"/>
      <c r="E228" s="118"/>
      <c r="G228" s="118"/>
      <c r="I228" s="118"/>
      <c r="K228" s="118"/>
      <c r="M228" s="118"/>
      <c r="O228" s="118"/>
      <c r="P228" s="119"/>
      <c r="S228" s="118"/>
      <c r="U228" s="118"/>
      <c r="W228" s="118"/>
      <c r="Y228" s="118"/>
      <c r="AA228" s="118"/>
      <c r="AC228" s="118"/>
      <c r="AE228" s="118"/>
      <c r="AF228" s="119"/>
    </row>
    <row r="229" spans="1:32" x14ac:dyDescent="0.3">
      <c r="A229" s="118"/>
      <c r="C229" s="118"/>
      <c r="E229" s="118"/>
      <c r="G229" s="118"/>
      <c r="I229" s="118"/>
      <c r="K229" s="118"/>
      <c r="M229" s="118"/>
      <c r="O229" s="118"/>
      <c r="P229" s="119"/>
      <c r="S229" s="118"/>
      <c r="U229" s="118"/>
      <c r="W229" s="118"/>
      <c r="Y229" s="118"/>
      <c r="AA229" s="118"/>
      <c r="AC229" s="118"/>
      <c r="AE229" s="118"/>
      <c r="AF229" s="119"/>
    </row>
    <row r="230" spans="1:32" x14ac:dyDescent="0.3">
      <c r="A230" s="118"/>
      <c r="C230" s="118"/>
      <c r="E230" s="118"/>
      <c r="G230" s="118"/>
      <c r="I230" s="118"/>
      <c r="K230" s="118"/>
      <c r="M230" s="118"/>
      <c r="O230" s="118"/>
      <c r="P230" s="119"/>
      <c r="S230" s="118"/>
      <c r="U230" s="118"/>
      <c r="W230" s="118"/>
      <c r="Y230" s="118"/>
      <c r="AA230" s="118"/>
      <c r="AC230" s="118"/>
      <c r="AE230" s="118"/>
      <c r="AF230" s="119"/>
    </row>
    <row r="231" spans="1:32" x14ac:dyDescent="0.3">
      <c r="A231" s="118"/>
      <c r="C231" s="118"/>
      <c r="E231" s="118"/>
      <c r="G231" s="118"/>
      <c r="I231" s="118"/>
      <c r="K231" s="118"/>
      <c r="M231" s="118"/>
      <c r="O231" s="118"/>
      <c r="P231" s="119"/>
      <c r="S231" s="118"/>
      <c r="U231" s="118"/>
      <c r="W231" s="118"/>
      <c r="Y231" s="118"/>
      <c r="AA231" s="118"/>
      <c r="AC231" s="118"/>
      <c r="AE231" s="118"/>
      <c r="AF231" s="119"/>
    </row>
    <row r="232" spans="1:32" x14ac:dyDescent="0.3">
      <c r="A232" s="118"/>
      <c r="C232" s="118"/>
      <c r="E232" s="118"/>
      <c r="G232" s="118"/>
      <c r="I232" s="118"/>
      <c r="K232" s="118"/>
      <c r="M232" s="118"/>
      <c r="O232" s="118"/>
      <c r="P232" s="119"/>
      <c r="S232" s="118"/>
      <c r="U232" s="118"/>
      <c r="W232" s="118"/>
      <c r="Y232" s="118"/>
      <c r="AA232" s="118"/>
      <c r="AC232" s="118"/>
      <c r="AE232" s="118"/>
      <c r="AF232" s="119"/>
    </row>
    <row r="233" spans="1:32" x14ac:dyDescent="0.3">
      <c r="A233" s="118"/>
      <c r="C233" s="118"/>
      <c r="E233" s="118"/>
      <c r="G233" s="118"/>
      <c r="I233" s="118"/>
      <c r="K233" s="118"/>
      <c r="M233" s="118"/>
      <c r="O233" s="118"/>
      <c r="P233" s="119"/>
      <c r="S233" s="118"/>
      <c r="U233" s="118"/>
      <c r="W233" s="118"/>
      <c r="Y233" s="118"/>
      <c r="AA233" s="118"/>
      <c r="AC233" s="118"/>
      <c r="AE233" s="118"/>
      <c r="AF233" s="119"/>
    </row>
    <row r="234" spans="1:32" x14ac:dyDescent="0.3">
      <c r="A234" s="118"/>
      <c r="C234" s="118"/>
      <c r="E234" s="118"/>
      <c r="G234" s="118"/>
      <c r="I234" s="118"/>
      <c r="K234" s="118"/>
      <c r="M234" s="118"/>
      <c r="O234" s="118"/>
      <c r="P234" s="119"/>
      <c r="S234" s="118"/>
      <c r="U234" s="118"/>
      <c r="W234" s="118"/>
      <c r="Y234" s="118"/>
      <c r="AA234" s="118"/>
      <c r="AC234" s="118"/>
      <c r="AE234" s="118"/>
      <c r="AF234" s="119"/>
    </row>
    <row r="235" spans="1:32" x14ac:dyDescent="0.3">
      <c r="A235" s="118"/>
      <c r="C235" s="118"/>
      <c r="E235" s="118"/>
      <c r="G235" s="118"/>
      <c r="I235" s="118"/>
      <c r="K235" s="118"/>
      <c r="M235" s="118"/>
      <c r="O235" s="118"/>
      <c r="P235" s="119"/>
      <c r="S235" s="118"/>
      <c r="U235" s="118"/>
      <c r="W235" s="118"/>
      <c r="Y235" s="118"/>
      <c r="AA235" s="118"/>
      <c r="AC235" s="118"/>
      <c r="AE235" s="118"/>
      <c r="AF235" s="119"/>
    </row>
    <row r="236" spans="1:32" x14ac:dyDescent="0.3">
      <c r="A236" s="118"/>
      <c r="C236" s="118"/>
      <c r="E236" s="118"/>
      <c r="G236" s="118"/>
      <c r="I236" s="118"/>
      <c r="K236" s="118"/>
      <c r="M236" s="118"/>
      <c r="O236" s="118"/>
      <c r="P236" s="119"/>
      <c r="S236" s="118"/>
      <c r="U236" s="118"/>
      <c r="W236" s="118"/>
      <c r="Y236" s="118"/>
      <c r="AA236" s="118"/>
      <c r="AC236" s="118"/>
      <c r="AE236" s="118"/>
      <c r="AF236" s="119"/>
    </row>
    <row r="237" spans="1:32" x14ac:dyDescent="0.3">
      <c r="A237" s="118"/>
      <c r="C237" s="118"/>
      <c r="E237" s="118"/>
      <c r="G237" s="118"/>
      <c r="I237" s="118"/>
      <c r="K237" s="118"/>
      <c r="M237" s="118"/>
      <c r="O237" s="118"/>
      <c r="P237" s="119"/>
      <c r="S237" s="118"/>
      <c r="U237" s="118"/>
      <c r="W237" s="118"/>
      <c r="Y237" s="118"/>
      <c r="AA237" s="118"/>
      <c r="AC237" s="118"/>
      <c r="AE237" s="118"/>
      <c r="AF237" s="119"/>
    </row>
    <row r="238" spans="1:32" x14ac:dyDescent="0.3">
      <c r="A238" s="118"/>
      <c r="C238" s="118"/>
      <c r="E238" s="118"/>
      <c r="G238" s="118"/>
      <c r="I238" s="118"/>
      <c r="K238" s="118"/>
      <c r="M238" s="118"/>
      <c r="O238" s="118"/>
      <c r="P238" s="119"/>
      <c r="S238" s="118"/>
      <c r="U238" s="118"/>
      <c r="W238" s="118"/>
      <c r="Y238" s="118"/>
      <c r="AA238" s="118"/>
      <c r="AC238" s="118"/>
      <c r="AE238" s="118"/>
      <c r="AF238" s="119"/>
    </row>
    <row r="239" spans="1:32" x14ac:dyDescent="0.3">
      <c r="A239" s="118"/>
      <c r="C239" s="118"/>
      <c r="E239" s="118"/>
      <c r="G239" s="118"/>
      <c r="I239" s="118"/>
      <c r="K239" s="118"/>
      <c r="M239" s="118"/>
      <c r="O239" s="118"/>
      <c r="P239" s="119"/>
      <c r="S239" s="118"/>
      <c r="U239" s="118"/>
      <c r="W239" s="118"/>
      <c r="Y239" s="118"/>
      <c r="AA239" s="118"/>
      <c r="AC239" s="118"/>
      <c r="AE239" s="118"/>
      <c r="AF239" s="119"/>
    </row>
    <row r="240" spans="1:32" x14ac:dyDescent="0.3">
      <c r="A240" s="118"/>
      <c r="C240" s="118"/>
      <c r="E240" s="118"/>
      <c r="G240" s="118"/>
      <c r="I240" s="118"/>
      <c r="K240" s="118"/>
      <c r="M240" s="118"/>
      <c r="O240" s="118"/>
      <c r="P240" s="119"/>
      <c r="S240" s="118"/>
      <c r="U240" s="118"/>
      <c r="W240" s="118"/>
      <c r="Y240" s="118"/>
      <c r="AA240" s="118"/>
      <c r="AC240" s="118"/>
      <c r="AE240" s="118"/>
      <c r="AF240" s="119"/>
    </row>
    <row r="241" spans="1:32" x14ac:dyDescent="0.3">
      <c r="A241" s="118"/>
      <c r="C241" s="118"/>
      <c r="E241" s="118"/>
      <c r="G241" s="118"/>
      <c r="I241" s="118"/>
      <c r="K241" s="118"/>
      <c r="M241" s="118"/>
      <c r="O241" s="118"/>
      <c r="P241" s="119"/>
      <c r="S241" s="118"/>
      <c r="U241" s="118"/>
      <c r="W241" s="118"/>
      <c r="Y241" s="118"/>
      <c r="AA241" s="118"/>
      <c r="AC241" s="118"/>
      <c r="AE241" s="118"/>
      <c r="AF241" s="119"/>
    </row>
    <row r="242" spans="1:32" x14ac:dyDescent="0.3">
      <c r="A242" s="118"/>
      <c r="C242" s="118"/>
      <c r="E242" s="118"/>
      <c r="G242" s="118"/>
      <c r="I242" s="118"/>
      <c r="K242" s="118"/>
      <c r="M242" s="118"/>
      <c r="O242" s="118"/>
      <c r="P242" s="119"/>
      <c r="S242" s="118"/>
      <c r="U242" s="118"/>
      <c r="W242" s="118"/>
      <c r="Y242" s="118"/>
      <c r="AA242" s="118"/>
      <c r="AC242" s="118"/>
      <c r="AE242" s="118"/>
      <c r="AF242" s="119"/>
    </row>
    <row r="243" spans="1:32" x14ac:dyDescent="0.3">
      <c r="A243" s="118"/>
      <c r="C243" s="118"/>
      <c r="E243" s="118"/>
      <c r="G243" s="118"/>
      <c r="I243" s="118"/>
      <c r="K243" s="118"/>
      <c r="M243" s="118"/>
      <c r="O243" s="118"/>
      <c r="P243" s="119"/>
      <c r="S243" s="118"/>
      <c r="U243" s="118"/>
      <c r="W243" s="118"/>
      <c r="Y243" s="118"/>
      <c r="AA243" s="118"/>
      <c r="AC243" s="118"/>
      <c r="AE243" s="118"/>
      <c r="AF243" s="119"/>
    </row>
    <row r="244" spans="1:32" x14ac:dyDescent="0.3">
      <c r="A244" s="118"/>
      <c r="C244" s="118"/>
      <c r="E244" s="118"/>
      <c r="G244" s="118"/>
      <c r="I244" s="118"/>
      <c r="K244" s="118"/>
      <c r="M244" s="118"/>
      <c r="O244" s="118"/>
      <c r="P244" s="119"/>
      <c r="S244" s="118"/>
      <c r="U244" s="118"/>
      <c r="W244" s="118"/>
      <c r="Y244" s="118"/>
      <c r="AA244" s="118"/>
      <c r="AC244" s="118"/>
      <c r="AE244" s="118"/>
      <c r="AF244" s="119"/>
    </row>
    <row r="245" spans="1:32" x14ac:dyDescent="0.3">
      <c r="A245" s="118"/>
      <c r="C245" s="118"/>
      <c r="E245" s="118"/>
      <c r="G245" s="118"/>
      <c r="I245" s="118"/>
      <c r="K245" s="118"/>
      <c r="M245" s="118"/>
      <c r="O245" s="118"/>
      <c r="P245" s="119"/>
      <c r="S245" s="118"/>
      <c r="U245" s="118"/>
      <c r="W245" s="118"/>
      <c r="Y245" s="118"/>
      <c r="AA245" s="118"/>
      <c r="AC245" s="118"/>
      <c r="AE245" s="118"/>
      <c r="AF245" s="119"/>
    </row>
    <row r="246" spans="1:32" x14ac:dyDescent="0.3">
      <c r="A246" s="118"/>
      <c r="C246" s="118"/>
      <c r="E246" s="118"/>
      <c r="G246" s="118"/>
      <c r="I246" s="118"/>
      <c r="K246" s="118"/>
      <c r="M246" s="118"/>
      <c r="O246" s="118"/>
      <c r="P246" s="119"/>
      <c r="S246" s="118"/>
      <c r="U246" s="118"/>
      <c r="W246" s="118"/>
      <c r="Y246" s="118"/>
      <c r="AA246" s="118"/>
      <c r="AC246" s="118"/>
      <c r="AE246" s="118"/>
      <c r="AF246" s="119"/>
    </row>
    <row r="247" spans="1:32" x14ac:dyDescent="0.3">
      <c r="A247" s="118"/>
      <c r="C247" s="118"/>
      <c r="E247" s="118"/>
      <c r="G247" s="118"/>
      <c r="I247" s="118"/>
      <c r="K247" s="118"/>
      <c r="M247" s="118"/>
      <c r="O247" s="118"/>
      <c r="P247" s="119"/>
      <c r="S247" s="118"/>
      <c r="U247" s="118"/>
      <c r="W247" s="118"/>
      <c r="Y247" s="118"/>
      <c r="AA247" s="118"/>
      <c r="AC247" s="118"/>
      <c r="AE247" s="118"/>
      <c r="AF247" s="119"/>
    </row>
    <row r="248" spans="1:32" x14ac:dyDescent="0.3">
      <c r="A248" s="118"/>
      <c r="C248" s="118"/>
      <c r="E248" s="118"/>
      <c r="G248" s="118"/>
      <c r="I248" s="118"/>
      <c r="K248" s="118"/>
      <c r="M248" s="118"/>
      <c r="O248" s="118"/>
      <c r="P248" s="119"/>
      <c r="S248" s="118"/>
      <c r="U248" s="118"/>
      <c r="W248" s="118"/>
      <c r="Y248" s="118"/>
      <c r="AA248" s="118"/>
      <c r="AC248" s="118"/>
      <c r="AE248" s="118"/>
      <c r="AF248" s="119"/>
    </row>
    <row r="249" spans="1:32" x14ac:dyDescent="0.3">
      <c r="A249" s="118"/>
      <c r="C249" s="118"/>
      <c r="E249" s="118"/>
      <c r="G249" s="118"/>
      <c r="I249" s="118"/>
      <c r="K249" s="118"/>
      <c r="M249" s="118"/>
      <c r="O249" s="118"/>
      <c r="P249" s="119"/>
      <c r="S249" s="118"/>
      <c r="U249" s="118"/>
      <c r="W249" s="118"/>
      <c r="Y249" s="118"/>
      <c r="AA249" s="118"/>
      <c r="AC249" s="118"/>
      <c r="AE249" s="118"/>
      <c r="AF249" s="119"/>
    </row>
    <row r="250" spans="1:32" x14ac:dyDescent="0.3">
      <c r="A250" s="118"/>
      <c r="C250" s="118"/>
      <c r="E250" s="118"/>
      <c r="G250" s="118"/>
      <c r="I250" s="118"/>
      <c r="K250" s="118"/>
      <c r="M250" s="118"/>
      <c r="O250" s="118"/>
      <c r="P250" s="119"/>
      <c r="S250" s="118"/>
      <c r="U250" s="118"/>
      <c r="W250" s="118"/>
      <c r="Y250" s="118"/>
      <c r="AA250" s="118"/>
      <c r="AC250" s="118"/>
      <c r="AE250" s="118"/>
      <c r="AF250" s="119"/>
    </row>
    <row r="251" spans="1:32" x14ac:dyDescent="0.3">
      <c r="A251" s="118"/>
      <c r="C251" s="118"/>
      <c r="E251" s="118"/>
      <c r="G251" s="118"/>
      <c r="I251" s="118"/>
      <c r="K251" s="118"/>
      <c r="M251" s="118"/>
      <c r="O251" s="118"/>
      <c r="P251" s="119"/>
      <c r="S251" s="118"/>
      <c r="U251" s="118"/>
      <c r="W251" s="118"/>
      <c r="Y251" s="118"/>
      <c r="AA251" s="118"/>
      <c r="AC251" s="118"/>
      <c r="AE251" s="118"/>
      <c r="AF251" s="119"/>
    </row>
    <row r="252" spans="1:32" x14ac:dyDescent="0.3">
      <c r="A252" s="118"/>
      <c r="C252" s="118"/>
      <c r="E252" s="118"/>
      <c r="G252" s="118"/>
      <c r="I252" s="118"/>
      <c r="K252" s="118"/>
      <c r="M252" s="118"/>
      <c r="O252" s="118"/>
      <c r="P252" s="119"/>
      <c r="S252" s="118"/>
      <c r="U252" s="118"/>
      <c r="W252" s="118"/>
      <c r="Y252" s="118"/>
      <c r="AA252" s="118"/>
      <c r="AC252" s="118"/>
      <c r="AE252" s="118"/>
      <c r="AF252" s="119"/>
    </row>
    <row r="253" spans="1:32" x14ac:dyDescent="0.3">
      <c r="A253" s="118"/>
      <c r="C253" s="118"/>
      <c r="E253" s="118"/>
      <c r="G253" s="118"/>
      <c r="I253" s="118"/>
      <c r="K253" s="118"/>
      <c r="M253" s="118"/>
      <c r="O253" s="118"/>
      <c r="P253" s="119"/>
      <c r="S253" s="118"/>
      <c r="U253" s="118"/>
      <c r="W253" s="118"/>
      <c r="Y253" s="118"/>
      <c r="AA253" s="118"/>
      <c r="AC253" s="118"/>
      <c r="AE253" s="118"/>
      <c r="AF253" s="119"/>
    </row>
    <row r="254" spans="1:32" x14ac:dyDescent="0.3">
      <c r="A254" s="118"/>
      <c r="C254" s="118"/>
      <c r="E254" s="118"/>
      <c r="G254" s="118"/>
      <c r="I254" s="118"/>
      <c r="K254" s="118"/>
      <c r="M254" s="118"/>
      <c r="O254" s="118"/>
      <c r="P254" s="119"/>
      <c r="S254" s="118"/>
      <c r="U254" s="118"/>
      <c r="W254" s="118"/>
      <c r="Y254" s="118"/>
      <c r="AA254" s="118"/>
      <c r="AC254" s="118"/>
      <c r="AE254" s="118"/>
      <c r="AF254" s="119"/>
    </row>
    <row r="255" spans="1:32" x14ac:dyDescent="0.3">
      <c r="A255" s="118"/>
      <c r="C255" s="118"/>
      <c r="E255" s="118"/>
      <c r="G255" s="118"/>
      <c r="I255" s="118"/>
      <c r="K255" s="118"/>
      <c r="M255" s="118"/>
      <c r="O255" s="118"/>
      <c r="P255" s="119"/>
      <c r="S255" s="118"/>
      <c r="U255" s="118"/>
      <c r="W255" s="118"/>
      <c r="Y255" s="118"/>
      <c r="AA255" s="118"/>
      <c r="AC255" s="118"/>
      <c r="AE255" s="118"/>
      <c r="AF255" s="119"/>
    </row>
    <row r="256" spans="1:32" x14ac:dyDescent="0.3">
      <c r="A256" s="118"/>
      <c r="C256" s="118"/>
      <c r="E256" s="118"/>
      <c r="G256" s="118"/>
      <c r="I256" s="118"/>
      <c r="K256" s="118"/>
      <c r="M256" s="118"/>
      <c r="O256" s="118"/>
      <c r="P256" s="119"/>
      <c r="S256" s="118"/>
      <c r="U256" s="118"/>
      <c r="W256" s="118"/>
      <c r="Y256" s="118"/>
      <c r="AA256" s="118"/>
      <c r="AC256" s="118"/>
      <c r="AE256" s="118"/>
      <c r="AF256" s="119"/>
    </row>
    <row r="257" spans="1:32" x14ac:dyDescent="0.3">
      <c r="A257" s="118"/>
      <c r="C257" s="118"/>
      <c r="E257" s="118"/>
      <c r="G257" s="118"/>
      <c r="I257" s="118"/>
      <c r="K257" s="118"/>
      <c r="M257" s="118"/>
      <c r="O257" s="118"/>
      <c r="P257" s="119"/>
      <c r="S257" s="118"/>
      <c r="U257" s="118"/>
      <c r="W257" s="118"/>
      <c r="Y257" s="118"/>
      <c r="AA257" s="118"/>
      <c r="AC257" s="118"/>
      <c r="AE257" s="118"/>
      <c r="AF257" s="119"/>
    </row>
    <row r="258" spans="1:32" x14ac:dyDescent="0.3">
      <c r="A258" s="118"/>
      <c r="C258" s="118"/>
      <c r="E258" s="118"/>
      <c r="G258" s="118"/>
      <c r="I258" s="118"/>
      <c r="K258" s="118"/>
      <c r="M258" s="118"/>
      <c r="O258" s="118"/>
      <c r="P258" s="119"/>
      <c r="S258" s="118"/>
      <c r="U258" s="118"/>
      <c r="W258" s="118"/>
      <c r="Y258" s="118"/>
      <c r="AA258" s="118"/>
      <c r="AC258" s="118"/>
      <c r="AE258" s="118"/>
      <c r="AF258" s="119"/>
    </row>
    <row r="259" spans="1:32" x14ac:dyDescent="0.3">
      <c r="A259" s="118"/>
      <c r="C259" s="118"/>
      <c r="E259" s="118"/>
      <c r="G259" s="118"/>
      <c r="I259" s="118"/>
      <c r="K259" s="118"/>
      <c r="M259" s="118"/>
      <c r="O259" s="118"/>
      <c r="P259" s="119"/>
      <c r="S259" s="118"/>
      <c r="U259" s="118"/>
      <c r="W259" s="118"/>
      <c r="Y259" s="118"/>
      <c r="AA259" s="118"/>
      <c r="AC259" s="118"/>
      <c r="AE259" s="118"/>
      <c r="AF259" s="119"/>
    </row>
    <row r="260" spans="1:32" x14ac:dyDescent="0.3">
      <c r="A260" s="118"/>
      <c r="C260" s="118"/>
      <c r="E260" s="118"/>
      <c r="G260" s="118"/>
      <c r="I260" s="118"/>
      <c r="K260" s="118"/>
      <c r="M260" s="118"/>
      <c r="O260" s="118"/>
      <c r="P260" s="119"/>
      <c r="S260" s="118"/>
      <c r="U260" s="118"/>
      <c r="W260" s="118"/>
      <c r="Y260" s="118"/>
      <c r="AA260" s="118"/>
      <c r="AC260" s="118"/>
      <c r="AE260" s="118"/>
      <c r="AF260" s="119"/>
    </row>
    <row r="261" spans="1:32" x14ac:dyDescent="0.3">
      <c r="A261" s="118"/>
      <c r="C261" s="118"/>
      <c r="E261" s="118"/>
      <c r="G261" s="118"/>
      <c r="I261" s="118"/>
      <c r="K261" s="118"/>
      <c r="M261" s="118"/>
      <c r="O261" s="118"/>
      <c r="P261" s="119"/>
      <c r="S261" s="118"/>
      <c r="U261" s="118"/>
      <c r="W261" s="118"/>
      <c r="Y261" s="118"/>
      <c r="AA261" s="118"/>
      <c r="AC261" s="118"/>
      <c r="AE261" s="118"/>
      <c r="AF261" s="119"/>
    </row>
    <row r="262" spans="1:32" x14ac:dyDescent="0.3">
      <c r="A262" s="118"/>
      <c r="C262" s="118"/>
      <c r="E262" s="118"/>
      <c r="G262" s="118"/>
      <c r="I262" s="118"/>
      <c r="K262" s="118"/>
      <c r="M262" s="118"/>
      <c r="O262" s="118"/>
      <c r="P262" s="119"/>
      <c r="S262" s="118"/>
      <c r="U262" s="118"/>
      <c r="W262" s="118"/>
      <c r="Y262" s="118"/>
      <c r="AA262" s="118"/>
      <c r="AC262" s="118"/>
      <c r="AE262" s="118"/>
      <c r="AF262" s="119"/>
    </row>
    <row r="263" spans="1:32" x14ac:dyDescent="0.3">
      <c r="A263" s="118"/>
      <c r="C263" s="118"/>
      <c r="E263" s="118"/>
      <c r="G263" s="118"/>
      <c r="I263" s="118"/>
      <c r="K263" s="118"/>
      <c r="M263" s="118"/>
      <c r="O263" s="118"/>
      <c r="P263" s="119"/>
      <c r="S263" s="118"/>
      <c r="U263" s="118"/>
      <c r="W263" s="118"/>
      <c r="Y263" s="118"/>
      <c r="AA263" s="118"/>
      <c r="AC263" s="118"/>
      <c r="AE263" s="118"/>
      <c r="AF263" s="119"/>
    </row>
    <row r="264" spans="1:32" x14ac:dyDescent="0.3">
      <c r="A264" s="118"/>
      <c r="C264" s="118"/>
      <c r="E264" s="118"/>
      <c r="G264" s="118"/>
      <c r="I264" s="118"/>
      <c r="K264" s="118"/>
      <c r="M264" s="118"/>
      <c r="O264" s="118"/>
      <c r="P264" s="119"/>
      <c r="S264" s="118"/>
      <c r="U264" s="118"/>
      <c r="W264" s="118"/>
      <c r="Y264" s="118"/>
      <c r="AA264" s="118"/>
      <c r="AC264" s="118"/>
      <c r="AE264" s="118"/>
      <c r="AF264" s="119"/>
    </row>
    <row r="265" spans="1:32" x14ac:dyDescent="0.3">
      <c r="A265" s="118"/>
      <c r="C265" s="118"/>
      <c r="E265" s="118"/>
      <c r="G265" s="118"/>
      <c r="I265" s="118"/>
      <c r="K265" s="118"/>
      <c r="M265" s="118"/>
      <c r="O265" s="118"/>
      <c r="P265" s="119"/>
      <c r="S265" s="118"/>
      <c r="U265" s="118"/>
      <c r="W265" s="118"/>
      <c r="Y265" s="118"/>
      <c r="AA265" s="118"/>
      <c r="AC265" s="118"/>
      <c r="AE265" s="118"/>
      <c r="AF265" s="119"/>
    </row>
    <row r="266" spans="1:32" x14ac:dyDescent="0.3">
      <c r="A266" s="118"/>
      <c r="C266" s="118"/>
      <c r="E266" s="118"/>
      <c r="G266" s="118"/>
      <c r="I266" s="118"/>
      <c r="K266" s="118"/>
      <c r="M266" s="118"/>
      <c r="O266" s="118"/>
      <c r="P266" s="119"/>
      <c r="S266" s="118"/>
      <c r="U266" s="118"/>
      <c r="W266" s="118"/>
      <c r="Y266" s="118"/>
      <c r="AA266" s="118"/>
      <c r="AC266" s="118"/>
      <c r="AE266" s="118"/>
      <c r="AF266" s="119"/>
    </row>
    <row r="267" spans="1:32" x14ac:dyDescent="0.3">
      <c r="A267" s="118"/>
      <c r="C267" s="118"/>
      <c r="E267" s="118"/>
      <c r="G267" s="118"/>
      <c r="I267" s="118"/>
      <c r="K267" s="118"/>
      <c r="M267" s="118"/>
      <c r="O267" s="118"/>
      <c r="P267" s="119"/>
      <c r="S267" s="118"/>
      <c r="U267" s="118"/>
      <c r="W267" s="118"/>
      <c r="Y267" s="118"/>
      <c r="AA267" s="118"/>
      <c r="AC267" s="118"/>
      <c r="AE267" s="118"/>
      <c r="AF267" s="119"/>
    </row>
    <row r="268" spans="1:32" x14ac:dyDescent="0.3">
      <c r="A268" s="118"/>
      <c r="C268" s="118"/>
      <c r="E268" s="118"/>
      <c r="G268" s="118"/>
      <c r="I268" s="118"/>
      <c r="K268" s="118"/>
      <c r="M268" s="118"/>
      <c r="O268" s="118"/>
      <c r="P268" s="119"/>
      <c r="S268" s="118"/>
      <c r="U268" s="118"/>
      <c r="W268" s="118"/>
      <c r="Y268" s="118"/>
      <c r="AA268" s="118"/>
      <c r="AC268" s="118"/>
      <c r="AE268" s="118"/>
      <c r="AF268" s="119"/>
    </row>
    <row r="269" spans="1:32" x14ac:dyDescent="0.3">
      <c r="A269" s="118"/>
      <c r="C269" s="118"/>
      <c r="E269" s="118"/>
      <c r="G269" s="118"/>
      <c r="I269" s="118"/>
      <c r="K269" s="118"/>
      <c r="M269" s="118"/>
      <c r="O269" s="118"/>
      <c r="P269" s="119"/>
      <c r="S269" s="118"/>
      <c r="U269" s="118"/>
      <c r="W269" s="118"/>
      <c r="Y269" s="118"/>
      <c r="AA269" s="118"/>
      <c r="AC269" s="118"/>
      <c r="AE269" s="118"/>
      <c r="AF269" s="119"/>
    </row>
    <row r="270" spans="1:32" x14ac:dyDescent="0.3">
      <c r="A270" s="118"/>
      <c r="C270" s="118"/>
      <c r="E270" s="118"/>
      <c r="G270" s="118"/>
      <c r="I270" s="118"/>
      <c r="K270" s="118"/>
      <c r="M270" s="118"/>
      <c r="O270" s="118"/>
      <c r="P270" s="119"/>
      <c r="S270" s="118"/>
      <c r="U270" s="118"/>
      <c r="W270" s="118"/>
      <c r="Y270" s="118"/>
      <c r="AA270" s="118"/>
      <c r="AC270" s="118"/>
      <c r="AE270" s="118"/>
      <c r="AF270" s="119"/>
    </row>
    <row r="271" spans="1:32" x14ac:dyDescent="0.3">
      <c r="A271" s="118"/>
      <c r="C271" s="118"/>
      <c r="E271" s="118"/>
      <c r="G271" s="118"/>
      <c r="I271" s="118"/>
      <c r="K271" s="118"/>
      <c r="M271" s="118"/>
      <c r="O271" s="118"/>
      <c r="P271" s="119"/>
      <c r="S271" s="118"/>
      <c r="U271" s="118"/>
      <c r="W271" s="118"/>
      <c r="Y271" s="118"/>
      <c r="AA271" s="118"/>
      <c r="AC271" s="118"/>
      <c r="AE271" s="118"/>
      <c r="AF271" s="119"/>
    </row>
    <row r="272" spans="1:32" x14ac:dyDescent="0.3">
      <c r="A272" s="118"/>
      <c r="C272" s="118"/>
      <c r="E272" s="118"/>
      <c r="G272" s="118"/>
      <c r="I272" s="118"/>
      <c r="K272" s="118"/>
      <c r="M272" s="118"/>
      <c r="O272" s="118"/>
      <c r="P272" s="119"/>
      <c r="S272" s="118"/>
      <c r="U272" s="118"/>
      <c r="W272" s="118"/>
      <c r="Y272" s="118"/>
      <c r="AA272" s="118"/>
      <c r="AC272" s="118"/>
      <c r="AE272" s="118"/>
      <c r="AF272" s="119"/>
    </row>
    <row r="273" spans="1:32" x14ac:dyDescent="0.3">
      <c r="A273" s="118"/>
      <c r="C273" s="118"/>
      <c r="E273" s="118"/>
      <c r="G273" s="118"/>
      <c r="I273" s="118"/>
      <c r="K273" s="118"/>
      <c r="M273" s="118"/>
      <c r="O273" s="118"/>
      <c r="P273" s="119"/>
      <c r="S273" s="118"/>
      <c r="U273" s="118"/>
      <c r="W273" s="118"/>
      <c r="Y273" s="118"/>
      <c r="AA273" s="118"/>
      <c r="AC273" s="118"/>
      <c r="AE273" s="118"/>
      <c r="AF273" s="119"/>
    </row>
    <row r="274" spans="1:32" x14ac:dyDescent="0.3">
      <c r="A274" s="118"/>
      <c r="C274" s="118"/>
      <c r="E274" s="118"/>
      <c r="G274" s="118"/>
      <c r="I274" s="118"/>
      <c r="K274" s="118"/>
      <c r="M274" s="118"/>
      <c r="O274" s="118"/>
      <c r="P274" s="119"/>
      <c r="S274" s="118"/>
      <c r="U274" s="118"/>
      <c r="W274" s="118"/>
      <c r="Y274" s="118"/>
      <c r="AA274" s="118"/>
      <c r="AC274" s="118"/>
      <c r="AE274" s="118"/>
      <c r="AF274" s="119"/>
    </row>
    <row r="275" spans="1:32" x14ac:dyDescent="0.3">
      <c r="A275" s="118"/>
      <c r="C275" s="118"/>
      <c r="E275" s="118"/>
      <c r="G275" s="118"/>
      <c r="I275" s="118"/>
      <c r="K275" s="118"/>
      <c r="M275" s="118"/>
      <c r="O275" s="118"/>
      <c r="P275" s="119"/>
      <c r="S275" s="118"/>
      <c r="U275" s="118"/>
      <c r="W275" s="118"/>
      <c r="Y275" s="118"/>
      <c r="AA275" s="118"/>
      <c r="AC275" s="118"/>
      <c r="AE275" s="118"/>
      <c r="AF275" s="119"/>
    </row>
    <row r="276" spans="1:32" x14ac:dyDescent="0.3">
      <c r="A276" s="118"/>
      <c r="C276" s="118"/>
      <c r="E276" s="118"/>
      <c r="G276" s="118"/>
      <c r="I276" s="118"/>
      <c r="K276" s="118"/>
      <c r="M276" s="118"/>
      <c r="O276" s="118"/>
      <c r="P276" s="119"/>
      <c r="S276" s="118"/>
      <c r="U276" s="118"/>
      <c r="W276" s="118"/>
      <c r="Y276" s="118"/>
      <c r="AA276" s="118"/>
      <c r="AC276" s="118"/>
      <c r="AE276" s="118"/>
      <c r="AF276" s="119"/>
    </row>
    <row r="277" spans="1:32" x14ac:dyDescent="0.3">
      <c r="A277" s="118"/>
      <c r="C277" s="118"/>
      <c r="E277" s="118"/>
      <c r="G277" s="118"/>
      <c r="I277" s="118"/>
      <c r="K277" s="118"/>
      <c r="M277" s="118"/>
      <c r="O277" s="118"/>
      <c r="P277" s="119"/>
      <c r="S277" s="118"/>
      <c r="U277" s="118"/>
      <c r="W277" s="118"/>
      <c r="Y277" s="118"/>
      <c r="AA277" s="118"/>
      <c r="AC277" s="118"/>
      <c r="AE277" s="118"/>
      <c r="AF277" s="119"/>
    </row>
    <row r="278" spans="1:32" x14ac:dyDescent="0.3">
      <c r="A278" s="118"/>
      <c r="C278" s="118"/>
      <c r="E278" s="118"/>
      <c r="G278" s="118"/>
      <c r="I278" s="118"/>
      <c r="K278" s="118"/>
      <c r="M278" s="118"/>
      <c r="O278" s="118"/>
      <c r="P278" s="119"/>
      <c r="S278" s="118"/>
      <c r="U278" s="118"/>
      <c r="W278" s="118"/>
      <c r="Y278" s="118"/>
      <c r="AA278" s="118"/>
      <c r="AC278" s="118"/>
      <c r="AE278" s="118"/>
      <c r="AF278" s="119"/>
    </row>
    <row r="279" spans="1:32" x14ac:dyDescent="0.3">
      <c r="A279" s="118"/>
      <c r="C279" s="118"/>
      <c r="E279" s="118"/>
      <c r="G279" s="118"/>
      <c r="I279" s="118"/>
      <c r="K279" s="118"/>
      <c r="M279" s="118"/>
      <c r="O279" s="118"/>
      <c r="P279" s="119"/>
      <c r="S279" s="118"/>
      <c r="U279" s="118"/>
      <c r="W279" s="118"/>
      <c r="Y279" s="118"/>
      <c r="AA279" s="118"/>
      <c r="AC279" s="118"/>
      <c r="AE279" s="118"/>
      <c r="AF279" s="119"/>
    </row>
    <row r="280" spans="1:32" x14ac:dyDescent="0.3">
      <c r="A280" s="118"/>
      <c r="C280" s="118"/>
      <c r="E280" s="118"/>
      <c r="G280" s="118"/>
      <c r="I280" s="118"/>
      <c r="K280" s="118"/>
      <c r="M280" s="118"/>
      <c r="O280" s="118"/>
      <c r="P280" s="119"/>
      <c r="S280" s="118"/>
      <c r="U280" s="118"/>
      <c r="W280" s="118"/>
      <c r="Y280" s="118"/>
      <c r="AA280" s="118"/>
      <c r="AC280" s="118"/>
      <c r="AE280" s="118"/>
      <c r="AF280" s="119"/>
    </row>
    <row r="281" spans="1:32" x14ac:dyDescent="0.3">
      <c r="A281" s="118"/>
      <c r="C281" s="118"/>
      <c r="E281" s="118"/>
      <c r="G281" s="118"/>
      <c r="I281" s="118"/>
      <c r="K281" s="118"/>
      <c r="M281" s="118"/>
      <c r="O281" s="118"/>
      <c r="P281" s="119"/>
      <c r="S281" s="118"/>
      <c r="U281" s="118"/>
      <c r="W281" s="118"/>
      <c r="Y281" s="118"/>
      <c r="AA281" s="118"/>
      <c r="AC281" s="118"/>
      <c r="AE281" s="118"/>
      <c r="AF281" s="119"/>
    </row>
    <row r="282" spans="1:32" x14ac:dyDescent="0.3">
      <c r="A282" s="118"/>
      <c r="C282" s="118"/>
      <c r="E282" s="118"/>
      <c r="G282" s="118"/>
      <c r="I282" s="118"/>
      <c r="K282" s="118"/>
      <c r="M282" s="118"/>
      <c r="O282" s="118"/>
      <c r="P282" s="119"/>
      <c r="S282" s="118"/>
      <c r="U282" s="118"/>
      <c r="W282" s="118"/>
      <c r="Y282" s="118"/>
      <c r="AA282" s="118"/>
      <c r="AC282" s="118"/>
      <c r="AE282" s="118"/>
      <c r="AF282" s="119"/>
    </row>
    <row r="283" spans="1:32" x14ac:dyDescent="0.3">
      <c r="A283" s="118"/>
      <c r="C283" s="118"/>
      <c r="E283" s="118"/>
      <c r="G283" s="118"/>
      <c r="I283" s="118"/>
      <c r="K283" s="118"/>
      <c r="M283" s="118"/>
      <c r="O283" s="118"/>
      <c r="P283" s="119"/>
      <c r="S283" s="118"/>
      <c r="U283" s="118"/>
      <c r="W283" s="118"/>
      <c r="Y283" s="118"/>
      <c r="AA283" s="118"/>
      <c r="AC283" s="118"/>
      <c r="AE283" s="118"/>
      <c r="AF283" s="119"/>
    </row>
    <row r="284" spans="1:32" x14ac:dyDescent="0.3">
      <c r="A284" s="118"/>
      <c r="C284" s="118"/>
      <c r="E284" s="118"/>
      <c r="G284" s="118"/>
      <c r="I284" s="118"/>
      <c r="K284" s="118"/>
      <c r="M284" s="118"/>
      <c r="O284" s="118"/>
      <c r="P284" s="119"/>
      <c r="S284" s="118"/>
      <c r="U284" s="118"/>
      <c r="W284" s="118"/>
      <c r="Y284" s="118"/>
      <c r="AA284" s="118"/>
      <c r="AC284" s="118"/>
      <c r="AE284" s="118"/>
      <c r="AF284" s="119"/>
    </row>
    <row r="285" spans="1:32" x14ac:dyDescent="0.3">
      <c r="A285" s="118"/>
      <c r="C285" s="118"/>
      <c r="E285" s="118"/>
      <c r="G285" s="118"/>
      <c r="I285" s="118"/>
      <c r="K285" s="118"/>
      <c r="M285" s="118"/>
      <c r="O285" s="118"/>
      <c r="P285" s="119"/>
      <c r="S285" s="118"/>
      <c r="U285" s="118"/>
      <c r="W285" s="118"/>
      <c r="Y285" s="118"/>
      <c r="AA285" s="118"/>
      <c r="AC285" s="118"/>
      <c r="AE285" s="118"/>
      <c r="AF285" s="119"/>
    </row>
    <row r="286" spans="1:32" x14ac:dyDescent="0.3">
      <c r="A286" s="118"/>
      <c r="C286" s="118"/>
      <c r="E286" s="118"/>
      <c r="G286" s="118"/>
      <c r="I286" s="118"/>
      <c r="K286" s="118"/>
      <c r="M286" s="118"/>
      <c r="O286" s="118"/>
      <c r="P286" s="119"/>
      <c r="S286" s="118"/>
      <c r="U286" s="118"/>
      <c r="W286" s="118"/>
      <c r="Y286" s="118"/>
      <c r="AA286" s="118"/>
      <c r="AC286" s="118"/>
      <c r="AE286" s="118"/>
      <c r="AF286" s="119"/>
    </row>
    <row r="287" spans="1:32" x14ac:dyDescent="0.3">
      <c r="A287" s="118"/>
      <c r="C287" s="118"/>
      <c r="E287" s="118"/>
      <c r="G287" s="118"/>
      <c r="I287" s="118"/>
      <c r="K287" s="118"/>
      <c r="M287" s="118"/>
      <c r="O287" s="118"/>
      <c r="P287" s="119"/>
      <c r="S287" s="118"/>
      <c r="U287" s="118"/>
      <c r="W287" s="118"/>
      <c r="Y287" s="118"/>
      <c r="AA287" s="118"/>
      <c r="AC287" s="118"/>
      <c r="AE287" s="118"/>
      <c r="AF287" s="119"/>
    </row>
    <row r="288" spans="1:32" x14ac:dyDescent="0.3">
      <c r="A288" s="118"/>
      <c r="C288" s="118"/>
      <c r="E288" s="118"/>
      <c r="G288" s="118"/>
      <c r="I288" s="118"/>
      <c r="K288" s="118"/>
      <c r="M288" s="118"/>
      <c r="O288" s="118"/>
      <c r="P288" s="119"/>
      <c r="S288" s="118"/>
      <c r="U288" s="118"/>
      <c r="W288" s="118"/>
      <c r="Y288" s="118"/>
      <c r="AA288" s="118"/>
      <c r="AC288" s="118"/>
      <c r="AE288" s="118"/>
      <c r="AF288" s="119"/>
    </row>
    <row r="289" spans="1:32" x14ac:dyDescent="0.3">
      <c r="A289" s="118"/>
      <c r="C289" s="118"/>
      <c r="E289" s="118"/>
      <c r="G289" s="118"/>
      <c r="I289" s="118"/>
      <c r="K289" s="118"/>
      <c r="M289" s="118"/>
      <c r="O289" s="118"/>
      <c r="P289" s="119"/>
      <c r="S289" s="118"/>
      <c r="U289" s="118"/>
      <c r="W289" s="118"/>
      <c r="Y289" s="118"/>
      <c r="AA289" s="118"/>
      <c r="AC289" s="118"/>
      <c r="AE289" s="118"/>
      <c r="AF289" s="119"/>
    </row>
    <row r="290" spans="1:32" x14ac:dyDescent="0.3">
      <c r="A290" s="118"/>
      <c r="C290" s="118"/>
      <c r="E290" s="118"/>
      <c r="G290" s="118"/>
      <c r="I290" s="118"/>
      <c r="K290" s="118"/>
      <c r="M290" s="118"/>
      <c r="O290" s="118"/>
      <c r="P290" s="119"/>
      <c r="S290" s="118"/>
      <c r="U290" s="118"/>
      <c r="W290" s="118"/>
      <c r="Y290" s="118"/>
      <c r="AA290" s="118"/>
      <c r="AC290" s="118"/>
      <c r="AE290" s="118"/>
      <c r="AF290" s="119"/>
    </row>
    <row r="291" spans="1:32" x14ac:dyDescent="0.3">
      <c r="A291" s="118"/>
      <c r="C291" s="118"/>
      <c r="E291" s="118"/>
      <c r="G291" s="118"/>
      <c r="I291" s="118"/>
      <c r="K291" s="118"/>
      <c r="M291" s="118"/>
      <c r="O291" s="118"/>
      <c r="P291" s="119"/>
      <c r="S291" s="118"/>
      <c r="U291" s="118"/>
      <c r="W291" s="118"/>
      <c r="Y291" s="118"/>
      <c r="AA291" s="118"/>
      <c r="AC291" s="118"/>
      <c r="AE291" s="118"/>
      <c r="AF291" s="119"/>
    </row>
    <row r="292" spans="1:32" x14ac:dyDescent="0.3">
      <c r="A292" s="118"/>
      <c r="C292" s="118"/>
      <c r="E292" s="118"/>
      <c r="G292" s="118"/>
      <c r="I292" s="118"/>
      <c r="K292" s="118"/>
      <c r="M292" s="118"/>
      <c r="O292" s="118"/>
      <c r="P292" s="119"/>
      <c r="S292" s="118"/>
      <c r="U292" s="118"/>
      <c r="W292" s="118"/>
      <c r="Y292" s="118"/>
      <c r="AA292" s="118"/>
      <c r="AC292" s="118"/>
      <c r="AE292" s="118"/>
      <c r="AF292" s="119"/>
    </row>
    <row r="293" spans="1:32" x14ac:dyDescent="0.3">
      <c r="A293" s="118"/>
      <c r="C293" s="118"/>
      <c r="E293" s="118"/>
      <c r="G293" s="118"/>
      <c r="I293" s="118"/>
      <c r="K293" s="118"/>
      <c r="M293" s="118"/>
      <c r="O293" s="118"/>
      <c r="P293" s="119"/>
      <c r="S293" s="118"/>
      <c r="U293" s="118"/>
      <c r="W293" s="118"/>
      <c r="Y293" s="118"/>
      <c r="AA293" s="118"/>
      <c r="AC293" s="118"/>
      <c r="AE293" s="118"/>
      <c r="AF293" s="119"/>
    </row>
    <row r="294" spans="1:32" x14ac:dyDescent="0.3">
      <c r="A294" s="118"/>
      <c r="C294" s="118"/>
      <c r="E294" s="118"/>
      <c r="G294" s="118"/>
      <c r="I294" s="118"/>
      <c r="K294" s="118"/>
      <c r="M294" s="118"/>
      <c r="O294" s="118"/>
      <c r="P294" s="119"/>
      <c r="S294" s="118"/>
      <c r="U294" s="118"/>
      <c r="W294" s="118"/>
      <c r="Y294" s="118"/>
      <c r="AA294" s="118"/>
      <c r="AC294" s="118"/>
      <c r="AE294" s="118"/>
      <c r="AF294" s="119"/>
    </row>
    <row r="295" spans="1:32" x14ac:dyDescent="0.3">
      <c r="A295" s="118"/>
      <c r="C295" s="118"/>
      <c r="E295" s="118"/>
      <c r="G295" s="118"/>
      <c r="I295" s="118"/>
      <c r="K295" s="118"/>
      <c r="M295" s="118"/>
      <c r="O295" s="118"/>
      <c r="P295" s="119"/>
      <c r="S295" s="118"/>
      <c r="U295" s="118"/>
      <c r="W295" s="118"/>
      <c r="Y295" s="118"/>
      <c r="AA295" s="118"/>
      <c r="AC295" s="118"/>
      <c r="AE295" s="118"/>
      <c r="AF295" s="119"/>
    </row>
    <row r="296" spans="1:32" x14ac:dyDescent="0.3">
      <c r="A296" s="118"/>
      <c r="C296" s="118"/>
      <c r="E296" s="118"/>
      <c r="G296" s="118"/>
      <c r="I296" s="118"/>
      <c r="K296" s="118"/>
      <c r="M296" s="118"/>
      <c r="O296" s="118"/>
      <c r="P296" s="119"/>
      <c r="S296" s="118"/>
      <c r="U296" s="118"/>
      <c r="W296" s="118"/>
      <c r="Y296" s="118"/>
      <c r="AA296" s="118"/>
      <c r="AC296" s="118"/>
      <c r="AE296" s="118"/>
      <c r="AF296" s="119"/>
    </row>
    <row r="297" spans="1:32" x14ac:dyDescent="0.3">
      <c r="A297" s="118"/>
      <c r="C297" s="118"/>
      <c r="E297" s="118"/>
      <c r="G297" s="118"/>
      <c r="I297" s="118"/>
      <c r="K297" s="118"/>
      <c r="M297" s="118"/>
      <c r="O297" s="118"/>
      <c r="P297" s="119"/>
      <c r="S297" s="118"/>
      <c r="U297" s="118"/>
      <c r="W297" s="118"/>
      <c r="Y297" s="118"/>
      <c r="AA297" s="118"/>
      <c r="AC297" s="118"/>
      <c r="AE297" s="118"/>
      <c r="AF297" s="119"/>
    </row>
    <row r="298" spans="1:32" x14ac:dyDescent="0.3">
      <c r="A298" s="118"/>
      <c r="C298" s="118"/>
      <c r="E298" s="118"/>
      <c r="G298" s="118"/>
      <c r="I298" s="118"/>
      <c r="K298" s="118"/>
      <c r="M298" s="118"/>
      <c r="O298" s="118"/>
      <c r="P298" s="119"/>
      <c r="S298" s="118"/>
      <c r="U298" s="118"/>
      <c r="W298" s="118"/>
      <c r="Y298" s="118"/>
      <c r="AA298" s="118"/>
      <c r="AC298" s="118"/>
      <c r="AE298" s="118"/>
      <c r="AF298" s="119"/>
    </row>
    <row r="299" spans="1:32" x14ac:dyDescent="0.3">
      <c r="A299" s="118"/>
      <c r="C299" s="118"/>
      <c r="E299" s="118"/>
      <c r="G299" s="118"/>
      <c r="I299" s="118"/>
      <c r="K299" s="118"/>
      <c r="M299" s="118"/>
      <c r="O299" s="118"/>
      <c r="P299" s="119"/>
      <c r="S299" s="118"/>
      <c r="U299" s="118"/>
      <c r="W299" s="118"/>
      <c r="Y299" s="118"/>
      <c r="AA299" s="118"/>
      <c r="AC299" s="118"/>
      <c r="AE299" s="118"/>
      <c r="AF299" s="119"/>
    </row>
    <row r="300" spans="1:32" x14ac:dyDescent="0.3">
      <c r="A300" s="118"/>
      <c r="C300" s="118"/>
      <c r="E300" s="118"/>
      <c r="G300" s="118"/>
      <c r="I300" s="118"/>
      <c r="K300" s="118"/>
      <c r="M300" s="118"/>
      <c r="O300" s="118"/>
      <c r="P300" s="119"/>
      <c r="S300" s="118"/>
      <c r="U300" s="118"/>
      <c r="W300" s="118"/>
      <c r="Y300" s="118"/>
      <c r="AA300" s="118"/>
      <c r="AC300" s="118"/>
      <c r="AE300" s="118"/>
      <c r="AF300" s="119"/>
    </row>
    <row r="301" spans="1:32" x14ac:dyDescent="0.3">
      <c r="A301" s="118"/>
      <c r="C301" s="118"/>
      <c r="E301" s="118"/>
      <c r="G301" s="118"/>
      <c r="I301" s="118"/>
      <c r="K301" s="118"/>
      <c r="M301" s="118"/>
      <c r="O301" s="118"/>
      <c r="P301" s="119"/>
      <c r="S301" s="118"/>
      <c r="U301" s="118"/>
      <c r="W301" s="118"/>
      <c r="Y301" s="118"/>
      <c r="AA301" s="118"/>
      <c r="AC301" s="118"/>
      <c r="AE301" s="118"/>
      <c r="AF301" s="119"/>
    </row>
    <row r="302" spans="1:32" x14ac:dyDescent="0.3">
      <c r="A302" s="118"/>
      <c r="C302" s="118"/>
      <c r="E302" s="118"/>
      <c r="G302" s="118"/>
      <c r="I302" s="118"/>
      <c r="K302" s="118"/>
      <c r="M302" s="118"/>
      <c r="O302" s="118"/>
      <c r="P302" s="119"/>
      <c r="S302" s="118"/>
      <c r="U302" s="118"/>
      <c r="W302" s="118"/>
      <c r="Y302" s="118"/>
      <c r="AA302" s="118"/>
      <c r="AC302" s="118"/>
      <c r="AE302" s="118"/>
      <c r="AF302" s="119"/>
    </row>
    <row r="303" spans="1:32" x14ac:dyDescent="0.3">
      <c r="A303" s="118"/>
      <c r="C303" s="118"/>
      <c r="E303" s="118"/>
      <c r="G303" s="118"/>
      <c r="I303" s="118"/>
      <c r="K303" s="118"/>
      <c r="M303" s="118"/>
      <c r="O303" s="118"/>
      <c r="P303" s="119"/>
      <c r="S303" s="118"/>
      <c r="U303" s="118"/>
      <c r="W303" s="118"/>
      <c r="Y303" s="118"/>
      <c r="AA303" s="118"/>
      <c r="AC303" s="118"/>
      <c r="AE303" s="118"/>
      <c r="AF303" s="119"/>
    </row>
    <row r="304" spans="1:32" x14ac:dyDescent="0.3">
      <c r="A304" s="118"/>
      <c r="C304" s="118"/>
      <c r="E304" s="118"/>
      <c r="G304" s="118"/>
      <c r="I304" s="118"/>
      <c r="K304" s="118"/>
      <c r="M304" s="118"/>
      <c r="O304" s="118"/>
      <c r="P304" s="119"/>
      <c r="S304" s="118"/>
      <c r="U304" s="118"/>
      <c r="W304" s="118"/>
      <c r="Y304" s="118"/>
      <c r="AA304" s="118"/>
      <c r="AC304" s="118"/>
      <c r="AE304" s="118"/>
      <c r="AF304" s="119"/>
    </row>
    <row r="305" spans="1:32" x14ac:dyDescent="0.3">
      <c r="A305" s="118"/>
      <c r="C305" s="118"/>
      <c r="E305" s="118"/>
      <c r="G305" s="118"/>
      <c r="I305" s="118"/>
      <c r="K305" s="118"/>
      <c r="M305" s="118"/>
      <c r="O305" s="118"/>
      <c r="P305" s="119"/>
      <c r="S305" s="118"/>
      <c r="U305" s="118"/>
      <c r="W305" s="118"/>
      <c r="Y305" s="118"/>
      <c r="AA305" s="118"/>
      <c r="AC305" s="118"/>
      <c r="AE305" s="118"/>
      <c r="AF305" s="119"/>
    </row>
    <row r="306" spans="1:32" x14ac:dyDescent="0.3">
      <c r="A306" s="118"/>
      <c r="C306" s="118"/>
      <c r="E306" s="118"/>
      <c r="G306" s="118"/>
      <c r="I306" s="118"/>
      <c r="K306" s="118"/>
      <c r="M306" s="118"/>
      <c r="O306" s="118"/>
      <c r="P306" s="119"/>
      <c r="S306" s="118"/>
      <c r="U306" s="118"/>
      <c r="W306" s="118"/>
      <c r="Y306" s="118"/>
      <c r="AA306" s="118"/>
      <c r="AC306" s="118"/>
      <c r="AE306" s="118"/>
      <c r="AF306" s="119"/>
    </row>
    <row r="307" spans="1:32" x14ac:dyDescent="0.3">
      <c r="A307" s="118"/>
      <c r="C307" s="118"/>
      <c r="E307" s="118"/>
      <c r="G307" s="118"/>
      <c r="I307" s="118"/>
      <c r="K307" s="118"/>
      <c r="M307" s="118"/>
      <c r="O307" s="118"/>
      <c r="P307" s="119"/>
      <c r="S307" s="118"/>
      <c r="U307" s="118"/>
      <c r="W307" s="118"/>
      <c r="Y307" s="118"/>
      <c r="AA307" s="118"/>
      <c r="AC307" s="118"/>
      <c r="AE307" s="118"/>
      <c r="AF307" s="119"/>
    </row>
    <row r="308" spans="1:32" x14ac:dyDescent="0.3">
      <c r="A308" s="118"/>
      <c r="C308" s="118"/>
      <c r="E308" s="118"/>
      <c r="G308" s="118"/>
      <c r="I308" s="118"/>
      <c r="K308" s="118"/>
      <c r="M308" s="118"/>
      <c r="O308" s="118"/>
      <c r="P308" s="119"/>
      <c r="S308" s="118"/>
      <c r="U308" s="118"/>
      <c r="W308" s="118"/>
      <c r="Y308" s="118"/>
      <c r="AA308" s="118"/>
      <c r="AC308" s="118"/>
      <c r="AE308" s="118"/>
      <c r="AF308" s="119"/>
    </row>
    <row r="309" spans="1:32" x14ac:dyDescent="0.3">
      <c r="A309" s="118"/>
      <c r="C309" s="118"/>
      <c r="E309" s="118"/>
      <c r="G309" s="118"/>
      <c r="I309" s="118"/>
      <c r="K309" s="118"/>
      <c r="M309" s="118"/>
      <c r="O309" s="118"/>
      <c r="P309" s="119"/>
      <c r="S309" s="118"/>
      <c r="U309" s="118"/>
      <c r="W309" s="118"/>
      <c r="Y309" s="118"/>
      <c r="AA309" s="118"/>
      <c r="AC309" s="118"/>
      <c r="AE309" s="118"/>
      <c r="AF309" s="119"/>
    </row>
    <row r="310" spans="1:32" x14ac:dyDescent="0.3">
      <c r="A310" s="118"/>
      <c r="C310" s="118"/>
      <c r="E310" s="118"/>
      <c r="G310" s="118"/>
      <c r="I310" s="118"/>
      <c r="K310" s="118"/>
      <c r="M310" s="118"/>
      <c r="O310" s="118"/>
      <c r="P310" s="119"/>
      <c r="S310" s="118"/>
      <c r="U310" s="118"/>
      <c r="W310" s="118"/>
      <c r="Y310" s="118"/>
      <c r="AA310" s="118"/>
      <c r="AC310" s="118"/>
      <c r="AE310" s="118"/>
      <c r="AF310" s="119"/>
    </row>
    <row r="311" spans="1:32" x14ac:dyDescent="0.3">
      <c r="A311" s="118"/>
      <c r="C311" s="118"/>
      <c r="E311" s="118"/>
      <c r="G311" s="118"/>
      <c r="I311" s="118"/>
      <c r="K311" s="118"/>
      <c r="M311" s="118"/>
      <c r="O311" s="118"/>
      <c r="P311" s="119"/>
      <c r="S311" s="118"/>
      <c r="U311" s="118"/>
      <c r="W311" s="118"/>
      <c r="Y311" s="118"/>
      <c r="AA311" s="118"/>
      <c r="AC311" s="118"/>
      <c r="AE311" s="118"/>
      <c r="AF311" s="119"/>
    </row>
    <row r="312" spans="1:32" x14ac:dyDescent="0.3">
      <c r="A312" s="118"/>
      <c r="C312" s="118"/>
      <c r="E312" s="118"/>
      <c r="G312" s="118"/>
      <c r="I312" s="118"/>
      <c r="K312" s="118"/>
      <c r="M312" s="118"/>
      <c r="O312" s="118"/>
      <c r="P312" s="119"/>
      <c r="S312" s="118"/>
      <c r="U312" s="118"/>
      <c r="W312" s="118"/>
      <c r="Y312" s="118"/>
      <c r="AA312" s="118"/>
      <c r="AC312" s="118"/>
      <c r="AE312" s="118"/>
      <c r="AF312" s="119"/>
    </row>
    <row r="313" spans="1:32" x14ac:dyDescent="0.3">
      <c r="A313" s="118"/>
      <c r="C313" s="118"/>
      <c r="E313" s="118"/>
      <c r="G313" s="118"/>
      <c r="I313" s="118"/>
      <c r="K313" s="118"/>
      <c r="M313" s="118"/>
      <c r="O313" s="118"/>
      <c r="P313" s="119"/>
      <c r="S313" s="118"/>
      <c r="U313" s="118"/>
      <c r="W313" s="118"/>
      <c r="Y313" s="118"/>
      <c r="AA313" s="118"/>
      <c r="AC313" s="118"/>
      <c r="AE313" s="118"/>
      <c r="AF313" s="119"/>
    </row>
    <row r="314" spans="1:32" x14ac:dyDescent="0.3">
      <c r="A314" s="118"/>
      <c r="C314" s="118"/>
      <c r="E314" s="118"/>
      <c r="G314" s="118"/>
      <c r="I314" s="118"/>
      <c r="K314" s="118"/>
      <c r="M314" s="118"/>
      <c r="O314" s="118"/>
      <c r="P314" s="119"/>
      <c r="S314" s="118"/>
      <c r="U314" s="118"/>
      <c r="W314" s="118"/>
      <c r="Y314" s="118"/>
      <c r="AA314" s="118"/>
      <c r="AC314" s="118"/>
      <c r="AE314" s="118"/>
      <c r="AF314" s="119"/>
    </row>
    <row r="315" spans="1:32" x14ac:dyDescent="0.3">
      <c r="A315" s="118"/>
      <c r="C315" s="118"/>
      <c r="E315" s="118"/>
      <c r="G315" s="118"/>
      <c r="I315" s="118"/>
      <c r="K315" s="118"/>
      <c r="M315" s="118"/>
      <c r="O315" s="118"/>
      <c r="P315" s="119"/>
      <c r="S315" s="118"/>
      <c r="U315" s="118"/>
      <c r="W315" s="118"/>
      <c r="Y315" s="118"/>
      <c r="AA315" s="118"/>
      <c r="AC315" s="118"/>
      <c r="AE315" s="118"/>
      <c r="AF315" s="119"/>
    </row>
    <row r="316" spans="1:32" x14ac:dyDescent="0.3">
      <c r="A316" s="118"/>
      <c r="C316" s="118"/>
      <c r="E316" s="118"/>
      <c r="G316" s="118"/>
      <c r="I316" s="118"/>
      <c r="K316" s="118"/>
      <c r="M316" s="118"/>
      <c r="O316" s="118"/>
      <c r="P316" s="119"/>
      <c r="S316" s="118"/>
      <c r="U316" s="118"/>
      <c r="W316" s="118"/>
      <c r="Y316" s="118"/>
      <c r="AA316" s="118"/>
      <c r="AC316" s="118"/>
      <c r="AE316" s="118"/>
      <c r="AF316" s="119"/>
    </row>
    <row r="317" spans="1:32" x14ac:dyDescent="0.3">
      <c r="A317" s="118"/>
      <c r="C317" s="118"/>
      <c r="E317" s="118"/>
      <c r="G317" s="118"/>
      <c r="I317" s="118"/>
      <c r="K317" s="118"/>
      <c r="M317" s="118"/>
      <c r="O317" s="118"/>
      <c r="P317" s="119"/>
      <c r="S317" s="118"/>
      <c r="U317" s="118"/>
      <c r="W317" s="118"/>
      <c r="Y317" s="118"/>
      <c r="AA317" s="118"/>
      <c r="AC317" s="118"/>
      <c r="AE317" s="118"/>
      <c r="AF317" s="119"/>
    </row>
    <row r="318" spans="1:32" x14ac:dyDescent="0.3">
      <c r="A318" s="118"/>
      <c r="C318" s="118"/>
      <c r="E318" s="118"/>
      <c r="G318" s="118"/>
      <c r="I318" s="118"/>
      <c r="K318" s="118"/>
      <c r="M318" s="118"/>
      <c r="O318" s="118"/>
      <c r="P318" s="119"/>
      <c r="S318" s="118"/>
      <c r="U318" s="118"/>
      <c r="W318" s="118"/>
      <c r="Y318" s="118"/>
      <c r="AA318" s="118"/>
      <c r="AC318" s="118"/>
      <c r="AE318" s="118"/>
      <c r="AF318" s="119"/>
    </row>
    <row r="319" spans="1:32" x14ac:dyDescent="0.3">
      <c r="A319" s="118"/>
      <c r="C319" s="118"/>
      <c r="E319" s="118"/>
      <c r="G319" s="118"/>
      <c r="I319" s="118"/>
      <c r="K319" s="118"/>
      <c r="M319" s="118"/>
      <c r="O319" s="118"/>
      <c r="P319" s="119"/>
      <c r="S319" s="118"/>
      <c r="U319" s="118"/>
      <c r="W319" s="118"/>
      <c r="Y319" s="118"/>
      <c r="AA319" s="118"/>
      <c r="AC319" s="118"/>
      <c r="AE319" s="118"/>
      <c r="AF319" s="119"/>
    </row>
    <row r="320" spans="1:32" x14ac:dyDescent="0.3">
      <c r="A320" s="118"/>
      <c r="C320" s="118"/>
      <c r="E320" s="118"/>
      <c r="G320" s="118"/>
      <c r="I320" s="118"/>
      <c r="K320" s="118"/>
      <c r="M320" s="118"/>
      <c r="O320" s="118"/>
      <c r="P320" s="119"/>
      <c r="S320" s="118"/>
      <c r="U320" s="118"/>
      <c r="W320" s="118"/>
      <c r="Y320" s="118"/>
      <c r="AA320" s="118"/>
      <c r="AC320" s="118"/>
      <c r="AE320" s="118"/>
      <c r="AF320" s="119"/>
    </row>
    <row r="321" spans="1:32" x14ac:dyDescent="0.3">
      <c r="A321" s="118"/>
      <c r="C321" s="118"/>
      <c r="E321" s="118"/>
      <c r="G321" s="118"/>
      <c r="I321" s="118"/>
      <c r="K321" s="118"/>
      <c r="M321" s="118"/>
      <c r="O321" s="118"/>
      <c r="P321" s="119"/>
      <c r="S321" s="118"/>
      <c r="U321" s="118"/>
      <c r="W321" s="118"/>
      <c r="Y321" s="118"/>
      <c r="AA321" s="118"/>
      <c r="AC321" s="118"/>
      <c r="AE321" s="118"/>
      <c r="AF321" s="119"/>
    </row>
    <row r="322" spans="1:32" x14ac:dyDescent="0.3">
      <c r="A322" s="118"/>
      <c r="C322" s="118"/>
      <c r="E322" s="118"/>
      <c r="G322" s="118"/>
      <c r="I322" s="118"/>
      <c r="K322" s="118"/>
      <c r="M322" s="118"/>
      <c r="O322" s="118"/>
      <c r="P322" s="119"/>
      <c r="S322" s="118"/>
      <c r="U322" s="118"/>
      <c r="W322" s="118"/>
      <c r="Y322" s="118"/>
      <c r="AA322" s="118"/>
      <c r="AC322" s="118"/>
      <c r="AE322" s="118"/>
      <c r="AF322" s="119"/>
    </row>
    <row r="323" spans="1:32" x14ac:dyDescent="0.3">
      <c r="A323" s="118"/>
      <c r="C323" s="118"/>
      <c r="E323" s="118"/>
      <c r="G323" s="118"/>
      <c r="I323" s="118"/>
      <c r="K323" s="118"/>
      <c r="M323" s="118"/>
      <c r="O323" s="118"/>
      <c r="P323" s="119"/>
      <c r="S323" s="118"/>
      <c r="U323" s="118"/>
      <c r="W323" s="118"/>
      <c r="Y323" s="118"/>
      <c r="AA323" s="118"/>
      <c r="AC323" s="118"/>
      <c r="AE323" s="118"/>
      <c r="AF323" s="119"/>
    </row>
    <row r="324" spans="1:32" x14ac:dyDescent="0.3">
      <c r="A324" s="118"/>
      <c r="C324" s="118"/>
      <c r="E324" s="118"/>
      <c r="G324" s="118"/>
      <c r="I324" s="118"/>
      <c r="K324" s="118"/>
      <c r="M324" s="118"/>
      <c r="O324" s="118"/>
      <c r="P324" s="119"/>
      <c r="S324" s="118"/>
      <c r="U324" s="118"/>
      <c r="W324" s="118"/>
      <c r="Y324" s="118"/>
      <c r="AA324" s="118"/>
      <c r="AC324" s="118"/>
      <c r="AE324" s="118"/>
      <c r="AF324" s="119"/>
    </row>
    <row r="325" spans="1:32" x14ac:dyDescent="0.3">
      <c r="A325" s="118"/>
      <c r="C325" s="118"/>
      <c r="E325" s="118"/>
      <c r="G325" s="118"/>
      <c r="I325" s="118"/>
      <c r="K325" s="118"/>
      <c r="M325" s="118"/>
      <c r="O325" s="118"/>
      <c r="P325" s="119"/>
      <c r="S325" s="118"/>
      <c r="U325" s="118"/>
      <c r="W325" s="118"/>
      <c r="Y325" s="118"/>
      <c r="AA325" s="118"/>
      <c r="AC325" s="118"/>
      <c r="AE325" s="118"/>
      <c r="AF325" s="119"/>
    </row>
    <row r="326" spans="1:32" x14ac:dyDescent="0.3">
      <c r="A326" s="118"/>
      <c r="C326" s="118"/>
      <c r="E326" s="118"/>
      <c r="G326" s="118"/>
      <c r="I326" s="118"/>
      <c r="K326" s="118"/>
      <c r="M326" s="118"/>
      <c r="O326" s="118"/>
      <c r="P326" s="119"/>
      <c r="S326" s="118"/>
      <c r="U326" s="118"/>
      <c r="W326" s="118"/>
      <c r="Y326" s="118"/>
      <c r="AA326" s="118"/>
      <c r="AC326" s="118"/>
      <c r="AE326" s="118"/>
      <c r="AF326" s="119"/>
    </row>
    <row r="327" spans="1:32" x14ac:dyDescent="0.3">
      <c r="A327" s="118"/>
      <c r="C327" s="118"/>
      <c r="E327" s="118"/>
      <c r="G327" s="118"/>
      <c r="I327" s="118"/>
      <c r="K327" s="118"/>
      <c r="M327" s="118"/>
      <c r="O327" s="118"/>
      <c r="P327" s="119"/>
      <c r="S327" s="118"/>
      <c r="U327" s="118"/>
      <c r="W327" s="118"/>
      <c r="Y327" s="118"/>
      <c r="AA327" s="118"/>
      <c r="AC327" s="118"/>
      <c r="AE327" s="118"/>
      <c r="AF327" s="119"/>
    </row>
    <row r="328" spans="1:32" x14ac:dyDescent="0.3">
      <c r="A328" s="118"/>
      <c r="C328" s="118"/>
      <c r="E328" s="118"/>
      <c r="G328" s="118"/>
      <c r="I328" s="118"/>
      <c r="K328" s="118"/>
      <c r="M328" s="118"/>
      <c r="O328" s="118"/>
      <c r="P328" s="119"/>
      <c r="S328" s="118"/>
      <c r="U328" s="118"/>
      <c r="W328" s="118"/>
      <c r="Y328" s="118"/>
      <c r="AA328" s="118"/>
      <c r="AC328" s="118"/>
      <c r="AE328" s="118"/>
      <c r="AF328" s="119"/>
    </row>
    <row r="329" spans="1:32" x14ac:dyDescent="0.3">
      <c r="A329" s="118"/>
      <c r="C329" s="118"/>
      <c r="E329" s="118"/>
      <c r="G329" s="118"/>
      <c r="I329" s="118"/>
      <c r="K329" s="118"/>
      <c r="M329" s="118"/>
      <c r="O329" s="118"/>
      <c r="P329" s="119"/>
      <c r="S329" s="118"/>
      <c r="U329" s="118"/>
      <c r="W329" s="118"/>
      <c r="Y329" s="118"/>
      <c r="AA329" s="118"/>
      <c r="AC329" s="118"/>
      <c r="AE329" s="118"/>
      <c r="AF329" s="119"/>
    </row>
    <row r="330" spans="1:32" x14ac:dyDescent="0.3">
      <c r="A330" s="118"/>
      <c r="C330" s="118"/>
      <c r="E330" s="118"/>
      <c r="G330" s="118"/>
      <c r="I330" s="118"/>
      <c r="K330" s="118"/>
      <c r="M330" s="118"/>
      <c r="O330" s="118"/>
      <c r="P330" s="119"/>
      <c r="S330" s="118"/>
      <c r="U330" s="118"/>
      <c r="W330" s="118"/>
      <c r="Y330" s="118"/>
      <c r="AA330" s="118"/>
      <c r="AC330" s="118"/>
      <c r="AE330" s="118"/>
      <c r="AF330" s="119"/>
    </row>
    <row r="331" spans="1:32" x14ac:dyDescent="0.3">
      <c r="A331" s="118"/>
      <c r="C331" s="118"/>
      <c r="E331" s="118"/>
      <c r="G331" s="118"/>
      <c r="I331" s="118"/>
      <c r="K331" s="118"/>
      <c r="M331" s="118"/>
      <c r="O331" s="118"/>
      <c r="P331" s="119"/>
      <c r="S331" s="118"/>
      <c r="U331" s="118"/>
      <c r="W331" s="118"/>
      <c r="Y331" s="118"/>
      <c r="AA331" s="118"/>
      <c r="AC331" s="118"/>
      <c r="AE331" s="118"/>
      <c r="AF331" s="119"/>
    </row>
    <row r="332" spans="1:32" x14ac:dyDescent="0.3">
      <c r="A332" s="118"/>
      <c r="C332" s="118"/>
      <c r="E332" s="118"/>
      <c r="G332" s="118"/>
      <c r="I332" s="118"/>
      <c r="K332" s="118"/>
      <c r="M332" s="118"/>
      <c r="O332" s="118"/>
      <c r="P332" s="119"/>
      <c r="S332" s="118"/>
      <c r="U332" s="118"/>
      <c r="W332" s="118"/>
      <c r="Y332" s="118"/>
      <c r="AA332" s="118"/>
      <c r="AC332" s="118"/>
      <c r="AE332" s="118"/>
      <c r="AF332" s="119"/>
    </row>
    <row r="333" spans="1:32" x14ac:dyDescent="0.3">
      <c r="A333" s="118"/>
      <c r="C333" s="118"/>
      <c r="E333" s="118"/>
      <c r="G333" s="118"/>
      <c r="I333" s="118"/>
      <c r="K333" s="118"/>
      <c r="M333" s="118"/>
      <c r="O333" s="118"/>
      <c r="P333" s="119"/>
      <c r="S333" s="118"/>
      <c r="U333" s="118"/>
      <c r="W333" s="118"/>
      <c r="Y333" s="118"/>
      <c r="AA333" s="118"/>
      <c r="AC333" s="118"/>
      <c r="AE333" s="118"/>
      <c r="AF333" s="119"/>
    </row>
    <row r="334" spans="1:32" x14ac:dyDescent="0.3">
      <c r="A334" s="118"/>
      <c r="C334" s="118"/>
      <c r="E334" s="118"/>
      <c r="G334" s="118"/>
      <c r="I334" s="118"/>
      <c r="K334" s="118"/>
      <c r="M334" s="118"/>
      <c r="O334" s="118"/>
      <c r="P334" s="119"/>
      <c r="S334" s="118"/>
      <c r="U334" s="118"/>
      <c r="W334" s="118"/>
      <c r="Y334" s="118"/>
      <c r="AA334" s="118"/>
      <c r="AC334" s="118"/>
      <c r="AE334" s="118"/>
      <c r="AF334" s="119"/>
    </row>
    <row r="335" spans="1:32" x14ac:dyDescent="0.3">
      <c r="A335" s="118"/>
      <c r="C335" s="118"/>
      <c r="E335" s="118"/>
      <c r="G335" s="118"/>
      <c r="I335" s="118"/>
      <c r="K335" s="118"/>
      <c r="M335" s="118"/>
      <c r="O335" s="118"/>
      <c r="P335" s="119"/>
      <c r="S335" s="118"/>
      <c r="U335" s="118"/>
      <c r="W335" s="118"/>
      <c r="Y335" s="118"/>
      <c r="AA335" s="118"/>
      <c r="AC335" s="118"/>
      <c r="AE335" s="118"/>
      <c r="AF335" s="119"/>
    </row>
    <row r="336" spans="1:32" x14ac:dyDescent="0.3">
      <c r="A336" s="118"/>
      <c r="C336" s="118"/>
      <c r="E336" s="118"/>
      <c r="G336" s="118"/>
      <c r="I336" s="118"/>
      <c r="K336" s="118"/>
      <c r="M336" s="118"/>
      <c r="O336" s="118"/>
      <c r="P336" s="119"/>
      <c r="S336" s="118"/>
      <c r="U336" s="118"/>
      <c r="W336" s="118"/>
      <c r="Y336" s="118"/>
      <c r="AA336" s="118"/>
      <c r="AC336" s="118"/>
      <c r="AE336" s="118"/>
      <c r="AF336" s="119"/>
    </row>
    <row r="337" spans="1:32" x14ac:dyDescent="0.3">
      <c r="A337" s="118"/>
      <c r="C337" s="118"/>
      <c r="E337" s="118"/>
      <c r="G337" s="118"/>
      <c r="I337" s="118"/>
      <c r="K337" s="118"/>
      <c r="M337" s="118"/>
      <c r="O337" s="118"/>
      <c r="P337" s="119"/>
      <c r="S337" s="118"/>
      <c r="U337" s="118"/>
      <c r="W337" s="118"/>
      <c r="Y337" s="118"/>
      <c r="AA337" s="118"/>
      <c r="AC337" s="118"/>
      <c r="AE337" s="118"/>
      <c r="AF337" s="119"/>
    </row>
    <row r="338" spans="1:32" x14ac:dyDescent="0.3">
      <c r="A338" s="118"/>
      <c r="C338" s="118"/>
      <c r="E338" s="118"/>
      <c r="G338" s="118"/>
      <c r="I338" s="118"/>
      <c r="K338" s="118"/>
      <c r="M338" s="118"/>
      <c r="O338" s="118"/>
      <c r="P338" s="119"/>
      <c r="S338" s="118"/>
      <c r="U338" s="118"/>
      <c r="W338" s="118"/>
      <c r="Y338" s="118"/>
      <c r="AA338" s="118"/>
      <c r="AC338" s="118"/>
      <c r="AE338" s="118"/>
      <c r="AF338" s="119"/>
    </row>
    <row r="339" spans="1:32" x14ac:dyDescent="0.3">
      <c r="A339" s="118"/>
      <c r="C339" s="118"/>
      <c r="E339" s="118"/>
      <c r="G339" s="118"/>
      <c r="I339" s="118"/>
      <c r="K339" s="118"/>
      <c r="M339" s="118"/>
      <c r="O339" s="118"/>
      <c r="P339" s="119"/>
      <c r="S339" s="118"/>
      <c r="U339" s="118"/>
      <c r="W339" s="118"/>
      <c r="Y339" s="118"/>
      <c r="AA339" s="118"/>
      <c r="AC339" s="118"/>
      <c r="AE339" s="118"/>
      <c r="AF339" s="119"/>
    </row>
    <row r="340" spans="1:32" x14ac:dyDescent="0.3">
      <c r="A340" s="118"/>
      <c r="C340" s="118"/>
      <c r="E340" s="118"/>
      <c r="G340" s="118"/>
      <c r="I340" s="118"/>
      <c r="K340" s="118"/>
      <c r="M340" s="118"/>
      <c r="O340" s="118"/>
      <c r="P340" s="119"/>
      <c r="S340" s="118"/>
      <c r="U340" s="118"/>
      <c r="W340" s="118"/>
      <c r="Y340" s="118"/>
      <c r="AA340" s="118"/>
      <c r="AC340" s="118"/>
      <c r="AE340" s="118"/>
      <c r="AF340" s="119"/>
    </row>
    <row r="341" spans="1:32" x14ac:dyDescent="0.3">
      <c r="A341" s="118"/>
      <c r="C341" s="118"/>
      <c r="E341" s="118"/>
      <c r="G341" s="118"/>
      <c r="I341" s="118"/>
      <c r="K341" s="118"/>
      <c r="M341" s="118"/>
      <c r="O341" s="118"/>
      <c r="P341" s="119"/>
      <c r="S341" s="118"/>
      <c r="U341" s="118"/>
      <c r="W341" s="118"/>
      <c r="Y341" s="118"/>
      <c r="AA341" s="118"/>
      <c r="AC341" s="118"/>
      <c r="AE341" s="118"/>
      <c r="AF341" s="119"/>
    </row>
    <row r="342" spans="1:32" x14ac:dyDescent="0.3">
      <c r="A342" s="118"/>
      <c r="C342" s="118"/>
      <c r="E342" s="118"/>
      <c r="G342" s="118"/>
      <c r="I342" s="118"/>
      <c r="K342" s="118"/>
      <c r="M342" s="118"/>
      <c r="O342" s="118"/>
      <c r="P342" s="119"/>
      <c r="S342" s="118"/>
      <c r="U342" s="118"/>
      <c r="W342" s="118"/>
      <c r="Y342" s="118"/>
      <c r="AA342" s="118"/>
      <c r="AC342" s="118"/>
      <c r="AE342" s="118"/>
      <c r="AF342" s="119"/>
    </row>
    <row r="343" spans="1:32" x14ac:dyDescent="0.3">
      <c r="A343" s="118"/>
      <c r="C343" s="118"/>
      <c r="E343" s="118"/>
      <c r="G343" s="118"/>
      <c r="I343" s="118"/>
      <c r="K343" s="118"/>
      <c r="M343" s="118"/>
      <c r="O343" s="118"/>
      <c r="P343" s="119"/>
      <c r="S343" s="118"/>
      <c r="U343" s="118"/>
      <c r="W343" s="118"/>
      <c r="Y343" s="118"/>
      <c r="AA343" s="118"/>
      <c r="AC343" s="118"/>
      <c r="AE343" s="118"/>
      <c r="AF343" s="119"/>
    </row>
    <row r="344" spans="1:32" x14ac:dyDescent="0.3">
      <c r="A344" s="118"/>
      <c r="C344" s="118"/>
      <c r="E344" s="118"/>
      <c r="G344" s="118"/>
      <c r="I344" s="118"/>
      <c r="K344" s="118"/>
      <c r="M344" s="118"/>
      <c r="O344" s="118"/>
      <c r="P344" s="119"/>
      <c r="S344" s="118"/>
      <c r="U344" s="118"/>
      <c r="W344" s="118"/>
      <c r="Y344" s="118"/>
      <c r="AA344" s="118"/>
      <c r="AC344" s="118"/>
      <c r="AE344" s="118"/>
      <c r="AF344" s="119"/>
    </row>
    <row r="345" spans="1:32" x14ac:dyDescent="0.3">
      <c r="A345" s="118"/>
      <c r="C345" s="118"/>
      <c r="E345" s="118"/>
      <c r="G345" s="118"/>
      <c r="I345" s="118"/>
      <c r="K345" s="118"/>
      <c r="M345" s="118"/>
      <c r="O345" s="118"/>
      <c r="P345" s="119"/>
      <c r="S345" s="118"/>
      <c r="U345" s="118"/>
      <c r="W345" s="118"/>
      <c r="Y345" s="118"/>
      <c r="AA345" s="118"/>
      <c r="AC345" s="118"/>
      <c r="AE345" s="118"/>
      <c r="AF345" s="119"/>
    </row>
    <row r="346" spans="1:32" x14ac:dyDescent="0.3">
      <c r="A346" s="118"/>
      <c r="C346" s="118"/>
      <c r="E346" s="118"/>
      <c r="G346" s="118"/>
      <c r="I346" s="118"/>
      <c r="K346" s="118"/>
      <c r="M346" s="118"/>
      <c r="O346" s="118"/>
      <c r="P346" s="119"/>
      <c r="S346" s="118"/>
      <c r="U346" s="118"/>
      <c r="W346" s="118"/>
      <c r="Y346" s="118"/>
      <c r="AA346" s="118"/>
      <c r="AC346" s="118"/>
      <c r="AE346" s="118"/>
      <c r="AF346" s="119"/>
    </row>
    <row r="347" spans="1:32" x14ac:dyDescent="0.3">
      <c r="A347" s="118"/>
      <c r="C347" s="118"/>
      <c r="E347" s="118"/>
      <c r="G347" s="118"/>
      <c r="I347" s="118"/>
      <c r="K347" s="118"/>
      <c r="M347" s="118"/>
      <c r="O347" s="118"/>
      <c r="P347" s="119"/>
      <c r="S347" s="118"/>
      <c r="U347" s="118"/>
      <c r="W347" s="118"/>
      <c r="Y347" s="118"/>
      <c r="AA347" s="118"/>
      <c r="AC347" s="118"/>
      <c r="AE347" s="118"/>
      <c r="AF347" s="119"/>
    </row>
    <row r="348" spans="1:32" x14ac:dyDescent="0.3">
      <c r="A348" s="118"/>
      <c r="C348" s="118"/>
      <c r="E348" s="118"/>
      <c r="G348" s="118"/>
      <c r="I348" s="118"/>
      <c r="K348" s="118"/>
      <c r="M348" s="118"/>
      <c r="O348" s="118"/>
      <c r="P348" s="119"/>
      <c r="S348" s="118"/>
      <c r="U348" s="118"/>
      <c r="W348" s="118"/>
      <c r="Y348" s="118"/>
      <c r="AA348" s="118"/>
      <c r="AC348" s="118"/>
      <c r="AE348" s="118"/>
      <c r="AF348" s="119"/>
    </row>
    <row r="349" spans="1:32" x14ac:dyDescent="0.3">
      <c r="A349" s="118"/>
      <c r="C349" s="118"/>
      <c r="E349" s="118"/>
      <c r="G349" s="118"/>
      <c r="I349" s="118"/>
      <c r="K349" s="118"/>
      <c r="M349" s="118"/>
      <c r="O349" s="118"/>
      <c r="P349" s="119"/>
      <c r="S349" s="118"/>
      <c r="U349" s="118"/>
      <c r="W349" s="118"/>
      <c r="Y349" s="118"/>
      <c r="AA349" s="118"/>
      <c r="AC349" s="118"/>
      <c r="AE349" s="118"/>
      <c r="AF349" s="119"/>
    </row>
    <row r="350" spans="1:32" x14ac:dyDescent="0.3">
      <c r="A350" s="118"/>
      <c r="C350" s="118"/>
      <c r="E350" s="118"/>
      <c r="G350" s="118"/>
      <c r="I350" s="118"/>
      <c r="K350" s="118"/>
      <c r="M350" s="118"/>
      <c r="O350" s="118"/>
      <c r="P350" s="119"/>
      <c r="S350" s="118"/>
      <c r="U350" s="118"/>
      <c r="W350" s="118"/>
      <c r="Y350" s="118"/>
      <c r="AA350" s="118"/>
      <c r="AC350" s="118"/>
      <c r="AE350" s="118"/>
      <c r="AF350" s="119"/>
    </row>
    <row r="351" spans="1:32" x14ac:dyDescent="0.3">
      <c r="A351" s="118"/>
      <c r="C351" s="118"/>
      <c r="E351" s="118"/>
      <c r="G351" s="118"/>
      <c r="I351" s="118"/>
      <c r="K351" s="118"/>
      <c r="M351" s="118"/>
      <c r="O351" s="118"/>
      <c r="P351" s="119"/>
      <c r="S351" s="118"/>
      <c r="U351" s="118"/>
      <c r="W351" s="118"/>
      <c r="Y351" s="118"/>
      <c r="AA351" s="118"/>
      <c r="AC351" s="118"/>
      <c r="AE351" s="118"/>
      <c r="AF351" s="119"/>
    </row>
    <row r="352" spans="1:32" x14ac:dyDescent="0.3">
      <c r="A352" s="118"/>
      <c r="C352" s="118"/>
      <c r="E352" s="118"/>
      <c r="G352" s="118"/>
      <c r="I352" s="118"/>
      <c r="K352" s="118"/>
      <c r="M352" s="118"/>
      <c r="O352" s="118"/>
      <c r="P352" s="119"/>
      <c r="S352" s="118"/>
      <c r="U352" s="118"/>
      <c r="W352" s="118"/>
      <c r="Y352" s="118"/>
      <c r="AA352" s="118"/>
      <c r="AC352" s="118"/>
      <c r="AE352" s="118"/>
      <c r="AF352" s="119"/>
    </row>
    <row r="353" spans="1:32" x14ac:dyDescent="0.3">
      <c r="A353" s="118"/>
      <c r="C353" s="118"/>
      <c r="E353" s="118"/>
      <c r="G353" s="118"/>
      <c r="I353" s="118"/>
      <c r="K353" s="118"/>
      <c r="M353" s="118"/>
      <c r="O353" s="118"/>
      <c r="P353" s="119"/>
      <c r="S353" s="118"/>
      <c r="U353" s="118"/>
      <c r="W353" s="118"/>
      <c r="Y353" s="118"/>
      <c r="AA353" s="118"/>
      <c r="AC353" s="118"/>
      <c r="AE353" s="118"/>
      <c r="AF353" s="119"/>
    </row>
    <row r="354" spans="1:32" x14ac:dyDescent="0.3">
      <c r="A354" s="118"/>
      <c r="C354" s="118"/>
      <c r="E354" s="118"/>
      <c r="G354" s="118"/>
      <c r="I354" s="118"/>
      <c r="K354" s="118"/>
      <c r="M354" s="118"/>
      <c r="O354" s="118"/>
      <c r="P354" s="119"/>
      <c r="S354" s="118"/>
      <c r="U354" s="118"/>
      <c r="W354" s="118"/>
      <c r="Y354" s="118"/>
      <c r="AA354" s="118"/>
      <c r="AC354" s="118"/>
      <c r="AE354" s="118"/>
      <c r="AF354" s="119"/>
    </row>
    <row r="355" spans="1:32" x14ac:dyDescent="0.3">
      <c r="A355" s="118"/>
      <c r="C355" s="118"/>
      <c r="E355" s="118"/>
      <c r="G355" s="118"/>
      <c r="I355" s="118"/>
      <c r="K355" s="118"/>
      <c r="M355" s="118"/>
      <c r="O355" s="118"/>
      <c r="P355" s="119"/>
      <c r="S355" s="118"/>
      <c r="U355" s="118"/>
      <c r="W355" s="118"/>
      <c r="Y355" s="118"/>
      <c r="AA355" s="118"/>
      <c r="AC355" s="118"/>
      <c r="AE355" s="118"/>
      <c r="AF355" s="119"/>
    </row>
    <row r="356" spans="1:32" x14ac:dyDescent="0.3">
      <c r="A356" s="118"/>
      <c r="C356" s="118"/>
      <c r="E356" s="118"/>
      <c r="G356" s="118"/>
      <c r="I356" s="118"/>
      <c r="K356" s="118"/>
      <c r="M356" s="118"/>
      <c r="O356" s="118"/>
      <c r="P356" s="119"/>
      <c r="S356" s="118"/>
      <c r="U356" s="118"/>
      <c r="W356" s="118"/>
      <c r="Y356" s="118"/>
      <c r="AA356" s="118"/>
      <c r="AC356" s="118"/>
      <c r="AE356" s="118"/>
      <c r="AF356" s="119"/>
    </row>
    <row r="357" spans="1:32" x14ac:dyDescent="0.3">
      <c r="A357" s="118"/>
      <c r="C357" s="118"/>
      <c r="E357" s="118"/>
      <c r="G357" s="118"/>
      <c r="I357" s="118"/>
      <c r="K357" s="118"/>
      <c r="M357" s="118"/>
      <c r="O357" s="118"/>
      <c r="P357" s="119"/>
      <c r="S357" s="118"/>
      <c r="U357" s="118"/>
      <c r="W357" s="118"/>
      <c r="Y357" s="118"/>
      <c r="AA357" s="118"/>
      <c r="AC357" s="118"/>
      <c r="AE357" s="118"/>
      <c r="AF357" s="119"/>
    </row>
    <row r="358" spans="1:32" x14ac:dyDescent="0.3">
      <c r="A358" s="118"/>
      <c r="C358" s="118"/>
      <c r="E358" s="118"/>
      <c r="G358" s="118"/>
      <c r="I358" s="118"/>
      <c r="K358" s="118"/>
      <c r="M358" s="118"/>
      <c r="O358" s="118"/>
      <c r="P358" s="119"/>
      <c r="S358" s="118"/>
      <c r="U358" s="118"/>
      <c r="W358" s="118"/>
      <c r="Y358" s="118"/>
      <c r="AA358" s="118"/>
      <c r="AC358" s="118"/>
      <c r="AE358" s="118"/>
      <c r="AF358" s="119"/>
    </row>
    <row r="359" spans="1:32" x14ac:dyDescent="0.3">
      <c r="A359" s="118"/>
      <c r="C359" s="118"/>
      <c r="E359" s="118"/>
      <c r="G359" s="118"/>
      <c r="I359" s="118"/>
      <c r="K359" s="118"/>
      <c r="M359" s="118"/>
      <c r="O359" s="118"/>
      <c r="P359" s="119"/>
      <c r="S359" s="118"/>
      <c r="U359" s="118"/>
      <c r="W359" s="118"/>
      <c r="Y359" s="118"/>
      <c r="AA359" s="118"/>
      <c r="AC359" s="118"/>
      <c r="AE359" s="118"/>
      <c r="AF359" s="119"/>
    </row>
    <row r="360" spans="1:32" x14ac:dyDescent="0.3">
      <c r="A360" s="118"/>
      <c r="C360" s="118"/>
      <c r="E360" s="118"/>
      <c r="G360" s="118"/>
      <c r="I360" s="118"/>
      <c r="K360" s="118"/>
      <c r="M360" s="118"/>
      <c r="O360" s="118"/>
      <c r="P360" s="119"/>
      <c r="S360" s="118"/>
      <c r="U360" s="118"/>
      <c r="W360" s="118"/>
      <c r="Y360" s="118"/>
      <c r="AA360" s="118"/>
      <c r="AC360" s="118"/>
      <c r="AE360" s="118"/>
      <c r="AF360" s="119"/>
    </row>
    <row r="361" spans="1:32" x14ac:dyDescent="0.3">
      <c r="A361" s="118"/>
      <c r="C361" s="118"/>
      <c r="E361" s="118"/>
      <c r="G361" s="118"/>
      <c r="I361" s="118"/>
      <c r="K361" s="118"/>
      <c r="M361" s="118"/>
      <c r="O361" s="118"/>
      <c r="P361" s="119"/>
      <c r="S361" s="118"/>
      <c r="U361" s="118"/>
      <c r="W361" s="118"/>
      <c r="Y361" s="118"/>
      <c r="AA361" s="118"/>
      <c r="AC361" s="118"/>
      <c r="AE361" s="118"/>
      <c r="AF361" s="119"/>
    </row>
    <row r="362" spans="1:32" x14ac:dyDescent="0.3">
      <c r="A362" s="118"/>
      <c r="C362" s="118"/>
      <c r="E362" s="118"/>
      <c r="G362" s="118"/>
      <c r="I362" s="118"/>
      <c r="K362" s="118"/>
      <c r="M362" s="118"/>
      <c r="O362" s="118"/>
      <c r="P362" s="119"/>
      <c r="S362" s="118"/>
      <c r="U362" s="118"/>
      <c r="W362" s="118"/>
      <c r="Y362" s="118"/>
      <c r="AA362" s="118"/>
      <c r="AC362" s="118"/>
      <c r="AE362" s="118"/>
      <c r="AF362" s="119"/>
    </row>
    <row r="363" spans="1:32" x14ac:dyDescent="0.3">
      <c r="A363" s="118"/>
      <c r="C363" s="118"/>
      <c r="E363" s="118"/>
      <c r="G363" s="118"/>
      <c r="I363" s="118"/>
      <c r="K363" s="118"/>
      <c r="M363" s="118"/>
      <c r="O363" s="118"/>
      <c r="P363" s="119"/>
      <c r="S363" s="118"/>
      <c r="U363" s="118"/>
      <c r="W363" s="118"/>
      <c r="Y363" s="118"/>
      <c r="AA363" s="118"/>
      <c r="AC363" s="118"/>
      <c r="AE363" s="118"/>
      <c r="AF363" s="119"/>
    </row>
    <row r="364" spans="1:32" x14ac:dyDescent="0.3">
      <c r="A364" s="118"/>
      <c r="C364" s="118"/>
      <c r="E364" s="118"/>
      <c r="G364" s="118"/>
      <c r="I364" s="118"/>
      <c r="K364" s="118"/>
      <c r="M364" s="118"/>
      <c r="O364" s="118"/>
      <c r="P364" s="119"/>
      <c r="S364" s="118"/>
      <c r="U364" s="118"/>
      <c r="W364" s="118"/>
      <c r="Y364" s="118"/>
      <c r="AA364" s="118"/>
      <c r="AC364" s="118"/>
      <c r="AE364" s="118"/>
      <c r="AF364" s="119"/>
    </row>
    <row r="365" spans="1:32" x14ac:dyDescent="0.3">
      <c r="A365" s="118"/>
      <c r="C365" s="118"/>
      <c r="E365" s="118"/>
      <c r="G365" s="118"/>
      <c r="I365" s="118"/>
      <c r="K365" s="118"/>
      <c r="M365" s="118"/>
      <c r="O365" s="118"/>
      <c r="P365" s="119"/>
      <c r="S365" s="118"/>
      <c r="U365" s="118"/>
      <c r="W365" s="118"/>
      <c r="Y365" s="118"/>
      <c r="AA365" s="118"/>
      <c r="AC365" s="118"/>
      <c r="AE365" s="118"/>
      <c r="AF365" s="119"/>
    </row>
    <row r="366" spans="1:32" x14ac:dyDescent="0.3">
      <c r="A366" s="118"/>
      <c r="C366" s="118"/>
      <c r="E366" s="118"/>
      <c r="G366" s="118"/>
      <c r="I366" s="118"/>
      <c r="K366" s="118"/>
      <c r="M366" s="118"/>
      <c r="O366" s="118"/>
      <c r="P366" s="119"/>
      <c r="S366" s="118"/>
      <c r="U366" s="118"/>
      <c r="W366" s="118"/>
      <c r="Y366" s="118"/>
      <c r="AA366" s="118"/>
      <c r="AC366" s="118"/>
      <c r="AE366" s="118"/>
      <c r="AF366" s="119"/>
    </row>
    <row r="367" spans="1:32" x14ac:dyDescent="0.3">
      <c r="A367" s="118"/>
      <c r="C367" s="118"/>
      <c r="E367" s="118"/>
      <c r="G367" s="118"/>
      <c r="I367" s="118"/>
      <c r="K367" s="118"/>
      <c r="M367" s="118"/>
      <c r="O367" s="118"/>
      <c r="P367" s="119"/>
      <c r="S367" s="118"/>
      <c r="U367" s="118"/>
      <c r="W367" s="118"/>
      <c r="Y367" s="118"/>
      <c r="AA367" s="118"/>
      <c r="AC367" s="118"/>
      <c r="AE367" s="118"/>
      <c r="AF367" s="119"/>
    </row>
    <row r="368" spans="1:32" x14ac:dyDescent="0.3">
      <c r="A368" s="118"/>
      <c r="C368" s="118"/>
      <c r="E368" s="118"/>
      <c r="G368" s="118"/>
      <c r="I368" s="118"/>
      <c r="K368" s="118"/>
      <c r="M368" s="118"/>
      <c r="O368" s="118"/>
      <c r="P368" s="119"/>
      <c r="S368" s="118"/>
      <c r="U368" s="118"/>
      <c r="W368" s="118"/>
      <c r="Y368" s="118"/>
      <c r="AA368" s="118"/>
      <c r="AC368" s="118"/>
      <c r="AE368" s="118"/>
      <c r="AF368" s="119"/>
    </row>
    <row r="369" spans="1:32" x14ac:dyDescent="0.3">
      <c r="A369" s="118"/>
      <c r="C369" s="118"/>
      <c r="E369" s="118"/>
      <c r="G369" s="118"/>
      <c r="I369" s="118"/>
      <c r="K369" s="118"/>
      <c r="M369" s="118"/>
      <c r="O369" s="118"/>
      <c r="P369" s="119"/>
      <c r="S369" s="118"/>
      <c r="U369" s="118"/>
      <c r="W369" s="118"/>
      <c r="Y369" s="118"/>
      <c r="AA369" s="118"/>
      <c r="AC369" s="118"/>
      <c r="AE369" s="118"/>
      <c r="AF369" s="119"/>
    </row>
    <row r="370" spans="1:32" x14ac:dyDescent="0.3">
      <c r="A370" s="118"/>
      <c r="C370" s="118"/>
      <c r="E370" s="118"/>
      <c r="G370" s="118"/>
      <c r="I370" s="118"/>
      <c r="K370" s="118"/>
      <c r="M370" s="118"/>
      <c r="O370" s="118"/>
      <c r="P370" s="119"/>
      <c r="S370" s="118"/>
      <c r="U370" s="118"/>
      <c r="W370" s="118"/>
      <c r="Y370" s="118"/>
      <c r="AA370" s="118"/>
      <c r="AC370" s="118"/>
      <c r="AE370" s="118"/>
      <c r="AF370" s="119"/>
    </row>
    <row r="371" spans="1:32" x14ac:dyDescent="0.3">
      <c r="A371" s="118"/>
      <c r="C371" s="118"/>
      <c r="E371" s="118"/>
      <c r="G371" s="118"/>
      <c r="I371" s="118"/>
      <c r="K371" s="118"/>
      <c r="M371" s="118"/>
      <c r="O371" s="118"/>
      <c r="P371" s="119"/>
      <c r="S371" s="118"/>
      <c r="U371" s="118"/>
      <c r="W371" s="118"/>
      <c r="Y371" s="118"/>
      <c r="AA371" s="118"/>
      <c r="AC371" s="118"/>
      <c r="AE371" s="118"/>
      <c r="AF371" s="119"/>
    </row>
    <row r="372" spans="1:32" x14ac:dyDescent="0.3">
      <c r="A372" s="118"/>
      <c r="C372" s="118"/>
      <c r="E372" s="118"/>
      <c r="G372" s="118"/>
      <c r="I372" s="118"/>
      <c r="K372" s="118"/>
      <c r="M372" s="118"/>
      <c r="O372" s="118"/>
      <c r="P372" s="119"/>
      <c r="S372" s="118"/>
      <c r="U372" s="118"/>
      <c r="W372" s="118"/>
      <c r="Y372" s="118"/>
      <c r="AA372" s="118"/>
      <c r="AC372" s="118"/>
      <c r="AE372" s="118"/>
      <c r="AF372" s="119"/>
    </row>
    <row r="373" spans="1:32" x14ac:dyDescent="0.3">
      <c r="A373" s="118"/>
      <c r="C373" s="118"/>
      <c r="E373" s="118"/>
      <c r="G373" s="118"/>
      <c r="I373" s="118"/>
      <c r="K373" s="118"/>
      <c r="M373" s="118"/>
      <c r="O373" s="118"/>
      <c r="P373" s="119"/>
      <c r="S373" s="118"/>
      <c r="U373" s="118"/>
      <c r="W373" s="118"/>
      <c r="Y373" s="118"/>
      <c r="AA373" s="118"/>
      <c r="AC373" s="118"/>
      <c r="AE373" s="118"/>
      <c r="AF373" s="119"/>
    </row>
    <row r="374" spans="1:32" x14ac:dyDescent="0.3">
      <c r="A374" s="118"/>
      <c r="C374" s="118"/>
      <c r="E374" s="118"/>
      <c r="G374" s="118"/>
      <c r="I374" s="118"/>
      <c r="K374" s="118"/>
      <c r="M374" s="118"/>
      <c r="O374" s="118"/>
      <c r="P374" s="119"/>
      <c r="S374" s="118"/>
      <c r="U374" s="118"/>
      <c r="W374" s="118"/>
      <c r="Y374" s="118"/>
      <c r="AA374" s="118"/>
      <c r="AC374" s="118"/>
      <c r="AE374" s="118"/>
      <c r="AF374" s="119"/>
    </row>
    <row r="375" spans="1:32" x14ac:dyDescent="0.3">
      <c r="A375" s="118"/>
      <c r="C375" s="118"/>
      <c r="E375" s="118"/>
      <c r="G375" s="118"/>
      <c r="I375" s="118"/>
      <c r="K375" s="118"/>
      <c r="M375" s="118"/>
      <c r="O375" s="118"/>
      <c r="P375" s="119"/>
      <c r="S375" s="118"/>
      <c r="U375" s="118"/>
      <c r="W375" s="118"/>
      <c r="Y375" s="118"/>
      <c r="AA375" s="118"/>
      <c r="AC375" s="118"/>
      <c r="AE375" s="118"/>
      <c r="AF375" s="119"/>
    </row>
    <row r="376" spans="1:32" x14ac:dyDescent="0.3">
      <c r="A376" s="118"/>
      <c r="C376" s="118"/>
      <c r="E376" s="118"/>
      <c r="G376" s="118"/>
      <c r="I376" s="118"/>
      <c r="K376" s="118"/>
      <c r="M376" s="118"/>
      <c r="O376" s="118"/>
      <c r="P376" s="119"/>
      <c r="S376" s="118"/>
      <c r="U376" s="118"/>
      <c r="W376" s="118"/>
      <c r="Y376" s="118"/>
      <c r="AA376" s="118"/>
      <c r="AC376" s="118"/>
      <c r="AE376" s="118"/>
      <c r="AF376" s="119"/>
    </row>
    <row r="377" spans="1:32" x14ac:dyDescent="0.3">
      <c r="A377" s="118"/>
      <c r="C377" s="118"/>
      <c r="E377" s="118"/>
      <c r="G377" s="118"/>
      <c r="I377" s="118"/>
      <c r="K377" s="118"/>
      <c r="M377" s="118"/>
      <c r="O377" s="118"/>
      <c r="P377" s="119"/>
      <c r="S377" s="118"/>
      <c r="U377" s="118"/>
      <c r="W377" s="118"/>
      <c r="Y377" s="118"/>
      <c r="AA377" s="118"/>
      <c r="AC377" s="118"/>
      <c r="AE377" s="118"/>
      <c r="AF377" s="119"/>
    </row>
    <row r="378" spans="1:32" x14ac:dyDescent="0.3">
      <c r="A378" s="118"/>
      <c r="C378" s="118"/>
      <c r="E378" s="118"/>
      <c r="G378" s="118"/>
      <c r="I378" s="118"/>
      <c r="K378" s="118"/>
      <c r="M378" s="118"/>
      <c r="O378" s="118"/>
      <c r="P378" s="119"/>
      <c r="S378" s="118"/>
      <c r="U378" s="118"/>
      <c r="W378" s="118"/>
      <c r="Y378" s="118"/>
      <c r="AA378" s="118"/>
      <c r="AC378" s="118"/>
      <c r="AE378" s="118"/>
      <c r="AF378" s="119"/>
    </row>
    <row r="379" spans="1:32" x14ac:dyDescent="0.3">
      <c r="A379" s="118"/>
      <c r="C379" s="118"/>
      <c r="E379" s="118"/>
      <c r="G379" s="118"/>
      <c r="I379" s="118"/>
      <c r="K379" s="118"/>
      <c r="M379" s="118"/>
      <c r="O379" s="118"/>
      <c r="P379" s="119"/>
      <c r="S379" s="118"/>
      <c r="U379" s="118"/>
      <c r="W379" s="118"/>
      <c r="Y379" s="118"/>
      <c r="AA379" s="118"/>
      <c r="AC379" s="118"/>
      <c r="AE379" s="118"/>
      <c r="AF379" s="119"/>
    </row>
    <row r="380" spans="1:32" x14ac:dyDescent="0.3">
      <c r="A380" s="118"/>
      <c r="C380" s="118"/>
      <c r="E380" s="118"/>
      <c r="G380" s="118"/>
      <c r="I380" s="118"/>
      <c r="K380" s="118"/>
      <c r="M380" s="118"/>
      <c r="O380" s="118"/>
      <c r="P380" s="119"/>
      <c r="S380" s="118"/>
      <c r="U380" s="118"/>
      <c r="W380" s="118"/>
      <c r="Y380" s="118"/>
      <c r="AA380" s="118"/>
      <c r="AC380" s="118"/>
      <c r="AE380" s="118"/>
      <c r="AF380" s="119"/>
    </row>
    <row r="381" spans="1:32" x14ac:dyDescent="0.3">
      <c r="A381" s="118"/>
      <c r="C381" s="118"/>
      <c r="E381" s="118"/>
      <c r="G381" s="118"/>
      <c r="I381" s="118"/>
      <c r="K381" s="118"/>
      <c r="M381" s="118"/>
      <c r="O381" s="118"/>
      <c r="P381" s="119"/>
      <c r="S381" s="118"/>
      <c r="U381" s="118"/>
      <c r="W381" s="118"/>
      <c r="Y381" s="118"/>
      <c r="AA381" s="118"/>
      <c r="AC381" s="118"/>
      <c r="AE381" s="118"/>
      <c r="AF381" s="119"/>
    </row>
    <row r="382" spans="1:32" x14ac:dyDescent="0.3">
      <c r="A382" s="118"/>
      <c r="C382" s="118"/>
      <c r="E382" s="118"/>
      <c r="G382" s="118"/>
      <c r="I382" s="118"/>
      <c r="K382" s="118"/>
      <c r="M382" s="118"/>
      <c r="O382" s="118"/>
      <c r="P382" s="119"/>
      <c r="S382" s="118"/>
      <c r="U382" s="118"/>
      <c r="W382" s="118"/>
      <c r="Y382" s="118"/>
      <c r="AA382" s="118"/>
      <c r="AC382" s="118"/>
      <c r="AE382" s="118"/>
      <c r="AF382" s="119"/>
    </row>
    <row r="383" spans="1:32" x14ac:dyDescent="0.3">
      <c r="A383" s="118"/>
      <c r="C383" s="118"/>
      <c r="E383" s="118"/>
      <c r="G383" s="118"/>
      <c r="I383" s="118"/>
      <c r="K383" s="118"/>
      <c r="M383" s="118"/>
      <c r="O383" s="118"/>
      <c r="P383" s="119"/>
      <c r="S383" s="118"/>
      <c r="U383" s="118"/>
      <c r="W383" s="118"/>
      <c r="Y383" s="118"/>
      <c r="AA383" s="118"/>
      <c r="AC383" s="118"/>
      <c r="AE383" s="118"/>
      <c r="AF383" s="119"/>
    </row>
    <row r="384" spans="1:32" x14ac:dyDescent="0.3">
      <c r="A384" s="118"/>
      <c r="C384" s="118"/>
      <c r="E384" s="118"/>
      <c r="G384" s="118"/>
      <c r="I384" s="118"/>
      <c r="K384" s="118"/>
      <c r="M384" s="118"/>
      <c r="O384" s="118"/>
      <c r="P384" s="119"/>
      <c r="S384" s="118"/>
      <c r="U384" s="118"/>
      <c r="W384" s="118"/>
      <c r="Y384" s="118"/>
      <c r="AA384" s="118"/>
      <c r="AC384" s="118"/>
      <c r="AE384" s="118"/>
      <c r="AF384" s="119"/>
    </row>
    <row r="385" spans="1:32" x14ac:dyDescent="0.3">
      <c r="A385" s="118"/>
      <c r="C385" s="118"/>
      <c r="E385" s="118"/>
      <c r="G385" s="118"/>
      <c r="I385" s="118"/>
      <c r="K385" s="118"/>
      <c r="M385" s="118"/>
      <c r="O385" s="118"/>
      <c r="P385" s="119"/>
      <c r="S385" s="118"/>
      <c r="U385" s="118"/>
      <c r="W385" s="118"/>
      <c r="Y385" s="118"/>
      <c r="AA385" s="118"/>
      <c r="AC385" s="118"/>
      <c r="AE385" s="118"/>
      <c r="AF385" s="119"/>
    </row>
    <row r="386" spans="1:32" x14ac:dyDescent="0.3">
      <c r="A386" s="118"/>
      <c r="C386" s="118"/>
      <c r="E386" s="118"/>
      <c r="G386" s="118"/>
      <c r="I386" s="118"/>
      <c r="K386" s="118"/>
      <c r="M386" s="118"/>
      <c r="O386" s="118"/>
      <c r="P386" s="119"/>
      <c r="S386" s="118"/>
      <c r="U386" s="118"/>
      <c r="W386" s="118"/>
      <c r="Y386" s="118"/>
      <c r="AA386" s="118"/>
      <c r="AC386" s="118"/>
      <c r="AE386" s="118"/>
      <c r="AF386" s="119"/>
    </row>
    <row r="387" spans="1:32" x14ac:dyDescent="0.3">
      <c r="A387" s="118"/>
      <c r="C387" s="118"/>
      <c r="E387" s="118"/>
      <c r="G387" s="118"/>
      <c r="I387" s="118"/>
      <c r="K387" s="118"/>
      <c r="M387" s="118"/>
      <c r="O387" s="118"/>
      <c r="P387" s="119"/>
      <c r="S387" s="118"/>
      <c r="U387" s="118"/>
      <c r="W387" s="118"/>
      <c r="Y387" s="118"/>
      <c r="AA387" s="118"/>
      <c r="AC387" s="118"/>
      <c r="AE387" s="118"/>
      <c r="AF387" s="119"/>
    </row>
    <row r="388" spans="1:32" x14ac:dyDescent="0.3">
      <c r="A388" s="118"/>
      <c r="C388" s="118"/>
      <c r="E388" s="118"/>
      <c r="G388" s="118"/>
      <c r="I388" s="118"/>
      <c r="K388" s="118"/>
      <c r="M388" s="118"/>
      <c r="O388" s="118"/>
      <c r="P388" s="119"/>
      <c r="S388" s="118"/>
      <c r="U388" s="118"/>
      <c r="W388" s="118"/>
      <c r="Y388" s="118"/>
      <c r="AA388" s="118"/>
      <c r="AC388" s="118"/>
      <c r="AE388" s="118"/>
      <c r="AF388" s="119"/>
    </row>
    <row r="389" spans="1:32" x14ac:dyDescent="0.3">
      <c r="A389" s="118"/>
      <c r="C389" s="118"/>
      <c r="E389" s="118"/>
      <c r="G389" s="118"/>
      <c r="I389" s="118"/>
      <c r="K389" s="118"/>
      <c r="M389" s="118"/>
      <c r="O389" s="118"/>
      <c r="P389" s="119"/>
      <c r="S389" s="118"/>
      <c r="U389" s="118"/>
      <c r="W389" s="118"/>
      <c r="Y389" s="118"/>
      <c r="AA389" s="118"/>
      <c r="AC389" s="118"/>
      <c r="AE389" s="118"/>
      <c r="AF389" s="119"/>
    </row>
    <row r="390" spans="1:32" x14ac:dyDescent="0.3">
      <c r="A390" s="118"/>
      <c r="C390" s="118"/>
      <c r="E390" s="118"/>
      <c r="G390" s="118"/>
      <c r="I390" s="118"/>
      <c r="K390" s="118"/>
      <c r="M390" s="118"/>
      <c r="O390" s="118"/>
      <c r="P390" s="119"/>
      <c r="S390" s="118"/>
      <c r="U390" s="118"/>
      <c r="W390" s="118"/>
      <c r="Y390" s="118"/>
      <c r="AA390" s="118"/>
      <c r="AC390" s="118"/>
      <c r="AE390" s="118"/>
      <c r="AF390" s="119"/>
    </row>
    <row r="391" spans="1:32" x14ac:dyDescent="0.3">
      <c r="A391" s="118"/>
      <c r="C391" s="118"/>
      <c r="E391" s="118"/>
      <c r="G391" s="118"/>
      <c r="I391" s="118"/>
      <c r="K391" s="118"/>
      <c r="M391" s="118"/>
      <c r="O391" s="118"/>
      <c r="P391" s="119"/>
      <c r="S391" s="118"/>
      <c r="U391" s="118"/>
      <c r="W391" s="118"/>
      <c r="Y391" s="118"/>
      <c r="AA391" s="118"/>
      <c r="AC391" s="118"/>
      <c r="AE391" s="118"/>
      <c r="AF391" s="119"/>
    </row>
    <row r="392" spans="1:32" x14ac:dyDescent="0.3">
      <c r="A392" s="118"/>
      <c r="C392" s="118"/>
      <c r="E392" s="118"/>
      <c r="G392" s="118"/>
      <c r="I392" s="118"/>
      <c r="K392" s="118"/>
      <c r="M392" s="118"/>
      <c r="O392" s="118"/>
      <c r="P392" s="119"/>
      <c r="S392" s="118"/>
      <c r="U392" s="118"/>
      <c r="W392" s="118"/>
      <c r="Y392" s="118"/>
      <c r="AA392" s="118"/>
      <c r="AC392" s="118"/>
      <c r="AE392" s="118"/>
      <c r="AF392" s="119"/>
    </row>
    <row r="393" spans="1:32" x14ac:dyDescent="0.3">
      <c r="A393" s="118"/>
      <c r="C393" s="118"/>
      <c r="E393" s="118"/>
      <c r="G393" s="118"/>
      <c r="I393" s="118"/>
      <c r="K393" s="118"/>
      <c r="M393" s="118"/>
      <c r="O393" s="118"/>
      <c r="P393" s="119"/>
      <c r="S393" s="118"/>
      <c r="U393" s="118"/>
      <c r="W393" s="118"/>
      <c r="Y393" s="118"/>
      <c r="AA393" s="118"/>
      <c r="AC393" s="118"/>
      <c r="AE393" s="118"/>
      <c r="AF393" s="119"/>
    </row>
    <row r="394" spans="1:32" x14ac:dyDescent="0.3">
      <c r="A394" s="118"/>
      <c r="C394" s="118"/>
      <c r="E394" s="118"/>
      <c r="G394" s="118"/>
      <c r="I394" s="118"/>
      <c r="K394" s="118"/>
      <c r="M394" s="118"/>
      <c r="O394" s="118"/>
      <c r="P394" s="119"/>
      <c r="S394" s="118"/>
      <c r="U394" s="118"/>
      <c r="W394" s="118"/>
      <c r="Y394" s="118"/>
      <c r="AA394" s="118"/>
      <c r="AC394" s="118"/>
      <c r="AE394" s="118"/>
      <c r="AF394" s="119"/>
    </row>
    <row r="395" spans="1:32" x14ac:dyDescent="0.3">
      <c r="A395" s="118"/>
      <c r="C395" s="118"/>
      <c r="E395" s="118"/>
      <c r="G395" s="118"/>
      <c r="I395" s="118"/>
      <c r="K395" s="118"/>
      <c r="M395" s="118"/>
      <c r="O395" s="118"/>
      <c r="P395" s="119"/>
      <c r="S395" s="118"/>
      <c r="U395" s="118"/>
      <c r="W395" s="118"/>
      <c r="Y395" s="118"/>
      <c r="AA395" s="118"/>
      <c r="AC395" s="118"/>
      <c r="AE395" s="118"/>
      <c r="AF395" s="119"/>
    </row>
    <row r="396" spans="1:32" x14ac:dyDescent="0.3">
      <c r="A396" s="118"/>
      <c r="C396" s="118"/>
      <c r="E396" s="118"/>
      <c r="G396" s="118"/>
      <c r="I396" s="118"/>
      <c r="K396" s="118"/>
      <c r="M396" s="118"/>
      <c r="O396" s="118"/>
      <c r="P396" s="119"/>
      <c r="S396" s="118"/>
      <c r="U396" s="118"/>
      <c r="W396" s="118"/>
      <c r="Y396" s="118"/>
      <c r="AA396" s="118"/>
      <c r="AC396" s="118"/>
      <c r="AE396" s="118"/>
      <c r="AF396" s="119"/>
    </row>
    <row r="397" spans="1:32" x14ac:dyDescent="0.3">
      <c r="A397" s="118"/>
      <c r="C397" s="118"/>
      <c r="E397" s="118"/>
      <c r="G397" s="118"/>
      <c r="I397" s="118"/>
      <c r="K397" s="118"/>
      <c r="M397" s="118"/>
      <c r="O397" s="118"/>
      <c r="P397" s="119"/>
      <c r="S397" s="118"/>
      <c r="U397" s="118"/>
      <c r="W397" s="118"/>
      <c r="Y397" s="118"/>
      <c r="AA397" s="118"/>
      <c r="AC397" s="118"/>
      <c r="AE397" s="118"/>
      <c r="AF397" s="119"/>
    </row>
    <row r="398" spans="1:32" x14ac:dyDescent="0.3">
      <c r="A398" s="118"/>
      <c r="C398" s="118"/>
      <c r="E398" s="118"/>
      <c r="G398" s="118"/>
      <c r="I398" s="118"/>
      <c r="K398" s="118"/>
      <c r="M398" s="118"/>
      <c r="O398" s="118"/>
      <c r="P398" s="119"/>
      <c r="S398" s="118"/>
      <c r="U398" s="118"/>
      <c r="W398" s="118"/>
      <c r="Y398" s="118"/>
      <c r="AA398" s="118"/>
      <c r="AC398" s="118"/>
      <c r="AE398" s="118"/>
      <c r="AF398" s="119"/>
    </row>
    <row r="399" spans="1:32" x14ac:dyDescent="0.3">
      <c r="A399" s="118"/>
      <c r="C399" s="118"/>
      <c r="E399" s="118"/>
      <c r="G399" s="118"/>
      <c r="I399" s="118"/>
      <c r="K399" s="118"/>
      <c r="M399" s="118"/>
      <c r="O399" s="118"/>
      <c r="P399" s="119"/>
      <c r="S399" s="118"/>
      <c r="U399" s="118"/>
      <c r="W399" s="118"/>
      <c r="Y399" s="118"/>
      <c r="AA399" s="118"/>
      <c r="AC399" s="118"/>
      <c r="AE399" s="118"/>
      <c r="AF399" s="119"/>
    </row>
    <row r="400" spans="1:32" x14ac:dyDescent="0.3">
      <c r="A400" s="118"/>
      <c r="C400" s="118"/>
      <c r="E400" s="118"/>
      <c r="G400" s="118"/>
      <c r="I400" s="118"/>
      <c r="K400" s="118"/>
      <c r="M400" s="118"/>
      <c r="O400" s="118"/>
      <c r="P400" s="119"/>
      <c r="S400" s="118"/>
      <c r="U400" s="118"/>
      <c r="W400" s="118"/>
      <c r="Y400" s="118"/>
      <c r="AA400" s="118"/>
      <c r="AC400" s="118"/>
      <c r="AE400" s="118"/>
      <c r="AF400" s="119"/>
    </row>
    <row r="401" spans="1:32" x14ac:dyDescent="0.3">
      <c r="A401" s="118"/>
      <c r="C401" s="118"/>
      <c r="E401" s="118"/>
      <c r="G401" s="118"/>
      <c r="I401" s="118"/>
      <c r="K401" s="118"/>
      <c r="M401" s="118"/>
      <c r="O401" s="118"/>
      <c r="P401" s="119"/>
      <c r="S401" s="118"/>
      <c r="U401" s="118"/>
      <c r="W401" s="118"/>
      <c r="Y401" s="118"/>
      <c r="AA401" s="118"/>
      <c r="AC401" s="118"/>
      <c r="AE401" s="118"/>
      <c r="AF401" s="119"/>
    </row>
    <row r="402" spans="1:32" x14ac:dyDescent="0.3">
      <c r="A402" s="118"/>
      <c r="C402" s="118"/>
      <c r="E402" s="118"/>
      <c r="G402" s="118"/>
      <c r="I402" s="118"/>
      <c r="K402" s="118"/>
      <c r="M402" s="118"/>
      <c r="O402" s="118"/>
      <c r="P402" s="119"/>
      <c r="S402" s="118"/>
      <c r="U402" s="118"/>
      <c r="W402" s="118"/>
      <c r="Y402" s="118"/>
      <c r="AA402" s="118"/>
      <c r="AC402" s="118"/>
      <c r="AE402" s="118"/>
      <c r="AF402" s="119"/>
    </row>
    <row r="403" spans="1:32" x14ac:dyDescent="0.3">
      <c r="A403" s="118"/>
      <c r="C403" s="118"/>
      <c r="E403" s="118"/>
      <c r="G403" s="118"/>
      <c r="I403" s="118"/>
      <c r="K403" s="118"/>
      <c r="M403" s="118"/>
      <c r="O403" s="118"/>
      <c r="P403" s="119"/>
      <c r="S403" s="118"/>
      <c r="U403" s="118"/>
      <c r="W403" s="118"/>
      <c r="Y403" s="118"/>
      <c r="AA403" s="118"/>
      <c r="AC403" s="118"/>
      <c r="AE403" s="118"/>
      <c r="AF403" s="119"/>
    </row>
    <row r="404" spans="1:32" x14ac:dyDescent="0.3">
      <c r="A404" s="118"/>
      <c r="C404" s="118"/>
      <c r="E404" s="118"/>
      <c r="G404" s="118"/>
      <c r="I404" s="118"/>
      <c r="K404" s="118"/>
      <c r="M404" s="118"/>
      <c r="O404" s="118"/>
      <c r="P404" s="119"/>
      <c r="S404" s="118"/>
      <c r="U404" s="118"/>
      <c r="W404" s="118"/>
      <c r="Y404" s="118"/>
      <c r="AA404" s="118"/>
      <c r="AC404" s="118"/>
      <c r="AE404" s="118"/>
      <c r="AF404" s="119"/>
    </row>
    <row r="405" spans="1:32" x14ac:dyDescent="0.3">
      <c r="A405" s="118"/>
      <c r="C405" s="118"/>
      <c r="E405" s="118"/>
      <c r="G405" s="118"/>
      <c r="I405" s="118"/>
      <c r="K405" s="118"/>
      <c r="M405" s="118"/>
      <c r="O405" s="118"/>
      <c r="P405" s="119"/>
      <c r="S405" s="118"/>
      <c r="U405" s="118"/>
      <c r="W405" s="118"/>
      <c r="Y405" s="118"/>
      <c r="AA405" s="118"/>
      <c r="AC405" s="118"/>
      <c r="AE405" s="118"/>
      <c r="AF405" s="119"/>
    </row>
    <row r="406" spans="1:32" x14ac:dyDescent="0.3">
      <c r="A406" s="118"/>
      <c r="C406" s="118"/>
      <c r="E406" s="118"/>
      <c r="G406" s="118"/>
      <c r="I406" s="118"/>
      <c r="K406" s="118"/>
      <c r="M406" s="118"/>
      <c r="O406" s="118"/>
      <c r="P406" s="119"/>
      <c r="S406" s="118"/>
      <c r="U406" s="118"/>
      <c r="W406" s="118"/>
      <c r="Y406" s="118"/>
      <c r="AA406" s="118"/>
      <c r="AC406" s="118"/>
      <c r="AE406" s="118"/>
      <c r="AF406" s="119"/>
    </row>
    <row r="407" spans="1:32" x14ac:dyDescent="0.3">
      <c r="A407" s="118"/>
      <c r="C407" s="118"/>
      <c r="E407" s="118"/>
      <c r="G407" s="118"/>
      <c r="I407" s="118"/>
      <c r="K407" s="118"/>
      <c r="M407" s="118"/>
      <c r="O407" s="118"/>
      <c r="P407" s="119"/>
      <c r="S407" s="118"/>
      <c r="U407" s="118"/>
      <c r="W407" s="118"/>
      <c r="Y407" s="118"/>
      <c r="AA407" s="118"/>
      <c r="AC407" s="118"/>
      <c r="AE407" s="118"/>
      <c r="AF407" s="119"/>
    </row>
    <row r="408" spans="1:32" x14ac:dyDescent="0.3">
      <c r="A408" s="118"/>
      <c r="C408" s="118"/>
      <c r="E408" s="118"/>
      <c r="G408" s="118"/>
      <c r="I408" s="118"/>
      <c r="K408" s="118"/>
      <c r="M408" s="118"/>
      <c r="O408" s="118"/>
      <c r="P408" s="119"/>
      <c r="S408" s="118"/>
      <c r="U408" s="118"/>
      <c r="W408" s="118"/>
      <c r="Y408" s="118"/>
      <c r="AA408" s="118"/>
      <c r="AC408" s="118"/>
      <c r="AE408" s="118"/>
      <c r="AF408" s="119"/>
    </row>
    <row r="409" spans="1:32" x14ac:dyDescent="0.3">
      <c r="A409" s="118"/>
      <c r="C409" s="118"/>
      <c r="E409" s="118"/>
      <c r="G409" s="118"/>
      <c r="I409" s="118"/>
      <c r="K409" s="118"/>
      <c r="M409" s="118"/>
      <c r="O409" s="118"/>
      <c r="P409" s="119"/>
      <c r="S409" s="118"/>
      <c r="U409" s="118"/>
      <c r="W409" s="118"/>
      <c r="Y409" s="118"/>
      <c r="AA409" s="118"/>
      <c r="AC409" s="118"/>
      <c r="AE409" s="118"/>
      <c r="AF409" s="119"/>
    </row>
    <row r="410" spans="1:32" x14ac:dyDescent="0.3">
      <c r="A410" s="118"/>
      <c r="C410" s="118"/>
      <c r="E410" s="118"/>
      <c r="G410" s="118"/>
      <c r="I410" s="118"/>
      <c r="K410" s="118"/>
      <c r="M410" s="118"/>
      <c r="O410" s="118"/>
      <c r="P410" s="119"/>
      <c r="S410" s="118"/>
      <c r="U410" s="118"/>
      <c r="W410" s="118"/>
      <c r="Y410" s="118"/>
      <c r="AA410" s="118"/>
      <c r="AC410" s="118"/>
      <c r="AE410" s="118"/>
      <c r="AF410" s="119"/>
    </row>
    <row r="411" spans="1:32" x14ac:dyDescent="0.3">
      <c r="A411" s="118"/>
      <c r="C411" s="118"/>
      <c r="E411" s="118"/>
      <c r="G411" s="118"/>
      <c r="I411" s="118"/>
      <c r="K411" s="118"/>
      <c r="M411" s="118"/>
      <c r="O411" s="118"/>
      <c r="P411" s="119"/>
      <c r="S411" s="118"/>
      <c r="U411" s="118"/>
      <c r="W411" s="118"/>
      <c r="Y411" s="118"/>
      <c r="AA411" s="118"/>
      <c r="AC411" s="118"/>
      <c r="AE411" s="118"/>
      <c r="AF411" s="119"/>
    </row>
    <row r="412" spans="1:32" x14ac:dyDescent="0.3">
      <c r="A412" s="118"/>
      <c r="C412" s="118"/>
      <c r="E412" s="118"/>
      <c r="G412" s="118"/>
      <c r="I412" s="118"/>
      <c r="K412" s="118"/>
      <c r="M412" s="118"/>
      <c r="O412" s="118"/>
      <c r="P412" s="119"/>
      <c r="S412" s="118"/>
      <c r="U412" s="118"/>
      <c r="W412" s="118"/>
      <c r="Y412" s="118"/>
      <c r="AA412" s="118"/>
      <c r="AC412" s="118"/>
      <c r="AE412" s="118"/>
      <c r="AF412" s="119"/>
    </row>
    <row r="413" spans="1:32" x14ac:dyDescent="0.3">
      <c r="A413" s="118"/>
      <c r="C413" s="118"/>
      <c r="E413" s="118"/>
      <c r="G413" s="118"/>
      <c r="I413" s="118"/>
      <c r="K413" s="118"/>
      <c r="M413" s="118"/>
      <c r="O413" s="118"/>
      <c r="P413" s="119"/>
      <c r="S413" s="118"/>
      <c r="U413" s="118"/>
      <c r="W413" s="118"/>
      <c r="Y413" s="118"/>
      <c r="AA413" s="118"/>
      <c r="AC413" s="118"/>
      <c r="AE413" s="118"/>
      <c r="AF413" s="119"/>
    </row>
    <row r="414" spans="1:32" x14ac:dyDescent="0.3">
      <c r="A414" s="118"/>
      <c r="C414" s="118"/>
      <c r="E414" s="118"/>
      <c r="G414" s="118"/>
      <c r="I414" s="118"/>
      <c r="K414" s="118"/>
      <c r="M414" s="118"/>
      <c r="O414" s="118"/>
      <c r="P414" s="119"/>
      <c r="S414" s="118"/>
      <c r="U414" s="118"/>
      <c r="W414" s="118"/>
      <c r="Y414" s="118"/>
      <c r="AA414" s="118"/>
      <c r="AC414" s="118"/>
      <c r="AE414" s="118"/>
      <c r="AF414" s="119"/>
    </row>
    <row r="415" spans="1:32" x14ac:dyDescent="0.3">
      <c r="A415" s="118"/>
      <c r="C415" s="118"/>
      <c r="E415" s="118"/>
      <c r="G415" s="118"/>
      <c r="I415" s="118"/>
      <c r="K415" s="118"/>
      <c r="M415" s="118"/>
      <c r="O415" s="118"/>
      <c r="P415" s="119"/>
      <c r="S415" s="118"/>
      <c r="U415" s="118"/>
      <c r="W415" s="118"/>
      <c r="Y415" s="118"/>
      <c r="AA415" s="118"/>
      <c r="AC415" s="118"/>
      <c r="AE415" s="118"/>
      <c r="AF415" s="119"/>
    </row>
    <row r="416" spans="1:32" x14ac:dyDescent="0.3">
      <c r="A416" s="118"/>
      <c r="C416" s="118"/>
      <c r="E416" s="118"/>
      <c r="G416" s="118"/>
      <c r="I416" s="118"/>
      <c r="K416" s="118"/>
      <c r="M416" s="118"/>
      <c r="O416" s="118"/>
      <c r="P416" s="119"/>
      <c r="S416" s="118"/>
      <c r="U416" s="118"/>
      <c r="W416" s="118"/>
      <c r="Y416" s="118"/>
      <c r="AA416" s="118"/>
      <c r="AC416" s="118"/>
      <c r="AE416" s="118"/>
      <c r="AF416" s="119"/>
    </row>
    <row r="417" spans="1:32" x14ac:dyDescent="0.3">
      <c r="A417" s="118"/>
      <c r="C417" s="118"/>
      <c r="E417" s="118"/>
      <c r="G417" s="118"/>
      <c r="I417" s="118"/>
      <c r="K417" s="118"/>
      <c r="M417" s="118"/>
      <c r="O417" s="118"/>
      <c r="P417" s="119"/>
      <c r="S417" s="118"/>
      <c r="U417" s="118"/>
      <c r="W417" s="118"/>
      <c r="Y417" s="118"/>
      <c r="AA417" s="118"/>
      <c r="AC417" s="118"/>
      <c r="AE417" s="118"/>
      <c r="AF417" s="119"/>
    </row>
    <row r="418" spans="1:32" x14ac:dyDescent="0.3">
      <c r="A418" s="118"/>
      <c r="C418" s="118"/>
      <c r="E418" s="118"/>
      <c r="G418" s="118"/>
      <c r="I418" s="118"/>
      <c r="K418" s="118"/>
      <c r="M418" s="118"/>
      <c r="O418" s="118"/>
      <c r="P418" s="119"/>
      <c r="S418" s="118"/>
      <c r="U418" s="118"/>
      <c r="W418" s="118"/>
      <c r="Y418" s="118"/>
      <c r="AA418" s="118"/>
      <c r="AC418" s="118"/>
      <c r="AE418" s="118"/>
      <c r="AF418" s="119"/>
    </row>
    <row r="419" spans="1:32" x14ac:dyDescent="0.3">
      <c r="A419" s="118"/>
      <c r="C419" s="118"/>
      <c r="E419" s="118"/>
      <c r="G419" s="118"/>
      <c r="I419" s="118"/>
      <c r="K419" s="118"/>
      <c r="M419" s="118"/>
      <c r="O419" s="118"/>
      <c r="P419" s="119"/>
      <c r="S419" s="118"/>
      <c r="U419" s="118"/>
      <c r="W419" s="118"/>
      <c r="Y419" s="118"/>
      <c r="AA419" s="118"/>
      <c r="AC419" s="118"/>
      <c r="AE419" s="118"/>
      <c r="AF419" s="119"/>
    </row>
    <row r="420" spans="1:32" x14ac:dyDescent="0.3">
      <c r="A420" s="118"/>
      <c r="C420" s="118"/>
      <c r="E420" s="118"/>
      <c r="G420" s="118"/>
      <c r="I420" s="118"/>
      <c r="K420" s="118"/>
      <c r="M420" s="118"/>
      <c r="O420" s="118"/>
      <c r="P420" s="119"/>
      <c r="S420" s="118"/>
      <c r="U420" s="118"/>
      <c r="W420" s="118"/>
      <c r="Y420" s="118"/>
      <c r="AA420" s="118"/>
      <c r="AC420" s="118"/>
      <c r="AE420" s="118"/>
      <c r="AF420" s="119"/>
    </row>
    <row r="421" spans="1:32" x14ac:dyDescent="0.3">
      <c r="A421" s="118"/>
      <c r="C421" s="118"/>
      <c r="E421" s="118"/>
      <c r="G421" s="118"/>
      <c r="I421" s="118"/>
      <c r="K421" s="118"/>
      <c r="M421" s="118"/>
      <c r="O421" s="118"/>
      <c r="P421" s="119"/>
      <c r="S421" s="118"/>
      <c r="U421" s="118"/>
      <c r="W421" s="118"/>
      <c r="Y421" s="118"/>
      <c r="AA421" s="118"/>
      <c r="AC421" s="118"/>
      <c r="AE421" s="118"/>
      <c r="AF421" s="119"/>
    </row>
    <row r="422" spans="1:32" x14ac:dyDescent="0.3">
      <c r="A422" s="118"/>
      <c r="C422" s="118"/>
      <c r="E422" s="118"/>
      <c r="G422" s="118"/>
      <c r="I422" s="118"/>
      <c r="K422" s="118"/>
      <c r="M422" s="118"/>
      <c r="O422" s="118"/>
      <c r="P422" s="119"/>
      <c r="S422" s="118"/>
      <c r="U422" s="118"/>
      <c r="W422" s="118"/>
      <c r="Y422" s="118"/>
      <c r="AA422" s="118"/>
      <c r="AC422" s="118"/>
      <c r="AE422" s="118"/>
      <c r="AF422" s="119"/>
    </row>
    <row r="423" spans="1:32" x14ac:dyDescent="0.3">
      <c r="A423" s="118"/>
      <c r="C423" s="118"/>
      <c r="E423" s="118"/>
      <c r="G423" s="118"/>
      <c r="I423" s="118"/>
      <c r="K423" s="118"/>
      <c r="M423" s="118"/>
      <c r="O423" s="118"/>
      <c r="P423" s="119"/>
      <c r="S423" s="118"/>
      <c r="U423" s="118"/>
      <c r="W423" s="118"/>
      <c r="Y423" s="118"/>
      <c r="AA423" s="118"/>
      <c r="AC423" s="118"/>
      <c r="AE423" s="118"/>
      <c r="AF423" s="119"/>
    </row>
    <row r="424" spans="1:32" x14ac:dyDescent="0.3">
      <c r="A424" s="118"/>
      <c r="C424" s="118"/>
      <c r="E424" s="118"/>
      <c r="G424" s="118"/>
      <c r="I424" s="118"/>
      <c r="K424" s="118"/>
      <c r="M424" s="118"/>
      <c r="O424" s="118"/>
      <c r="P424" s="119"/>
      <c r="S424" s="118"/>
      <c r="U424" s="118"/>
      <c r="W424" s="118"/>
      <c r="Y424" s="118"/>
      <c r="AA424" s="118"/>
      <c r="AC424" s="118"/>
      <c r="AE424" s="118"/>
      <c r="AF424" s="119"/>
    </row>
    <row r="425" spans="1:32" x14ac:dyDescent="0.3">
      <c r="A425" s="118"/>
      <c r="C425" s="118"/>
      <c r="E425" s="118"/>
      <c r="G425" s="118"/>
      <c r="I425" s="118"/>
      <c r="K425" s="118"/>
      <c r="M425" s="118"/>
      <c r="O425" s="118"/>
      <c r="P425" s="119"/>
      <c r="S425" s="118"/>
      <c r="U425" s="118"/>
      <c r="W425" s="118"/>
      <c r="Y425" s="118"/>
      <c r="AA425" s="118"/>
      <c r="AC425" s="118"/>
      <c r="AE425" s="118"/>
      <c r="AF425" s="119"/>
    </row>
    <row r="426" spans="1:32" x14ac:dyDescent="0.3">
      <c r="A426" s="118"/>
      <c r="C426" s="118"/>
      <c r="E426" s="118"/>
      <c r="G426" s="118"/>
      <c r="I426" s="118"/>
      <c r="K426" s="118"/>
      <c r="M426" s="118"/>
      <c r="O426" s="118"/>
      <c r="P426" s="119"/>
      <c r="S426" s="118"/>
      <c r="U426" s="118"/>
      <c r="W426" s="118"/>
      <c r="Y426" s="118"/>
      <c r="AA426" s="118"/>
      <c r="AC426" s="118"/>
      <c r="AE426" s="118"/>
      <c r="AF426" s="119"/>
    </row>
    <row r="427" spans="1:32" x14ac:dyDescent="0.3">
      <c r="A427" s="118"/>
      <c r="C427" s="118"/>
      <c r="E427" s="118"/>
      <c r="G427" s="118"/>
      <c r="I427" s="118"/>
      <c r="K427" s="118"/>
      <c r="M427" s="118"/>
      <c r="O427" s="118"/>
      <c r="P427" s="119"/>
      <c r="S427" s="118"/>
      <c r="U427" s="118"/>
      <c r="W427" s="118"/>
      <c r="Y427" s="118"/>
      <c r="AA427" s="118"/>
      <c r="AC427" s="118"/>
      <c r="AE427" s="118"/>
      <c r="AF427" s="119"/>
    </row>
    <row r="428" spans="1:32" x14ac:dyDescent="0.3">
      <c r="A428" s="118"/>
      <c r="C428" s="118"/>
      <c r="E428" s="118"/>
      <c r="G428" s="118"/>
      <c r="I428" s="118"/>
      <c r="K428" s="118"/>
      <c r="M428" s="118"/>
      <c r="O428" s="118"/>
      <c r="P428" s="119"/>
      <c r="S428" s="118"/>
      <c r="U428" s="118"/>
      <c r="W428" s="118"/>
      <c r="Y428" s="118"/>
      <c r="AA428" s="118"/>
      <c r="AC428" s="118"/>
      <c r="AE428" s="118"/>
      <c r="AF428" s="119"/>
    </row>
    <row r="429" spans="1:32" x14ac:dyDescent="0.3">
      <c r="A429" s="118"/>
      <c r="C429" s="118"/>
      <c r="E429" s="118"/>
      <c r="G429" s="118"/>
      <c r="I429" s="118"/>
      <c r="K429" s="118"/>
      <c r="M429" s="118"/>
      <c r="O429" s="118"/>
      <c r="P429" s="119"/>
      <c r="S429" s="118"/>
      <c r="U429" s="118"/>
      <c r="W429" s="118"/>
      <c r="Y429" s="118"/>
      <c r="AA429" s="118"/>
      <c r="AC429" s="118"/>
      <c r="AE429" s="118"/>
      <c r="AF429" s="119"/>
    </row>
    <row r="430" spans="1:32" x14ac:dyDescent="0.3">
      <c r="A430" s="118"/>
      <c r="C430" s="118"/>
      <c r="E430" s="118"/>
      <c r="G430" s="118"/>
      <c r="I430" s="118"/>
      <c r="K430" s="118"/>
      <c r="M430" s="118"/>
      <c r="O430" s="118"/>
      <c r="P430" s="119"/>
      <c r="S430" s="118"/>
      <c r="U430" s="118"/>
      <c r="W430" s="118"/>
      <c r="Y430" s="118"/>
      <c r="AA430" s="118"/>
      <c r="AC430" s="118"/>
      <c r="AE430" s="118"/>
      <c r="AF430" s="119"/>
    </row>
    <row r="431" spans="1:32" x14ac:dyDescent="0.3">
      <c r="A431" s="118"/>
      <c r="C431" s="118"/>
      <c r="E431" s="118"/>
      <c r="G431" s="118"/>
      <c r="I431" s="118"/>
      <c r="K431" s="118"/>
      <c r="M431" s="118"/>
      <c r="O431" s="118"/>
      <c r="P431" s="119"/>
      <c r="S431" s="118"/>
      <c r="U431" s="118"/>
      <c r="W431" s="118"/>
      <c r="Y431" s="118"/>
      <c r="AA431" s="118"/>
      <c r="AC431" s="118"/>
      <c r="AE431" s="118"/>
      <c r="AF431" s="119"/>
    </row>
    <row r="432" spans="1:32" x14ac:dyDescent="0.3">
      <c r="A432" s="118"/>
      <c r="C432" s="118"/>
      <c r="E432" s="118"/>
      <c r="G432" s="118"/>
      <c r="I432" s="118"/>
      <c r="K432" s="118"/>
      <c r="M432" s="118"/>
      <c r="O432" s="118"/>
      <c r="P432" s="119"/>
      <c r="S432" s="118"/>
      <c r="U432" s="118"/>
      <c r="W432" s="118"/>
      <c r="Y432" s="118"/>
      <c r="AA432" s="118"/>
      <c r="AC432" s="118"/>
      <c r="AE432" s="118"/>
      <c r="AF432" s="119"/>
    </row>
    <row r="433" spans="1:32" x14ac:dyDescent="0.3">
      <c r="A433" s="118"/>
      <c r="C433" s="118"/>
      <c r="E433" s="118"/>
      <c r="G433" s="118"/>
      <c r="I433" s="118"/>
      <c r="K433" s="118"/>
      <c r="M433" s="118"/>
      <c r="O433" s="118"/>
      <c r="P433" s="119"/>
      <c r="S433" s="118"/>
      <c r="U433" s="118"/>
      <c r="W433" s="118"/>
      <c r="Y433" s="118"/>
      <c r="AA433" s="118"/>
      <c r="AC433" s="118"/>
      <c r="AE433" s="118"/>
      <c r="AF433" s="119"/>
    </row>
    <row r="434" spans="1:32" x14ac:dyDescent="0.3">
      <c r="A434" s="118"/>
      <c r="C434" s="118"/>
      <c r="E434" s="118"/>
      <c r="G434" s="118"/>
      <c r="I434" s="118"/>
      <c r="K434" s="118"/>
      <c r="M434" s="118"/>
      <c r="O434" s="118"/>
      <c r="P434" s="119"/>
      <c r="S434" s="118"/>
      <c r="U434" s="118"/>
      <c r="W434" s="118"/>
      <c r="Y434" s="118"/>
      <c r="AA434" s="118"/>
      <c r="AC434" s="118"/>
      <c r="AE434" s="118"/>
      <c r="AF434" s="119"/>
    </row>
    <row r="435" spans="1:32" x14ac:dyDescent="0.3">
      <c r="A435" s="118"/>
      <c r="C435" s="118"/>
      <c r="E435" s="118"/>
      <c r="G435" s="118"/>
      <c r="I435" s="118"/>
      <c r="K435" s="118"/>
      <c r="M435" s="118"/>
      <c r="O435" s="118"/>
      <c r="P435" s="119"/>
      <c r="S435" s="118"/>
      <c r="U435" s="118"/>
      <c r="W435" s="118"/>
      <c r="Y435" s="118"/>
      <c r="AA435" s="118"/>
      <c r="AC435" s="118"/>
      <c r="AE435" s="118"/>
      <c r="AF435" s="119"/>
    </row>
    <row r="436" spans="1:32" x14ac:dyDescent="0.3">
      <c r="A436" s="118"/>
      <c r="C436" s="118"/>
      <c r="E436" s="118"/>
      <c r="G436" s="118"/>
      <c r="I436" s="118"/>
      <c r="K436" s="118"/>
      <c r="M436" s="118"/>
      <c r="O436" s="118"/>
      <c r="P436" s="119"/>
      <c r="S436" s="118"/>
      <c r="U436" s="118"/>
      <c r="W436" s="118"/>
      <c r="Y436" s="118"/>
      <c r="AA436" s="118"/>
      <c r="AC436" s="118"/>
      <c r="AE436" s="118"/>
      <c r="AF436" s="119"/>
    </row>
    <row r="437" spans="1:32" x14ac:dyDescent="0.3">
      <c r="A437" s="118"/>
      <c r="C437" s="118"/>
      <c r="E437" s="118"/>
      <c r="G437" s="118"/>
      <c r="I437" s="118"/>
      <c r="K437" s="118"/>
      <c r="M437" s="118"/>
      <c r="O437" s="118"/>
      <c r="P437" s="119"/>
      <c r="S437" s="118"/>
      <c r="U437" s="118"/>
      <c r="W437" s="118"/>
      <c r="Y437" s="118"/>
      <c r="AA437" s="118"/>
      <c r="AC437" s="118"/>
      <c r="AE437" s="118"/>
      <c r="AF437" s="119"/>
    </row>
    <row r="438" spans="1:32" x14ac:dyDescent="0.3">
      <c r="A438" s="118"/>
      <c r="C438" s="118"/>
      <c r="E438" s="118"/>
      <c r="G438" s="118"/>
      <c r="I438" s="118"/>
      <c r="K438" s="118"/>
      <c r="M438" s="118"/>
      <c r="O438" s="118"/>
      <c r="P438" s="119"/>
      <c r="S438" s="118"/>
      <c r="U438" s="118"/>
      <c r="W438" s="118"/>
      <c r="Y438" s="118"/>
      <c r="AA438" s="118"/>
      <c r="AC438" s="118"/>
      <c r="AE438" s="118"/>
      <c r="AF438" s="119"/>
    </row>
    <row r="439" spans="1:32" x14ac:dyDescent="0.3">
      <c r="A439" s="118"/>
      <c r="C439" s="118"/>
      <c r="E439" s="118"/>
      <c r="G439" s="118"/>
      <c r="I439" s="118"/>
      <c r="K439" s="118"/>
      <c r="M439" s="118"/>
      <c r="O439" s="118"/>
      <c r="P439" s="119"/>
      <c r="S439" s="118"/>
      <c r="U439" s="118"/>
      <c r="W439" s="118"/>
      <c r="Y439" s="118"/>
      <c r="AA439" s="118"/>
      <c r="AC439" s="118"/>
      <c r="AE439" s="118"/>
      <c r="AF439" s="119"/>
    </row>
    <row r="440" spans="1:32" x14ac:dyDescent="0.3">
      <c r="A440" s="118"/>
      <c r="C440" s="118"/>
      <c r="E440" s="118"/>
      <c r="G440" s="118"/>
      <c r="I440" s="118"/>
      <c r="K440" s="118"/>
      <c r="M440" s="118"/>
      <c r="O440" s="118"/>
      <c r="P440" s="119"/>
      <c r="S440" s="118"/>
      <c r="U440" s="118"/>
      <c r="W440" s="118"/>
      <c r="Y440" s="118"/>
      <c r="AA440" s="118"/>
      <c r="AC440" s="118"/>
      <c r="AE440" s="118"/>
      <c r="AF440" s="119"/>
    </row>
    <row r="441" spans="1:32" x14ac:dyDescent="0.3">
      <c r="A441" s="118"/>
      <c r="C441" s="118"/>
      <c r="E441" s="118"/>
      <c r="G441" s="118"/>
      <c r="I441" s="118"/>
      <c r="K441" s="118"/>
      <c r="M441" s="118"/>
      <c r="O441" s="118"/>
      <c r="P441" s="119"/>
      <c r="S441" s="118"/>
      <c r="U441" s="118"/>
      <c r="W441" s="118"/>
      <c r="Y441" s="118"/>
      <c r="AA441" s="118"/>
      <c r="AC441" s="118"/>
      <c r="AE441" s="118"/>
      <c r="AF441" s="119"/>
    </row>
    <row r="442" spans="1:32" x14ac:dyDescent="0.3">
      <c r="A442" s="118"/>
      <c r="C442" s="118"/>
      <c r="E442" s="118"/>
      <c r="G442" s="118"/>
      <c r="I442" s="118"/>
      <c r="K442" s="118"/>
      <c r="M442" s="118"/>
      <c r="O442" s="118"/>
      <c r="P442" s="119"/>
      <c r="S442" s="118"/>
      <c r="U442" s="118"/>
      <c r="W442" s="118"/>
      <c r="Y442" s="118"/>
      <c r="AA442" s="118"/>
      <c r="AC442" s="118"/>
      <c r="AE442" s="118"/>
      <c r="AF442" s="119"/>
    </row>
    <row r="443" spans="1:32" x14ac:dyDescent="0.3">
      <c r="A443" s="118"/>
      <c r="C443" s="118"/>
      <c r="E443" s="118"/>
      <c r="G443" s="118"/>
      <c r="I443" s="118"/>
      <c r="K443" s="118"/>
      <c r="M443" s="118"/>
      <c r="O443" s="118"/>
      <c r="P443" s="119"/>
      <c r="S443" s="118"/>
      <c r="U443" s="118"/>
      <c r="W443" s="118"/>
      <c r="Y443" s="118"/>
      <c r="AA443" s="118"/>
      <c r="AC443" s="118"/>
      <c r="AE443" s="118"/>
      <c r="AF443" s="119"/>
    </row>
    <row r="444" spans="1:32" x14ac:dyDescent="0.3">
      <c r="A444" s="118"/>
      <c r="C444" s="118"/>
      <c r="E444" s="118"/>
      <c r="G444" s="118"/>
      <c r="I444" s="118"/>
      <c r="K444" s="118"/>
      <c r="M444" s="118"/>
      <c r="O444" s="118"/>
      <c r="P444" s="119"/>
      <c r="S444" s="118"/>
      <c r="U444" s="118"/>
      <c r="W444" s="118"/>
      <c r="Y444" s="118"/>
      <c r="AA444" s="118"/>
      <c r="AC444" s="118"/>
      <c r="AE444" s="118"/>
      <c r="AF444" s="119"/>
    </row>
    <row r="445" spans="1:32" x14ac:dyDescent="0.3">
      <c r="A445" s="118"/>
      <c r="C445" s="118"/>
      <c r="E445" s="118"/>
      <c r="G445" s="118"/>
      <c r="I445" s="118"/>
      <c r="K445" s="118"/>
      <c r="M445" s="118"/>
      <c r="O445" s="118"/>
      <c r="P445" s="119"/>
      <c r="S445" s="118"/>
      <c r="U445" s="118"/>
      <c r="W445" s="118"/>
      <c r="Y445" s="118"/>
      <c r="AA445" s="118"/>
      <c r="AC445" s="118"/>
      <c r="AE445" s="118"/>
      <c r="AF445" s="119"/>
    </row>
    <row r="446" spans="1:32" x14ac:dyDescent="0.3">
      <c r="A446" s="118"/>
      <c r="C446" s="118"/>
      <c r="E446" s="118"/>
      <c r="G446" s="118"/>
      <c r="I446" s="118"/>
      <c r="K446" s="118"/>
      <c r="M446" s="118"/>
      <c r="O446" s="118"/>
      <c r="P446" s="119"/>
      <c r="S446" s="118"/>
      <c r="U446" s="118"/>
      <c r="W446" s="118"/>
      <c r="Y446" s="118"/>
      <c r="AA446" s="118"/>
      <c r="AC446" s="118"/>
      <c r="AE446" s="118"/>
      <c r="AF446" s="119"/>
    </row>
    <row r="447" spans="1:32" x14ac:dyDescent="0.3">
      <c r="A447" s="118"/>
      <c r="C447" s="118"/>
      <c r="E447" s="118"/>
      <c r="G447" s="118"/>
      <c r="I447" s="118"/>
      <c r="K447" s="118"/>
      <c r="M447" s="118"/>
      <c r="O447" s="118"/>
      <c r="P447" s="119"/>
      <c r="S447" s="118"/>
      <c r="U447" s="118"/>
      <c r="W447" s="118"/>
      <c r="Y447" s="118"/>
      <c r="AA447" s="118"/>
      <c r="AC447" s="118"/>
      <c r="AE447" s="118"/>
      <c r="AF447" s="119"/>
    </row>
    <row r="448" spans="1:32" x14ac:dyDescent="0.3">
      <c r="A448" s="118"/>
      <c r="C448" s="118"/>
      <c r="E448" s="118"/>
      <c r="G448" s="118"/>
      <c r="I448" s="118"/>
      <c r="K448" s="118"/>
      <c r="M448" s="118"/>
      <c r="O448" s="118"/>
      <c r="P448" s="119"/>
      <c r="S448" s="118"/>
      <c r="U448" s="118"/>
      <c r="W448" s="118"/>
      <c r="Y448" s="118"/>
      <c r="AA448" s="118"/>
      <c r="AC448" s="118"/>
      <c r="AE448" s="118"/>
      <c r="AF448" s="119"/>
    </row>
    <row r="449" spans="1:32" x14ac:dyDescent="0.3">
      <c r="A449" s="118"/>
      <c r="C449" s="118"/>
      <c r="E449" s="118"/>
      <c r="G449" s="118"/>
      <c r="I449" s="118"/>
      <c r="K449" s="118"/>
      <c r="M449" s="118"/>
      <c r="O449" s="118"/>
      <c r="P449" s="119"/>
      <c r="S449" s="118"/>
      <c r="U449" s="118"/>
      <c r="W449" s="118"/>
      <c r="Y449" s="118"/>
      <c r="AA449" s="118"/>
      <c r="AC449" s="118"/>
      <c r="AE449" s="118"/>
      <c r="AF449" s="119"/>
    </row>
    <row r="450" spans="1:32" x14ac:dyDescent="0.3">
      <c r="A450" s="118"/>
      <c r="C450" s="118"/>
      <c r="E450" s="118"/>
      <c r="G450" s="118"/>
      <c r="I450" s="118"/>
      <c r="K450" s="118"/>
      <c r="M450" s="118"/>
      <c r="O450" s="118"/>
      <c r="P450" s="119"/>
      <c r="S450" s="118"/>
      <c r="U450" s="118"/>
      <c r="W450" s="118"/>
      <c r="Y450" s="118"/>
      <c r="AA450" s="118"/>
      <c r="AC450" s="118"/>
      <c r="AE450" s="118"/>
      <c r="AF450" s="119"/>
    </row>
    <row r="451" spans="1:32" x14ac:dyDescent="0.3">
      <c r="A451" s="118"/>
      <c r="C451" s="118"/>
      <c r="E451" s="118"/>
      <c r="G451" s="118"/>
      <c r="I451" s="118"/>
      <c r="K451" s="118"/>
      <c r="M451" s="118"/>
      <c r="O451" s="118"/>
      <c r="P451" s="119"/>
      <c r="S451" s="118"/>
      <c r="U451" s="118"/>
      <c r="W451" s="118"/>
      <c r="Y451" s="118"/>
      <c r="AA451" s="118"/>
      <c r="AC451" s="118"/>
      <c r="AE451" s="118"/>
      <c r="AF451" s="119"/>
    </row>
    <row r="452" spans="1:32" x14ac:dyDescent="0.3">
      <c r="A452" s="118"/>
      <c r="C452" s="118"/>
      <c r="E452" s="118"/>
      <c r="G452" s="118"/>
      <c r="I452" s="118"/>
      <c r="K452" s="118"/>
      <c r="M452" s="118"/>
      <c r="O452" s="118"/>
      <c r="P452" s="119"/>
      <c r="S452" s="118"/>
      <c r="U452" s="118"/>
      <c r="W452" s="118"/>
      <c r="Y452" s="118"/>
      <c r="AA452" s="118"/>
      <c r="AC452" s="118"/>
      <c r="AE452" s="118"/>
      <c r="AF452" s="119"/>
    </row>
    <row r="453" spans="1:32" x14ac:dyDescent="0.3">
      <c r="A453" s="118"/>
      <c r="C453" s="118"/>
      <c r="E453" s="118"/>
      <c r="G453" s="118"/>
      <c r="I453" s="118"/>
      <c r="K453" s="118"/>
      <c r="M453" s="118"/>
      <c r="O453" s="118"/>
      <c r="P453" s="119"/>
      <c r="S453" s="118"/>
      <c r="U453" s="118"/>
      <c r="W453" s="118"/>
      <c r="Y453" s="118"/>
      <c r="AA453" s="118"/>
      <c r="AC453" s="118"/>
      <c r="AE453" s="118"/>
      <c r="AF453" s="119"/>
    </row>
    <row r="454" spans="1:32" x14ac:dyDescent="0.3">
      <c r="A454" s="118"/>
      <c r="C454" s="118"/>
      <c r="E454" s="118"/>
      <c r="G454" s="118"/>
      <c r="I454" s="118"/>
      <c r="K454" s="118"/>
      <c r="M454" s="118"/>
      <c r="O454" s="118"/>
      <c r="P454" s="119"/>
      <c r="S454" s="118"/>
      <c r="U454" s="118"/>
      <c r="W454" s="118"/>
      <c r="Y454" s="118"/>
      <c r="AA454" s="118"/>
      <c r="AC454" s="118"/>
      <c r="AE454" s="118"/>
      <c r="AF454" s="119"/>
    </row>
    <row r="455" spans="1:32" x14ac:dyDescent="0.3">
      <c r="A455" s="118"/>
      <c r="C455" s="118"/>
      <c r="E455" s="118"/>
      <c r="G455" s="118"/>
      <c r="I455" s="118"/>
      <c r="K455" s="118"/>
      <c r="M455" s="118"/>
      <c r="O455" s="118"/>
      <c r="P455" s="119"/>
      <c r="S455" s="118"/>
      <c r="U455" s="118"/>
      <c r="W455" s="118"/>
      <c r="Y455" s="118"/>
      <c r="AA455" s="118"/>
      <c r="AC455" s="118"/>
      <c r="AE455" s="118"/>
      <c r="AF455" s="119"/>
    </row>
    <row r="456" spans="1:32" x14ac:dyDescent="0.3">
      <c r="A456" s="118"/>
      <c r="C456" s="118"/>
      <c r="E456" s="118"/>
      <c r="G456" s="118"/>
      <c r="I456" s="118"/>
      <c r="K456" s="118"/>
      <c r="M456" s="118"/>
      <c r="O456" s="118"/>
      <c r="P456" s="119"/>
      <c r="S456" s="118"/>
      <c r="U456" s="118"/>
      <c r="W456" s="118"/>
      <c r="Y456" s="118"/>
      <c r="AA456" s="118"/>
      <c r="AC456" s="118"/>
      <c r="AE456" s="118"/>
      <c r="AF456" s="119"/>
    </row>
    <row r="457" spans="1:32" x14ac:dyDescent="0.3">
      <c r="A457" s="118"/>
      <c r="C457" s="118"/>
      <c r="E457" s="118"/>
      <c r="G457" s="118"/>
      <c r="I457" s="118"/>
      <c r="K457" s="118"/>
      <c r="M457" s="118"/>
      <c r="O457" s="118"/>
      <c r="P457" s="119"/>
      <c r="S457" s="118"/>
      <c r="U457" s="118"/>
      <c r="W457" s="118"/>
      <c r="Y457" s="118"/>
      <c r="AA457" s="118"/>
      <c r="AC457" s="118"/>
      <c r="AE457" s="118"/>
      <c r="AF457" s="119"/>
    </row>
    <row r="458" spans="1:32" x14ac:dyDescent="0.3">
      <c r="A458" s="118"/>
      <c r="C458" s="118"/>
      <c r="E458" s="118"/>
      <c r="G458" s="118"/>
      <c r="I458" s="118"/>
      <c r="K458" s="118"/>
      <c r="M458" s="118"/>
      <c r="O458" s="118"/>
      <c r="P458" s="119"/>
      <c r="S458" s="118"/>
      <c r="U458" s="118"/>
      <c r="W458" s="118"/>
      <c r="Y458" s="118"/>
      <c r="AA458" s="118"/>
      <c r="AC458" s="118"/>
      <c r="AE458" s="118"/>
      <c r="AF458" s="119"/>
    </row>
    <row r="459" spans="1:32" x14ac:dyDescent="0.3">
      <c r="A459" s="118"/>
      <c r="C459" s="118"/>
      <c r="E459" s="118"/>
      <c r="G459" s="118"/>
      <c r="I459" s="118"/>
      <c r="K459" s="118"/>
      <c r="M459" s="118"/>
      <c r="O459" s="118"/>
      <c r="P459" s="119"/>
      <c r="S459" s="118"/>
      <c r="U459" s="118"/>
      <c r="W459" s="118"/>
      <c r="Y459" s="118"/>
      <c r="AA459" s="118"/>
      <c r="AC459" s="118"/>
      <c r="AE459" s="118"/>
      <c r="AF459" s="119"/>
    </row>
    <row r="460" spans="1:32" x14ac:dyDescent="0.3">
      <c r="A460" s="118"/>
      <c r="C460" s="118"/>
      <c r="E460" s="118"/>
      <c r="G460" s="118"/>
      <c r="I460" s="118"/>
      <c r="K460" s="118"/>
      <c r="M460" s="118"/>
      <c r="O460" s="118"/>
      <c r="P460" s="119"/>
      <c r="S460" s="118"/>
      <c r="U460" s="118"/>
      <c r="W460" s="118"/>
      <c r="Y460" s="118"/>
      <c r="AA460" s="118"/>
      <c r="AC460" s="118"/>
      <c r="AE460" s="118"/>
      <c r="AF460" s="119"/>
    </row>
    <row r="461" spans="1:32" x14ac:dyDescent="0.3">
      <c r="A461" s="118"/>
      <c r="C461" s="118"/>
      <c r="E461" s="118"/>
      <c r="G461" s="118"/>
      <c r="I461" s="118"/>
      <c r="K461" s="118"/>
      <c r="M461" s="118"/>
      <c r="O461" s="118"/>
      <c r="P461" s="119"/>
      <c r="S461" s="118"/>
      <c r="U461" s="118"/>
      <c r="W461" s="118"/>
      <c r="Y461" s="118"/>
      <c r="AA461" s="118"/>
      <c r="AC461" s="118"/>
      <c r="AE461" s="118"/>
      <c r="AF461" s="119"/>
    </row>
    <row r="462" spans="1:32" x14ac:dyDescent="0.3">
      <c r="A462" s="118"/>
      <c r="C462" s="118"/>
      <c r="E462" s="118"/>
      <c r="G462" s="118"/>
      <c r="I462" s="118"/>
      <c r="K462" s="118"/>
      <c r="M462" s="118"/>
      <c r="O462" s="118"/>
      <c r="P462" s="119"/>
      <c r="S462" s="118"/>
      <c r="U462" s="118"/>
      <c r="W462" s="118"/>
      <c r="Y462" s="118"/>
      <c r="AA462" s="118"/>
      <c r="AC462" s="118"/>
      <c r="AE462" s="118"/>
      <c r="AF462" s="119"/>
    </row>
    <row r="463" spans="1:32" x14ac:dyDescent="0.3">
      <c r="A463" s="118"/>
      <c r="C463" s="118"/>
      <c r="E463" s="118"/>
      <c r="G463" s="118"/>
      <c r="I463" s="118"/>
      <c r="K463" s="118"/>
      <c r="M463" s="118"/>
      <c r="O463" s="118"/>
      <c r="P463" s="119"/>
      <c r="S463" s="118"/>
      <c r="U463" s="118"/>
      <c r="W463" s="118"/>
      <c r="Y463" s="118"/>
      <c r="AA463" s="118"/>
      <c r="AC463" s="118"/>
      <c r="AE463" s="118"/>
      <c r="AF463" s="119"/>
    </row>
    <row r="464" spans="1:32" x14ac:dyDescent="0.3">
      <c r="A464" s="118"/>
      <c r="C464" s="118"/>
      <c r="E464" s="118"/>
      <c r="G464" s="118"/>
      <c r="I464" s="118"/>
      <c r="K464" s="118"/>
      <c r="M464" s="118"/>
      <c r="O464" s="118"/>
      <c r="P464" s="119"/>
      <c r="S464" s="118"/>
      <c r="U464" s="118"/>
      <c r="W464" s="118"/>
      <c r="Y464" s="118"/>
      <c r="AA464" s="118"/>
      <c r="AC464" s="118"/>
      <c r="AE464" s="118"/>
      <c r="AF464" s="119"/>
    </row>
    <row r="465" spans="1:32" x14ac:dyDescent="0.3">
      <c r="A465" s="118"/>
      <c r="C465" s="118"/>
      <c r="E465" s="118"/>
      <c r="G465" s="118"/>
      <c r="I465" s="118"/>
      <c r="K465" s="118"/>
      <c r="M465" s="118"/>
      <c r="O465" s="118"/>
      <c r="P465" s="119"/>
      <c r="S465" s="118"/>
      <c r="U465" s="118"/>
      <c r="W465" s="118"/>
      <c r="Y465" s="118"/>
      <c r="AA465" s="118"/>
      <c r="AC465" s="118"/>
      <c r="AE465" s="118"/>
      <c r="AF465" s="119"/>
    </row>
    <row r="466" spans="1:32" x14ac:dyDescent="0.3">
      <c r="A466" s="118"/>
      <c r="C466" s="118"/>
      <c r="E466" s="118"/>
      <c r="G466" s="118"/>
      <c r="I466" s="118"/>
      <c r="K466" s="118"/>
      <c r="M466" s="118"/>
      <c r="O466" s="118"/>
      <c r="P466" s="119"/>
      <c r="S466" s="118"/>
      <c r="U466" s="118"/>
      <c r="W466" s="118"/>
      <c r="Y466" s="118"/>
      <c r="AA466" s="118"/>
      <c r="AC466" s="118"/>
      <c r="AE466" s="118"/>
      <c r="AF466" s="119"/>
    </row>
    <row r="467" spans="1:32" x14ac:dyDescent="0.3">
      <c r="A467" s="118"/>
      <c r="C467" s="118"/>
      <c r="E467" s="118"/>
      <c r="G467" s="118"/>
      <c r="I467" s="118"/>
      <c r="K467" s="118"/>
      <c r="M467" s="118"/>
      <c r="O467" s="118"/>
      <c r="P467" s="119"/>
      <c r="S467" s="118"/>
      <c r="U467" s="118"/>
      <c r="W467" s="118"/>
      <c r="Y467" s="118"/>
      <c r="AA467" s="118"/>
      <c r="AC467" s="118"/>
      <c r="AE467" s="118"/>
      <c r="AF467" s="119"/>
    </row>
    <row r="468" spans="1:32" x14ac:dyDescent="0.3">
      <c r="A468" s="118"/>
      <c r="C468" s="118"/>
      <c r="E468" s="118"/>
      <c r="G468" s="118"/>
      <c r="I468" s="118"/>
      <c r="K468" s="118"/>
      <c r="M468" s="118"/>
      <c r="O468" s="118"/>
      <c r="P468" s="119"/>
      <c r="S468" s="118"/>
      <c r="U468" s="118"/>
      <c r="W468" s="118"/>
      <c r="Y468" s="118"/>
      <c r="AA468" s="118"/>
      <c r="AC468" s="118"/>
      <c r="AE468" s="118"/>
      <c r="AF468" s="119"/>
    </row>
    <row r="469" spans="1:32" x14ac:dyDescent="0.3">
      <c r="A469" s="118"/>
      <c r="C469" s="118"/>
      <c r="E469" s="118"/>
      <c r="G469" s="118"/>
      <c r="I469" s="118"/>
      <c r="K469" s="118"/>
      <c r="M469" s="118"/>
      <c r="O469" s="118"/>
      <c r="P469" s="119"/>
      <c r="S469" s="118"/>
      <c r="U469" s="118"/>
      <c r="W469" s="118"/>
      <c r="Y469" s="118"/>
      <c r="AA469" s="118"/>
      <c r="AC469" s="118"/>
      <c r="AE469" s="118"/>
      <c r="AF469" s="119"/>
    </row>
    <row r="470" spans="1:32" x14ac:dyDescent="0.3">
      <c r="A470" s="118"/>
      <c r="C470" s="118"/>
      <c r="E470" s="118"/>
      <c r="G470" s="118"/>
      <c r="I470" s="118"/>
      <c r="K470" s="118"/>
      <c r="M470" s="118"/>
      <c r="O470" s="118"/>
      <c r="P470" s="119"/>
      <c r="S470" s="118"/>
      <c r="U470" s="118"/>
      <c r="W470" s="118"/>
      <c r="Y470" s="118"/>
      <c r="AA470" s="118"/>
      <c r="AC470" s="118"/>
      <c r="AE470" s="118"/>
      <c r="AF470" s="119"/>
    </row>
    <row r="471" spans="1:32" x14ac:dyDescent="0.3">
      <c r="A471" s="118"/>
      <c r="C471" s="118"/>
      <c r="E471" s="118"/>
      <c r="G471" s="118"/>
      <c r="I471" s="118"/>
      <c r="K471" s="118"/>
      <c r="M471" s="118"/>
      <c r="O471" s="118"/>
      <c r="P471" s="119"/>
      <c r="S471" s="118"/>
      <c r="U471" s="118"/>
      <c r="W471" s="118"/>
      <c r="Y471" s="118"/>
      <c r="AA471" s="118"/>
      <c r="AC471" s="118"/>
      <c r="AE471" s="118"/>
      <c r="AF471" s="119"/>
    </row>
    <row r="472" spans="1:32" x14ac:dyDescent="0.3">
      <c r="A472" s="118"/>
      <c r="C472" s="118"/>
      <c r="E472" s="118"/>
      <c r="G472" s="118"/>
      <c r="I472" s="118"/>
      <c r="K472" s="118"/>
      <c r="M472" s="118"/>
      <c r="O472" s="118"/>
      <c r="P472" s="119"/>
      <c r="S472" s="118"/>
      <c r="U472" s="118"/>
      <c r="W472" s="118"/>
      <c r="Y472" s="118"/>
      <c r="AA472" s="118"/>
      <c r="AC472" s="118"/>
      <c r="AE472" s="118"/>
      <c r="AF472" s="119"/>
    </row>
    <row r="473" spans="1:32" x14ac:dyDescent="0.3">
      <c r="A473" s="118"/>
      <c r="C473" s="118"/>
      <c r="E473" s="118"/>
      <c r="G473" s="118"/>
      <c r="I473" s="118"/>
      <c r="K473" s="118"/>
      <c r="M473" s="118"/>
      <c r="O473" s="118"/>
      <c r="P473" s="119"/>
      <c r="S473" s="118"/>
      <c r="U473" s="118"/>
      <c r="W473" s="118"/>
      <c r="Y473" s="118"/>
      <c r="AA473" s="118"/>
      <c r="AC473" s="118"/>
      <c r="AE473" s="118"/>
      <c r="AF473" s="119"/>
    </row>
    <row r="474" spans="1:32" x14ac:dyDescent="0.3">
      <c r="A474" s="118"/>
      <c r="C474" s="118"/>
      <c r="E474" s="118"/>
      <c r="G474" s="118"/>
      <c r="I474" s="118"/>
      <c r="K474" s="118"/>
      <c r="M474" s="118"/>
      <c r="O474" s="118"/>
      <c r="P474" s="119"/>
      <c r="S474" s="118"/>
      <c r="U474" s="118"/>
      <c r="W474" s="118"/>
      <c r="Y474" s="118"/>
      <c r="AA474" s="118"/>
      <c r="AC474" s="118"/>
      <c r="AE474" s="118"/>
      <c r="AF474" s="119"/>
    </row>
    <row r="475" spans="1:32" x14ac:dyDescent="0.3">
      <c r="A475" s="118"/>
      <c r="C475" s="118"/>
      <c r="E475" s="118"/>
      <c r="G475" s="118"/>
      <c r="I475" s="118"/>
      <c r="K475" s="118"/>
      <c r="M475" s="118"/>
      <c r="O475" s="118"/>
      <c r="P475" s="119"/>
      <c r="S475" s="118"/>
      <c r="U475" s="118"/>
      <c r="W475" s="118"/>
      <c r="Y475" s="118"/>
      <c r="AA475" s="118"/>
      <c r="AC475" s="118"/>
      <c r="AE475" s="118"/>
      <c r="AF475" s="119"/>
    </row>
    <row r="476" spans="1:32" x14ac:dyDescent="0.3">
      <c r="A476" s="118"/>
      <c r="C476" s="118"/>
      <c r="E476" s="118"/>
      <c r="G476" s="118"/>
      <c r="I476" s="118"/>
      <c r="K476" s="118"/>
      <c r="M476" s="118"/>
      <c r="O476" s="118"/>
      <c r="P476" s="119"/>
      <c r="S476" s="118"/>
      <c r="U476" s="118"/>
      <c r="W476" s="118"/>
      <c r="Y476" s="118"/>
      <c r="AA476" s="118"/>
      <c r="AC476" s="118"/>
      <c r="AE476" s="118"/>
      <c r="AF476" s="119"/>
    </row>
    <row r="477" spans="1:32" x14ac:dyDescent="0.3">
      <c r="A477" s="118"/>
      <c r="C477" s="118"/>
      <c r="E477" s="118"/>
      <c r="G477" s="118"/>
      <c r="I477" s="118"/>
      <c r="K477" s="118"/>
      <c r="M477" s="118"/>
      <c r="O477" s="118"/>
      <c r="P477" s="119"/>
      <c r="S477" s="118"/>
      <c r="U477" s="118"/>
      <c r="W477" s="118"/>
      <c r="Y477" s="118"/>
      <c r="AA477" s="118"/>
      <c r="AC477" s="118"/>
      <c r="AE477" s="118"/>
      <c r="AF477" s="119"/>
    </row>
    <row r="478" spans="1:32" x14ac:dyDescent="0.3">
      <c r="A478" s="118"/>
      <c r="C478" s="118"/>
      <c r="E478" s="118"/>
      <c r="G478" s="118"/>
      <c r="I478" s="118"/>
      <c r="K478" s="118"/>
      <c r="M478" s="118"/>
      <c r="O478" s="118"/>
      <c r="P478" s="119"/>
      <c r="S478" s="118"/>
      <c r="U478" s="118"/>
      <c r="W478" s="118"/>
      <c r="Y478" s="118"/>
      <c r="AA478" s="118"/>
      <c r="AC478" s="118"/>
      <c r="AE478" s="118"/>
      <c r="AF478" s="119"/>
    </row>
    <row r="479" spans="1:32" x14ac:dyDescent="0.3">
      <c r="A479" s="118"/>
      <c r="C479" s="118"/>
      <c r="E479" s="118"/>
      <c r="G479" s="118"/>
      <c r="I479" s="118"/>
      <c r="K479" s="118"/>
      <c r="M479" s="118"/>
      <c r="O479" s="118"/>
      <c r="P479" s="119"/>
      <c r="S479" s="118"/>
      <c r="U479" s="118"/>
      <c r="W479" s="118"/>
      <c r="Y479" s="118"/>
      <c r="AA479" s="118"/>
      <c r="AC479" s="118"/>
      <c r="AE479" s="118"/>
      <c r="AF479" s="119"/>
    </row>
    <row r="480" spans="1:32" x14ac:dyDescent="0.3">
      <c r="A480" s="118"/>
      <c r="C480" s="118"/>
      <c r="E480" s="118"/>
      <c r="G480" s="118"/>
      <c r="I480" s="118"/>
      <c r="K480" s="118"/>
      <c r="M480" s="118"/>
      <c r="O480" s="118"/>
      <c r="P480" s="119"/>
      <c r="S480" s="118"/>
      <c r="U480" s="118"/>
      <c r="W480" s="118"/>
      <c r="Y480" s="118"/>
      <c r="AA480" s="118"/>
      <c r="AC480" s="118"/>
      <c r="AE480" s="118"/>
      <c r="AF480" s="119"/>
    </row>
    <row r="481" spans="1:32" x14ac:dyDescent="0.3">
      <c r="A481" s="118"/>
      <c r="C481" s="118"/>
      <c r="E481" s="118"/>
      <c r="G481" s="118"/>
      <c r="I481" s="118"/>
      <c r="K481" s="118"/>
      <c r="M481" s="118"/>
      <c r="O481" s="118"/>
      <c r="P481" s="119"/>
      <c r="S481" s="118"/>
      <c r="U481" s="118"/>
      <c r="W481" s="118"/>
      <c r="Y481" s="118"/>
      <c r="AA481" s="118"/>
      <c r="AC481" s="118"/>
      <c r="AE481" s="118"/>
      <c r="AF481" s="119"/>
    </row>
    <row r="482" spans="1:32" x14ac:dyDescent="0.3">
      <c r="A482" s="118"/>
      <c r="C482" s="118"/>
      <c r="E482" s="118"/>
      <c r="G482" s="118"/>
      <c r="I482" s="118"/>
      <c r="K482" s="118"/>
      <c r="M482" s="118"/>
      <c r="O482" s="118"/>
      <c r="P482" s="119"/>
      <c r="S482" s="118"/>
      <c r="U482" s="118"/>
      <c r="W482" s="118"/>
      <c r="Y482" s="118"/>
      <c r="AA482" s="118"/>
      <c r="AC482" s="118"/>
      <c r="AE482" s="118"/>
      <c r="AF482" s="119"/>
    </row>
    <row r="483" spans="1:32" x14ac:dyDescent="0.3">
      <c r="A483" s="118"/>
      <c r="C483" s="118"/>
      <c r="E483" s="118"/>
      <c r="G483" s="118"/>
      <c r="I483" s="118"/>
      <c r="K483" s="118"/>
      <c r="M483" s="118"/>
      <c r="O483" s="118"/>
      <c r="P483" s="119"/>
      <c r="S483" s="118"/>
      <c r="U483" s="118"/>
      <c r="W483" s="118"/>
      <c r="Y483" s="118"/>
      <c r="AA483" s="118"/>
      <c r="AC483" s="118"/>
      <c r="AE483" s="118"/>
      <c r="AF483" s="119"/>
    </row>
    <row r="484" spans="1:32" x14ac:dyDescent="0.3">
      <c r="A484" s="118"/>
      <c r="C484" s="118"/>
      <c r="E484" s="118"/>
      <c r="G484" s="118"/>
      <c r="I484" s="118"/>
      <c r="K484" s="118"/>
      <c r="M484" s="118"/>
      <c r="O484" s="118"/>
      <c r="P484" s="119"/>
      <c r="S484" s="118"/>
      <c r="U484" s="118"/>
      <c r="W484" s="118"/>
      <c r="Y484" s="118"/>
      <c r="AA484" s="118"/>
      <c r="AC484" s="118"/>
      <c r="AE484" s="118"/>
      <c r="AF484" s="119"/>
    </row>
    <row r="485" spans="1:32" x14ac:dyDescent="0.3">
      <c r="A485" s="118"/>
      <c r="C485" s="118"/>
      <c r="E485" s="118"/>
      <c r="G485" s="118"/>
      <c r="I485" s="118"/>
      <c r="K485" s="118"/>
      <c r="M485" s="118"/>
      <c r="O485" s="118"/>
      <c r="P485" s="119"/>
      <c r="S485" s="118"/>
      <c r="U485" s="118"/>
      <c r="W485" s="118"/>
      <c r="Y485" s="118"/>
      <c r="AA485" s="118"/>
      <c r="AC485" s="118"/>
      <c r="AE485" s="118"/>
      <c r="AF485" s="119"/>
    </row>
    <row r="486" spans="1:32" x14ac:dyDescent="0.3">
      <c r="A486" s="118"/>
      <c r="C486" s="118"/>
      <c r="E486" s="118"/>
      <c r="G486" s="118"/>
      <c r="I486" s="118"/>
      <c r="K486" s="118"/>
      <c r="M486" s="118"/>
      <c r="O486" s="118"/>
      <c r="P486" s="119"/>
      <c r="S486" s="118"/>
      <c r="U486" s="118"/>
      <c r="W486" s="118"/>
      <c r="Y486" s="118"/>
      <c r="AA486" s="118"/>
      <c r="AC486" s="118"/>
      <c r="AE486" s="118"/>
      <c r="AF486" s="119"/>
    </row>
    <row r="487" spans="1:32" x14ac:dyDescent="0.3">
      <c r="A487" s="118"/>
      <c r="C487" s="118"/>
      <c r="E487" s="118"/>
      <c r="G487" s="118"/>
      <c r="I487" s="118"/>
      <c r="K487" s="118"/>
      <c r="M487" s="118"/>
      <c r="O487" s="118"/>
      <c r="P487" s="119"/>
      <c r="S487" s="118"/>
      <c r="U487" s="118"/>
      <c r="W487" s="118"/>
      <c r="Y487" s="118"/>
      <c r="AA487" s="118"/>
      <c r="AC487" s="118"/>
      <c r="AE487" s="118"/>
      <c r="AF487" s="119"/>
    </row>
    <row r="488" spans="1:32" x14ac:dyDescent="0.3">
      <c r="A488" s="118"/>
      <c r="C488" s="118"/>
      <c r="E488" s="118"/>
      <c r="G488" s="118"/>
      <c r="I488" s="118"/>
      <c r="K488" s="118"/>
      <c r="M488" s="118"/>
      <c r="O488" s="118"/>
      <c r="P488" s="119"/>
      <c r="S488" s="118"/>
      <c r="U488" s="118"/>
      <c r="W488" s="118"/>
      <c r="Y488" s="118"/>
      <c r="AA488" s="118"/>
      <c r="AC488" s="118"/>
      <c r="AE488" s="118"/>
      <c r="AF488" s="119"/>
    </row>
    <row r="489" spans="1:32" x14ac:dyDescent="0.3">
      <c r="A489" s="118"/>
      <c r="C489" s="118"/>
      <c r="E489" s="118"/>
      <c r="G489" s="118"/>
      <c r="I489" s="118"/>
      <c r="K489" s="118"/>
      <c r="M489" s="118"/>
      <c r="O489" s="118"/>
      <c r="P489" s="119"/>
      <c r="S489" s="118"/>
      <c r="U489" s="118"/>
      <c r="W489" s="118"/>
      <c r="Y489" s="118"/>
      <c r="AA489" s="118"/>
      <c r="AC489" s="118"/>
      <c r="AE489" s="118"/>
      <c r="AF489" s="119"/>
    </row>
    <row r="490" spans="1:32" x14ac:dyDescent="0.3">
      <c r="A490" s="118"/>
      <c r="C490" s="118"/>
      <c r="E490" s="118"/>
      <c r="G490" s="118"/>
      <c r="I490" s="118"/>
      <c r="K490" s="118"/>
      <c r="M490" s="118"/>
      <c r="O490" s="118"/>
      <c r="P490" s="119"/>
      <c r="S490" s="118"/>
      <c r="U490" s="118"/>
      <c r="W490" s="118"/>
      <c r="Y490" s="118"/>
      <c r="AA490" s="118"/>
      <c r="AC490" s="118"/>
      <c r="AE490" s="118"/>
      <c r="AF490" s="119"/>
    </row>
    <row r="491" spans="1:32" x14ac:dyDescent="0.3">
      <c r="A491" s="118"/>
      <c r="C491" s="118"/>
      <c r="E491" s="118"/>
      <c r="G491" s="118"/>
      <c r="I491" s="118"/>
      <c r="K491" s="118"/>
      <c r="M491" s="118"/>
      <c r="O491" s="118"/>
      <c r="P491" s="119"/>
      <c r="S491" s="118"/>
      <c r="U491" s="118"/>
      <c r="W491" s="118"/>
      <c r="Y491" s="118"/>
      <c r="AA491" s="118"/>
      <c r="AC491" s="118"/>
      <c r="AE491" s="118"/>
      <c r="AF491" s="119"/>
    </row>
    <row r="492" spans="1:32" x14ac:dyDescent="0.3">
      <c r="A492" s="118"/>
      <c r="C492" s="118"/>
      <c r="E492" s="118"/>
      <c r="G492" s="118"/>
      <c r="I492" s="118"/>
      <c r="K492" s="118"/>
      <c r="M492" s="118"/>
      <c r="O492" s="118"/>
      <c r="P492" s="119"/>
      <c r="S492" s="118"/>
      <c r="U492" s="118"/>
      <c r="W492" s="118"/>
      <c r="Y492" s="118"/>
      <c r="AA492" s="118"/>
      <c r="AC492" s="118"/>
      <c r="AE492" s="118"/>
      <c r="AF492" s="119"/>
    </row>
    <row r="493" spans="1:32" x14ac:dyDescent="0.3">
      <c r="A493" s="118"/>
      <c r="C493" s="118"/>
      <c r="E493" s="118"/>
      <c r="G493" s="118"/>
      <c r="I493" s="118"/>
      <c r="K493" s="118"/>
      <c r="M493" s="118"/>
      <c r="O493" s="118"/>
      <c r="P493" s="119"/>
      <c r="S493" s="118"/>
      <c r="U493" s="118"/>
      <c r="W493" s="118"/>
      <c r="Y493" s="118"/>
      <c r="AA493" s="118"/>
      <c r="AC493" s="118"/>
      <c r="AE493" s="118"/>
      <c r="AF493" s="119"/>
    </row>
    <row r="494" spans="1:32" x14ac:dyDescent="0.3">
      <c r="A494" s="118"/>
      <c r="C494" s="118"/>
      <c r="E494" s="118"/>
      <c r="G494" s="118"/>
      <c r="I494" s="118"/>
      <c r="K494" s="118"/>
      <c r="M494" s="118"/>
      <c r="O494" s="118"/>
      <c r="P494" s="119"/>
      <c r="S494" s="118"/>
      <c r="U494" s="118"/>
      <c r="W494" s="118"/>
      <c r="Y494" s="118"/>
      <c r="AA494" s="118"/>
      <c r="AC494" s="118"/>
      <c r="AE494" s="118"/>
      <c r="AF494" s="119"/>
    </row>
    <row r="495" spans="1:32" x14ac:dyDescent="0.3">
      <c r="A495" s="118"/>
      <c r="C495" s="118"/>
      <c r="E495" s="118"/>
      <c r="G495" s="118"/>
      <c r="I495" s="118"/>
      <c r="K495" s="118"/>
      <c r="M495" s="118"/>
      <c r="O495" s="118"/>
      <c r="P495" s="119"/>
      <c r="S495" s="118"/>
      <c r="U495" s="118"/>
      <c r="W495" s="118"/>
      <c r="Y495" s="118"/>
      <c r="AA495" s="118"/>
      <c r="AC495" s="118"/>
      <c r="AE495" s="118"/>
      <c r="AF495" s="119"/>
    </row>
    <row r="496" spans="1:32" x14ac:dyDescent="0.3">
      <c r="A496" s="118"/>
      <c r="C496" s="118"/>
      <c r="E496" s="118"/>
      <c r="G496" s="118"/>
      <c r="I496" s="118"/>
      <c r="K496" s="118"/>
      <c r="M496" s="118"/>
      <c r="O496" s="118"/>
      <c r="P496" s="119"/>
      <c r="S496" s="118"/>
      <c r="U496" s="118"/>
      <c r="W496" s="118"/>
      <c r="Y496" s="118"/>
      <c r="AA496" s="118"/>
      <c r="AC496" s="118"/>
      <c r="AE496" s="118"/>
      <c r="AF496" s="119"/>
    </row>
    <row r="497" spans="1:32" x14ac:dyDescent="0.3">
      <c r="A497" s="118"/>
      <c r="C497" s="118"/>
      <c r="E497" s="118"/>
      <c r="G497" s="118"/>
      <c r="I497" s="118"/>
      <c r="K497" s="118"/>
      <c r="M497" s="118"/>
      <c r="O497" s="118"/>
      <c r="P497" s="119"/>
      <c r="S497" s="118"/>
      <c r="U497" s="118"/>
      <c r="W497" s="118"/>
      <c r="Y497" s="118"/>
      <c r="AA497" s="118"/>
      <c r="AC497" s="118"/>
      <c r="AE497" s="118"/>
      <c r="AF497" s="119"/>
    </row>
    <row r="498" spans="1:32" x14ac:dyDescent="0.3">
      <c r="A498" s="118"/>
      <c r="C498" s="118"/>
      <c r="E498" s="118"/>
      <c r="G498" s="118"/>
      <c r="I498" s="118"/>
      <c r="K498" s="118"/>
      <c r="M498" s="118"/>
      <c r="O498" s="118"/>
      <c r="P498" s="119"/>
      <c r="S498" s="118"/>
      <c r="U498" s="118"/>
      <c r="W498" s="118"/>
      <c r="Y498" s="118"/>
      <c r="AA498" s="118"/>
      <c r="AC498" s="118"/>
      <c r="AE498" s="118"/>
      <c r="AF498" s="119"/>
    </row>
    <row r="499" spans="1:32" x14ac:dyDescent="0.3">
      <c r="A499" s="118"/>
      <c r="C499" s="118"/>
      <c r="E499" s="118"/>
      <c r="G499" s="118"/>
      <c r="I499" s="118"/>
      <c r="K499" s="118"/>
      <c r="M499" s="118"/>
      <c r="O499" s="118"/>
      <c r="P499" s="119"/>
      <c r="S499" s="118"/>
      <c r="U499" s="118"/>
      <c r="W499" s="118"/>
      <c r="Y499" s="118"/>
      <c r="AA499" s="118"/>
      <c r="AC499" s="118"/>
      <c r="AE499" s="118"/>
      <c r="AF499" s="119"/>
    </row>
    <row r="500" spans="1:32" x14ac:dyDescent="0.3">
      <c r="A500" s="118"/>
      <c r="C500" s="118"/>
      <c r="E500" s="118"/>
      <c r="G500" s="118"/>
      <c r="I500" s="118"/>
      <c r="K500" s="118"/>
      <c r="M500" s="118"/>
      <c r="O500" s="118"/>
      <c r="P500" s="119"/>
      <c r="S500" s="118"/>
      <c r="U500" s="118"/>
      <c r="W500" s="118"/>
      <c r="Y500" s="118"/>
      <c r="AA500" s="118"/>
      <c r="AC500" s="118"/>
      <c r="AE500" s="118"/>
      <c r="AF500" s="119"/>
    </row>
    <row r="501" spans="1:32" x14ac:dyDescent="0.3">
      <c r="A501" s="118"/>
      <c r="C501" s="118"/>
      <c r="E501" s="118"/>
      <c r="G501" s="118"/>
      <c r="I501" s="118"/>
      <c r="K501" s="118"/>
      <c r="M501" s="118"/>
      <c r="O501" s="118"/>
      <c r="P501" s="119"/>
      <c r="S501" s="118"/>
      <c r="U501" s="118"/>
      <c r="W501" s="118"/>
      <c r="Y501" s="118"/>
      <c r="AA501" s="118"/>
      <c r="AC501" s="118"/>
      <c r="AE501" s="118"/>
      <c r="AF501" s="119"/>
    </row>
    <row r="502" spans="1:32" x14ac:dyDescent="0.3">
      <c r="A502" s="118"/>
      <c r="C502" s="118"/>
      <c r="E502" s="118"/>
      <c r="G502" s="118"/>
      <c r="I502" s="118"/>
      <c r="K502" s="118"/>
      <c r="M502" s="118"/>
      <c r="O502" s="118"/>
      <c r="P502" s="119"/>
      <c r="S502" s="118"/>
      <c r="U502" s="118"/>
      <c r="W502" s="118"/>
      <c r="Y502" s="118"/>
      <c r="AA502" s="118"/>
      <c r="AC502" s="118"/>
      <c r="AE502" s="118"/>
      <c r="AF502" s="119"/>
    </row>
    <row r="503" spans="1:32" x14ac:dyDescent="0.3">
      <c r="A503" s="118"/>
      <c r="C503" s="118"/>
      <c r="E503" s="118"/>
      <c r="G503" s="118"/>
      <c r="I503" s="118"/>
      <c r="K503" s="118"/>
      <c r="M503" s="118"/>
      <c r="O503" s="118"/>
      <c r="P503" s="119"/>
      <c r="S503" s="118"/>
      <c r="U503" s="118"/>
      <c r="W503" s="118"/>
      <c r="Y503" s="118"/>
      <c r="AA503" s="118"/>
      <c r="AC503" s="118"/>
      <c r="AE503" s="118"/>
      <c r="AF503" s="119"/>
    </row>
    <row r="504" spans="1:32" x14ac:dyDescent="0.3">
      <c r="A504" s="118"/>
      <c r="C504" s="118"/>
      <c r="E504" s="118"/>
      <c r="G504" s="118"/>
      <c r="I504" s="118"/>
      <c r="K504" s="118"/>
      <c r="M504" s="118"/>
      <c r="O504" s="118"/>
      <c r="P504" s="119"/>
      <c r="S504" s="118"/>
      <c r="U504" s="118"/>
      <c r="W504" s="118"/>
      <c r="Y504" s="118"/>
      <c r="AA504" s="118"/>
      <c r="AC504" s="118"/>
      <c r="AE504" s="118"/>
      <c r="AF504" s="119"/>
    </row>
    <row r="505" spans="1:32" x14ac:dyDescent="0.3">
      <c r="A505" s="118"/>
      <c r="C505" s="118"/>
      <c r="E505" s="118"/>
      <c r="G505" s="118"/>
      <c r="I505" s="118"/>
      <c r="K505" s="118"/>
      <c r="M505" s="118"/>
      <c r="O505" s="118"/>
      <c r="P505" s="119"/>
      <c r="S505" s="118"/>
      <c r="U505" s="118"/>
      <c r="W505" s="118"/>
      <c r="Y505" s="118"/>
      <c r="AA505" s="118"/>
      <c r="AC505" s="118"/>
      <c r="AE505" s="118"/>
      <c r="AF505" s="119"/>
    </row>
    <row r="506" spans="1:32" x14ac:dyDescent="0.3">
      <c r="A506" s="118"/>
      <c r="C506" s="118"/>
      <c r="E506" s="118"/>
      <c r="G506" s="118"/>
      <c r="I506" s="118"/>
      <c r="K506" s="118"/>
      <c r="M506" s="118"/>
      <c r="O506" s="118"/>
      <c r="P506" s="119"/>
      <c r="S506" s="118"/>
      <c r="U506" s="118"/>
      <c r="W506" s="118"/>
      <c r="Y506" s="118"/>
      <c r="AA506" s="118"/>
      <c r="AC506" s="118"/>
      <c r="AE506" s="118"/>
      <c r="AF506" s="119"/>
    </row>
    <row r="507" spans="1:32" x14ac:dyDescent="0.3">
      <c r="A507" s="118"/>
      <c r="C507" s="118"/>
      <c r="E507" s="118"/>
      <c r="G507" s="118"/>
      <c r="I507" s="118"/>
      <c r="K507" s="118"/>
      <c r="M507" s="118"/>
      <c r="O507" s="118"/>
      <c r="P507" s="119"/>
      <c r="S507" s="118"/>
      <c r="U507" s="118"/>
      <c r="W507" s="118"/>
      <c r="Y507" s="118"/>
      <c r="AA507" s="118"/>
      <c r="AC507" s="118"/>
      <c r="AE507" s="118"/>
      <c r="AF507" s="119"/>
    </row>
    <row r="508" spans="1:32" x14ac:dyDescent="0.3">
      <c r="A508" s="118"/>
      <c r="C508" s="118"/>
      <c r="E508" s="118"/>
      <c r="G508" s="118"/>
      <c r="I508" s="118"/>
      <c r="K508" s="118"/>
      <c r="M508" s="118"/>
      <c r="O508" s="118"/>
      <c r="P508" s="119"/>
      <c r="S508" s="118"/>
      <c r="U508" s="118"/>
      <c r="W508" s="118"/>
      <c r="Y508" s="118"/>
      <c r="AA508" s="118"/>
      <c r="AC508" s="118"/>
      <c r="AE508" s="118"/>
      <c r="AF508" s="119"/>
    </row>
    <row r="509" spans="1:32" x14ac:dyDescent="0.3">
      <c r="A509" s="118"/>
      <c r="C509" s="118"/>
      <c r="E509" s="118"/>
      <c r="G509" s="118"/>
      <c r="I509" s="118"/>
      <c r="K509" s="118"/>
      <c r="M509" s="118"/>
      <c r="O509" s="118"/>
      <c r="P509" s="119"/>
      <c r="S509" s="118"/>
      <c r="U509" s="118"/>
      <c r="W509" s="118"/>
      <c r="Y509" s="118"/>
      <c r="AA509" s="118"/>
      <c r="AC509" s="118"/>
      <c r="AE509" s="118"/>
      <c r="AF509" s="119"/>
    </row>
    <row r="510" spans="1:32" x14ac:dyDescent="0.3">
      <c r="A510" s="118"/>
      <c r="C510" s="118"/>
      <c r="E510" s="118"/>
      <c r="G510" s="118"/>
      <c r="I510" s="118"/>
      <c r="K510" s="118"/>
      <c r="M510" s="118"/>
      <c r="O510" s="118"/>
      <c r="P510" s="119"/>
      <c r="S510" s="118"/>
      <c r="U510" s="118"/>
      <c r="W510" s="118"/>
      <c r="Y510" s="118"/>
      <c r="AA510" s="118"/>
      <c r="AC510" s="118"/>
      <c r="AE510" s="118"/>
      <c r="AF510" s="119"/>
    </row>
    <row r="511" spans="1:32" x14ac:dyDescent="0.3">
      <c r="A511" s="118"/>
      <c r="C511" s="118"/>
      <c r="E511" s="118"/>
      <c r="G511" s="118"/>
      <c r="I511" s="118"/>
      <c r="K511" s="118"/>
      <c r="M511" s="118"/>
      <c r="O511" s="118"/>
      <c r="P511" s="119"/>
      <c r="S511" s="118"/>
      <c r="U511" s="118"/>
      <c r="W511" s="118"/>
      <c r="Y511" s="118"/>
      <c r="AA511" s="118"/>
      <c r="AC511" s="118"/>
      <c r="AE511" s="118"/>
      <c r="AF511" s="119"/>
    </row>
    <row r="512" spans="1:32" x14ac:dyDescent="0.3">
      <c r="A512" s="118"/>
      <c r="C512" s="118"/>
      <c r="E512" s="118"/>
      <c r="G512" s="118"/>
      <c r="I512" s="118"/>
      <c r="K512" s="118"/>
      <c r="M512" s="118"/>
      <c r="O512" s="118"/>
      <c r="P512" s="119"/>
      <c r="S512" s="118"/>
      <c r="U512" s="118"/>
      <c r="W512" s="118"/>
      <c r="Y512" s="118"/>
      <c r="AA512" s="118"/>
      <c r="AC512" s="118"/>
      <c r="AE512" s="118"/>
      <c r="AF512" s="119"/>
    </row>
    <row r="513" spans="1:32" x14ac:dyDescent="0.3">
      <c r="A513" s="118"/>
      <c r="C513" s="118"/>
      <c r="E513" s="118"/>
      <c r="G513" s="118"/>
      <c r="I513" s="118"/>
      <c r="K513" s="118"/>
      <c r="M513" s="118"/>
      <c r="O513" s="118"/>
      <c r="P513" s="119"/>
      <c r="S513" s="118"/>
      <c r="U513" s="118"/>
      <c r="W513" s="118"/>
      <c r="Y513" s="118"/>
      <c r="AA513" s="118"/>
      <c r="AC513" s="118"/>
      <c r="AE513" s="118"/>
      <c r="AF513" s="119"/>
    </row>
    <row r="514" spans="1:32" x14ac:dyDescent="0.3">
      <c r="A514" s="118"/>
      <c r="C514" s="118"/>
      <c r="E514" s="118"/>
      <c r="G514" s="118"/>
      <c r="I514" s="118"/>
      <c r="K514" s="118"/>
      <c r="M514" s="118"/>
      <c r="O514" s="118"/>
      <c r="P514" s="119"/>
      <c r="S514" s="118"/>
      <c r="U514" s="118"/>
      <c r="W514" s="118"/>
      <c r="Y514" s="118"/>
      <c r="AA514" s="118"/>
      <c r="AC514" s="118"/>
      <c r="AE514" s="118"/>
      <c r="AF514" s="119"/>
    </row>
    <row r="515" spans="1:32" x14ac:dyDescent="0.3">
      <c r="A515" s="118"/>
      <c r="C515" s="118"/>
      <c r="E515" s="118"/>
      <c r="G515" s="118"/>
      <c r="I515" s="118"/>
      <c r="K515" s="118"/>
      <c r="M515" s="118"/>
      <c r="O515" s="118"/>
      <c r="P515" s="119"/>
      <c r="S515" s="118"/>
      <c r="U515" s="118"/>
      <c r="W515" s="118"/>
      <c r="Y515" s="118"/>
      <c r="AA515" s="118"/>
      <c r="AC515" s="118"/>
      <c r="AE515" s="118"/>
      <c r="AF515" s="119"/>
    </row>
    <row r="516" spans="1:32" x14ac:dyDescent="0.3">
      <c r="A516" s="118"/>
      <c r="C516" s="118"/>
      <c r="E516" s="118"/>
      <c r="G516" s="118"/>
      <c r="I516" s="118"/>
      <c r="K516" s="118"/>
      <c r="M516" s="118"/>
      <c r="O516" s="118"/>
      <c r="P516" s="119"/>
      <c r="S516" s="118"/>
      <c r="U516" s="118"/>
      <c r="W516" s="118"/>
      <c r="Y516" s="118"/>
      <c r="AA516" s="118"/>
      <c r="AC516" s="118"/>
      <c r="AE516" s="118"/>
      <c r="AF516" s="119"/>
    </row>
    <row r="517" spans="1:32" x14ac:dyDescent="0.3">
      <c r="A517" s="118"/>
      <c r="C517" s="118"/>
      <c r="E517" s="118"/>
      <c r="G517" s="118"/>
      <c r="I517" s="118"/>
      <c r="K517" s="118"/>
      <c r="M517" s="118"/>
      <c r="O517" s="118"/>
      <c r="P517" s="119"/>
      <c r="S517" s="118"/>
      <c r="U517" s="118"/>
      <c r="W517" s="118"/>
      <c r="Y517" s="118"/>
      <c r="AA517" s="118"/>
      <c r="AC517" s="118"/>
      <c r="AE517" s="118"/>
      <c r="AF517" s="119"/>
    </row>
    <row r="518" spans="1:32" x14ac:dyDescent="0.3">
      <c r="A518" s="118"/>
      <c r="C518" s="118"/>
      <c r="E518" s="118"/>
      <c r="G518" s="118"/>
      <c r="I518" s="118"/>
      <c r="K518" s="118"/>
      <c r="M518" s="118"/>
      <c r="O518" s="118"/>
      <c r="P518" s="119"/>
      <c r="S518" s="118"/>
      <c r="U518" s="118"/>
      <c r="W518" s="118"/>
      <c r="Y518" s="118"/>
      <c r="AA518" s="118"/>
      <c r="AC518" s="118"/>
      <c r="AE518" s="118"/>
      <c r="AF518" s="119"/>
    </row>
    <row r="519" spans="1:32" x14ac:dyDescent="0.3">
      <c r="A519" s="118"/>
      <c r="C519" s="118"/>
      <c r="E519" s="118"/>
      <c r="G519" s="118"/>
      <c r="I519" s="118"/>
      <c r="K519" s="118"/>
      <c r="M519" s="118"/>
      <c r="O519" s="118"/>
      <c r="P519" s="119"/>
      <c r="S519" s="118"/>
      <c r="U519" s="118"/>
      <c r="W519" s="118"/>
      <c r="Y519" s="118"/>
      <c r="AA519" s="118"/>
      <c r="AC519" s="118"/>
      <c r="AE519" s="118"/>
      <c r="AF519" s="119"/>
    </row>
    <row r="520" spans="1:32" x14ac:dyDescent="0.3">
      <c r="A520" s="118"/>
      <c r="C520" s="118"/>
      <c r="E520" s="118"/>
      <c r="G520" s="118"/>
      <c r="I520" s="118"/>
      <c r="K520" s="118"/>
      <c r="M520" s="118"/>
      <c r="O520" s="118"/>
      <c r="P520" s="119"/>
      <c r="S520" s="118"/>
      <c r="U520" s="118"/>
      <c r="W520" s="118"/>
      <c r="Y520" s="118"/>
      <c r="AA520" s="118"/>
      <c r="AC520" s="118"/>
      <c r="AE520" s="118"/>
      <c r="AF520" s="119"/>
    </row>
    <row r="521" spans="1:32" x14ac:dyDescent="0.3">
      <c r="A521" s="118"/>
      <c r="C521" s="118"/>
      <c r="E521" s="118"/>
      <c r="G521" s="118"/>
      <c r="I521" s="118"/>
      <c r="K521" s="118"/>
      <c r="M521" s="118"/>
      <c r="O521" s="118"/>
      <c r="P521" s="119"/>
      <c r="S521" s="118"/>
      <c r="U521" s="118"/>
      <c r="W521" s="118"/>
      <c r="Y521" s="118"/>
      <c r="AA521" s="118"/>
      <c r="AC521" s="118"/>
      <c r="AE521" s="118"/>
      <c r="AF521" s="119"/>
    </row>
    <row r="522" spans="1:32" x14ac:dyDescent="0.3">
      <c r="A522" s="118"/>
      <c r="C522" s="118"/>
      <c r="E522" s="118"/>
      <c r="G522" s="118"/>
      <c r="I522" s="118"/>
      <c r="K522" s="118"/>
      <c r="M522" s="118"/>
      <c r="O522" s="118"/>
      <c r="P522" s="119"/>
      <c r="S522" s="118"/>
      <c r="U522" s="118"/>
      <c r="W522" s="118"/>
      <c r="Y522" s="118"/>
      <c r="AA522" s="118"/>
      <c r="AC522" s="118"/>
      <c r="AE522" s="118"/>
      <c r="AF522" s="119"/>
    </row>
    <row r="523" spans="1:32" x14ac:dyDescent="0.3">
      <c r="A523" s="118"/>
      <c r="C523" s="118"/>
      <c r="E523" s="118"/>
      <c r="G523" s="118"/>
      <c r="I523" s="118"/>
      <c r="K523" s="118"/>
      <c r="M523" s="118"/>
      <c r="O523" s="118"/>
      <c r="P523" s="119"/>
      <c r="S523" s="118"/>
      <c r="U523" s="118"/>
      <c r="W523" s="118"/>
      <c r="Y523" s="118"/>
      <c r="AA523" s="118"/>
      <c r="AC523" s="118"/>
      <c r="AE523" s="118"/>
      <c r="AF523" s="119"/>
    </row>
    <row r="524" spans="1:32" x14ac:dyDescent="0.3">
      <c r="A524" s="118"/>
      <c r="C524" s="118"/>
      <c r="E524" s="118"/>
      <c r="G524" s="118"/>
      <c r="I524" s="118"/>
      <c r="K524" s="118"/>
      <c r="M524" s="118"/>
      <c r="O524" s="118"/>
      <c r="P524" s="119"/>
      <c r="S524" s="118"/>
      <c r="U524" s="118"/>
      <c r="W524" s="118"/>
      <c r="Y524" s="118"/>
      <c r="AA524" s="118"/>
      <c r="AC524" s="118"/>
      <c r="AE524" s="118"/>
      <c r="AF524" s="119"/>
    </row>
    <row r="525" spans="1:32" x14ac:dyDescent="0.3">
      <c r="A525" s="118"/>
      <c r="C525" s="118"/>
      <c r="E525" s="118"/>
      <c r="G525" s="118"/>
      <c r="I525" s="118"/>
      <c r="K525" s="118"/>
      <c r="M525" s="118"/>
      <c r="O525" s="118"/>
      <c r="P525" s="119"/>
      <c r="S525" s="118"/>
      <c r="U525" s="118"/>
      <c r="W525" s="118"/>
      <c r="Y525" s="118"/>
      <c r="AA525" s="118"/>
      <c r="AC525" s="118"/>
      <c r="AE525" s="118"/>
      <c r="AF525" s="119"/>
    </row>
    <row r="526" spans="1:32" x14ac:dyDescent="0.3">
      <c r="A526" s="118"/>
      <c r="C526" s="118"/>
      <c r="E526" s="118"/>
      <c r="G526" s="118"/>
      <c r="I526" s="118"/>
      <c r="K526" s="118"/>
      <c r="M526" s="118"/>
      <c r="O526" s="118"/>
      <c r="P526" s="119"/>
      <c r="S526" s="118"/>
      <c r="U526" s="118"/>
      <c r="W526" s="118"/>
      <c r="Y526" s="118"/>
      <c r="AA526" s="118"/>
      <c r="AC526" s="118"/>
      <c r="AE526" s="118"/>
      <c r="AF526" s="119"/>
    </row>
    <row r="527" spans="1:32" x14ac:dyDescent="0.3">
      <c r="A527" s="118"/>
      <c r="C527" s="118"/>
      <c r="E527" s="118"/>
      <c r="G527" s="118"/>
      <c r="I527" s="118"/>
      <c r="K527" s="118"/>
      <c r="M527" s="118"/>
      <c r="O527" s="118"/>
      <c r="P527" s="119"/>
      <c r="S527" s="118"/>
      <c r="U527" s="118"/>
      <c r="W527" s="118"/>
      <c r="Y527" s="118"/>
      <c r="AA527" s="118"/>
      <c r="AC527" s="118"/>
      <c r="AE527" s="118"/>
      <c r="AF527" s="119"/>
    </row>
    <row r="528" spans="1:32" x14ac:dyDescent="0.3">
      <c r="A528" s="118"/>
      <c r="C528" s="118"/>
      <c r="E528" s="118"/>
      <c r="G528" s="118"/>
      <c r="I528" s="118"/>
      <c r="K528" s="118"/>
      <c r="M528" s="118"/>
      <c r="O528" s="118"/>
      <c r="P528" s="119"/>
      <c r="S528" s="118"/>
      <c r="U528" s="118"/>
      <c r="W528" s="118"/>
      <c r="Y528" s="118"/>
      <c r="AA528" s="118"/>
      <c r="AC528" s="118"/>
      <c r="AE528" s="118"/>
      <c r="AF528" s="119"/>
    </row>
    <row r="529" spans="1:32" x14ac:dyDescent="0.3">
      <c r="A529" s="118"/>
      <c r="C529" s="118"/>
      <c r="E529" s="118"/>
      <c r="G529" s="118"/>
      <c r="I529" s="118"/>
      <c r="K529" s="118"/>
      <c r="M529" s="118"/>
      <c r="O529" s="118"/>
      <c r="P529" s="119"/>
      <c r="S529" s="118"/>
      <c r="U529" s="118"/>
      <c r="W529" s="118"/>
      <c r="Y529" s="118"/>
      <c r="AA529" s="118"/>
      <c r="AC529" s="118"/>
      <c r="AE529" s="118"/>
      <c r="AF529" s="119"/>
    </row>
    <row r="530" spans="1:32" x14ac:dyDescent="0.3">
      <c r="A530" s="118"/>
      <c r="C530" s="118"/>
      <c r="E530" s="118"/>
      <c r="G530" s="118"/>
      <c r="I530" s="118"/>
      <c r="K530" s="118"/>
      <c r="M530" s="118"/>
      <c r="O530" s="118"/>
      <c r="P530" s="119"/>
      <c r="S530" s="118"/>
      <c r="U530" s="118"/>
      <c r="W530" s="118"/>
      <c r="Y530" s="118"/>
      <c r="AA530" s="118"/>
      <c r="AC530" s="118"/>
      <c r="AE530" s="118"/>
      <c r="AF530" s="119"/>
    </row>
    <row r="531" spans="1:32" x14ac:dyDescent="0.3">
      <c r="A531" s="118"/>
      <c r="C531" s="118"/>
      <c r="E531" s="118"/>
      <c r="G531" s="118"/>
      <c r="I531" s="118"/>
      <c r="K531" s="118"/>
      <c r="M531" s="118"/>
      <c r="O531" s="118"/>
      <c r="P531" s="119"/>
      <c r="S531" s="118"/>
      <c r="U531" s="118"/>
      <c r="W531" s="118"/>
      <c r="Y531" s="118"/>
      <c r="AA531" s="118"/>
      <c r="AC531" s="118"/>
      <c r="AE531" s="118"/>
      <c r="AF531" s="119"/>
    </row>
    <row r="532" spans="1:32" x14ac:dyDescent="0.3">
      <c r="A532" s="118"/>
      <c r="C532" s="118"/>
      <c r="E532" s="118"/>
      <c r="G532" s="118"/>
      <c r="I532" s="118"/>
      <c r="K532" s="118"/>
      <c r="M532" s="118"/>
      <c r="O532" s="118"/>
      <c r="P532" s="119"/>
      <c r="S532" s="118"/>
      <c r="U532" s="118"/>
      <c r="W532" s="118"/>
      <c r="Y532" s="118"/>
      <c r="AA532" s="118"/>
      <c r="AC532" s="118"/>
      <c r="AE532" s="118"/>
      <c r="AF532" s="119"/>
    </row>
    <row r="533" spans="1:32" x14ac:dyDescent="0.3">
      <c r="A533" s="118"/>
      <c r="C533" s="118"/>
      <c r="E533" s="118"/>
      <c r="G533" s="118"/>
      <c r="I533" s="118"/>
      <c r="K533" s="118"/>
      <c r="M533" s="118"/>
      <c r="O533" s="118"/>
      <c r="P533" s="119"/>
      <c r="S533" s="118"/>
      <c r="U533" s="118"/>
      <c r="W533" s="118"/>
      <c r="Y533" s="118"/>
      <c r="AA533" s="118"/>
      <c r="AC533" s="118"/>
      <c r="AE533" s="118"/>
      <c r="AF533" s="119"/>
    </row>
    <row r="534" spans="1:32" x14ac:dyDescent="0.3">
      <c r="A534" s="118"/>
      <c r="C534" s="118"/>
      <c r="E534" s="118"/>
      <c r="G534" s="118"/>
      <c r="I534" s="118"/>
      <c r="K534" s="118"/>
      <c r="M534" s="118"/>
      <c r="O534" s="118"/>
      <c r="P534" s="119"/>
      <c r="S534" s="118"/>
      <c r="U534" s="118"/>
      <c r="W534" s="118"/>
      <c r="Y534" s="118"/>
      <c r="AA534" s="118"/>
      <c r="AC534" s="118"/>
      <c r="AE534" s="118"/>
      <c r="AF534" s="119"/>
    </row>
    <row r="535" spans="1:32" x14ac:dyDescent="0.3">
      <c r="A535" s="118"/>
      <c r="C535" s="118"/>
      <c r="E535" s="118"/>
      <c r="G535" s="118"/>
      <c r="I535" s="118"/>
      <c r="K535" s="118"/>
      <c r="M535" s="118"/>
      <c r="O535" s="118"/>
      <c r="P535" s="119"/>
      <c r="S535" s="118"/>
      <c r="U535" s="118"/>
      <c r="W535" s="118"/>
      <c r="Y535" s="118"/>
      <c r="AA535" s="118"/>
      <c r="AC535" s="118"/>
      <c r="AE535" s="118"/>
      <c r="AF535" s="119"/>
    </row>
    <row r="536" spans="1:32" x14ac:dyDescent="0.3">
      <c r="A536" s="118"/>
      <c r="C536" s="118"/>
      <c r="E536" s="118"/>
      <c r="G536" s="118"/>
      <c r="I536" s="118"/>
      <c r="K536" s="118"/>
      <c r="M536" s="118"/>
      <c r="O536" s="118"/>
      <c r="P536" s="119"/>
      <c r="S536" s="118"/>
      <c r="U536" s="118"/>
      <c r="W536" s="118"/>
      <c r="Y536" s="118"/>
      <c r="AA536" s="118"/>
      <c r="AC536" s="118"/>
      <c r="AE536" s="118"/>
      <c r="AF536" s="119"/>
    </row>
    <row r="537" spans="1:32" x14ac:dyDescent="0.3">
      <c r="A537" s="118"/>
      <c r="C537" s="118"/>
      <c r="E537" s="118"/>
      <c r="G537" s="118"/>
      <c r="I537" s="118"/>
      <c r="K537" s="118"/>
      <c r="M537" s="118"/>
      <c r="O537" s="118"/>
      <c r="P537" s="119"/>
      <c r="S537" s="118"/>
      <c r="U537" s="118"/>
      <c r="W537" s="118"/>
      <c r="Y537" s="118"/>
      <c r="AA537" s="118"/>
      <c r="AC537" s="118"/>
      <c r="AE537" s="118"/>
      <c r="AF537" s="119"/>
    </row>
    <row r="538" spans="1:32" x14ac:dyDescent="0.3">
      <c r="A538" s="118"/>
      <c r="C538" s="118"/>
      <c r="E538" s="118"/>
      <c r="G538" s="118"/>
      <c r="I538" s="118"/>
      <c r="K538" s="118"/>
      <c r="M538" s="118"/>
      <c r="O538" s="118"/>
      <c r="P538" s="119"/>
      <c r="S538" s="118"/>
      <c r="U538" s="118"/>
      <c r="W538" s="118"/>
      <c r="Y538" s="118"/>
      <c r="AA538" s="118"/>
      <c r="AC538" s="118"/>
      <c r="AE538" s="118"/>
      <c r="AF538" s="119"/>
    </row>
    <row r="539" spans="1:32" x14ac:dyDescent="0.3">
      <c r="A539" s="118"/>
      <c r="C539" s="118"/>
      <c r="E539" s="118"/>
      <c r="G539" s="118"/>
      <c r="I539" s="118"/>
      <c r="K539" s="118"/>
      <c r="M539" s="118"/>
      <c r="O539" s="118"/>
      <c r="P539" s="119"/>
      <c r="S539" s="118"/>
      <c r="U539" s="118"/>
      <c r="W539" s="118"/>
      <c r="Y539" s="118"/>
      <c r="AA539" s="118"/>
      <c r="AC539" s="118"/>
      <c r="AE539" s="118"/>
      <c r="AF539" s="119"/>
    </row>
    <row r="540" spans="1:32" x14ac:dyDescent="0.3">
      <c r="A540" s="118"/>
      <c r="C540" s="118"/>
      <c r="E540" s="118"/>
      <c r="G540" s="118"/>
      <c r="I540" s="118"/>
      <c r="K540" s="118"/>
      <c r="M540" s="118"/>
      <c r="O540" s="118"/>
      <c r="P540" s="119"/>
      <c r="S540" s="118"/>
      <c r="U540" s="118"/>
      <c r="W540" s="118"/>
      <c r="Y540" s="118"/>
      <c r="AA540" s="118"/>
      <c r="AC540" s="118"/>
      <c r="AE540" s="118"/>
      <c r="AF540" s="119"/>
    </row>
    <row r="541" spans="1:32" x14ac:dyDescent="0.3">
      <c r="A541" s="118"/>
      <c r="C541" s="118"/>
      <c r="E541" s="118"/>
      <c r="G541" s="118"/>
      <c r="I541" s="118"/>
      <c r="K541" s="118"/>
      <c r="M541" s="118"/>
      <c r="O541" s="118"/>
      <c r="P541" s="119"/>
      <c r="S541" s="118"/>
      <c r="U541" s="118"/>
      <c r="W541" s="118"/>
      <c r="Y541" s="118"/>
      <c r="AA541" s="118"/>
      <c r="AC541" s="118"/>
      <c r="AE541" s="118"/>
      <c r="AF541" s="119"/>
    </row>
    <row r="542" spans="1:32" x14ac:dyDescent="0.3">
      <c r="A542" s="118"/>
      <c r="C542" s="118"/>
      <c r="E542" s="118"/>
      <c r="G542" s="118"/>
      <c r="I542" s="118"/>
      <c r="K542" s="118"/>
      <c r="M542" s="118"/>
      <c r="O542" s="118"/>
      <c r="P542" s="119"/>
      <c r="S542" s="118"/>
      <c r="U542" s="118"/>
      <c r="W542" s="118"/>
      <c r="Y542" s="118"/>
      <c r="AA542" s="118"/>
      <c r="AC542" s="118"/>
      <c r="AE542" s="118"/>
      <c r="AF542" s="119"/>
    </row>
    <row r="543" spans="1:32" x14ac:dyDescent="0.3">
      <c r="A543" s="118"/>
      <c r="C543" s="118"/>
      <c r="E543" s="118"/>
      <c r="G543" s="118"/>
      <c r="I543" s="118"/>
      <c r="K543" s="118"/>
      <c r="M543" s="118"/>
      <c r="O543" s="118"/>
      <c r="P543" s="119"/>
      <c r="S543" s="118"/>
      <c r="U543" s="118"/>
      <c r="W543" s="118"/>
      <c r="Y543" s="118"/>
      <c r="AA543" s="118"/>
      <c r="AC543" s="118"/>
      <c r="AE543" s="118"/>
      <c r="AF543" s="119"/>
    </row>
    <row r="544" spans="1:32" x14ac:dyDescent="0.3">
      <c r="A544" s="118"/>
      <c r="C544" s="118"/>
      <c r="E544" s="118"/>
      <c r="G544" s="118"/>
      <c r="I544" s="118"/>
      <c r="K544" s="118"/>
      <c r="M544" s="118"/>
      <c r="O544" s="118"/>
      <c r="P544" s="119"/>
      <c r="S544" s="118"/>
      <c r="U544" s="118"/>
      <c r="W544" s="118"/>
      <c r="Y544" s="118"/>
      <c r="AA544" s="118"/>
      <c r="AC544" s="118"/>
      <c r="AE544" s="118"/>
      <c r="AF544" s="119"/>
    </row>
    <row r="545" spans="1:32" x14ac:dyDescent="0.3">
      <c r="A545" s="118"/>
      <c r="C545" s="118"/>
      <c r="E545" s="118"/>
      <c r="G545" s="118"/>
      <c r="I545" s="118"/>
      <c r="K545" s="118"/>
      <c r="M545" s="118"/>
      <c r="O545" s="118"/>
      <c r="P545" s="119"/>
      <c r="S545" s="118"/>
      <c r="U545" s="118"/>
      <c r="W545" s="118"/>
      <c r="Y545" s="118"/>
      <c r="AA545" s="118"/>
      <c r="AC545" s="118"/>
      <c r="AE545" s="118"/>
      <c r="AF545" s="119"/>
    </row>
    <row r="546" spans="1:32" x14ac:dyDescent="0.3">
      <c r="A546" s="118"/>
      <c r="C546" s="118"/>
      <c r="E546" s="118"/>
      <c r="G546" s="118"/>
      <c r="I546" s="118"/>
      <c r="K546" s="118"/>
      <c r="M546" s="118"/>
      <c r="O546" s="118"/>
      <c r="P546" s="119"/>
      <c r="S546" s="118"/>
      <c r="U546" s="118"/>
      <c r="W546" s="118"/>
      <c r="Y546" s="118"/>
      <c r="AA546" s="118"/>
      <c r="AC546" s="118"/>
      <c r="AE546" s="118"/>
      <c r="AF546" s="119"/>
    </row>
    <row r="547" spans="1:32" x14ac:dyDescent="0.3">
      <c r="A547" s="118"/>
      <c r="C547" s="118"/>
      <c r="E547" s="118"/>
      <c r="G547" s="118"/>
      <c r="I547" s="118"/>
      <c r="K547" s="118"/>
      <c r="M547" s="118"/>
      <c r="O547" s="118"/>
      <c r="P547" s="119"/>
      <c r="S547" s="118"/>
      <c r="U547" s="118"/>
      <c r="W547" s="118"/>
      <c r="Y547" s="118"/>
      <c r="AA547" s="118"/>
      <c r="AC547" s="118"/>
      <c r="AE547" s="118"/>
      <c r="AF547" s="119"/>
    </row>
    <row r="548" spans="1:32" x14ac:dyDescent="0.3">
      <c r="A548" s="118"/>
      <c r="C548" s="118"/>
      <c r="E548" s="118"/>
      <c r="G548" s="118"/>
      <c r="I548" s="118"/>
      <c r="K548" s="118"/>
      <c r="M548" s="118"/>
      <c r="O548" s="118"/>
      <c r="P548" s="119"/>
      <c r="S548" s="118"/>
      <c r="U548" s="118"/>
      <c r="W548" s="118"/>
      <c r="Y548" s="118"/>
      <c r="AA548" s="118"/>
      <c r="AC548" s="118"/>
      <c r="AE548" s="118"/>
      <c r="AF548" s="119"/>
    </row>
    <row r="549" spans="1:32" x14ac:dyDescent="0.3">
      <c r="A549" s="118"/>
      <c r="C549" s="118"/>
      <c r="E549" s="118"/>
      <c r="G549" s="118"/>
      <c r="I549" s="118"/>
      <c r="K549" s="118"/>
      <c r="M549" s="118"/>
      <c r="O549" s="118"/>
      <c r="P549" s="119"/>
      <c r="S549" s="118"/>
      <c r="U549" s="118"/>
      <c r="W549" s="118"/>
      <c r="Y549" s="118"/>
      <c r="AA549" s="118"/>
      <c r="AC549" s="118"/>
      <c r="AE549" s="118"/>
      <c r="AF549" s="119"/>
    </row>
    <row r="550" spans="1:32" x14ac:dyDescent="0.3">
      <c r="A550" s="118"/>
      <c r="C550" s="118"/>
      <c r="E550" s="118"/>
      <c r="G550" s="118"/>
      <c r="I550" s="118"/>
      <c r="K550" s="118"/>
      <c r="M550" s="118"/>
      <c r="O550" s="118"/>
      <c r="P550" s="119"/>
      <c r="S550" s="118"/>
      <c r="U550" s="118"/>
      <c r="W550" s="118"/>
      <c r="Y550" s="118"/>
      <c r="AA550" s="118"/>
      <c r="AC550" s="118"/>
      <c r="AE550" s="118"/>
      <c r="AF550" s="119"/>
    </row>
    <row r="551" spans="1:32" x14ac:dyDescent="0.3">
      <c r="A551" s="118"/>
      <c r="C551" s="118"/>
      <c r="E551" s="118"/>
      <c r="G551" s="118"/>
      <c r="I551" s="118"/>
      <c r="K551" s="118"/>
      <c r="M551" s="118"/>
      <c r="O551" s="118"/>
      <c r="P551" s="119"/>
      <c r="S551" s="118"/>
      <c r="U551" s="118"/>
      <c r="W551" s="118"/>
      <c r="Y551" s="118"/>
      <c r="AA551" s="118"/>
      <c r="AC551" s="118"/>
      <c r="AE551" s="118"/>
      <c r="AF551" s="119"/>
    </row>
    <row r="552" spans="1:32" x14ac:dyDescent="0.3">
      <c r="A552" s="118"/>
      <c r="C552" s="118"/>
      <c r="E552" s="118"/>
      <c r="G552" s="118"/>
      <c r="I552" s="118"/>
      <c r="K552" s="118"/>
      <c r="M552" s="118"/>
      <c r="O552" s="118"/>
      <c r="P552" s="119"/>
      <c r="S552" s="118"/>
      <c r="U552" s="118"/>
      <c r="W552" s="118"/>
      <c r="Y552" s="118"/>
      <c r="AA552" s="118"/>
      <c r="AC552" s="118"/>
      <c r="AE552" s="118"/>
      <c r="AF552" s="119"/>
    </row>
    <row r="553" spans="1:32" x14ac:dyDescent="0.3">
      <c r="A553" s="118"/>
      <c r="C553" s="118"/>
      <c r="E553" s="118"/>
      <c r="G553" s="118"/>
      <c r="I553" s="118"/>
      <c r="K553" s="118"/>
      <c r="M553" s="118"/>
      <c r="O553" s="118"/>
      <c r="P553" s="119"/>
      <c r="S553" s="118"/>
      <c r="U553" s="118"/>
      <c r="W553" s="118"/>
      <c r="Y553" s="118"/>
      <c r="AA553" s="118"/>
      <c r="AC553" s="118"/>
      <c r="AE553" s="118"/>
      <c r="AF553" s="119"/>
    </row>
    <row r="554" spans="1:32" x14ac:dyDescent="0.3">
      <c r="A554" s="118"/>
      <c r="C554" s="118"/>
      <c r="E554" s="118"/>
      <c r="G554" s="118"/>
      <c r="I554" s="118"/>
      <c r="K554" s="118"/>
      <c r="M554" s="118"/>
      <c r="O554" s="118"/>
      <c r="P554" s="119"/>
      <c r="S554" s="118"/>
      <c r="U554" s="118"/>
      <c r="W554" s="118"/>
      <c r="Y554" s="118"/>
      <c r="AA554" s="118"/>
      <c r="AC554" s="118"/>
      <c r="AE554" s="118"/>
      <c r="AF554" s="119"/>
    </row>
    <row r="555" spans="1:32" x14ac:dyDescent="0.3">
      <c r="A555" s="118"/>
      <c r="C555" s="118"/>
      <c r="E555" s="118"/>
      <c r="G555" s="118"/>
      <c r="I555" s="118"/>
      <c r="K555" s="118"/>
      <c r="M555" s="118"/>
      <c r="O555" s="118"/>
      <c r="P555" s="119"/>
      <c r="S555" s="118"/>
      <c r="U555" s="118"/>
      <c r="W555" s="118"/>
      <c r="Y555" s="118"/>
      <c r="AA555" s="118"/>
      <c r="AC555" s="118"/>
      <c r="AE555" s="118"/>
      <c r="AF555" s="119"/>
    </row>
    <row r="556" spans="1:32" x14ac:dyDescent="0.3">
      <c r="A556" s="118"/>
      <c r="C556" s="118"/>
      <c r="E556" s="118"/>
      <c r="G556" s="118"/>
      <c r="I556" s="118"/>
      <c r="K556" s="118"/>
      <c r="M556" s="118"/>
      <c r="O556" s="118"/>
      <c r="P556" s="119"/>
      <c r="S556" s="118"/>
      <c r="U556" s="118"/>
      <c r="W556" s="118"/>
      <c r="Y556" s="118"/>
      <c r="AA556" s="118"/>
      <c r="AC556" s="118"/>
      <c r="AE556" s="118"/>
      <c r="AF556" s="119"/>
    </row>
    <row r="557" spans="1:32" x14ac:dyDescent="0.3">
      <c r="A557" s="118"/>
      <c r="C557" s="118"/>
      <c r="E557" s="118"/>
      <c r="G557" s="118"/>
      <c r="I557" s="118"/>
      <c r="K557" s="118"/>
      <c r="M557" s="118"/>
      <c r="O557" s="118"/>
      <c r="P557" s="119"/>
      <c r="S557" s="118"/>
      <c r="U557" s="118"/>
      <c r="W557" s="118"/>
      <c r="Y557" s="118"/>
      <c r="AA557" s="118"/>
      <c r="AC557" s="118"/>
      <c r="AE557" s="118"/>
      <c r="AF557" s="119"/>
    </row>
    <row r="558" spans="1:32" x14ac:dyDescent="0.3">
      <c r="A558" s="118"/>
      <c r="C558" s="118"/>
      <c r="E558" s="118"/>
      <c r="G558" s="118"/>
      <c r="I558" s="118"/>
      <c r="K558" s="118"/>
      <c r="M558" s="118"/>
      <c r="O558" s="118"/>
      <c r="P558" s="119"/>
      <c r="S558" s="118"/>
      <c r="U558" s="118"/>
      <c r="W558" s="118"/>
      <c r="Y558" s="118"/>
      <c r="AA558" s="118"/>
      <c r="AC558" s="118"/>
      <c r="AE558" s="118"/>
      <c r="AF558" s="119"/>
    </row>
    <row r="559" spans="1:32" x14ac:dyDescent="0.3">
      <c r="A559" s="118"/>
      <c r="C559" s="118"/>
      <c r="E559" s="118"/>
      <c r="G559" s="118"/>
      <c r="I559" s="118"/>
      <c r="K559" s="118"/>
      <c r="M559" s="118"/>
      <c r="O559" s="118"/>
      <c r="P559" s="119"/>
      <c r="S559" s="118"/>
      <c r="U559" s="118"/>
      <c r="W559" s="118"/>
      <c r="Y559" s="118"/>
      <c r="AA559" s="118"/>
      <c r="AC559" s="118"/>
      <c r="AE559" s="118"/>
      <c r="AF559" s="119"/>
    </row>
    <row r="560" spans="1:32" x14ac:dyDescent="0.3">
      <c r="A560" s="118"/>
      <c r="C560" s="118"/>
      <c r="E560" s="118"/>
      <c r="G560" s="118"/>
      <c r="I560" s="118"/>
      <c r="K560" s="118"/>
      <c r="M560" s="118"/>
      <c r="O560" s="118"/>
      <c r="P560" s="119"/>
      <c r="S560" s="118"/>
      <c r="U560" s="118"/>
      <c r="W560" s="118"/>
      <c r="Y560" s="118"/>
      <c r="AA560" s="118"/>
      <c r="AC560" s="118"/>
      <c r="AE560" s="118"/>
      <c r="AF560" s="119"/>
    </row>
    <row r="561" spans="1:32" x14ac:dyDescent="0.3">
      <c r="A561" s="118"/>
      <c r="C561" s="118"/>
      <c r="E561" s="118"/>
      <c r="G561" s="118"/>
      <c r="I561" s="118"/>
      <c r="K561" s="118"/>
      <c r="M561" s="118"/>
      <c r="O561" s="118"/>
      <c r="P561" s="119"/>
      <c r="S561" s="118"/>
      <c r="U561" s="118"/>
      <c r="W561" s="118"/>
      <c r="Y561" s="118"/>
      <c r="AA561" s="118"/>
      <c r="AC561" s="118"/>
      <c r="AE561" s="118"/>
      <c r="AF561" s="119"/>
    </row>
    <row r="562" spans="1:32" x14ac:dyDescent="0.3">
      <c r="A562" s="118"/>
      <c r="C562" s="118"/>
      <c r="E562" s="118"/>
      <c r="G562" s="118"/>
      <c r="I562" s="118"/>
      <c r="K562" s="118"/>
      <c r="M562" s="118"/>
      <c r="O562" s="118"/>
      <c r="P562" s="119"/>
      <c r="S562" s="118"/>
      <c r="U562" s="118"/>
      <c r="W562" s="118"/>
      <c r="Y562" s="118"/>
      <c r="AA562" s="118"/>
      <c r="AC562" s="118"/>
      <c r="AE562" s="118"/>
      <c r="AF562" s="119"/>
    </row>
    <row r="563" spans="1:32" x14ac:dyDescent="0.3">
      <c r="A563" s="118"/>
      <c r="C563" s="118"/>
      <c r="E563" s="118"/>
      <c r="G563" s="118"/>
      <c r="I563" s="118"/>
      <c r="K563" s="118"/>
      <c r="M563" s="118"/>
      <c r="O563" s="118"/>
      <c r="P563" s="119"/>
      <c r="S563" s="118"/>
      <c r="U563" s="118"/>
      <c r="W563" s="118"/>
      <c r="Y563" s="118"/>
      <c r="AA563" s="118"/>
      <c r="AC563" s="118"/>
      <c r="AE563" s="118"/>
      <c r="AF563" s="119"/>
    </row>
    <row r="564" spans="1:32" x14ac:dyDescent="0.3">
      <c r="A564" s="118"/>
      <c r="C564" s="118"/>
      <c r="E564" s="118"/>
      <c r="G564" s="118"/>
      <c r="I564" s="118"/>
      <c r="K564" s="118"/>
      <c r="M564" s="118"/>
      <c r="O564" s="118"/>
      <c r="P564" s="119"/>
      <c r="S564" s="118"/>
      <c r="U564" s="118"/>
      <c r="W564" s="118"/>
      <c r="Y564" s="118"/>
      <c r="AA564" s="118"/>
      <c r="AC564" s="118"/>
      <c r="AE564" s="118"/>
      <c r="AF564" s="119"/>
    </row>
    <row r="565" spans="1:32" x14ac:dyDescent="0.3">
      <c r="A565" s="118"/>
      <c r="C565" s="118"/>
      <c r="E565" s="118"/>
      <c r="G565" s="118"/>
      <c r="I565" s="118"/>
      <c r="K565" s="118"/>
      <c r="M565" s="118"/>
      <c r="O565" s="118"/>
      <c r="P565" s="119"/>
      <c r="S565" s="118"/>
      <c r="U565" s="118"/>
      <c r="W565" s="118"/>
      <c r="Y565" s="118"/>
      <c r="AA565" s="118"/>
      <c r="AC565" s="118"/>
      <c r="AE565" s="118"/>
      <c r="AF565" s="119"/>
    </row>
    <row r="566" spans="1:32" x14ac:dyDescent="0.3">
      <c r="A566" s="118"/>
      <c r="C566" s="118"/>
      <c r="E566" s="118"/>
      <c r="G566" s="118"/>
      <c r="I566" s="118"/>
      <c r="K566" s="118"/>
      <c r="M566" s="118"/>
      <c r="O566" s="118"/>
      <c r="P566" s="119"/>
      <c r="S566" s="118"/>
      <c r="U566" s="118"/>
      <c r="W566" s="118"/>
      <c r="Y566" s="118"/>
      <c r="AA566" s="118"/>
      <c r="AC566" s="118"/>
      <c r="AE566" s="118"/>
      <c r="AF566" s="119"/>
    </row>
    <row r="567" spans="1:32" x14ac:dyDescent="0.3">
      <c r="A567" s="118"/>
      <c r="C567" s="118"/>
      <c r="E567" s="118"/>
      <c r="G567" s="118"/>
      <c r="I567" s="118"/>
      <c r="K567" s="118"/>
      <c r="M567" s="118"/>
      <c r="O567" s="118"/>
      <c r="P567" s="119"/>
      <c r="S567" s="118"/>
      <c r="U567" s="118"/>
      <c r="W567" s="118"/>
      <c r="Y567" s="118"/>
      <c r="AA567" s="118"/>
      <c r="AC567" s="118"/>
      <c r="AE567" s="118"/>
      <c r="AF567" s="119"/>
    </row>
    <row r="568" spans="1:32" x14ac:dyDescent="0.3">
      <c r="A568" s="118"/>
      <c r="C568" s="118"/>
      <c r="E568" s="118"/>
      <c r="G568" s="118"/>
      <c r="I568" s="118"/>
      <c r="K568" s="118"/>
      <c r="M568" s="118"/>
      <c r="O568" s="118"/>
      <c r="P568" s="119"/>
      <c r="S568" s="118"/>
      <c r="U568" s="118"/>
      <c r="W568" s="118"/>
      <c r="Y568" s="118"/>
      <c r="AA568" s="118"/>
      <c r="AC568" s="118"/>
      <c r="AE568" s="118"/>
      <c r="AF568" s="119"/>
    </row>
    <row r="569" spans="1:32" x14ac:dyDescent="0.3">
      <c r="A569" s="118"/>
      <c r="C569" s="118"/>
      <c r="E569" s="118"/>
      <c r="G569" s="118"/>
      <c r="I569" s="118"/>
      <c r="K569" s="118"/>
      <c r="M569" s="118"/>
      <c r="O569" s="118"/>
      <c r="P569" s="119"/>
      <c r="S569" s="118"/>
      <c r="U569" s="118"/>
      <c r="W569" s="118"/>
      <c r="Y569" s="118"/>
      <c r="AA569" s="118"/>
      <c r="AC569" s="118"/>
      <c r="AE569" s="118"/>
      <c r="AF569" s="119"/>
    </row>
    <row r="570" spans="1:32" x14ac:dyDescent="0.3">
      <c r="A570" s="118"/>
      <c r="C570" s="118"/>
      <c r="E570" s="118"/>
      <c r="G570" s="118"/>
      <c r="I570" s="118"/>
      <c r="K570" s="118"/>
      <c r="M570" s="118"/>
      <c r="O570" s="118"/>
      <c r="P570" s="119"/>
      <c r="S570" s="118"/>
      <c r="U570" s="118"/>
      <c r="W570" s="118"/>
      <c r="Y570" s="118"/>
      <c r="AA570" s="118"/>
      <c r="AC570" s="118"/>
      <c r="AE570" s="118"/>
      <c r="AF570" s="119"/>
    </row>
    <row r="571" spans="1:32" x14ac:dyDescent="0.3">
      <c r="A571" s="118"/>
      <c r="C571" s="118"/>
      <c r="E571" s="118"/>
      <c r="G571" s="118"/>
      <c r="I571" s="118"/>
      <c r="K571" s="118"/>
      <c r="M571" s="118"/>
      <c r="O571" s="118"/>
      <c r="P571" s="119"/>
      <c r="S571" s="118"/>
      <c r="U571" s="118"/>
      <c r="W571" s="118"/>
      <c r="Y571" s="118"/>
      <c r="AA571" s="118"/>
      <c r="AC571" s="118"/>
      <c r="AE571" s="118"/>
      <c r="AF571" s="119"/>
    </row>
    <row r="572" spans="1:32" x14ac:dyDescent="0.3">
      <c r="A572" s="118"/>
      <c r="C572" s="118"/>
      <c r="E572" s="118"/>
      <c r="G572" s="118"/>
      <c r="I572" s="118"/>
      <c r="K572" s="118"/>
      <c r="M572" s="118"/>
      <c r="O572" s="118"/>
      <c r="P572" s="119"/>
      <c r="S572" s="118"/>
      <c r="U572" s="118"/>
      <c r="W572" s="118"/>
      <c r="Y572" s="118"/>
      <c r="AA572" s="118"/>
      <c r="AC572" s="118"/>
      <c r="AE572" s="118"/>
      <c r="AF572" s="119"/>
    </row>
    <row r="573" spans="1:32" x14ac:dyDescent="0.3">
      <c r="A573" s="118"/>
      <c r="C573" s="118"/>
      <c r="E573" s="118"/>
      <c r="G573" s="118"/>
      <c r="I573" s="118"/>
      <c r="K573" s="118"/>
      <c r="M573" s="118"/>
      <c r="O573" s="118"/>
      <c r="P573" s="119"/>
      <c r="S573" s="118"/>
      <c r="U573" s="118"/>
      <c r="W573" s="118"/>
      <c r="Y573" s="118"/>
      <c r="AA573" s="118"/>
      <c r="AC573" s="118"/>
      <c r="AE573" s="118"/>
      <c r="AF573" s="119"/>
    </row>
    <row r="574" spans="1:32" x14ac:dyDescent="0.3">
      <c r="A574" s="118"/>
      <c r="C574" s="118"/>
      <c r="E574" s="118"/>
      <c r="G574" s="118"/>
      <c r="I574" s="118"/>
      <c r="K574" s="118"/>
      <c r="M574" s="118"/>
      <c r="O574" s="118"/>
      <c r="P574" s="119"/>
      <c r="S574" s="118"/>
      <c r="U574" s="118"/>
      <c r="W574" s="118"/>
      <c r="Y574" s="118"/>
      <c r="AA574" s="118"/>
      <c r="AC574" s="118"/>
      <c r="AE574" s="118"/>
      <c r="AF574" s="119"/>
    </row>
    <row r="575" spans="1:32" x14ac:dyDescent="0.3">
      <c r="A575" s="118"/>
      <c r="C575" s="118"/>
      <c r="E575" s="118"/>
      <c r="G575" s="118"/>
      <c r="I575" s="118"/>
      <c r="K575" s="118"/>
      <c r="M575" s="118"/>
      <c r="O575" s="118"/>
      <c r="P575" s="119"/>
      <c r="S575" s="118"/>
      <c r="U575" s="118"/>
      <c r="W575" s="118"/>
      <c r="Y575" s="118"/>
      <c r="AA575" s="118"/>
      <c r="AC575" s="118"/>
      <c r="AE575" s="118"/>
      <c r="AF575" s="119"/>
    </row>
    <row r="576" spans="1:32" x14ac:dyDescent="0.3">
      <c r="A576" s="118"/>
      <c r="C576" s="118"/>
      <c r="E576" s="118"/>
      <c r="G576" s="118"/>
      <c r="I576" s="118"/>
      <c r="K576" s="118"/>
      <c r="M576" s="118"/>
      <c r="O576" s="118"/>
      <c r="P576" s="119"/>
      <c r="S576" s="118"/>
      <c r="U576" s="118"/>
      <c r="W576" s="118"/>
      <c r="Y576" s="118"/>
      <c r="AA576" s="118"/>
      <c r="AC576" s="118"/>
      <c r="AE576" s="118"/>
      <c r="AF576" s="119"/>
    </row>
    <row r="577" spans="1:32" x14ac:dyDescent="0.3">
      <c r="A577" s="118"/>
      <c r="C577" s="118"/>
      <c r="E577" s="118"/>
      <c r="G577" s="118"/>
      <c r="I577" s="118"/>
      <c r="K577" s="118"/>
      <c r="M577" s="118"/>
      <c r="O577" s="118"/>
      <c r="P577" s="119"/>
      <c r="S577" s="118"/>
      <c r="U577" s="118"/>
      <c r="W577" s="118"/>
      <c r="Y577" s="118"/>
      <c r="AA577" s="118"/>
      <c r="AC577" s="118"/>
      <c r="AE577" s="118"/>
      <c r="AF577" s="119"/>
    </row>
    <row r="578" spans="1:32" x14ac:dyDescent="0.3">
      <c r="A578" s="118"/>
      <c r="C578" s="118"/>
      <c r="E578" s="118"/>
      <c r="G578" s="118"/>
      <c r="I578" s="118"/>
      <c r="K578" s="118"/>
      <c r="M578" s="118"/>
      <c r="O578" s="118"/>
      <c r="P578" s="119"/>
      <c r="S578" s="118"/>
      <c r="U578" s="118"/>
      <c r="W578" s="118"/>
      <c r="Y578" s="118"/>
      <c r="AA578" s="118"/>
      <c r="AC578" s="118"/>
      <c r="AE578" s="118"/>
      <c r="AF578" s="119"/>
    </row>
    <row r="579" spans="1:32" x14ac:dyDescent="0.3">
      <c r="A579" s="118"/>
      <c r="C579" s="118"/>
      <c r="E579" s="118"/>
      <c r="G579" s="118"/>
      <c r="I579" s="118"/>
      <c r="K579" s="118"/>
      <c r="M579" s="118"/>
      <c r="O579" s="118"/>
      <c r="P579" s="119"/>
      <c r="S579" s="118"/>
      <c r="U579" s="118"/>
      <c r="W579" s="118"/>
      <c r="Y579" s="118"/>
      <c r="AA579" s="118"/>
      <c r="AC579" s="118"/>
      <c r="AE579" s="118"/>
      <c r="AF579" s="119"/>
    </row>
    <row r="580" spans="1:32" x14ac:dyDescent="0.3">
      <c r="A580" s="118"/>
      <c r="C580" s="118"/>
      <c r="E580" s="118"/>
      <c r="G580" s="118"/>
      <c r="I580" s="118"/>
      <c r="K580" s="118"/>
      <c r="M580" s="118"/>
      <c r="O580" s="118"/>
      <c r="P580" s="119"/>
      <c r="S580" s="118"/>
      <c r="U580" s="118"/>
      <c r="W580" s="118"/>
      <c r="Y580" s="118"/>
      <c r="AA580" s="118"/>
      <c r="AC580" s="118"/>
      <c r="AE580" s="118"/>
      <c r="AF580" s="119"/>
    </row>
    <row r="581" spans="1:32" x14ac:dyDescent="0.3">
      <c r="A581" s="118"/>
      <c r="C581" s="118"/>
      <c r="E581" s="118"/>
      <c r="G581" s="118"/>
      <c r="I581" s="118"/>
      <c r="K581" s="118"/>
      <c r="M581" s="118"/>
      <c r="O581" s="118"/>
      <c r="P581" s="119"/>
      <c r="S581" s="118"/>
      <c r="U581" s="118"/>
      <c r="W581" s="118"/>
      <c r="Y581" s="118"/>
      <c r="AA581" s="118"/>
      <c r="AC581" s="118"/>
      <c r="AE581" s="118"/>
      <c r="AF581" s="119"/>
    </row>
    <row r="582" spans="1:32" x14ac:dyDescent="0.3">
      <c r="A582" s="118"/>
      <c r="C582" s="118"/>
      <c r="E582" s="118"/>
      <c r="G582" s="118"/>
      <c r="I582" s="118"/>
      <c r="K582" s="118"/>
      <c r="M582" s="118"/>
      <c r="O582" s="118"/>
      <c r="P582" s="119"/>
      <c r="S582" s="118"/>
      <c r="U582" s="118"/>
      <c r="W582" s="118"/>
      <c r="Y582" s="118"/>
      <c r="AA582" s="118"/>
      <c r="AC582" s="118"/>
      <c r="AE582" s="118"/>
      <c r="AF582" s="119"/>
    </row>
    <row r="583" spans="1:32" x14ac:dyDescent="0.3">
      <c r="A583" s="118"/>
      <c r="C583" s="118"/>
      <c r="E583" s="118"/>
      <c r="G583" s="118"/>
      <c r="I583" s="118"/>
      <c r="K583" s="118"/>
      <c r="M583" s="118"/>
      <c r="O583" s="118"/>
      <c r="P583" s="119"/>
      <c r="S583" s="118"/>
      <c r="U583" s="118"/>
      <c r="W583" s="118"/>
      <c r="Y583" s="118"/>
      <c r="AA583" s="118"/>
      <c r="AC583" s="118"/>
      <c r="AE583" s="118"/>
      <c r="AF583" s="119"/>
    </row>
    <row r="584" spans="1:32" x14ac:dyDescent="0.3">
      <c r="A584" s="118"/>
      <c r="C584" s="118"/>
      <c r="E584" s="118"/>
      <c r="G584" s="118"/>
      <c r="I584" s="118"/>
      <c r="K584" s="118"/>
      <c r="M584" s="118"/>
      <c r="O584" s="118"/>
      <c r="P584" s="119"/>
      <c r="S584" s="118"/>
      <c r="U584" s="118"/>
      <c r="W584" s="118"/>
      <c r="Y584" s="118"/>
      <c r="AA584" s="118"/>
      <c r="AC584" s="118"/>
      <c r="AE584" s="118"/>
      <c r="AF584" s="119"/>
    </row>
    <row r="585" spans="1:32" x14ac:dyDescent="0.3">
      <c r="A585" s="118"/>
      <c r="C585" s="118"/>
      <c r="E585" s="118"/>
      <c r="G585" s="118"/>
      <c r="I585" s="118"/>
      <c r="K585" s="118"/>
      <c r="M585" s="118"/>
      <c r="O585" s="118"/>
      <c r="P585" s="119"/>
      <c r="S585" s="118"/>
      <c r="U585" s="118"/>
      <c r="W585" s="118"/>
      <c r="Y585" s="118"/>
      <c r="AA585" s="118"/>
      <c r="AC585" s="118"/>
      <c r="AE585" s="118"/>
      <c r="AF585" s="119"/>
    </row>
    <row r="586" spans="1:32" x14ac:dyDescent="0.3">
      <c r="A586" s="118"/>
      <c r="C586" s="118"/>
      <c r="E586" s="118"/>
      <c r="G586" s="118"/>
      <c r="I586" s="118"/>
      <c r="K586" s="118"/>
      <c r="M586" s="118"/>
      <c r="O586" s="118"/>
      <c r="P586" s="119"/>
      <c r="S586" s="118"/>
      <c r="U586" s="118"/>
      <c r="W586" s="118"/>
      <c r="Y586" s="118"/>
      <c r="AA586" s="118"/>
      <c r="AC586" s="118"/>
      <c r="AE586" s="118"/>
      <c r="AF586" s="119"/>
    </row>
    <row r="587" spans="1:32" x14ac:dyDescent="0.3">
      <c r="A587" s="118"/>
      <c r="C587" s="118"/>
      <c r="E587" s="118"/>
      <c r="G587" s="118"/>
      <c r="I587" s="118"/>
      <c r="K587" s="118"/>
      <c r="M587" s="118"/>
      <c r="O587" s="118"/>
      <c r="P587" s="119"/>
      <c r="S587" s="118"/>
      <c r="U587" s="118"/>
      <c r="W587" s="118"/>
      <c r="Y587" s="118"/>
      <c r="AA587" s="118"/>
      <c r="AC587" s="118"/>
      <c r="AE587" s="118"/>
      <c r="AF587" s="119"/>
    </row>
    <row r="588" spans="1:32" x14ac:dyDescent="0.3">
      <c r="A588" s="118"/>
      <c r="C588" s="118"/>
      <c r="E588" s="118"/>
      <c r="G588" s="118"/>
      <c r="I588" s="118"/>
      <c r="K588" s="118"/>
      <c r="M588" s="118"/>
      <c r="O588" s="118"/>
      <c r="P588" s="119"/>
      <c r="S588" s="118"/>
      <c r="U588" s="118"/>
      <c r="W588" s="118"/>
      <c r="Y588" s="118"/>
      <c r="AA588" s="118"/>
      <c r="AC588" s="118"/>
      <c r="AE588" s="118"/>
      <c r="AF588" s="119"/>
    </row>
    <row r="589" spans="1:32" x14ac:dyDescent="0.3">
      <c r="A589" s="118"/>
      <c r="C589" s="118"/>
      <c r="E589" s="118"/>
      <c r="G589" s="118"/>
      <c r="I589" s="118"/>
      <c r="K589" s="118"/>
      <c r="M589" s="118"/>
      <c r="O589" s="118"/>
      <c r="P589" s="119"/>
      <c r="S589" s="118"/>
      <c r="U589" s="118"/>
      <c r="W589" s="118"/>
      <c r="Y589" s="118"/>
      <c r="AA589" s="118"/>
      <c r="AC589" s="118"/>
      <c r="AE589" s="118"/>
      <c r="AF589" s="119"/>
    </row>
    <row r="590" spans="1:32" x14ac:dyDescent="0.3">
      <c r="A590" s="118"/>
      <c r="C590" s="118"/>
      <c r="E590" s="118"/>
      <c r="G590" s="118"/>
      <c r="I590" s="118"/>
      <c r="K590" s="118"/>
      <c r="M590" s="118"/>
      <c r="O590" s="118"/>
      <c r="P590" s="119"/>
      <c r="S590" s="118"/>
      <c r="U590" s="118"/>
      <c r="W590" s="118"/>
      <c r="Y590" s="118"/>
      <c r="AA590" s="118"/>
      <c r="AC590" s="118"/>
      <c r="AE590" s="118"/>
      <c r="AF590" s="119"/>
    </row>
    <row r="591" spans="1:32" x14ac:dyDescent="0.3">
      <c r="A591" s="118"/>
      <c r="C591" s="118"/>
      <c r="E591" s="118"/>
      <c r="G591" s="118"/>
      <c r="I591" s="118"/>
      <c r="K591" s="118"/>
      <c r="M591" s="118"/>
      <c r="O591" s="118"/>
      <c r="P591" s="119"/>
      <c r="S591" s="118"/>
      <c r="U591" s="118"/>
      <c r="W591" s="118"/>
      <c r="Y591" s="118"/>
      <c r="AA591" s="118"/>
      <c r="AC591" s="118"/>
      <c r="AE591" s="118"/>
      <c r="AF591" s="119"/>
    </row>
    <row r="592" spans="1:32" x14ac:dyDescent="0.3">
      <c r="A592" s="118"/>
      <c r="C592" s="118"/>
      <c r="E592" s="118"/>
      <c r="G592" s="118"/>
      <c r="I592" s="118"/>
      <c r="K592" s="118"/>
      <c r="M592" s="118"/>
      <c r="O592" s="118"/>
      <c r="P592" s="119"/>
      <c r="S592" s="118"/>
      <c r="U592" s="118"/>
      <c r="W592" s="118"/>
      <c r="Y592" s="118"/>
      <c r="AA592" s="118"/>
      <c r="AC592" s="118"/>
      <c r="AE592" s="118"/>
      <c r="AF592" s="119"/>
    </row>
    <row r="593" spans="1:32" x14ac:dyDescent="0.3">
      <c r="A593" s="118"/>
      <c r="C593" s="118"/>
      <c r="E593" s="118"/>
      <c r="G593" s="118"/>
      <c r="I593" s="118"/>
      <c r="K593" s="118"/>
      <c r="M593" s="118"/>
      <c r="O593" s="118"/>
      <c r="P593" s="119"/>
      <c r="S593" s="118"/>
      <c r="U593" s="118"/>
      <c r="W593" s="118"/>
      <c r="Y593" s="118"/>
      <c r="AA593" s="118"/>
      <c r="AC593" s="118"/>
      <c r="AE593" s="118"/>
      <c r="AF593" s="119"/>
    </row>
    <row r="594" spans="1:32" x14ac:dyDescent="0.3">
      <c r="A594" s="118"/>
      <c r="C594" s="118"/>
      <c r="E594" s="118"/>
      <c r="G594" s="118"/>
      <c r="I594" s="118"/>
      <c r="K594" s="118"/>
      <c r="M594" s="118"/>
      <c r="O594" s="118"/>
      <c r="P594" s="119"/>
      <c r="S594" s="118"/>
      <c r="U594" s="118"/>
      <c r="W594" s="118"/>
      <c r="Y594" s="118"/>
      <c r="AA594" s="118"/>
      <c r="AC594" s="118"/>
      <c r="AE594" s="118"/>
      <c r="AF594" s="119"/>
    </row>
    <row r="595" spans="1:32" x14ac:dyDescent="0.3">
      <c r="A595" s="118"/>
      <c r="C595" s="118"/>
      <c r="E595" s="118"/>
      <c r="G595" s="118"/>
      <c r="I595" s="118"/>
      <c r="K595" s="118"/>
      <c r="M595" s="118"/>
      <c r="O595" s="118"/>
      <c r="P595" s="119"/>
      <c r="S595" s="118"/>
      <c r="U595" s="118"/>
      <c r="W595" s="118"/>
      <c r="Y595" s="118"/>
      <c r="AA595" s="118"/>
      <c r="AC595" s="118"/>
      <c r="AE595" s="118"/>
      <c r="AF595" s="119"/>
    </row>
    <row r="596" spans="1:32" x14ac:dyDescent="0.3">
      <c r="A596" s="118"/>
      <c r="C596" s="118"/>
      <c r="E596" s="118"/>
      <c r="G596" s="118"/>
      <c r="I596" s="118"/>
      <c r="K596" s="118"/>
      <c r="M596" s="118"/>
      <c r="O596" s="118"/>
      <c r="P596" s="119"/>
      <c r="S596" s="118"/>
      <c r="U596" s="118"/>
      <c r="W596" s="118"/>
      <c r="Y596" s="118"/>
      <c r="AA596" s="118"/>
      <c r="AC596" s="118"/>
      <c r="AE596" s="118"/>
      <c r="AF596" s="119"/>
    </row>
    <row r="597" spans="1:32" x14ac:dyDescent="0.3">
      <c r="A597" s="118"/>
      <c r="C597" s="118"/>
      <c r="E597" s="118"/>
      <c r="G597" s="118"/>
      <c r="I597" s="118"/>
      <c r="K597" s="118"/>
      <c r="M597" s="118"/>
      <c r="O597" s="118"/>
      <c r="P597" s="119"/>
      <c r="S597" s="118"/>
      <c r="U597" s="118"/>
      <c r="W597" s="118"/>
      <c r="Y597" s="118"/>
      <c r="AA597" s="118"/>
      <c r="AC597" s="118"/>
      <c r="AE597" s="118"/>
      <c r="AF597" s="119"/>
    </row>
    <row r="598" spans="1:32" x14ac:dyDescent="0.3">
      <c r="A598" s="118"/>
      <c r="C598" s="118"/>
      <c r="E598" s="118"/>
      <c r="G598" s="118"/>
      <c r="I598" s="118"/>
      <c r="K598" s="118"/>
      <c r="M598" s="118"/>
      <c r="O598" s="118"/>
      <c r="P598" s="119"/>
      <c r="S598" s="118"/>
      <c r="U598" s="118"/>
      <c r="W598" s="118"/>
      <c r="Y598" s="118"/>
      <c r="AA598" s="118"/>
      <c r="AC598" s="118"/>
      <c r="AE598" s="118"/>
      <c r="AF598" s="119"/>
    </row>
    <row r="599" spans="1:32" x14ac:dyDescent="0.3">
      <c r="A599" s="118"/>
      <c r="C599" s="118"/>
      <c r="E599" s="118"/>
      <c r="G599" s="118"/>
      <c r="I599" s="118"/>
      <c r="K599" s="118"/>
      <c r="M599" s="118"/>
      <c r="O599" s="118"/>
      <c r="P599" s="119"/>
      <c r="S599" s="118"/>
      <c r="U599" s="118"/>
      <c r="W599" s="118"/>
      <c r="Y599" s="118"/>
      <c r="AA599" s="118"/>
      <c r="AC599" s="118"/>
      <c r="AE599" s="118"/>
      <c r="AF599" s="119"/>
    </row>
    <row r="600" spans="1:32" x14ac:dyDescent="0.3">
      <c r="A600" s="118"/>
      <c r="C600" s="118"/>
      <c r="E600" s="118"/>
      <c r="G600" s="118"/>
      <c r="I600" s="118"/>
      <c r="K600" s="118"/>
      <c r="M600" s="118"/>
      <c r="O600" s="118"/>
      <c r="P600" s="119"/>
      <c r="S600" s="118"/>
      <c r="U600" s="118"/>
      <c r="W600" s="118"/>
      <c r="Y600" s="118"/>
      <c r="AA600" s="118"/>
      <c r="AC600" s="118"/>
      <c r="AE600" s="118"/>
      <c r="AF600" s="119"/>
    </row>
    <row r="601" spans="1:32" x14ac:dyDescent="0.3">
      <c r="A601" s="118"/>
      <c r="C601" s="118"/>
      <c r="E601" s="118"/>
      <c r="G601" s="118"/>
      <c r="I601" s="118"/>
      <c r="K601" s="118"/>
      <c r="M601" s="118"/>
      <c r="O601" s="118"/>
      <c r="P601" s="119"/>
      <c r="S601" s="118"/>
      <c r="U601" s="118"/>
      <c r="W601" s="118"/>
      <c r="Y601" s="118"/>
      <c r="AA601" s="118"/>
      <c r="AC601" s="118"/>
      <c r="AE601" s="118"/>
      <c r="AF601" s="119"/>
    </row>
    <row r="602" spans="1:32" x14ac:dyDescent="0.3">
      <c r="A602" s="118"/>
      <c r="C602" s="118"/>
      <c r="E602" s="118"/>
      <c r="G602" s="118"/>
      <c r="I602" s="118"/>
      <c r="K602" s="118"/>
      <c r="M602" s="118"/>
      <c r="O602" s="118"/>
      <c r="P602" s="119"/>
      <c r="S602" s="118"/>
      <c r="U602" s="118"/>
      <c r="W602" s="118"/>
      <c r="Y602" s="118"/>
      <c r="AA602" s="118"/>
      <c r="AC602" s="118"/>
      <c r="AE602" s="118"/>
      <c r="AF602" s="119"/>
    </row>
    <row r="603" spans="1:32" x14ac:dyDescent="0.3">
      <c r="A603" s="118"/>
      <c r="C603" s="118"/>
      <c r="E603" s="118"/>
      <c r="G603" s="118"/>
      <c r="I603" s="118"/>
      <c r="K603" s="118"/>
      <c r="M603" s="118"/>
      <c r="O603" s="118"/>
      <c r="P603" s="119"/>
      <c r="S603" s="118"/>
      <c r="U603" s="118"/>
      <c r="W603" s="118"/>
      <c r="Y603" s="118"/>
      <c r="AA603" s="118"/>
      <c r="AC603" s="118"/>
      <c r="AE603" s="118"/>
      <c r="AF603" s="119"/>
    </row>
    <row r="604" spans="1:32" x14ac:dyDescent="0.3">
      <c r="A604" s="118"/>
      <c r="C604" s="118"/>
      <c r="E604" s="118"/>
      <c r="G604" s="118"/>
      <c r="I604" s="118"/>
      <c r="K604" s="118"/>
      <c r="M604" s="118"/>
      <c r="O604" s="118"/>
      <c r="P604" s="119"/>
      <c r="S604" s="118"/>
      <c r="U604" s="118"/>
      <c r="W604" s="118"/>
      <c r="Y604" s="118"/>
      <c r="AA604" s="118"/>
      <c r="AC604" s="118"/>
      <c r="AE604" s="118"/>
      <c r="AF604" s="119"/>
    </row>
    <row r="605" spans="1:32" x14ac:dyDescent="0.3">
      <c r="A605" s="118"/>
      <c r="C605" s="118"/>
      <c r="E605" s="118"/>
      <c r="G605" s="118"/>
      <c r="I605" s="118"/>
      <c r="K605" s="118"/>
      <c r="M605" s="118"/>
      <c r="O605" s="118"/>
      <c r="P605" s="119"/>
      <c r="S605" s="118"/>
      <c r="U605" s="118"/>
      <c r="W605" s="118"/>
      <c r="Y605" s="118"/>
      <c r="AA605" s="118"/>
      <c r="AC605" s="118"/>
      <c r="AE605" s="118"/>
      <c r="AF605" s="119"/>
    </row>
    <row r="606" spans="1:32" x14ac:dyDescent="0.3">
      <c r="A606" s="118"/>
      <c r="C606" s="118"/>
      <c r="E606" s="118"/>
      <c r="G606" s="118"/>
      <c r="I606" s="118"/>
      <c r="K606" s="118"/>
      <c r="M606" s="118"/>
      <c r="O606" s="118"/>
      <c r="P606" s="119"/>
      <c r="S606" s="118"/>
      <c r="U606" s="118"/>
      <c r="W606" s="118"/>
      <c r="Y606" s="118"/>
      <c r="AA606" s="118"/>
      <c r="AC606" s="118"/>
      <c r="AE606" s="118"/>
      <c r="AF606" s="119"/>
    </row>
    <row r="607" spans="1:32" x14ac:dyDescent="0.3">
      <c r="A607" s="118"/>
      <c r="C607" s="118"/>
      <c r="E607" s="118"/>
      <c r="G607" s="118"/>
      <c r="I607" s="118"/>
      <c r="K607" s="118"/>
      <c r="M607" s="118"/>
      <c r="O607" s="118"/>
      <c r="P607" s="119"/>
      <c r="S607" s="118"/>
      <c r="U607" s="118"/>
      <c r="W607" s="118"/>
      <c r="Y607" s="118"/>
      <c r="AA607" s="118"/>
      <c r="AC607" s="118"/>
      <c r="AE607" s="118"/>
      <c r="AF607" s="119"/>
    </row>
    <row r="608" spans="1:32" x14ac:dyDescent="0.3">
      <c r="A608" s="118"/>
      <c r="C608" s="118"/>
      <c r="E608" s="118"/>
      <c r="G608" s="118"/>
      <c r="I608" s="118"/>
      <c r="K608" s="118"/>
      <c r="M608" s="118"/>
      <c r="O608" s="118"/>
      <c r="P608" s="119"/>
      <c r="S608" s="118"/>
      <c r="U608" s="118"/>
      <c r="W608" s="118"/>
      <c r="Y608" s="118"/>
      <c r="AA608" s="118"/>
      <c r="AC608" s="118"/>
      <c r="AE608" s="118"/>
      <c r="AF608" s="119"/>
    </row>
    <row r="609" spans="1:32" x14ac:dyDescent="0.3">
      <c r="A609" s="118"/>
      <c r="C609" s="118"/>
      <c r="E609" s="118"/>
      <c r="G609" s="118"/>
      <c r="I609" s="118"/>
      <c r="K609" s="118"/>
      <c r="M609" s="118"/>
      <c r="O609" s="118"/>
      <c r="P609" s="119"/>
      <c r="S609" s="118"/>
      <c r="U609" s="118"/>
      <c r="W609" s="118"/>
      <c r="Y609" s="118"/>
      <c r="AA609" s="118"/>
      <c r="AC609" s="118"/>
      <c r="AE609" s="118"/>
      <c r="AF609" s="119"/>
    </row>
    <row r="610" spans="1:32" x14ac:dyDescent="0.3">
      <c r="A610" s="118"/>
      <c r="C610" s="118"/>
      <c r="E610" s="118"/>
      <c r="G610" s="118"/>
      <c r="I610" s="118"/>
      <c r="K610" s="118"/>
      <c r="M610" s="118"/>
      <c r="O610" s="118"/>
      <c r="P610" s="119"/>
      <c r="S610" s="118"/>
      <c r="U610" s="118"/>
      <c r="W610" s="118"/>
      <c r="Y610" s="118"/>
      <c r="AA610" s="118"/>
      <c r="AC610" s="118"/>
      <c r="AE610" s="118"/>
      <c r="AF610" s="119"/>
    </row>
    <row r="611" spans="1:32" x14ac:dyDescent="0.3">
      <c r="A611" s="118"/>
      <c r="C611" s="118"/>
      <c r="E611" s="118"/>
      <c r="G611" s="118"/>
      <c r="I611" s="118"/>
      <c r="K611" s="118"/>
      <c r="M611" s="118"/>
      <c r="O611" s="118"/>
      <c r="P611" s="119"/>
      <c r="S611" s="118"/>
      <c r="U611" s="118"/>
      <c r="W611" s="118"/>
      <c r="Y611" s="118"/>
      <c r="AA611" s="118"/>
      <c r="AC611" s="118"/>
      <c r="AE611" s="118"/>
      <c r="AF611" s="119"/>
    </row>
    <row r="612" spans="1:32" x14ac:dyDescent="0.3">
      <c r="A612" s="118"/>
      <c r="C612" s="118"/>
      <c r="E612" s="118"/>
      <c r="G612" s="118"/>
      <c r="I612" s="118"/>
      <c r="K612" s="118"/>
      <c r="M612" s="118"/>
      <c r="O612" s="118"/>
      <c r="P612" s="119"/>
      <c r="S612" s="118"/>
      <c r="U612" s="118"/>
      <c r="W612" s="118"/>
      <c r="Y612" s="118"/>
      <c r="AA612" s="118"/>
      <c r="AC612" s="118"/>
      <c r="AE612" s="118"/>
      <c r="AF612" s="119"/>
    </row>
    <row r="613" spans="1:32" x14ac:dyDescent="0.3">
      <c r="A613" s="118"/>
      <c r="C613" s="118"/>
      <c r="E613" s="118"/>
      <c r="G613" s="118"/>
      <c r="I613" s="118"/>
      <c r="K613" s="118"/>
      <c r="M613" s="118"/>
      <c r="O613" s="118"/>
      <c r="P613" s="119"/>
      <c r="S613" s="118"/>
      <c r="U613" s="118"/>
      <c r="W613" s="118"/>
      <c r="Y613" s="118"/>
      <c r="AA613" s="118"/>
      <c r="AC613" s="118"/>
      <c r="AE613" s="118"/>
      <c r="AF613" s="119"/>
    </row>
    <row r="614" spans="1:32" x14ac:dyDescent="0.3">
      <c r="A614" s="118"/>
      <c r="C614" s="118"/>
      <c r="E614" s="118"/>
      <c r="G614" s="118"/>
      <c r="I614" s="118"/>
      <c r="K614" s="118"/>
      <c r="M614" s="118"/>
      <c r="O614" s="118"/>
      <c r="P614" s="119"/>
      <c r="S614" s="118"/>
      <c r="U614" s="118"/>
      <c r="W614" s="118"/>
      <c r="Y614" s="118"/>
      <c r="AA614" s="118"/>
      <c r="AC614" s="118"/>
      <c r="AE614" s="118"/>
      <c r="AF614" s="119"/>
    </row>
    <row r="615" spans="1:32" x14ac:dyDescent="0.3">
      <c r="A615" s="118"/>
      <c r="C615" s="118"/>
      <c r="E615" s="118"/>
      <c r="G615" s="118"/>
      <c r="I615" s="118"/>
      <c r="K615" s="118"/>
      <c r="M615" s="118"/>
      <c r="O615" s="118"/>
      <c r="P615" s="119"/>
      <c r="S615" s="118"/>
      <c r="U615" s="118"/>
      <c r="W615" s="118"/>
      <c r="Y615" s="118"/>
      <c r="AA615" s="118"/>
      <c r="AC615" s="118"/>
      <c r="AE615" s="118"/>
      <c r="AF615" s="119"/>
    </row>
    <row r="616" spans="1:32" x14ac:dyDescent="0.3">
      <c r="A616" s="118"/>
      <c r="C616" s="118"/>
      <c r="E616" s="118"/>
      <c r="G616" s="118"/>
      <c r="I616" s="118"/>
      <c r="K616" s="118"/>
      <c r="M616" s="118"/>
      <c r="O616" s="118"/>
      <c r="P616" s="119"/>
      <c r="S616" s="118"/>
      <c r="U616" s="118"/>
      <c r="W616" s="118"/>
      <c r="Y616" s="118"/>
      <c r="AA616" s="118"/>
      <c r="AC616" s="118"/>
      <c r="AE616" s="118"/>
      <c r="AF616" s="119"/>
    </row>
    <row r="617" spans="1:32" x14ac:dyDescent="0.3">
      <c r="A617" s="118"/>
      <c r="C617" s="118"/>
      <c r="E617" s="118"/>
      <c r="G617" s="118"/>
      <c r="I617" s="118"/>
      <c r="K617" s="118"/>
      <c r="M617" s="118"/>
      <c r="O617" s="118"/>
      <c r="P617" s="119"/>
      <c r="S617" s="118"/>
      <c r="U617" s="118"/>
      <c r="W617" s="118"/>
      <c r="Y617" s="118"/>
      <c r="AA617" s="118"/>
      <c r="AC617" s="118"/>
      <c r="AE617" s="118"/>
      <c r="AF617" s="119"/>
    </row>
    <row r="618" spans="1:32" x14ac:dyDescent="0.3">
      <c r="A618" s="118"/>
      <c r="C618" s="118"/>
      <c r="E618" s="118"/>
      <c r="G618" s="118"/>
      <c r="I618" s="118"/>
      <c r="K618" s="118"/>
      <c r="M618" s="118"/>
      <c r="O618" s="118"/>
      <c r="P618" s="119"/>
      <c r="S618" s="118"/>
      <c r="U618" s="118"/>
      <c r="W618" s="118"/>
      <c r="Y618" s="118"/>
      <c r="AA618" s="118"/>
      <c r="AC618" s="118"/>
      <c r="AE618" s="118"/>
      <c r="AF618" s="119"/>
    </row>
    <row r="619" spans="1:32" x14ac:dyDescent="0.3">
      <c r="A619" s="118"/>
      <c r="C619" s="118"/>
      <c r="E619" s="118"/>
      <c r="G619" s="118"/>
      <c r="I619" s="118"/>
      <c r="K619" s="118"/>
      <c r="M619" s="118"/>
      <c r="O619" s="118"/>
      <c r="P619" s="119"/>
      <c r="S619" s="118"/>
      <c r="U619" s="118"/>
      <c r="W619" s="118"/>
      <c r="Y619" s="118"/>
      <c r="AA619" s="118"/>
      <c r="AC619" s="118"/>
      <c r="AE619" s="118"/>
      <c r="AF619" s="119"/>
    </row>
    <row r="620" spans="1:32" x14ac:dyDescent="0.3">
      <c r="A620" s="118"/>
      <c r="C620" s="118"/>
      <c r="E620" s="118"/>
      <c r="G620" s="118"/>
      <c r="I620" s="118"/>
      <c r="K620" s="118"/>
      <c r="M620" s="118"/>
      <c r="O620" s="118"/>
      <c r="P620" s="119"/>
      <c r="S620" s="118"/>
      <c r="U620" s="118"/>
      <c r="W620" s="118"/>
      <c r="Y620" s="118"/>
      <c r="AA620" s="118"/>
      <c r="AC620" s="118"/>
      <c r="AE620" s="118"/>
      <c r="AF620" s="119"/>
    </row>
    <row r="621" spans="1:32" x14ac:dyDescent="0.3">
      <c r="A621" s="118"/>
      <c r="C621" s="118"/>
      <c r="E621" s="118"/>
      <c r="G621" s="118"/>
      <c r="I621" s="118"/>
      <c r="K621" s="118"/>
      <c r="M621" s="118"/>
      <c r="O621" s="118"/>
      <c r="P621" s="119"/>
      <c r="S621" s="118"/>
      <c r="U621" s="118"/>
      <c r="W621" s="118"/>
      <c r="Y621" s="118"/>
      <c r="AA621" s="118"/>
      <c r="AC621" s="118"/>
      <c r="AE621" s="118"/>
      <c r="AF621" s="119"/>
    </row>
    <row r="622" spans="1:32" x14ac:dyDescent="0.3">
      <c r="A622" s="118"/>
      <c r="C622" s="118"/>
      <c r="E622" s="118"/>
      <c r="G622" s="118"/>
      <c r="I622" s="118"/>
      <c r="K622" s="118"/>
      <c r="M622" s="118"/>
      <c r="O622" s="118"/>
      <c r="P622" s="119"/>
      <c r="S622" s="118"/>
      <c r="U622" s="118"/>
      <c r="W622" s="118"/>
      <c r="Y622" s="118"/>
      <c r="AA622" s="118"/>
      <c r="AC622" s="118"/>
      <c r="AE622" s="118"/>
      <c r="AF622" s="119"/>
    </row>
    <row r="623" spans="1:32" x14ac:dyDescent="0.3">
      <c r="A623" s="118"/>
      <c r="C623" s="118"/>
      <c r="E623" s="118"/>
      <c r="G623" s="118"/>
      <c r="I623" s="118"/>
      <c r="K623" s="118"/>
      <c r="M623" s="118"/>
      <c r="O623" s="118"/>
      <c r="P623" s="119"/>
      <c r="S623" s="118"/>
      <c r="U623" s="118"/>
      <c r="W623" s="118"/>
      <c r="Y623" s="118"/>
      <c r="AA623" s="118"/>
      <c r="AC623" s="118"/>
      <c r="AE623" s="118"/>
      <c r="AF623" s="119"/>
    </row>
    <row r="624" spans="1:32" x14ac:dyDescent="0.3">
      <c r="A624" s="118"/>
      <c r="C624" s="118"/>
      <c r="E624" s="118"/>
      <c r="G624" s="118"/>
      <c r="I624" s="118"/>
      <c r="K624" s="118"/>
      <c r="M624" s="118"/>
      <c r="O624" s="118"/>
      <c r="P624" s="119"/>
      <c r="S624" s="118"/>
      <c r="U624" s="118"/>
      <c r="W624" s="118"/>
      <c r="Y624" s="118"/>
      <c r="AA624" s="118"/>
      <c r="AC624" s="118"/>
      <c r="AE624" s="118"/>
      <c r="AF624" s="119"/>
    </row>
    <row r="625" spans="1:32" x14ac:dyDescent="0.3">
      <c r="A625" s="118"/>
      <c r="C625" s="118"/>
      <c r="E625" s="118"/>
      <c r="G625" s="118"/>
      <c r="I625" s="118"/>
      <c r="K625" s="118"/>
      <c r="M625" s="118"/>
      <c r="O625" s="118"/>
      <c r="P625" s="119"/>
      <c r="S625" s="118"/>
      <c r="U625" s="118"/>
      <c r="W625" s="118"/>
      <c r="Y625" s="118"/>
      <c r="AA625" s="118"/>
      <c r="AC625" s="118"/>
      <c r="AE625" s="118"/>
      <c r="AF625" s="119"/>
    </row>
    <row r="626" spans="1:32" x14ac:dyDescent="0.3">
      <c r="A626" s="118"/>
      <c r="C626" s="118"/>
      <c r="E626" s="118"/>
      <c r="G626" s="118"/>
      <c r="I626" s="118"/>
      <c r="K626" s="118"/>
      <c r="M626" s="118"/>
      <c r="O626" s="118"/>
      <c r="P626" s="119"/>
      <c r="S626" s="118"/>
      <c r="U626" s="118"/>
      <c r="W626" s="118"/>
      <c r="Y626" s="118"/>
      <c r="AA626" s="118"/>
      <c r="AC626" s="118"/>
      <c r="AE626" s="118"/>
      <c r="AF626" s="119"/>
    </row>
    <row r="627" spans="1:32" x14ac:dyDescent="0.3">
      <c r="A627" s="118"/>
      <c r="C627" s="118"/>
      <c r="E627" s="118"/>
      <c r="G627" s="118"/>
      <c r="I627" s="118"/>
      <c r="K627" s="118"/>
      <c r="M627" s="118"/>
      <c r="O627" s="118"/>
      <c r="P627" s="119"/>
      <c r="S627" s="118"/>
      <c r="U627" s="118"/>
      <c r="W627" s="118"/>
      <c r="Y627" s="118"/>
      <c r="AA627" s="118"/>
      <c r="AC627" s="118"/>
      <c r="AE627" s="118"/>
      <c r="AF627" s="119"/>
    </row>
    <row r="628" spans="1:32" x14ac:dyDescent="0.3">
      <c r="A628" s="118"/>
      <c r="C628" s="118"/>
      <c r="E628" s="118"/>
      <c r="G628" s="118"/>
      <c r="I628" s="118"/>
      <c r="K628" s="118"/>
      <c r="M628" s="118"/>
      <c r="O628" s="118"/>
      <c r="P628" s="119"/>
      <c r="S628" s="118"/>
      <c r="U628" s="118"/>
      <c r="W628" s="118"/>
      <c r="Y628" s="118"/>
      <c r="AA628" s="118"/>
      <c r="AC628" s="118"/>
      <c r="AE628" s="118"/>
      <c r="AF628" s="119"/>
    </row>
    <row r="629" spans="1:32" x14ac:dyDescent="0.3">
      <c r="A629" s="118"/>
      <c r="C629" s="118"/>
      <c r="E629" s="118"/>
      <c r="G629" s="118"/>
      <c r="I629" s="118"/>
      <c r="K629" s="118"/>
      <c r="M629" s="118"/>
      <c r="O629" s="118"/>
      <c r="P629" s="119"/>
      <c r="S629" s="118"/>
      <c r="U629" s="118"/>
      <c r="W629" s="118"/>
      <c r="Y629" s="118"/>
      <c r="AA629" s="118"/>
      <c r="AC629" s="118"/>
      <c r="AE629" s="118"/>
      <c r="AF629" s="119"/>
    </row>
    <row r="630" spans="1:32" x14ac:dyDescent="0.3">
      <c r="A630" s="118"/>
      <c r="C630" s="118"/>
      <c r="E630" s="118"/>
      <c r="G630" s="118"/>
      <c r="I630" s="118"/>
      <c r="K630" s="118"/>
      <c r="M630" s="118"/>
      <c r="O630" s="118"/>
      <c r="P630" s="119"/>
      <c r="S630" s="118"/>
      <c r="U630" s="118"/>
      <c r="W630" s="118"/>
      <c r="Y630" s="118"/>
      <c r="AA630" s="118"/>
      <c r="AC630" s="118"/>
      <c r="AE630" s="118"/>
      <c r="AF630" s="119"/>
    </row>
    <row r="631" spans="1:32" x14ac:dyDescent="0.3">
      <c r="A631" s="118"/>
      <c r="C631" s="118"/>
      <c r="E631" s="118"/>
      <c r="G631" s="118"/>
      <c r="I631" s="118"/>
      <c r="K631" s="118"/>
      <c r="M631" s="118"/>
      <c r="O631" s="118"/>
      <c r="P631" s="119"/>
      <c r="S631" s="118"/>
      <c r="U631" s="118"/>
      <c r="W631" s="118"/>
      <c r="Y631" s="118"/>
      <c r="AA631" s="118"/>
      <c r="AC631" s="118"/>
      <c r="AE631" s="118"/>
      <c r="AF631" s="119"/>
    </row>
    <row r="632" spans="1:32" x14ac:dyDescent="0.3">
      <c r="A632" s="118"/>
      <c r="C632" s="118"/>
      <c r="E632" s="118"/>
      <c r="G632" s="118"/>
      <c r="I632" s="118"/>
      <c r="K632" s="118"/>
      <c r="M632" s="118"/>
      <c r="O632" s="118"/>
      <c r="P632" s="119"/>
      <c r="S632" s="118"/>
      <c r="U632" s="118"/>
      <c r="W632" s="118"/>
      <c r="Y632" s="118"/>
      <c r="AA632" s="118"/>
      <c r="AC632" s="118"/>
      <c r="AE632" s="118"/>
      <c r="AF632" s="119"/>
    </row>
    <row r="633" spans="1:32" x14ac:dyDescent="0.3">
      <c r="A633" s="118"/>
      <c r="C633" s="118"/>
      <c r="E633" s="118"/>
      <c r="G633" s="118"/>
      <c r="I633" s="118"/>
      <c r="K633" s="118"/>
      <c r="M633" s="118"/>
      <c r="O633" s="118"/>
      <c r="P633" s="119"/>
      <c r="S633" s="118"/>
      <c r="U633" s="118"/>
      <c r="W633" s="118"/>
      <c r="Y633" s="118"/>
      <c r="AA633" s="118"/>
      <c r="AC633" s="118"/>
      <c r="AE633" s="118"/>
      <c r="AF633" s="119"/>
    </row>
    <row r="634" spans="1:32" x14ac:dyDescent="0.3">
      <c r="A634" s="118"/>
      <c r="C634" s="118"/>
      <c r="E634" s="118"/>
      <c r="G634" s="118"/>
      <c r="I634" s="118"/>
      <c r="K634" s="118"/>
      <c r="M634" s="118"/>
      <c r="O634" s="118"/>
      <c r="P634" s="119"/>
      <c r="S634" s="118"/>
      <c r="U634" s="118"/>
      <c r="W634" s="118"/>
      <c r="Y634" s="118"/>
      <c r="AA634" s="118"/>
      <c r="AC634" s="118"/>
      <c r="AE634" s="118"/>
      <c r="AF634" s="119"/>
    </row>
    <row r="635" spans="1:32" x14ac:dyDescent="0.3">
      <c r="A635" s="118"/>
      <c r="C635" s="118"/>
      <c r="E635" s="118"/>
      <c r="G635" s="118"/>
      <c r="I635" s="118"/>
      <c r="K635" s="118"/>
      <c r="M635" s="118"/>
      <c r="O635" s="118"/>
      <c r="P635" s="119"/>
      <c r="S635" s="118"/>
      <c r="U635" s="118"/>
      <c r="W635" s="118"/>
      <c r="Y635" s="118"/>
      <c r="AA635" s="118"/>
      <c r="AC635" s="118"/>
      <c r="AE635" s="118"/>
      <c r="AF635" s="119"/>
    </row>
    <row r="636" spans="1:32" x14ac:dyDescent="0.3">
      <c r="A636" s="118"/>
      <c r="C636" s="118"/>
      <c r="E636" s="118"/>
      <c r="G636" s="118"/>
      <c r="I636" s="118"/>
      <c r="K636" s="118"/>
      <c r="M636" s="118"/>
      <c r="O636" s="118"/>
      <c r="P636" s="119"/>
      <c r="S636" s="118"/>
      <c r="U636" s="118"/>
      <c r="W636" s="118"/>
      <c r="Y636" s="118"/>
      <c r="AA636" s="118"/>
      <c r="AC636" s="118"/>
      <c r="AE636" s="118"/>
      <c r="AF636" s="119"/>
    </row>
    <row r="637" spans="1:32" x14ac:dyDescent="0.3">
      <c r="A637" s="118"/>
      <c r="C637" s="118"/>
      <c r="E637" s="118"/>
      <c r="G637" s="118"/>
      <c r="I637" s="118"/>
      <c r="K637" s="118"/>
      <c r="M637" s="118"/>
      <c r="O637" s="118"/>
      <c r="P637" s="119"/>
      <c r="S637" s="118"/>
      <c r="U637" s="118"/>
      <c r="W637" s="118"/>
      <c r="Y637" s="118"/>
      <c r="AA637" s="118"/>
      <c r="AC637" s="118"/>
      <c r="AE637" s="118"/>
      <c r="AF637" s="119"/>
    </row>
    <row r="638" spans="1:32" x14ac:dyDescent="0.3">
      <c r="A638" s="118"/>
      <c r="C638" s="118"/>
      <c r="E638" s="118"/>
      <c r="G638" s="118"/>
      <c r="I638" s="118"/>
      <c r="K638" s="118"/>
      <c r="M638" s="118"/>
      <c r="O638" s="118"/>
      <c r="P638" s="119"/>
      <c r="S638" s="118"/>
      <c r="U638" s="118"/>
      <c r="W638" s="118"/>
      <c r="Y638" s="118"/>
      <c r="AA638" s="118"/>
      <c r="AC638" s="118"/>
      <c r="AE638" s="118"/>
      <c r="AF638" s="119"/>
    </row>
    <row r="639" spans="1:32" x14ac:dyDescent="0.3">
      <c r="A639" s="118"/>
      <c r="C639" s="118"/>
      <c r="E639" s="118"/>
      <c r="G639" s="118"/>
      <c r="I639" s="118"/>
      <c r="K639" s="118"/>
      <c r="M639" s="118"/>
      <c r="O639" s="118"/>
      <c r="P639" s="119"/>
      <c r="S639" s="118"/>
      <c r="U639" s="118"/>
      <c r="W639" s="118"/>
      <c r="Y639" s="118"/>
      <c r="AA639" s="118"/>
      <c r="AC639" s="118"/>
      <c r="AE639" s="118"/>
      <c r="AF639" s="119"/>
    </row>
    <row r="640" spans="1:32" x14ac:dyDescent="0.3">
      <c r="A640" s="118"/>
      <c r="C640" s="118"/>
      <c r="E640" s="118"/>
      <c r="G640" s="118"/>
      <c r="I640" s="118"/>
      <c r="K640" s="118"/>
      <c r="M640" s="118"/>
      <c r="O640" s="118"/>
      <c r="P640" s="119"/>
      <c r="S640" s="118"/>
      <c r="U640" s="118"/>
      <c r="W640" s="118"/>
      <c r="Y640" s="118"/>
      <c r="AA640" s="118"/>
      <c r="AC640" s="118"/>
      <c r="AE640" s="118"/>
      <c r="AF640" s="119"/>
    </row>
    <row r="641" spans="1:32" x14ac:dyDescent="0.3">
      <c r="A641" s="118"/>
      <c r="C641" s="118"/>
      <c r="E641" s="118"/>
      <c r="G641" s="118"/>
      <c r="I641" s="118"/>
      <c r="K641" s="118"/>
      <c r="M641" s="118"/>
      <c r="O641" s="118"/>
      <c r="P641" s="119"/>
      <c r="S641" s="118"/>
      <c r="U641" s="118"/>
      <c r="W641" s="118"/>
      <c r="Y641" s="118"/>
      <c r="AA641" s="118"/>
      <c r="AC641" s="118"/>
      <c r="AE641" s="118"/>
      <c r="AF641" s="119"/>
    </row>
    <row r="642" spans="1:32" x14ac:dyDescent="0.3">
      <c r="A642" s="118"/>
      <c r="C642" s="118"/>
      <c r="E642" s="118"/>
      <c r="G642" s="118"/>
      <c r="I642" s="118"/>
      <c r="K642" s="118"/>
      <c r="M642" s="118"/>
      <c r="O642" s="118"/>
      <c r="P642" s="119"/>
      <c r="S642" s="118"/>
      <c r="U642" s="118"/>
      <c r="W642" s="118"/>
      <c r="Y642" s="118"/>
      <c r="AA642" s="118"/>
      <c r="AC642" s="118"/>
      <c r="AE642" s="118"/>
      <c r="AF642" s="119"/>
    </row>
    <row r="643" spans="1:32" x14ac:dyDescent="0.3">
      <c r="A643" s="118"/>
      <c r="C643" s="118"/>
      <c r="E643" s="118"/>
      <c r="G643" s="118"/>
      <c r="I643" s="118"/>
      <c r="K643" s="118"/>
      <c r="M643" s="118"/>
      <c r="O643" s="118"/>
      <c r="P643" s="119"/>
      <c r="S643" s="118"/>
      <c r="U643" s="118"/>
      <c r="W643" s="118"/>
      <c r="Y643" s="118"/>
      <c r="AA643" s="118"/>
      <c r="AC643" s="118"/>
      <c r="AE643" s="118"/>
      <c r="AF643" s="119"/>
    </row>
    <row r="644" spans="1:32" x14ac:dyDescent="0.3">
      <c r="A644" s="118"/>
      <c r="C644" s="118"/>
      <c r="E644" s="118"/>
      <c r="G644" s="118"/>
      <c r="I644" s="118"/>
      <c r="K644" s="118"/>
      <c r="M644" s="118"/>
      <c r="O644" s="118"/>
      <c r="P644" s="119"/>
      <c r="S644" s="118"/>
      <c r="U644" s="118"/>
      <c r="W644" s="118"/>
      <c r="Y644" s="118"/>
      <c r="AA644" s="118"/>
      <c r="AC644" s="118"/>
      <c r="AE644" s="118"/>
      <c r="AF644" s="119"/>
    </row>
    <row r="645" spans="1:32" x14ac:dyDescent="0.3">
      <c r="A645" s="118"/>
      <c r="C645" s="118"/>
      <c r="E645" s="118"/>
      <c r="G645" s="118"/>
      <c r="I645" s="118"/>
      <c r="K645" s="118"/>
      <c r="M645" s="118"/>
      <c r="O645" s="118"/>
      <c r="P645" s="119"/>
      <c r="S645" s="118"/>
      <c r="U645" s="118"/>
      <c r="W645" s="118"/>
      <c r="Y645" s="118"/>
      <c r="AA645" s="118"/>
      <c r="AC645" s="118"/>
      <c r="AE645" s="118"/>
      <c r="AF645" s="119"/>
    </row>
    <row r="646" spans="1:32" x14ac:dyDescent="0.3">
      <c r="A646" s="118"/>
      <c r="C646" s="118"/>
      <c r="E646" s="118"/>
      <c r="G646" s="118"/>
      <c r="I646" s="118"/>
      <c r="K646" s="118"/>
      <c r="M646" s="118"/>
      <c r="O646" s="118"/>
      <c r="P646" s="119"/>
      <c r="S646" s="118"/>
      <c r="U646" s="118"/>
      <c r="W646" s="118"/>
      <c r="Y646" s="118"/>
      <c r="AA646" s="118"/>
      <c r="AC646" s="118"/>
      <c r="AE646" s="118"/>
      <c r="AF646" s="119"/>
    </row>
    <row r="647" spans="1:32" x14ac:dyDescent="0.3">
      <c r="A647" s="118"/>
      <c r="C647" s="118"/>
      <c r="E647" s="118"/>
      <c r="G647" s="118"/>
      <c r="I647" s="118"/>
      <c r="K647" s="118"/>
      <c r="M647" s="118"/>
      <c r="O647" s="118"/>
      <c r="P647" s="119"/>
      <c r="S647" s="118"/>
      <c r="U647" s="118"/>
      <c r="W647" s="118"/>
      <c r="Y647" s="118"/>
      <c r="AA647" s="118"/>
      <c r="AC647" s="118"/>
      <c r="AE647" s="118"/>
      <c r="AF647" s="119"/>
    </row>
    <row r="648" spans="1:32" x14ac:dyDescent="0.3">
      <c r="A648" s="118"/>
      <c r="C648" s="118"/>
      <c r="E648" s="118"/>
      <c r="G648" s="118"/>
      <c r="I648" s="118"/>
      <c r="K648" s="118"/>
      <c r="M648" s="118"/>
      <c r="O648" s="118"/>
      <c r="P648" s="119"/>
      <c r="S648" s="118"/>
      <c r="U648" s="118"/>
      <c r="W648" s="118"/>
      <c r="Y648" s="118"/>
      <c r="AA648" s="118"/>
      <c r="AC648" s="118"/>
      <c r="AE648" s="118"/>
      <c r="AF648" s="119"/>
    </row>
    <row r="649" spans="1:32" x14ac:dyDescent="0.3">
      <c r="A649" s="118"/>
      <c r="C649" s="118"/>
      <c r="E649" s="118"/>
      <c r="G649" s="118"/>
      <c r="I649" s="118"/>
      <c r="K649" s="118"/>
      <c r="M649" s="118"/>
      <c r="O649" s="118"/>
      <c r="P649" s="119"/>
      <c r="S649" s="118"/>
      <c r="U649" s="118"/>
      <c r="W649" s="118"/>
      <c r="Y649" s="118"/>
      <c r="AA649" s="118"/>
      <c r="AC649" s="118"/>
      <c r="AE649" s="118"/>
      <c r="AF649" s="119"/>
    </row>
    <row r="650" spans="1:32" x14ac:dyDescent="0.3">
      <c r="A650" s="118"/>
      <c r="C650" s="118"/>
      <c r="E650" s="118"/>
      <c r="G650" s="118"/>
      <c r="I650" s="118"/>
      <c r="K650" s="118"/>
      <c r="M650" s="118"/>
      <c r="O650" s="118"/>
      <c r="P650" s="119"/>
      <c r="S650" s="118"/>
      <c r="U650" s="118"/>
      <c r="W650" s="118"/>
      <c r="Y650" s="118"/>
      <c r="AA650" s="118"/>
      <c r="AC650" s="118"/>
      <c r="AE650" s="118"/>
      <c r="AF650" s="119"/>
    </row>
    <row r="651" spans="1:32" x14ac:dyDescent="0.3">
      <c r="A651" s="118"/>
      <c r="C651" s="118"/>
      <c r="E651" s="118"/>
      <c r="G651" s="118"/>
      <c r="I651" s="118"/>
      <c r="K651" s="118"/>
      <c r="M651" s="118"/>
      <c r="O651" s="118"/>
      <c r="P651" s="119"/>
      <c r="S651" s="118"/>
      <c r="U651" s="118"/>
      <c r="W651" s="118"/>
      <c r="Y651" s="118"/>
      <c r="AA651" s="118"/>
      <c r="AC651" s="118"/>
      <c r="AE651" s="118"/>
      <c r="AF651" s="119"/>
    </row>
    <row r="652" spans="1:32" x14ac:dyDescent="0.3">
      <c r="A652" s="118"/>
      <c r="C652" s="118"/>
      <c r="E652" s="118"/>
      <c r="G652" s="118"/>
      <c r="I652" s="118"/>
      <c r="K652" s="118"/>
      <c r="M652" s="118"/>
      <c r="O652" s="118"/>
      <c r="P652" s="119"/>
      <c r="S652" s="118"/>
      <c r="U652" s="118"/>
      <c r="W652" s="118"/>
      <c r="Y652" s="118"/>
      <c r="AA652" s="118"/>
      <c r="AC652" s="118"/>
      <c r="AE652" s="118"/>
      <c r="AF652" s="119"/>
    </row>
    <row r="653" spans="1:32" x14ac:dyDescent="0.3">
      <c r="A653" s="118"/>
      <c r="C653" s="118"/>
      <c r="E653" s="118"/>
      <c r="G653" s="118"/>
      <c r="I653" s="118"/>
      <c r="K653" s="118"/>
      <c r="M653" s="118"/>
      <c r="O653" s="118"/>
      <c r="P653" s="119"/>
      <c r="S653" s="118"/>
      <c r="U653" s="118"/>
      <c r="W653" s="118"/>
      <c r="Y653" s="118"/>
      <c r="AA653" s="118"/>
      <c r="AC653" s="118"/>
      <c r="AE653" s="118"/>
      <c r="AF653" s="119"/>
    </row>
    <row r="654" spans="1:32" x14ac:dyDescent="0.3">
      <c r="A654" s="118"/>
      <c r="C654" s="118"/>
      <c r="E654" s="118"/>
      <c r="G654" s="118"/>
      <c r="I654" s="118"/>
      <c r="K654" s="118"/>
      <c r="M654" s="118"/>
      <c r="O654" s="118"/>
      <c r="P654" s="119"/>
      <c r="S654" s="118"/>
      <c r="U654" s="118"/>
      <c r="W654" s="118"/>
      <c r="Y654" s="118"/>
      <c r="AA654" s="118"/>
      <c r="AC654" s="118"/>
      <c r="AE654" s="118"/>
      <c r="AF654" s="119"/>
    </row>
    <row r="655" spans="1:32" x14ac:dyDescent="0.3">
      <c r="A655" s="118"/>
      <c r="C655" s="118"/>
      <c r="E655" s="118"/>
      <c r="G655" s="118"/>
      <c r="I655" s="118"/>
      <c r="K655" s="118"/>
      <c r="M655" s="118"/>
      <c r="O655" s="118"/>
      <c r="P655" s="119"/>
      <c r="S655" s="118"/>
      <c r="U655" s="118"/>
      <c r="W655" s="118"/>
      <c r="Y655" s="118"/>
      <c r="AA655" s="118"/>
      <c r="AC655" s="118"/>
      <c r="AE655" s="118"/>
      <c r="AF655" s="119"/>
    </row>
    <row r="656" spans="1:32" x14ac:dyDescent="0.3">
      <c r="A656" s="118"/>
      <c r="C656" s="118"/>
      <c r="E656" s="118"/>
      <c r="G656" s="118"/>
      <c r="I656" s="118"/>
      <c r="K656" s="118"/>
      <c r="M656" s="118"/>
      <c r="O656" s="118"/>
      <c r="P656" s="119"/>
      <c r="S656" s="118"/>
      <c r="U656" s="118"/>
      <c r="W656" s="118"/>
      <c r="Y656" s="118"/>
      <c r="AA656" s="118"/>
      <c r="AC656" s="118"/>
      <c r="AE656" s="118"/>
      <c r="AF656" s="119"/>
    </row>
    <row r="657" spans="1:32" x14ac:dyDescent="0.3">
      <c r="A657" s="118"/>
      <c r="C657" s="118"/>
      <c r="E657" s="118"/>
      <c r="G657" s="118"/>
      <c r="I657" s="118"/>
      <c r="K657" s="118"/>
      <c r="M657" s="118"/>
      <c r="O657" s="118"/>
      <c r="P657" s="119"/>
      <c r="S657" s="118"/>
      <c r="U657" s="118"/>
      <c r="W657" s="118"/>
      <c r="Y657" s="118"/>
      <c r="AA657" s="118"/>
      <c r="AC657" s="118"/>
      <c r="AE657" s="118"/>
      <c r="AF657" s="119"/>
    </row>
    <row r="658" spans="1:32" x14ac:dyDescent="0.3">
      <c r="A658" s="118"/>
      <c r="C658" s="118"/>
      <c r="E658" s="118"/>
      <c r="G658" s="118"/>
      <c r="I658" s="118"/>
      <c r="K658" s="118"/>
      <c r="M658" s="118"/>
      <c r="O658" s="118"/>
      <c r="P658" s="119"/>
      <c r="S658" s="118"/>
      <c r="U658" s="118"/>
      <c r="W658" s="118"/>
      <c r="Y658" s="118"/>
      <c r="AA658" s="118"/>
      <c r="AC658" s="118"/>
      <c r="AE658" s="118"/>
      <c r="AF658" s="119"/>
    </row>
    <row r="659" spans="1:32" x14ac:dyDescent="0.3">
      <c r="A659" s="118"/>
      <c r="C659" s="118"/>
      <c r="E659" s="118"/>
      <c r="G659" s="118"/>
      <c r="I659" s="118"/>
      <c r="K659" s="118"/>
      <c r="M659" s="118"/>
      <c r="O659" s="118"/>
      <c r="P659" s="119"/>
      <c r="S659" s="118"/>
      <c r="U659" s="118"/>
      <c r="W659" s="118"/>
      <c r="Y659" s="118"/>
      <c r="AA659" s="118"/>
      <c r="AC659" s="118"/>
      <c r="AE659" s="118"/>
      <c r="AF659" s="119"/>
    </row>
    <row r="660" spans="1:32" x14ac:dyDescent="0.3">
      <c r="A660" s="118"/>
      <c r="C660" s="118"/>
      <c r="E660" s="118"/>
      <c r="G660" s="118"/>
      <c r="I660" s="118"/>
      <c r="K660" s="118"/>
      <c r="M660" s="118"/>
      <c r="O660" s="118"/>
      <c r="P660" s="119"/>
      <c r="S660" s="118"/>
      <c r="U660" s="118"/>
      <c r="W660" s="118"/>
      <c r="Y660" s="118"/>
      <c r="AA660" s="118"/>
      <c r="AC660" s="118"/>
      <c r="AE660" s="118"/>
      <c r="AF660" s="119"/>
    </row>
    <row r="661" spans="1:32" x14ac:dyDescent="0.3">
      <c r="A661" s="118"/>
      <c r="C661" s="118"/>
      <c r="E661" s="118"/>
      <c r="G661" s="118"/>
      <c r="I661" s="118"/>
      <c r="K661" s="118"/>
      <c r="M661" s="118"/>
      <c r="O661" s="118"/>
      <c r="P661" s="119"/>
      <c r="S661" s="118"/>
      <c r="U661" s="118"/>
      <c r="W661" s="118"/>
      <c r="Y661" s="118"/>
      <c r="AA661" s="118"/>
      <c r="AC661" s="118"/>
      <c r="AE661" s="118"/>
      <c r="AF661" s="119"/>
    </row>
    <row r="662" spans="1:32" x14ac:dyDescent="0.3">
      <c r="A662" s="118"/>
      <c r="C662" s="118"/>
      <c r="E662" s="118"/>
      <c r="G662" s="118"/>
      <c r="I662" s="118"/>
      <c r="K662" s="118"/>
      <c r="M662" s="118"/>
      <c r="O662" s="118"/>
      <c r="P662" s="119"/>
      <c r="S662" s="118"/>
      <c r="U662" s="118"/>
      <c r="W662" s="118"/>
      <c r="Y662" s="118"/>
      <c r="AA662" s="118"/>
      <c r="AC662" s="118"/>
      <c r="AE662" s="118"/>
      <c r="AF662" s="119"/>
    </row>
    <row r="663" spans="1:32" x14ac:dyDescent="0.3">
      <c r="A663" s="118"/>
      <c r="C663" s="118"/>
      <c r="E663" s="118"/>
      <c r="G663" s="118"/>
      <c r="I663" s="118"/>
      <c r="K663" s="118"/>
      <c r="M663" s="118"/>
      <c r="O663" s="118"/>
      <c r="P663" s="119"/>
      <c r="S663" s="118"/>
      <c r="U663" s="118"/>
      <c r="W663" s="118"/>
      <c r="Y663" s="118"/>
      <c r="AA663" s="118"/>
      <c r="AC663" s="118"/>
      <c r="AE663" s="118"/>
      <c r="AF663" s="119"/>
    </row>
    <row r="664" spans="1:32" x14ac:dyDescent="0.3">
      <c r="A664" s="118"/>
      <c r="C664" s="118"/>
      <c r="E664" s="118"/>
      <c r="G664" s="118"/>
      <c r="I664" s="118"/>
      <c r="K664" s="118"/>
      <c r="M664" s="118"/>
      <c r="O664" s="118"/>
      <c r="P664" s="119"/>
      <c r="S664" s="118"/>
      <c r="U664" s="118"/>
      <c r="W664" s="118"/>
      <c r="Y664" s="118"/>
      <c r="AA664" s="118"/>
      <c r="AC664" s="118"/>
      <c r="AE664" s="118"/>
      <c r="AF664" s="119"/>
    </row>
    <row r="665" spans="1:32" x14ac:dyDescent="0.3">
      <c r="A665" s="118"/>
      <c r="C665" s="118"/>
      <c r="E665" s="118"/>
      <c r="G665" s="118"/>
      <c r="I665" s="118"/>
      <c r="K665" s="118"/>
      <c r="M665" s="118"/>
      <c r="O665" s="118"/>
      <c r="P665" s="119"/>
      <c r="S665" s="118"/>
      <c r="U665" s="118"/>
      <c r="W665" s="118"/>
      <c r="Y665" s="118"/>
      <c r="AA665" s="118"/>
      <c r="AC665" s="118"/>
      <c r="AE665" s="118"/>
      <c r="AF665" s="119"/>
    </row>
    <row r="666" spans="1:32" x14ac:dyDescent="0.3">
      <c r="A666" s="118"/>
      <c r="C666" s="118"/>
      <c r="E666" s="118"/>
      <c r="G666" s="118"/>
      <c r="I666" s="118"/>
      <c r="K666" s="118"/>
      <c r="M666" s="118"/>
      <c r="O666" s="118"/>
      <c r="P666" s="119"/>
      <c r="S666" s="118"/>
      <c r="U666" s="118"/>
      <c r="W666" s="118"/>
      <c r="Y666" s="118"/>
      <c r="AA666" s="118"/>
      <c r="AC666" s="118"/>
      <c r="AE666" s="118"/>
      <c r="AF666" s="119"/>
    </row>
    <row r="667" spans="1:32" x14ac:dyDescent="0.3">
      <c r="A667" s="118"/>
      <c r="C667" s="118"/>
      <c r="E667" s="118"/>
      <c r="G667" s="118"/>
      <c r="I667" s="118"/>
      <c r="K667" s="118"/>
      <c r="M667" s="118"/>
      <c r="O667" s="118"/>
      <c r="P667" s="119"/>
      <c r="S667" s="118"/>
      <c r="U667" s="118"/>
      <c r="W667" s="118"/>
      <c r="Y667" s="118"/>
      <c r="AA667" s="118"/>
      <c r="AC667" s="118"/>
      <c r="AE667" s="118"/>
      <c r="AF667" s="119"/>
    </row>
    <row r="668" spans="1:32" x14ac:dyDescent="0.3">
      <c r="A668" s="118"/>
      <c r="C668" s="118"/>
      <c r="E668" s="118"/>
      <c r="G668" s="118"/>
      <c r="I668" s="118"/>
      <c r="K668" s="118"/>
      <c r="M668" s="118"/>
      <c r="O668" s="118"/>
      <c r="P668" s="119"/>
      <c r="S668" s="118"/>
      <c r="U668" s="118"/>
      <c r="W668" s="118"/>
      <c r="Y668" s="118"/>
      <c r="AA668" s="118"/>
      <c r="AC668" s="118"/>
      <c r="AE668" s="118"/>
      <c r="AF668" s="119"/>
    </row>
    <row r="669" spans="1:32" x14ac:dyDescent="0.3">
      <c r="A669" s="118"/>
      <c r="C669" s="118"/>
      <c r="E669" s="118"/>
      <c r="G669" s="118"/>
      <c r="I669" s="118"/>
      <c r="K669" s="118"/>
      <c r="M669" s="118"/>
      <c r="O669" s="118"/>
      <c r="P669" s="119"/>
      <c r="S669" s="118"/>
      <c r="U669" s="118"/>
      <c r="W669" s="118"/>
      <c r="Y669" s="118"/>
      <c r="AA669" s="118"/>
      <c r="AC669" s="118"/>
      <c r="AE669" s="118"/>
      <c r="AF669" s="119"/>
    </row>
    <row r="670" spans="1:32" x14ac:dyDescent="0.3">
      <c r="A670" s="118"/>
      <c r="C670" s="118"/>
      <c r="E670" s="118"/>
      <c r="G670" s="118"/>
      <c r="I670" s="118"/>
      <c r="K670" s="118"/>
      <c r="M670" s="118"/>
      <c r="O670" s="118"/>
      <c r="P670" s="119"/>
      <c r="S670" s="118"/>
      <c r="U670" s="118"/>
      <c r="W670" s="118"/>
      <c r="Y670" s="118"/>
      <c r="AA670" s="118"/>
      <c r="AC670" s="118"/>
      <c r="AE670" s="118"/>
      <c r="AF670" s="119"/>
    </row>
    <row r="671" spans="1:32" x14ac:dyDescent="0.3">
      <c r="A671" s="118"/>
      <c r="C671" s="118"/>
      <c r="E671" s="118"/>
      <c r="G671" s="118"/>
      <c r="I671" s="118"/>
      <c r="K671" s="118"/>
      <c r="M671" s="118"/>
      <c r="O671" s="118"/>
      <c r="P671" s="119"/>
      <c r="S671" s="118"/>
      <c r="U671" s="118"/>
      <c r="W671" s="118"/>
      <c r="Y671" s="118"/>
      <c r="AA671" s="118"/>
      <c r="AC671" s="118"/>
      <c r="AE671" s="118"/>
      <c r="AF671" s="119"/>
    </row>
    <row r="672" spans="1:32" x14ac:dyDescent="0.3">
      <c r="A672" s="118"/>
      <c r="C672" s="118"/>
      <c r="E672" s="118"/>
      <c r="G672" s="118"/>
      <c r="I672" s="118"/>
      <c r="K672" s="118"/>
      <c r="M672" s="118"/>
      <c r="O672" s="118"/>
      <c r="P672" s="119"/>
      <c r="S672" s="118"/>
      <c r="U672" s="118"/>
      <c r="W672" s="118"/>
      <c r="Y672" s="118"/>
      <c r="AA672" s="118"/>
      <c r="AC672" s="118"/>
      <c r="AE672" s="118"/>
      <c r="AF672" s="119"/>
    </row>
    <row r="673" spans="1:32" x14ac:dyDescent="0.3">
      <c r="A673" s="118"/>
      <c r="C673" s="118"/>
      <c r="E673" s="118"/>
      <c r="G673" s="118"/>
      <c r="I673" s="118"/>
      <c r="K673" s="118"/>
      <c r="M673" s="118"/>
      <c r="O673" s="118"/>
      <c r="P673" s="119"/>
      <c r="S673" s="118"/>
      <c r="U673" s="118"/>
      <c r="W673" s="118"/>
      <c r="Y673" s="118"/>
      <c r="AA673" s="118"/>
      <c r="AC673" s="118"/>
      <c r="AE673" s="118"/>
      <c r="AF673" s="119"/>
    </row>
    <row r="674" spans="1:32" x14ac:dyDescent="0.3">
      <c r="A674" s="118"/>
      <c r="C674" s="118"/>
      <c r="E674" s="118"/>
      <c r="G674" s="118"/>
      <c r="I674" s="118"/>
      <c r="K674" s="118"/>
      <c r="M674" s="118"/>
      <c r="O674" s="118"/>
      <c r="P674" s="119"/>
      <c r="S674" s="118"/>
      <c r="U674" s="118"/>
      <c r="W674" s="118"/>
      <c r="Y674" s="118"/>
      <c r="AA674" s="118"/>
      <c r="AC674" s="118"/>
      <c r="AE674" s="118"/>
      <c r="AF674" s="119"/>
    </row>
    <row r="675" spans="1:32" x14ac:dyDescent="0.3">
      <c r="A675" s="118"/>
      <c r="C675" s="118"/>
      <c r="E675" s="118"/>
      <c r="G675" s="118"/>
      <c r="I675" s="118"/>
      <c r="K675" s="118"/>
      <c r="M675" s="118"/>
      <c r="O675" s="118"/>
      <c r="P675" s="119"/>
      <c r="S675" s="118"/>
      <c r="U675" s="118"/>
      <c r="W675" s="118"/>
      <c r="Y675" s="118"/>
      <c r="AA675" s="118"/>
      <c r="AC675" s="118"/>
      <c r="AE675" s="118"/>
      <c r="AF675" s="119"/>
    </row>
    <row r="676" spans="1:32" x14ac:dyDescent="0.3">
      <c r="A676" s="118"/>
      <c r="C676" s="118"/>
      <c r="E676" s="118"/>
      <c r="G676" s="118"/>
      <c r="I676" s="118"/>
      <c r="K676" s="118"/>
      <c r="M676" s="118"/>
      <c r="O676" s="118"/>
      <c r="P676" s="119"/>
      <c r="S676" s="118"/>
      <c r="U676" s="118"/>
      <c r="W676" s="118"/>
      <c r="Y676" s="118"/>
      <c r="AA676" s="118"/>
      <c r="AC676" s="118"/>
      <c r="AE676" s="118"/>
      <c r="AF676" s="119"/>
    </row>
    <row r="677" spans="1:32" x14ac:dyDescent="0.3">
      <c r="A677" s="118"/>
      <c r="C677" s="118"/>
      <c r="E677" s="118"/>
      <c r="G677" s="118"/>
      <c r="I677" s="118"/>
      <c r="K677" s="118"/>
      <c r="M677" s="118"/>
      <c r="O677" s="118"/>
      <c r="P677" s="119"/>
      <c r="S677" s="118"/>
      <c r="U677" s="118"/>
      <c r="W677" s="118"/>
      <c r="Y677" s="118"/>
      <c r="AA677" s="118"/>
      <c r="AC677" s="118"/>
      <c r="AE677" s="118"/>
      <c r="AF677" s="119"/>
    </row>
    <row r="678" spans="1:32" x14ac:dyDescent="0.3">
      <c r="A678" s="118"/>
      <c r="C678" s="118"/>
      <c r="E678" s="118"/>
      <c r="G678" s="118"/>
      <c r="I678" s="118"/>
      <c r="K678" s="118"/>
      <c r="M678" s="118"/>
      <c r="O678" s="118"/>
      <c r="P678" s="119"/>
      <c r="S678" s="118"/>
      <c r="U678" s="118"/>
      <c r="W678" s="118"/>
      <c r="Y678" s="118"/>
      <c r="AA678" s="118"/>
      <c r="AC678" s="118"/>
      <c r="AE678" s="118"/>
      <c r="AF678" s="119"/>
    </row>
    <row r="679" spans="1:32" x14ac:dyDescent="0.3">
      <c r="A679" s="118"/>
      <c r="C679" s="118"/>
      <c r="E679" s="118"/>
      <c r="G679" s="118"/>
      <c r="I679" s="118"/>
      <c r="K679" s="118"/>
      <c r="M679" s="118"/>
      <c r="O679" s="118"/>
      <c r="P679" s="119"/>
      <c r="S679" s="118"/>
      <c r="U679" s="118"/>
      <c r="W679" s="118"/>
      <c r="Y679" s="118"/>
      <c r="AA679" s="118"/>
      <c r="AC679" s="118"/>
      <c r="AE679" s="118"/>
      <c r="AF679" s="119"/>
    </row>
    <row r="680" spans="1:32" x14ac:dyDescent="0.3">
      <c r="A680" s="118"/>
      <c r="C680" s="118"/>
      <c r="E680" s="118"/>
      <c r="G680" s="118"/>
      <c r="I680" s="118"/>
      <c r="K680" s="118"/>
      <c r="M680" s="118"/>
      <c r="O680" s="118"/>
      <c r="P680" s="119"/>
      <c r="S680" s="118"/>
      <c r="U680" s="118"/>
      <c r="W680" s="118"/>
      <c r="Y680" s="118"/>
      <c r="AA680" s="118"/>
      <c r="AC680" s="118"/>
      <c r="AE680" s="118"/>
      <c r="AF680" s="119"/>
    </row>
    <row r="681" spans="1:32" x14ac:dyDescent="0.3">
      <c r="A681" s="118"/>
      <c r="C681" s="118"/>
      <c r="E681" s="118"/>
      <c r="G681" s="118"/>
      <c r="I681" s="118"/>
      <c r="K681" s="118"/>
      <c r="M681" s="118"/>
      <c r="O681" s="118"/>
      <c r="P681" s="119"/>
      <c r="S681" s="118"/>
      <c r="U681" s="118"/>
      <c r="W681" s="118"/>
      <c r="Y681" s="118"/>
      <c r="AA681" s="118"/>
      <c r="AC681" s="118"/>
      <c r="AE681" s="118"/>
      <c r="AF681" s="119"/>
    </row>
    <row r="682" spans="1:32" x14ac:dyDescent="0.3">
      <c r="A682" s="118"/>
      <c r="C682" s="118"/>
      <c r="E682" s="118"/>
      <c r="G682" s="118"/>
      <c r="I682" s="118"/>
      <c r="K682" s="118"/>
      <c r="M682" s="118"/>
      <c r="O682" s="118"/>
      <c r="P682" s="119"/>
      <c r="S682" s="118"/>
      <c r="U682" s="118"/>
      <c r="W682" s="118"/>
      <c r="Y682" s="118"/>
      <c r="AA682" s="118"/>
      <c r="AC682" s="118"/>
      <c r="AE682" s="118"/>
      <c r="AF682" s="119"/>
    </row>
    <row r="683" spans="1:32" x14ac:dyDescent="0.3">
      <c r="A683" s="118"/>
      <c r="C683" s="118"/>
      <c r="E683" s="118"/>
      <c r="G683" s="118"/>
      <c r="I683" s="118"/>
      <c r="K683" s="118"/>
      <c r="M683" s="118"/>
      <c r="O683" s="118"/>
      <c r="P683" s="119"/>
      <c r="S683" s="118"/>
      <c r="U683" s="118"/>
      <c r="W683" s="118"/>
      <c r="Y683" s="118"/>
      <c r="AA683" s="118"/>
      <c r="AC683" s="118"/>
      <c r="AE683" s="118"/>
      <c r="AF683" s="119"/>
    </row>
    <row r="684" spans="1:32" x14ac:dyDescent="0.3">
      <c r="A684" s="118"/>
      <c r="C684" s="118"/>
      <c r="E684" s="118"/>
      <c r="G684" s="118"/>
      <c r="I684" s="118"/>
      <c r="K684" s="118"/>
      <c r="M684" s="118"/>
      <c r="O684" s="118"/>
      <c r="P684" s="119"/>
      <c r="S684" s="118"/>
      <c r="U684" s="118"/>
      <c r="W684" s="118"/>
      <c r="Y684" s="118"/>
      <c r="AA684" s="118"/>
      <c r="AC684" s="118"/>
      <c r="AE684" s="118"/>
      <c r="AF684" s="119"/>
    </row>
    <row r="685" spans="1:32" x14ac:dyDescent="0.3">
      <c r="A685" s="118"/>
      <c r="C685" s="118"/>
      <c r="E685" s="118"/>
      <c r="G685" s="118"/>
      <c r="I685" s="118"/>
      <c r="K685" s="118"/>
      <c r="M685" s="118"/>
      <c r="O685" s="118"/>
      <c r="P685" s="119"/>
      <c r="S685" s="118"/>
      <c r="U685" s="118"/>
      <c r="W685" s="118"/>
      <c r="Y685" s="118"/>
      <c r="AA685" s="118"/>
      <c r="AC685" s="118"/>
      <c r="AE685" s="118"/>
      <c r="AF685" s="119"/>
    </row>
    <row r="686" spans="1:32" x14ac:dyDescent="0.3">
      <c r="A686" s="118"/>
      <c r="C686" s="118"/>
      <c r="E686" s="118"/>
      <c r="G686" s="118"/>
      <c r="I686" s="118"/>
      <c r="K686" s="118"/>
      <c r="M686" s="118"/>
      <c r="O686" s="118"/>
      <c r="P686" s="119"/>
      <c r="S686" s="118"/>
      <c r="U686" s="118"/>
      <c r="W686" s="118"/>
      <c r="Y686" s="118"/>
      <c r="AA686" s="118"/>
      <c r="AC686" s="118"/>
      <c r="AE686" s="118"/>
      <c r="AF686" s="119"/>
    </row>
    <row r="687" spans="1:32" x14ac:dyDescent="0.3">
      <c r="A687" s="118"/>
      <c r="C687" s="118"/>
      <c r="E687" s="118"/>
      <c r="G687" s="118"/>
      <c r="I687" s="118"/>
      <c r="K687" s="118"/>
      <c r="M687" s="118"/>
      <c r="O687" s="118"/>
      <c r="P687" s="119"/>
      <c r="S687" s="118"/>
      <c r="U687" s="118"/>
      <c r="W687" s="118"/>
      <c r="Y687" s="118"/>
      <c r="AA687" s="118"/>
      <c r="AC687" s="118"/>
      <c r="AE687" s="118"/>
      <c r="AF687" s="119"/>
    </row>
    <row r="688" spans="1:32" x14ac:dyDescent="0.3">
      <c r="A688" s="118"/>
      <c r="C688" s="118"/>
      <c r="E688" s="118"/>
      <c r="G688" s="118"/>
      <c r="I688" s="118"/>
      <c r="K688" s="118"/>
      <c r="M688" s="118"/>
      <c r="O688" s="118"/>
      <c r="P688" s="119"/>
      <c r="S688" s="118"/>
      <c r="U688" s="118"/>
      <c r="W688" s="118"/>
      <c r="Y688" s="118"/>
      <c r="AA688" s="118"/>
      <c r="AC688" s="118"/>
      <c r="AE688" s="118"/>
      <c r="AF688" s="119"/>
    </row>
    <row r="689" spans="1:32" x14ac:dyDescent="0.3">
      <c r="A689" s="118"/>
      <c r="C689" s="118"/>
      <c r="E689" s="118"/>
      <c r="G689" s="118"/>
      <c r="I689" s="118"/>
      <c r="K689" s="118"/>
      <c r="M689" s="118"/>
      <c r="O689" s="118"/>
      <c r="P689" s="119"/>
      <c r="S689" s="118"/>
      <c r="U689" s="118"/>
      <c r="W689" s="118"/>
      <c r="Y689" s="118"/>
      <c r="AA689" s="118"/>
      <c r="AC689" s="118"/>
      <c r="AE689" s="118"/>
      <c r="AF689" s="119"/>
    </row>
    <row r="690" spans="1:32" x14ac:dyDescent="0.3">
      <c r="A690" s="118"/>
      <c r="C690" s="118"/>
      <c r="E690" s="118"/>
      <c r="G690" s="118"/>
      <c r="I690" s="118"/>
      <c r="K690" s="118"/>
      <c r="M690" s="118"/>
      <c r="O690" s="118"/>
      <c r="P690" s="119"/>
      <c r="S690" s="118"/>
      <c r="U690" s="118"/>
      <c r="W690" s="118"/>
      <c r="Y690" s="118"/>
      <c r="AA690" s="118"/>
      <c r="AC690" s="118"/>
      <c r="AE690" s="118"/>
      <c r="AF690" s="119"/>
    </row>
    <row r="691" spans="1:32" x14ac:dyDescent="0.3">
      <c r="A691" s="118"/>
      <c r="C691" s="118"/>
      <c r="E691" s="118"/>
      <c r="G691" s="118"/>
      <c r="I691" s="118"/>
      <c r="K691" s="118"/>
      <c r="M691" s="118"/>
      <c r="O691" s="118"/>
      <c r="P691" s="119"/>
      <c r="S691" s="118"/>
      <c r="U691" s="118"/>
      <c r="W691" s="118"/>
      <c r="Y691" s="118"/>
      <c r="AA691" s="118"/>
      <c r="AC691" s="118"/>
      <c r="AE691" s="118"/>
      <c r="AF691" s="119"/>
    </row>
    <row r="692" spans="1:32" x14ac:dyDescent="0.3">
      <c r="A692" s="118"/>
      <c r="C692" s="118"/>
      <c r="E692" s="118"/>
      <c r="G692" s="118"/>
      <c r="I692" s="118"/>
      <c r="K692" s="118"/>
      <c r="M692" s="118"/>
      <c r="O692" s="118"/>
      <c r="P692" s="119"/>
      <c r="S692" s="118"/>
      <c r="U692" s="118"/>
      <c r="W692" s="118"/>
      <c r="Y692" s="118"/>
      <c r="AA692" s="118"/>
      <c r="AC692" s="118"/>
      <c r="AE692" s="118"/>
      <c r="AF692" s="119"/>
    </row>
    <row r="693" spans="1:32" x14ac:dyDescent="0.3">
      <c r="A693" s="118"/>
      <c r="C693" s="118"/>
      <c r="E693" s="118"/>
      <c r="G693" s="118"/>
      <c r="I693" s="118"/>
      <c r="K693" s="118"/>
      <c r="M693" s="118"/>
      <c r="O693" s="118"/>
      <c r="P693" s="119"/>
      <c r="S693" s="118"/>
      <c r="U693" s="118"/>
      <c r="W693" s="118"/>
      <c r="Y693" s="118"/>
      <c r="AA693" s="118"/>
      <c r="AC693" s="118"/>
      <c r="AE693" s="118"/>
      <c r="AF693" s="119"/>
    </row>
    <row r="694" spans="1:32" x14ac:dyDescent="0.3">
      <c r="A694" s="118"/>
      <c r="C694" s="118"/>
      <c r="E694" s="118"/>
      <c r="G694" s="118"/>
      <c r="I694" s="118"/>
      <c r="K694" s="118"/>
      <c r="M694" s="118"/>
      <c r="O694" s="118"/>
      <c r="P694" s="119"/>
      <c r="S694" s="118"/>
      <c r="U694" s="118"/>
      <c r="W694" s="118"/>
      <c r="Y694" s="118"/>
      <c r="AA694" s="118"/>
      <c r="AC694" s="118"/>
      <c r="AE694" s="118"/>
      <c r="AF694" s="119"/>
    </row>
    <row r="695" spans="1:32" x14ac:dyDescent="0.3">
      <c r="A695" s="118"/>
      <c r="C695" s="118"/>
      <c r="E695" s="118"/>
      <c r="G695" s="118"/>
      <c r="I695" s="118"/>
      <c r="K695" s="118"/>
      <c r="M695" s="118"/>
      <c r="O695" s="118"/>
      <c r="P695" s="119"/>
      <c r="S695" s="118"/>
      <c r="U695" s="118"/>
      <c r="W695" s="118"/>
      <c r="Y695" s="118"/>
      <c r="AA695" s="118"/>
      <c r="AC695" s="118"/>
      <c r="AE695" s="118"/>
      <c r="AF695" s="119"/>
    </row>
    <row r="696" spans="1:32" x14ac:dyDescent="0.3">
      <c r="A696" s="118"/>
      <c r="C696" s="118"/>
      <c r="E696" s="118"/>
      <c r="G696" s="118"/>
      <c r="I696" s="118"/>
      <c r="K696" s="118"/>
      <c r="M696" s="118"/>
      <c r="O696" s="118"/>
      <c r="P696" s="119"/>
      <c r="S696" s="118"/>
      <c r="U696" s="118"/>
      <c r="W696" s="118"/>
      <c r="Y696" s="118"/>
      <c r="AA696" s="118"/>
      <c r="AC696" s="118"/>
      <c r="AE696" s="118"/>
      <c r="AF696" s="119"/>
    </row>
    <row r="697" spans="1:32" x14ac:dyDescent="0.3">
      <c r="A697" s="118"/>
      <c r="C697" s="118"/>
      <c r="E697" s="118"/>
      <c r="G697" s="118"/>
      <c r="I697" s="118"/>
      <c r="K697" s="118"/>
      <c r="M697" s="118"/>
      <c r="O697" s="118"/>
      <c r="P697" s="119"/>
      <c r="S697" s="118"/>
      <c r="U697" s="118"/>
      <c r="W697" s="118"/>
      <c r="Y697" s="118"/>
      <c r="AA697" s="118"/>
      <c r="AC697" s="118"/>
      <c r="AE697" s="118"/>
      <c r="AF697" s="119"/>
    </row>
    <row r="698" spans="1:32" x14ac:dyDescent="0.3">
      <c r="A698" s="118"/>
      <c r="C698" s="118"/>
      <c r="E698" s="118"/>
      <c r="G698" s="118"/>
      <c r="I698" s="118"/>
      <c r="K698" s="118"/>
      <c r="M698" s="118"/>
      <c r="O698" s="118"/>
      <c r="P698" s="119"/>
      <c r="S698" s="118"/>
      <c r="U698" s="118"/>
      <c r="W698" s="118"/>
      <c r="Y698" s="118"/>
      <c r="AA698" s="118"/>
      <c r="AC698" s="118"/>
      <c r="AE698" s="118"/>
      <c r="AF698" s="119"/>
    </row>
    <row r="699" spans="1:32" x14ac:dyDescent="0.3">
      <c r="A699" s="118"/>
      <c r="C699" s="118"/>
      <c r="E699" s="118"/>
      <c r="G699" s="118"/>
      <c r="I699" s="118"/>
      <c r="K699" s="118"/>
      <c r="M699" s="118"/>
      <c r="O699" s="118"/>
      <c r="P699" s="119"/>
      <c r="S699" s="118"/>
      <c r="U699" s="118"/>
      <c r="W699" s="118"/>
      <c r="Y699" s="118"/>
      <c r="AA699" s="118"/>
      <c r="AC699" s="118"/>
      <c r="AE699" s="118"/>
      <c r="AF699" s="119"/>
    </row>
    <row r="700" spans="1:32" x14ac:dyDescent="0.3">
      <c r="A700" s="118"/>
      <c r="C700" s="118"/>
      <c r="E700" s="118"/>
      <c r="G700" s="118"/>
      <c r="I700" s="118"/>
      <c r="K700" s="118"/>
      <c r="M700" s="118"/>
      <c r="O700" s="118"/>
      <c r="P700" s="119"/>
      <c r="S700" s="118"/>
      <c r="U700" s="118"/>
      <c r="W700" s="118"/>
      <c r="Y700" s="118"/>
      <c r="AA700" s="118"/>
      <c r="AC700" s="118"/>
      <c r="AE700" s="118"/>
      <c r="AF700" s="119"/>
    </row>
    <row r="701" spans="1:32" x14ac:dyDescent="0.3">
      <c r="A701" s="118"/>
      <c r="C701" s="118"/>
      <c r="E701" s="118"/>
      <c r="G701" s="118"/>
      <c r="I701" s="118"/>
      <c r="K701" s="118"/>
      <c r="M701" s="118"/>
      <c r="O701" s="118"/>
      <c r="P701" s="119"/>
      <c r="S701" s="118"/>
      <c r="U701" s="118"/>
      <c r="W701" s="118"/>
      <c r="Y701" s="118"/>
      <c r="AA701" s="118"/>
      <c r="AC701" s="118"/>
      <c r="AE701" s="118"/>
      <c r="AF701" s="119"/>
    </row>
    <row r="702" spans="1:32" x14ac:dyDescent="0.3">
      <c r="A702" s="118"/>
      <c r="C702" s="118"/>
      <c r="E702" s="118"/>
      <c r="G702" s="118"/>
      <c r="I702" s="118"/>
      <c r="K702" s="118"/>
      <c r="M702" s="118"/>
      <c r="O702" s="118"/>
      <c r="P702" s="119"/>
      <c r="S702" s="118"/>
      <c r="U702" s="118"/>
      <c r="W702" s="118"/>
      <c r="Y702" s="118"/>
      <c r="AA702" s="118"/>
      <c r="AC702" s="118"/>
      <c r="AE702" s="118"/>
      <c r="AF702" s="119"/>
    </row>
    <row r="703" spans="1:32" x14ac:dyDescent="0.3">
      <c r="A703" s="118"/>
      <c r="C703" s="118"/>
      <c r="E703" s="118"/>
      <c r="G703" s="118"/>
      <c r="I703" s="118"/>
      <c r="K703" s="118"/>
      <c r="M703" s="118"/>
      <c r="O703" s="118"/>
      <c r="P703" s="119"/>
      <c r="S703" s="118"/>
      <c r="U703" s="118"/>
      <c r="W703" s="118"/>
      <c r="Y703" s="118"/>
      <c r="AA703" s="118"/>
      <c r="AC703" s="118"/>
      <c r="AE703" s="118"/>
      <c r="AF703" s="119"/>
    </row>
    <row r="704" spans="1:32" x14ac:dyDescent="0.3">
      <c r="A704" s="118"/>
      <c r="C704" s="118"/>
      <c r="E704" s="118"/>
      <c r="G704" s="118"/>
      <c r="I704" s="118"/>
      <c r="K704" s="118"/>
      <c r="M704" s="118"/>
      <c r="O704" s="118"/>
      <c r="P704" s="119"/>
      <c r="S704" s="118"/>
      <c r="U704" s="118"/>
      <c r="W704" s="118"/>
      <c r="Y704" s="118"/>
      <c r="AA704" s="118"/>
      <c r="AC704" s="118"/>
      <c r="AE704" s="118"/>
      <c r="AF704" s="119"/>
    </row>
    <row r="705" spans="1:32" x14ac:dyDescent="0.3">
      <c r="A705" s="118"/>
      <c r="C705" s="118"/>
      <c r="E705" s="118"/>
      <c r="G705" s="118"/>
      <c r="I705" s="118"/>
      <c r="K705" s="118"/>
      <c r="M705" s="118"/>
      <c r="O705" s="118"/>
      <c r="P705" s="119"/>
      <c r="S705" s="118"/>
      <c r="U705" s="118"/>
      <c r="W705" s="118"/>
      <c r="Y705" s="118"/>
      <c r="AA705" s="118"/>
      <c r="AC705" s="118"/>
      <c r="AE705" s="118"/>
      <c r="AF705" s="119"/>
    </row>
    <row r="706" spans="1:32" x14ac:dyDescent="0.3">
      <c r="A706" s="118"/>
      <c r="C706" s="118"/>
      <c r="E706" s="118"/>
      <c r="G706" s="118"/>
      <c r="I706" s="118"/>
      <c r="K706" s="118"/>
      <c r="M706" s="118"/>
      <c r="O706" s="118"/>
      <c r="P706" s="119"/>
      <c r="S706" s="118"/>
      <c r="U706" s="118"/>
      <c r="W706" s="118"/>
      <c r="Y706" s="118"/>
      <c r="AA706" s="118"/>
      <c r="AC706" s="118"/>
      <c r="AE706" s="118"/>
      <c r="AF706" s="119"/>
    </row>
    <row r="707" spans="1:32" x14ac:dyDescent="0.3">
      <c r="A707" s="118"/>
      <c r="C707" s="118"/>
      <c r="E707" s="118"/>
      <c r="G707" s="118"/>
      <c r="I707" s="118"/>
      <c r="K707" s="118"/>
      <c r="M707" s="118"/>
      <c r="O707" s="118"/>
      <c r="P707" s="119"/>
      <c r="S707" s="118"/>
      <c r="U707" s="118"/>
      <c r="W707" s="118"/>
      <c r="Y707" s="118"/>
      <c r="AA707" s="118"/>
      <c r="AC707" s="118"/>
      <c r="AE707" s="118"/>
      <c r="AF707" s="119"/>
    </row>
    <row r="708" spans="1:32" x14ac:dyDescent="0.3">
      <c r="A708" s="118"/>
      <c r="C708" s="118"/>
      <c r="E708" s="118"/>
      <c r="G708" s="118"/>
      <c r="I708" s="118"/>
      <c r="K708" s="118"/>
      <c r="M708" s="118"/>
      <c r="O708" s="118"/>
      <c r="P708" s="119"/>
      <c r="S708" s="118"/>
      <c r="U708" s="118"/>
      <c r="W708" s="118"/>
      <c r="Y708" s="118"/>
      <c r="AA708" s="118"/>
      <c r="AC708" s="118"/>
      <c r="AE708" s="118"/>
      <c r="AF708" s="119"/>
    </row>
    <row r="709" spans="1:32" x14ac:dyDescent="0.3">
      <c r="A709" s="118"/>
      <c r="C709" s="118"/>
      <c r="E709" s="118"/>
      <c r="G709" s="118"/>
      <c r="I709" s="118"/>
      <c r="K709" s="118"/>
      <c r="M709" s="118"/>
      <c r="O709" s="118"/>
      <c r="P709" s="119"/>
      <c r="S709" s="118"/>
      <c r="U709" s="118"/>
      <c r="W709" s="118"/>
      <c r="Y709" s="118"/>
      <c r="AA709" s="118"/>
      <c r="AC709" s="118"/>
      <c r="AE709" s="118"/>
      <c r="AF709" s="119"/>
    </row>
    <row r="710" spans="1:32" x14ac:dyDescent="0.3">
      <c r="A710" s="118"/>
      <c r="C710" s="118"/>
      <c r="E710" s="118"/>
      <c r="G710" s="118"/>
      <c r="I710" s="118"/>
      <c r="K710" s="118"/>
      <c r="M710" s="118"/>
      <c r="O710" s="118"/>
      <c r="P710" s="119"/>
      <c r="S710" s="118"/>
      <c r="U710" s="118"/>
      <c r="W710" s="118"/>
      <c r="Y710" s="118"/>
      <c r="AA710" s="118"/>
      <c r="AC710" s="118"/>
      <c r="AE710" s="118"/>
      <c r="AF710" s="119"/>
    </row>
    <row r="711" spans="1:32" x14ac:dyDescent="0.3">
      <c r="A711" s="118"/>
      <c r="C711" s="118"/>
      <c r="E711" s="118"/>
      <c r="G711" s="118"/>
      <c r="I711" s="118"/>
      <c r="K711" s="118"/>
      <c r="M711" s="118"/>
      <c r="O711" s="118"/>
      <c r="P711" s="119"/>
      <c r="S711" s="118"/>
      <c r="U711" s="118"/>
      <c r="W711" s="118"/>
      <c r="Y711" s="118"/>
      <c r="AA711" s="118"/>
      <c r="AC711" s="118"/>
      <c r="AE711" s="118"/>
      <c r="AF711" s="119"/>
    </row>
    <row r="712" spans="1:32" x14ac:dyDescent="0.3">
      <c r="A712" s="118"/>
      <c r="C712" s="118"/>
      <c r="E712" s="118"/>
      <c r="G712" s="118"/>
      <c r="I712" s="118"/>
      <c r="K712" s="118"/>
      <c r="M712" s="118"/>
      <c r="O712" s="118"/>
      <c r="P712" s="119"/>
      <c r="S712" s="118"/>
      <c r="U712" s="118"/>
      <c r="W712" s="118"/>
      <c r="Y712" s="118"/>
      <c r="AA712" s="118"/>
      <c r="AC712" s="118"/>
      <c r="AE712" s="118"/>
      <c r="AF712" s="119"/>
    </row>
    <row r="713" spans="1:32" x14ac:dyDescent="0.3">
      <c r="A713" s="118"/>
      <c r="C713" s="118"/>
      <c r="E713" s="118"/>
      <c r="G713" s="118"/>
      <c r="I713" s="118"/>
      <c r="K713" s="118"/>
      <c r="M713" s="118"/>
      <c r="O713" s="118"/>
      <c r="P713" s="119"/>
      <c r="S713" s="118"/>
      <c r="U713" s="118"/>
      <c r="W713" s="118"/>
      <c r="Y713" s="118"/>
      <c r="AA713" s="118"/>
      <c r="AC713" s="118"/>
      <c r="AE713" s="118"/>
      <c r="AF713" s="119"/>
    </row>
    <row r="714" spans="1:32" x14ac:dyDescent="0.3">
      <c r="A714" s="118"/>
      <c r="C714" s="118"/>
      <c r="E714" s="118"/>
      <c r="G714" s="118"/>
      <c r="I714" s="118"/>
      <c r="K714" s="118"/>
      <c r="M714" s="118"/>
      <c r="O714" s="118"/>
      <c r="P714" s="119"/>
      <c r="S714" s="118"/>
      <c r="U714" s="118"/>
      <c r="W714" s="118"/>
      <c r="Y714" s="118"/>
      <c r="AA714" s="118"/>
      <c r="AC714" s="118"/>
      <c r="AE714" s="118"/>
      <c r="AF714" s="119"/>
    </row>
    <row r="715" spans="1:32" x14ac:dyDescent="0.3">
      <c r="A715" s="118"/>
      <c r="C715" s="118"/>
      <c r="E715" s="118"/>
      <c r="G715" s="118"/>
      <c r="I715" s="118"/>
      <c r="K715" s="118"/>
      <c r="M715" s="118"/>
      <c r="O715" s="118"/>
      <c r="P715" s="119"/>
      <c r="S715" s="118"/>
      <c r="U715" s="118"/>
      <c r="W715" s="118"/>
      <c r="Y715" s="118"/>
      <c r="AA715" s="118"/>
      <c r="AC715" s="118"/>
      <c r="AE715" s="118"/>
      <c r="AF715" s="119"/>
    </row>
    <row r="716" spans="1:32" x14ac:dyDescent="0.3">
      <c r="A716" s="118"/>
      <c r="C716" s="118"/>
      <c r="E716" s="118"/>
      <c r="G716" s="118"/>
      <c r="I716" s="118"/>
      <c r="K716" s="118"/>
      <c r="M716" s="118"/>
      <c r="O716" s="118"/>
      <c r="P716" s="119"/>
      <c r="S716" s="118"/>
      <c r="U716" s="118"/>
      <c r="W716" s="118"/>
      <c r="Y716" s="118"/>
      <c r="AA716" s="118"/>
      <c r="AC716" s="118"/>
      <c r="AE716" s="118"/>
      <c r="AF716" s="119"/>
    </row>
    <row r="717" spans="1:32" x14ac:dyDescent="0.3">
      <c r="A717" s="118"/>
      <c r="C717" s="118"/>
      <c r="E717" s="118"/>
      <c r="G717" s="118"/>
      <c r="I717" s="118"/>
      <c r="K717" s="118"/>
      <c r="M717" s="118"/>
      <c r="O717" s="118"/>
      <c r="P717" s="119"/>
      <c r="S717" s="118"/>
      <c r="U717" s="118"/>
      <c r="W717" s="118"/>
      <c r="Y717" s="118"/>
      <c r="AA717" s="118"/>
      <c r="AC717" s="118"/>
      <c r="AE717" s="118"/>
      <c r="AF717" s="119"/>
    </row>
    <row r="718" spans="1:32" x14ac:dyDescent="0.3">
      <c r="A718" s="118"/>
      <c r="C718" s="118"/>
      <c r="E718" s="118"/>
      <c r="G718" s="118"/>
      <c r="I718" s="118"/>
      <c r="K718" s="118"/>
      <c r="M718" s="118"/>
      <c r="O718" s="118"/>
      <c r="P718" s="119"/>
      <c r="S718" s="118"/>
      <c r="U718" s="118"/>
      <c r="W718" s="118"/>
      <c r="Y718" s="118"/>
      <c r="AA718" s="118"/>
      <c r="AC718" s="118"/>
      <c r="AE718" s="118"/>
      <c r="AF718" s="119"/>
    </row>
    <row r="719" spans="1:32" x14ac:dyDescent="0.3">
      <c r="A719" s="118"/>
      <c r="C719" s="118"/>
      <c r="E719" s="118"/>
      <c r="G719" s="118"/>
      <c r="I719" s="118"/>
      <c r="K719" s="118"/>
      <c r="M719" s="118"/>
      <c r="O719" s="118"/>
      <c r="P719" s="119"/>
      <c r="S719" s="118"/>
      <c r="U719" s="118"/>
      <c r="W719" s="118"/>
      <c r="Y719" s="118"/>
      <c r="AA719" s="118"/>
      <c r="AC719" s="118"/>
      <c r="AE719" s="118"/>
      <c r="AF719" s="119"/>
    </row>
    <row r="720" spans="1:32" x14ac:dyDescent="0.3">
      <c r="A720" s="118"/>
      <c r="C720" s="118"/>
      <c r="E720" s="118"/>
      <c r="G720" s="118"/>
      <c r="I720" s="118"/>
      <c r="K720" s="118"/>
      <c r="M720" s="118"/>
      <c r="O720" s="118"/>
      <c r="P720" s="119"/>
      <c r="S720" s="118"/>
      <c r="U720" s="118"/>
      <c r="W720" s="118"/>
      <c r="Y720" s="118"/>
      <c r="AA720" s="118"/>
      <c r="AC720" s="118"/>
      <c r="AE720" s="118"/>
      <c r="AF720" s="119"/>
    </row>
    <row r="721" spans="1:32" x14ac:dyDescent="0.3">
      <c r="A721" s="118"/>
      <c r="C721" s="118"/>
      <c r="E721" s="118"/>
      <c r="G721" s="118"/>
      <c r="I721" s="118"/>
      <c r="K721" s="118"/>
      <c r="M721" s="118"/>
      <c r="O721" s="118"/>
      <c r="P721" s="119"/>
      <c r="S721" s="118"/>
      <c r="U721" s="118"/>
      <c r="W721" s="118"/>
      <c r="Y721" s="118"/>
      <c r="AA721" s="118"/>
      <c r="AC721" s="118"/>
      <c r="AE721" s="118"/>
      <c r="AF721" s="119"/>
    </row>
    <row r="722" spans="1:32" x14ac:dyDescent="0.3">
      <c r="A722" s="118"/>
      <c r="C722" s="118"/>
      <c r="E722" s="118"/>
      <c r="G722" s="118"/>
      <c r="I722" s="118"/>
      <c r="K722" s="118"/>
      <c r="M722" s="118"/>
      <c r="O722" s="118"/>
      <c r="P722" s="119"/>
      <c r="S722" s="118"/>
      <c r="U722" s="118"/>
      <c r="W722" s="118"/>
      <c r="Y722" s="118"/>
      <c r="AA722" s="118"/>
      <c r="AC722" s="118"/>
      <c r="AE722" s="118"/>
      <c r="AF722" s="119"/>
    </row>
    <row r="723" spans="1:32" x14ac:dyDescent="0.3">
      <c r="A723" s="118"/>
      <c r="C723" s="118"/>
      <c r="E723" s="118"/>
      <c r="G723" s="118"/>
      <c r="I723" s="118"/>
      <c r="K723" s="118"/>
      <c r="M723" s="118"/>
      <c r="O723" s="118"/>
      <c r="P723" s="119"/>
      <c r="S723" s="118"/>
      <c r="U723" s="118"/>
      <c r="W723" s="118"/>
      <c r="Y723" s="118"/>
      <c r="AA723" s="118"/>
      <c r="AC723" s="118"/>
      <c r="AE723" s="118"/>
      <c r="AF723" s="119"/>
    </row>
    <row r="724" spans="1:32" x14ac:dyDescent="0.3">
      <c r="A724" s="118"/>
      <c r="C724" s="118"/>
      <c r="E724" s="118"/>
      <c r="G724" s="118"/>
      <c r="I724" s="118"/>
      <c r="K724" s="118"/>
      <c r="M724" s="118"/>
      <c r="O724" s="118"/>
      <c r="P724" s="119"/>
      <c r="S724" s="118"/>
      <c r="U724" s="118"/>
      <c r="W724" s="118"/>
      <c r="Y724" s="118"/>
      <c r="AA724" s="118"/>
      <c r="AC724" s="118"/>
      <c r="AE724" s="118"/>
      <c r="AF724" s="119"/>
    </row>
    <row r="725" spans="1:32" x14ac:dyDescent="0.3">
      <c r="A725" s="118"/>
      <c r="C725" s="118"/>
      <c r="E725" s="118"/>
      <c r="G725" s="118"/>
      <c r="I725" s="118"/>
      <c r="K725" s="118"/>
      <c r="M725" s="118"/>
      <c r="O725" s="118"/>
      <c r="P725" s="119"/>
      <c r="S725" s="118"/>
      <c r="U725" s="118"/>
      <c r="W725" s="118"/>
      <c r="Y725" s="118"/>
      <c r="AA725" s="118"/>
      <c r="AC725" s="118"/>
      <c r="AE725" s="118"/>
      <c r="AF725" s="119"/>
    </row>
    <row r="726" spans="1:32" x14ac:dyDescent="0.3">
      <c r="A726" s="118"/>
      <c r="C726" s="118"/>
      <c r="E726" s="118"/>
      <c r="G726" s="118"/>
      <c r="I726" s="118"/>
      <c r="K726" s="118"/>
      <c r="M726" s="118"/>
      <c r="O726" s="118"/>
      <c r="P726" s="119"/>
      <c r="S726" s="118"/>
      <c r="U726" s="118"/>
      <c r="W726" s="118"/>
      <c r="Y726" s="118"/>
      <c r="AA726" s="118"/>
      <c r="AC726" s="118"/>
      <c r="AE726" s="118"/>
      <c r="AF726" s="119"/>
    </row>
    <row r="727" spans="1:32" x14ac:dyDescent="0.3">
      <c r="A727" s="118"/>
      <c r="C727" s="118"/>
      <c r="E727" s="118"/>
      <c r="G727" s="118"/>
      <c r="I727" s="118"/>
      <c r="K727" s="118"/>
      <c r="M727" s="118"/>
      <c r="O727" s="118"/>
      <c r="P727" s="119"/>
      <c r="S727" s="118"/>
      <c r="U727" s="118"/>
      <c r="W727" s="118"/>
      <c r="Y727" s="118"/>
      <c r="AA727" s="118"/>
      <c r="AC727" s="118"/>
      <c r="AE727" s="118"/>
      <c r="AF727" s="119"/>
    </row>
    <row r="728" spans="1:32" x14ac:dyDescent="0.3">
      <c r="A728" s="118"/>
      <c r="C728" s="118"/>
      <c r="E728" s="118"/>
      <c r="G728" s="118"/>
      <c r="I728" s="118"/>
      <c r="K728" s="118"/>
      <c r="M728" s="118"/>
      <c r="O728" s="118"/>
      <c r="P728" s="119"/>
      <c r="S728" s="118"/>
      <c r="U728" s="118"/>
      <c r="W728" s="118"/>
      <c r="Y728" s="118"/>
      <c r="AA728" s="118"/>
      <c r="AC728" s="118"/>
      <c r="AE728" s="118"/>
      <c r="AF728" s="119"/>
    </row>
    <row r="729" spans="1:32" x14ac:dyDescent="0.3">
      <c r="A729" s="118"/>
      <c r="C729" s="118"/>
      <c r="E729" s="118"/>
      <c r="G729" s="118"/>
      <c r="I729" s="118"/>
      <c r="K729" s="118"/>
      <c r="M729" s="118"/>
      <c r="O729" s="118"/>
      <c r="P729" s="119"/>
      <c r="S729" s="118"/>
      <c r="U729" s="118"/>
      <c r="W729" s="118"/>
      <c r="Y729" s="118"/>
      <c r="AA729" s="118"/>
      <c r="AC729" s="118"/>
      <c r="AE729" s="118"/>
      <c r="AF729" s="119"/>
    </row>
    <row r="730" spans="1:32" x14ac:dyDescent="0.3">
      <c r="A730" s="118"/>
      <c r="C730" s="118"/>
      <c r="E730" s="118"/>
      <c r="G730" s="118"/>
      <c r="I730" s="118"/>
      <c r="K730" s="118"/>
      <c r="M730" s="118"/>
      <c r="O730" s="118"/>
      <c r="P730" s="119"/>
      <c r="S730" s="118"/>
      <c r="U730" s="118"/>
      <c r="W730" s="118"/>
      <c r="Y730" s="118"/>
      <c r="AA730" s="118"/>
      <c r="AC730" s="118"/>
      <c r="AE730" s="118"/>
      <c r="AF730" s="119"/>
    </row>
    <row r="731" spans="1:32" x14ac:dyDescent="0.3">
      <c r="A731" s="118"/>
      <c r="C731" s="118"/>
      <c r="E731" s="118"/>
      <c r="G731" s="118"/>
      <c r="I731" s="118"/>
      <c r="K731" s="118"/>
      <c r="M731" s="118"/>
      <c r="O731" s="118"/>
      <c r="P731" s="119"/>
      <c r="S731" s="118"/>
      <c r="U731" s="118"/>
      <c r="W731" s="118"/>
      <c r="Y731" s="118"/>
      <c r="AA731" s="118"/>
      <c r="AC731" s="118"/>
      <c r="AE731" s="118"/>
      <c r="AF731" s="119"/>
    </row>
    <row r="732" spans="1:32" x14ac:dyDescent="0.3">
      <c r="A732" s="118"/>
      <c r="C732" s="118"/>
      <c r="E732" s="118"/>
      <c r="G732" s="118"/>
      <c r="I732" s="118"/>
      <c r="K732" s="118"/>
      <c r="M732" s="118"/>
      <c r="O732" s="118"/>
      <c r="P732" s="119"/>
      <c r="S732" s="118"/>
      <c r="U732" s="118"/>
      <c r="W732" s="118"/>
      <c r="Y732" s="118"/>
      <c r="AA732" s="118"/>
      <c r="AC732" s="118"/>
      <c r="AE732" s="118"/>
      <c r="AF732" s="119"/>
    </row>
    <row r="733" spans="1:32" x14ac:dyDescent="0.3">
      <c r="A733" s="118"/>
      <c r="C733" s="118"/>
      <c r="E733" s="118"/>
      <c r="G733" s="118"/>
      <c r="I733" s="118"/>
      <c r="K733" s="118"/>
      <c r="M733" s="118"/>
      <c r="O733" s="118"/>
      <c r="P733" s="119"/>
      <c r="S733" s="118"/>
      <c r="U733" s="118"/>
      <c r="W733" s="118"/>
      <c r="Y733" s="118"/>
      <c r="AA733" s="118"/>
      <c r="AC733" s="118"/>
      <c r="AE733" s="118"/>
      <c r="AF733" s="119"/>
    </row>
    <row r="734" spans="1:32" x14ac:dyDescent="0.3">
      <c r="A734" s="118"/>
      <c r="C734" s="118"/>
      <c r="E734" s="118"/>
      <c r="G734" s="118"/>
      <c r="I734" s="118"/>
      <c r="K734" s="118"/>
      <c r="M734" s="118"/>
      <c r="O734" s="118"/>
      <c r="P734" s="119"/>
      <c r="S734" s="118"/>
      <c r="U734" s="118"/>
      <c r="W734" s="118"/>
      <c r="Y734" s="118"/>
      <c r="AA734" s="118"/>
      <c r="AC734" s="118"/>
      <c r="AE734" s="118"/>
      <c r="AF734" s="119"/>
    </row>
    <row r="735" spans="1:32" x14ac:dyDescent="0.3">
      <c r="A735" s="118"/>
      <c r="C735" s="118"/>
      <c r="E735" s="118"/>
      <c r="G735" s="118"/>
      <c r="I735" s="118"/>
      <c r="K735" s="118"/>
      <c r="M735" s="118"/>
      <c r="O735" s="118"/>
      <c r="P735" s="119"/>
      <c r="S735" s="118"/>
      <c r="U735" s="118"/>
      <c r="W735" s="118"/>
      <c r="Y735" s="118"/>
      <c r="AA735" s="118"/>
      <c r="AC735" s="118"/>
      <c r="AE735" s="118"/>
      <c r="AF735" s="119"/>
    </row>
    <row r="736" spans="1:32" x14ac:dyDescent="0.3">
      <c r="A736" s="118"/>
      <c r="C736" s="118"/>
      <c r="E736" s="118"/>
      <c r="G736" s="118"/>
      <c r="I736" s="118"/>
      <c r="K736" s="118"/>
      <c r="M736" s="118"/>
      <c r="O736" s="118"/>
      <c r="P736" s="119"/>
      <c r="S736" s="118"/>
      <c r="U736" s="118"/>
      <c r="W736" s="118"/>
      <c r="Y736" s="118"/>
      <c r="AA736" s="118"/>
      <c r="AC736" s="118"/>
      <c r="AE736" s="118"/>
      <c r="AF736" s="119"/>
    </row>
    <row r="737" spans="1:32" x14ac:dyDescent="0.3">
      <c r="A737" s="118"/>
      <c r="C737" s="118"/>
      <c r="E737" s="118"/>
      <c r="G737" s="118"/>
      <c r="I737" s="118"/>
      <c r="K737" s="118"/>
      <c r="M737" s="118"/>
      <c r="O737" s="118"/>
      <c r="P737" s="119"/>
      <c r="S737" s="118"/>
      <c r="U737" s="118"/>
      <c r="W737" s="118"/>
      <c r="Y737" s="118"/>
      <c r="AA737" s="118"/>
      <c r="AC737" s="118"/>
      <c r="AE737" s="118"/>
      <c r="AF737" s="119"/>
    </row>
    <row r="738" spans="1:32" x14ac:dyDescent="0.3">
      <c r="A738" s="118"/>
      <c r="C738" s="118"/>
      <c r="E738" s="118"/>
      <c r="G738" s="118"/>
      <c r="I738" s="118"/>
      <c r="K738" s="118"/>
      <c r="M738" s="118"/>
      <c r="O738" s="118"/>
      <c r="P738" s="119"/>
      <c r="S738" s="118"/>
      <c r="U738" s="118"/>
      <c r="W738" s="118"/>
      <c r="Y738" s="118"/>
      <c r="AA738" s="118"/>
      <c r="AC738" s="118"/>
      <c r="AE738" s="118"/>
      <c r="AF738" s="119"/>
    </row>
    <row r="739" spans="1:32" x14ac:dyDescent="0.3">
      <c r="A739" s="118"/>
      <c r="C739" s="118"/>
      <c r="E739" s="118"/>
      <c r="G739" s="118"/>
      <c r="I739" s="118"/>
      <c r="K739" s="118"/>
      <c r="M739" s="118"/>
      <c r="O739" s="118"/>
      <c r="P739" s="119"/>
      <c r="S739" s="118"/>
      <c r="U739" s="118"/>
      <c r="W739" s="118"/>
      <c r="Y739" s="118"/>
      <c r="AA739" s="118"/>
      <c r="AC739" s="118"/>
      <c r="AE739" s="118"/>
      <c r="AF739" s="119"/>
    </row>
    <row r="740" spans="1:32" x14ac:dyDescent="0.3">
      <c r="A740" s="118"/>
      <c r="C740" s="118"/>
      <c r="E740" s="118"/>
      <c r="G740" s="118"/>
      <c r="I740" s="118"/>
      <c r="K740" s="118"/>
      <c r="M740" s="118"/>
      <c r="O740" s="118"/>
      <c r="P740" s="119"/>
      <c r="S740" s="118"/>
      <c r="U740" s="118"/>
      <c r="W740" s="118"/>
      <c r="Y740" s="118"/>
      <c r="AA740" s="118"/>
      <c r="AC740" s="118"/>
      <c r="AE740" s="118"/>
      <c r="AF740" s="119"/>
    </row>
    <row r="741" spans="1:32" x14ac:dyDescent="0.3">
      <c r="A741" s="118"/>
      <c r="C741" s="118"/>
      <c r="E741" s="118"/>
      <c r="G741" s="118"/>
      <c r="I741" s="118"/>
      <c r="K741" s="118"/>
      <c r="M741" s="118"/>
      <c r="O741" s="118"/>
      <c r="P741" s="119"/>
      <c r="S741" s="118"/>
      <c r="U741" s="118"/>
      <c r="W741" s="118"/>
      <c r="Y741" s="118"/>
      <c r="AA741" s="118"/>
      <c r="AC741" s="118"/>
      <c r="AE741" s="118"/>
      <c r="AF741" s="119"/>
    </row>
    <row r="742" spans="1:32" x14ac:dyDescent="0.3">
      <c r="A742" s="118"/>
      <c r="C742" s="118"/>
      <c r="E742" s="118"/>
      <c r="G742" s="118"/>
      <c r="I742" s="118"/>
      <c r="K742" s="118"/>
      <c r="M742" s="118"/>
      <c r="O742" s="118"/>
      <c r="P742" s="119"/>
      <c r="S742" s="118"/>
      <c r="U742" s="118"/>
      <c r="W742" s="118"/>
      <c r="Y742" s="118"/>
      <c r="AA742" s="118"/>
      <c r="AC742" s="118"/>
      <c r="AE742" s="118"/>
      <c r="AF742" s="119"/>
    </row>
    <row r="743" spans="1:32" x14ac:dyDescent="0.3">
      <c r="A743" s="118"/>
      <c r="C743" s="118"/>
      <c r="E743" s="118"/>
      <c r="G743" s="118"/>
      <c r="I743" s="118"/>
      <c r="K743" s="118"/>
      <c r="M743" s="118"/>
      <c r="O743" s="118"/>
      <c r="P743" s="119"/>
      <c r="S743" s="118"/>
      <c r="U743" s="118"/>
      <c r="W743" s="118"/>
      <c r="Y743" s="118"/>
      <c r="AA743" s="118"/>
      <c r="AC743" s="118"/>
      <c r="AE743" s="118"/>
      <c r="AF743" s="119"/>
    </row>
    <row r="744" spans="1:32" x14ac:dyDescent="0.3">
      <c r="A744" s="118"/>
      <c r="C744" s="118"/>
      <c r="E744" s="118"/>
      <c r="G744" s="118"/>
      <c r="I744" s="118"/>
      <c r="K744" s="118"/>
      <c r="M744" s="118"/>
      <c r="O744" s="118"/>
      <c r="P744" s="119"/>
      <c r="S744" s="118"/>
      <c r="U744" s="118"/>
      <c r="W744" s="118"/>
      <c r="Y744" s="118"/>
      <c r="AA744" s="118"/>
      <c r="AC744" s="118"/>
      <c r="AE744" s="118"/>
      <c r="AF744" s="119"/>
    </row>
    <row r="745" spans="1:32" x14ac:dyDescent="0.3">
      <c r="A745" s="118"/>
      <c r="C745" s="118"/>
      <c r="E745" s="118"/>
      <c r="G745" s="118"/>
      <c r="I745" s="118"/>
      <c r="K745" s="118"/>
      <c r="M745" s="118"/>
      <c r="O745" s="118"/>
      <c r="P745" s="119"/>
      <c r="S745" s="118"/>
      <c r="U745" s="118"/>
      <c r="W745" s="118"/>
      <c r="Y745" s="118"/>
      <c r="AA745" s="118"/>
      <c r="AC745" s="118"/>
      <c r="AE745" s="118"/>
      <c r="AF745" s="119"/>
    </row>
    <row r="746" spans="1:32" x14ac:dyDescent="0.3">
      <c r="A746" s="118"/>
      <c r="C746" s="118"/>
      <c r="E746" s="118"/>
      <c r="G746" s="118"/>
      <c r="I746" s="118"/>
      <c r="K746" s="118"/>
      <c r="M746" s="118"/>
      <c r="O746" s="118"/>
      <c r="P746" s="119"/>
      <c r="S746" s="118"/>
      <c r="U746" s="118"/>
      <c r="W746" s="118"/>
      <c r="Y746" s="118"/>
      <c r="AA746" s="118"/>
      <c r="AC746" s="118"/>
      <c r="AE746" s="118"/>
      <c r="AF746" s="119"/>
    </row>
    <row r="747" spans="1:32" x14ac:dyDescent="0.3">
      <c r="A747" s="118"/>
      <c r="C747" s="118"/>
      <c r="E747" s="118"/>
      <c r="G747" s="118"/>
      <c r="I747" s="118"/>
      <c r="K747" s="118"/>
      <c r="M747" s="118"/>
      <c r="O747" s="118"/>
      <c r="P747" s="119"/>
      <c r="S747" s="118"/>
      <c r="U747" s="118"/>
      <c r="W747" s="118"/>
      <c r="Y747" s="118"/>
      <c r="AA747" s="118"/>
      <c r="AC747" s="118"/>
      <c r="AE747" s="118"/>
      <c r="AF747" s="119"/>
    </row>
    <row r="748" spans="1:32" x14ac:dyDescent="0.3">
      <c r="A748" s="118"/>
      <c r="C748" s="118"/>
      <c r="E748" s="118"/>
      <c r="G748" s="118"/>
      <c r="I748" s="118"/>
      <c r="K748" s="118"/>
      <c r="M748" s="118"/>
      <c r="O748" s="118"/>
      <c r="P748" s="119"/>
      <c r="S748" s="118"/>
      <c r="U748" s="118"/>
      <c r="W748" s="118"/>
      <c r="Y748" s="118"/>
      <c r="AA748" s="118"/>
      <c r="AC748" s="118"/>
      <c r="AE748" s="118"/>
      <c r="AF748" s="119"/>
    </row>
    <row r="749" spans="1:32" x14ac:dyDescent="0.3">
      <c r="A749" s="118"/>
      <c r="C749" s="118"/>
      <c r="E749" s="118"/>
      <c r="G749" s="118"/>
      <c r="I749" s="118"/>
      <c r="K749" s="118"/>
      <c r="M749" s="118"/>
      <c r="O749" s="118"/>
      <c r="P749" s="119"/>
      <c r="S749" s="118"/>
      <c r="U749" s="118"/>
      <c r="W749" s="118"/>
      <c r="Y749" s="118"/>
      <c r="AA749" s="118"/>
      <c r="AC749" s="118"/>
      <c r="AE749" s="118"/>
      <c r="AF749" s="119"/>
    </row>
    <row r="750" spans="1:32" x14ac:dyDescent="0.3">
      <c r="A750" s="118"/>
      <c r="C750" s="118"/>
      <c r="E750" s="118"/>
      <c r="G750" s="118"/>
      <c r="I750" s="118"/>
      <c r="K750" s="118"/>
      <c r="M750" s="118"/>
      <c r="O750" s="118"/>
      <c r="P750" s="119"/>
      <c r="S750" s="118"/>
      <c r="U750" s="118"/>
      <c r="W750" s="118"/>
      <c r="Y750" s="118"/>
      <c r="AA750" s="118"/>
      <c r="AC750" s="118"/>
      <c r="AE750" s="118"/>
      <c r="AF750" s="119"/>
    </row>
    <row r="751" spans="1:32" x14ac:dyDescent="0.3">
      <c r="A751" s="118"/>
      <c r="C751" s="118"/>
      <c r="E751" s="118"/>
      <c r="G751" s="118"/>
      <c r="I751" s="118"/>
      <c r="K751" s="118"/>
      <c r="M751" s="118"/>
      <c r="O751" s="118"/>
      <c r="P751" s="119"/>
      <c r="S751" s="118"/>
      <c r="U751" s="118"/>
      <c r="W751" s="118"/>
      <c r="Y751" s="118"/>
      <c r="AA751" s="118"/>
      <c r="AC751" s="118"/>
      <c r="AE751" s="118"/>
      <c r="AF751" s="119"/>
    </row>
    <row r="752" spans="1:32" x14ac:dyDescent="0.3">
      <c r="A752" s="118"/>
      <c r="C752" s="118"/>
      <c r="E752" s="118"/>
      <c r="G752" s="118"/>
      <c r="I752" s="118"/>
      <c r="K752" s="118"/>
      <c r="M752" s="118"/>
      <c r="O752" s="118"/>
      <c r="P752" s="119"/>
      <c r="S752" s="118"/>
      <c r="U752" s="118"/>
      <c r="W752" s="118"/>
      <c r="Y752" s="118"/>
      <c r="AA752" s="118"/>
      <c r="AC752" s="118"/>
      <c r="AE752" s="118"/>
      <c r="AF752" s="119"/>
    </row>
    <row r="753" spans="1:32" x14ac:dyDescent="0.3">
      <c r="A753" s="118"/>
      <c r="C753" s="118"/>
      <c r="E753" s="118"/>
      <c r="G753" s="118"/>
      <c r="I753" s="118"/>
      <c r="K753" s="118"/>
      <c r="M753" s="118"/>
      <c r="O753" s="118"/>
      <c r="P753" s="119"/>
      <c r="S753" s="118"/>
      <c r="U753" s="118"/>
      <c r="W753" s="118"/>
      <c r="Y753" s="118"/>
      <c r="AA753" s="118"/>
      <c r="AC753" s="118"/>
      <c r="AE753" s="118"/>
      <c r="AF753" s="119"/>
    </row>
    <row r="754" spans="1:32" x14ac:dyDescent="0.3">
      <c r="A754" s="118"/>
      <c r="C754" s="118"/>
      <c r="E754" s="118"/>
      <c r="G754" s="118"/>
      <c r="I754" s="118"/>
      <c r="K754" s="118"/>
      <c r="M754" s="118"/>
      <c r="O754" s="118"/>
      <c r="P754" s="119"/>
      <c r="S754" s="118"/>
      <c r="U754" s="118"/>
      <c r="W754" s="118"/>
      <c r="Y754" s="118"/>
      <c r="AA754" s="118"/>
      <c r="AC754" s="118"/>
      <c r="AE754" s="118"/>
      <c r="AF754" s="119"/>
    </row>
    <row r="755" spans="1:32" x14ac:dyDescent="0.3">
      <c r="A755" s="118"/>
      <c r="C755" s="118"/>
      <c r="E755" s="118"/>
      <c r="G755" s="118"/>
      <c r="I755" s="118"/>
      <c r="K755" s="118"/>
      <c r="M755" s="118"/>
      <c r="O755" s="118"/>
      <c r="P755" s="119"/>
      <c r="S755" s="118"/>
      <c r="U755" s="118"/>
      <c r="W755" s="118"/>
      <c r="Y755" s="118"/>
      <c r="AA755" s="118"/>
      <c r="AC755" s="118"/>
      <c r="AE755" s="118"/>
      <c r="AF755" s="119"/>
    </row>
    <row r="756" spans="1:32" x14ac:dyDescent="0.3">
      <c r="A756" s="118"/>
      <c r="C756" s="118"/>
      <c r="E756" s="118"/>
      <c r="G756" s="118"/>
      <c r="I756" s="118"/>
      <c r="K756" s="118"/>
      <c r="M756" s="118"/>
      <c r="O756" s="118"/>
      <c r="P756" s="119"/>
      <c r="S756" s="118"/>
      <c r="U756" s="118"/>
      <c r="W756" s="118"/>
      <c r="Y756" s="118"/>
      <c r="AA756" s="118"/>
      <c r="AC756" s="118"/>
      <c r="AE756" s="118"/>
      <c r="AF756" s="119"/>
    </row>
    <row r="757" spans="1:32" x14ac:dyDescent="0.3">
      <c r="A757" s="118"/>
      <c r="C757" s="118"/>
      <c r="E757" s="118"/>
      <c r="G757" s="118"/>
      <c r="I757" s="118"/>
      <c r="K757" s="118"/>
      <c r="M757" s="118"/>
      <c r="O757" s="118"/>
      <c r="P757" s="119"/>
      <c r="S757" s="118"/>
      <c r="U757" s="118"/>
      <c r="W757" s="118"/>
      <c r="Y757" s="118"/>
      <c r="AA757" s="118"/>
      <c r="AC757" s="118"/>
      <c r="AE757" s="118"/>
      <c r="AF757" s="119"/>
    </row>
    <row r="758" spans="1:32" x14ac:dyDescent="0.3">
      <c r="A758" s="118"/>
      <c r="C758" s="118"/>
      <c r="E758" s="118"/>
      <c r="G758" s="118"/>
      <c r="I758" s="118"/>
      <c r="K758" s="118"/>
      <c r="M758" s="118"/>
      <c r="O758" s="118"/>
      <c r="P758" s="119"/>
      <c r="S758" s="118"/>
      <c r="U758" s="118"/>
      <c r="W758" s="118"/>
      <c r="Y758" s="118"/>
      <c r="AA758" s="118"/>
      <c r="AC758" s="118"/>
      <c r="AE758" s="118"/>
      <c r="AF758" s="119"/>
    </row>
    <row r="759" spans="1:32" x14ac:dyDescent="0.3">
      <c r="A759" s="118"/>
      <c r="C759" s="118"/>
      <c r="E759" s="118"/>
      <c r="G759" s="118"/>
      <c r="I759" s="118"/>
      <c r="K759" s="118"/>
      <c r="M759" s="118"/>
      <c r="O759" s="118"/>
      <c r="P759" s="119"/>
      <c r="S759" s="118"/>
      <c r="U759" s="118"/>
      <c r="W759" s="118"/>
      <c r="Y759" s="118"/>
      <c r="AA759" s="118"/>
      <c r="AC759" s="118"/>
      <c r="AE759" s="118"/>
      <c r="AF759" s="119"/>
    </row>
    <row r="760" spans="1:32" x14ac:dyDescent="0.3">
      <c r="A760" s="118"/>
      <c r="C760" s="118"/>
      <c r="E760" s="118"/>
      <c r="G760" s="118"/>
      <c r="I760" s="118"/>
      <c r="K760" s="118"/>
      <c r="M760" s="118"/>
      <c r="O760" s="118"/>
      <c r="P760" s="119"/>
      <c r="S760" s="118"/>
      <c r="U760" s="118"/>
      <c r="W760" s="118"/>
      <c r="Y760" s="118"/>
      <c r="AA760" s="118"/>
      <c r="AC760" s="118"/>
      <c r="AE760" s="118"/>
      <c r="AF760" s="119"/>
    </row>
    <row r="761" spans="1:32" x14ac:dyDescent="0.3">
      <c r="A761" s="118"/>
      <c r="C761" s="118"/>
      <c r="E761" s="118"/>
      <c r="G761" s="118"/>
      <c r="I761" s="118"/>
      <c r="K761" s="118"/>
      <c r="M761" s="118"/>
      <c r="O761" s="118"/>
      <c r="P761" s="119"/>
      <c r="S761" s="118"/>
      <c r="U761" s="118"/>
      <c r="W761" s="118"/>
      <c r="Y761" s="118"/>
      <c r="AA761" s="118"/>
      <c r="AC761" s="118"/>
      <c r="AE761" s="118"/>
      <c r="AF761" s="119"/>
    </row>
    <row r="762" spans="1:32" x14ac:dyDescent="0.3">
      <c r="A762" s="118"/>
      <c r="C762" s="118"/>
      <c r="E762" s="118"/>
      <c r="G762" s="118"/>
      <c r="I762" s="118"/>
      <c r="K762" s="118"/>
      <c r="M762" s="118"/>
      <c r="O762" s="118"/>
      <c r="P762" s="119"/>
      <c r="S762" s="118"/>
      <c r="U762" s="118"/>
      <c r="W762" s="118"/>
      <c r="Y762" s="118"/>
      <c r="AA762" s="118"/>
      <c r="AC762" s="118"/>
      <c r="AE762" s="118"/>
      <c r="AF762" s="119"/>
    </row>
    <row r="763" spans="1:32" x14ac:dyDescent="0.3">
      <c r="A763" s="118"/>
      <c r="C763" s="118"/>
      <c r="E763" s="118"/>
      <c r="G763" s="118"/>
      <c r="I763" s="118"/>
      <c r="K763" s="118"/>
      <c r="M763" s="118"/>
      <c r="O763" s="118"/>
      <c r="P763" s="119"/>
      <c r="S763" s="118"/>
      <c r="U763" s="118"/>
      <c r="W763" s="118"/>
      <c r="Y763" s="118"/>
      <c r="AA763" s="118"/>
      <c r="AC763" s="118"/>
      <c r="AE763" s="118"/>
      <c r="AF763" s="119"/>
    </row>
    <row r="764" spans="1:32" x14ac:dyDescent="0.3">
      <c r="A764" s="118"/>
      <c r="C764" s="118"/>
      <c r="E764" s="118"/>
      <c r="G764" s="118"/>
      <c r="I764" s="118"/>
      <c r="K764" s="118"/>
      <c r="M764" s="118"/>
      <c r="O764" s="118"/>
      <c r="P764" s="119"/>
      <c r="S764" s="118"/>
      <c r="U764" s="118"/>
      <c r="W764" s="118"/>
      <c r="Y764" s="118"/>
      <c r="AA764" s="118"/>
      <c r="AC764" s="118"/>
      <c r="AE764" s="118"/>
      <c r="AF764" s="119"/>
    </row>
    <row r="765" spans="1:32" x14ac:dyDescent="0.3">
      <c r="A765" s="118"/>
      <c r="C765" s="118"/>
      <c r="E765" s="118"/>
      <c r="G765" s="118"/>
      <c r="I765" s="118"/>
      <c r="K765" s="118"/>
      <c r="M765" s="118"/>
      <c r="O765" s="118"/>
      <c r="P765" s="119"/>
      <c r="S765" s="118"/>
      <c r="U765" s="118"/>
      <c r="W765" s="118"/>
      <c r="Y765" s="118"/>
      <c r="AA765" s="118"/>
      <c r="AC765" s="118"/>
      <c r="AE765" s="118"/>
      <c r="AF765" s="119"/>
    </row>
    <row r="766" spans="1:32" x14ac:dyDescent="0.3">
      <c r="A766" s="118"/>
      <c r="C766" s="118"/>
      <c r="E766" s="118"/>
      <c r="G766" s="118"/>
      <c r="I766" s="118"/>
      <c r="K766" s="118"/>
      <c r="M766" s="118"/>
      <c r="O766" s="118"/>
      <c r="P766" s="119"/>
      <c r="S766" s="118"/>
      <c r="U766" s="118"/>
      <c r="W766" s="118"/>
      <c r="Y766" s="118"/>
      <c r="AA766" s="118"/>
      <c r="AC766" s="118"/>
      <c r="AE766" s="118"/>
      <c r="AF766" s="119"/>
    </row>
    <row r="767" spans="1:32" x14ac:dyDescent="0.3">
      <c r="A767" s="118"/>
      <c r="C767" s="118"/>
      <c r="E767" s="118"/>
      <c r="G767" s="118"/>
      <c r="I767" s="118"/>
      <c r="K767" s="118"/>
      <c r="M767" s="118"/>
      <c r="O767" s="118"/>
      <c r="P767" s="119"/>
      <c r="S767" s="118"/>
      <c r="U767" s="118"/>
      <c r="W767" s="118"/>
      <c r="Y767" s="118"/>
      <c r="AA767" s="118"/>
      <c r="AC767" s="118"/>
      <c r="AE767" s="118"/>
      <c r="AF767" s="119"/>
    </row>
    <row r="768" spans="1:32" x14ac:dyDescent="0.3">
      <c r="A768" s="118"/>
      <c r="C768" s="118"/>
      <c r="E768" s="118"/>
      <c r="G768" s="118"/>
      <c r="I768" s="118"/>
      <c r="K768" s="118"/>
      <c r="M768" s="118"/>
      <c r="O768" s="118"/>
      <c r="P768" s="119"/>
      <c r="S768" s="118"/>
      <c r="U768" s="118"/>
      <c r="W768" s="118"/>
      <c r="Y768" s="118"/>
      <c r="AA768" s="118"/>
      <c r="AC768" s="118"/>
      <c r="AE768" s="118"/>
      <c r="AF768" s="119"/>
    </row>
    <row r="769" spans="1:32" x14ac:dyDescent="0.3">
      <c r="A769" s="118"/>
      <c r="C769" s="118"/>
      <c r="E769" s="118"/>
      <c r="G769" s="118"/>
      <c r="I769" s="118"/>
      <c r="K769" s="118"/>
      <c r="M769" s="118"/>
      <c r="O769" s="118"/>
      <c r="P769" s="119"/>
      <c r="S769" s="118"/>
      <c r="U769" s="118"/>
      <c r="W769" s="118"/>
      <c r="Y769" s="118"/>
      <c r="AA769" s="118"/>
      <c r="AC769" s="118"/>
      <c r="AE769" s="118"/>
      <c r="AF769" s="119"/>
    </row>
    <row r="770" spans="1:32" x14ac:dyDescent="0.3">
      <c r="A770" s="118"/>
      <c r="C770" s="118"/>
      <c r="E770" s="118"/>
      <c r="G770" s="118"/>
      <c r="I770" s="118"/>
      <c r="K770" s="118"/>
      <c r="M770" s="118"/>
      <c r="O770" s="118"/>
      <c r="P770" s="119"/>
      <c r="S770" s="118"/>
      <c r="U770" s="118"/>
      <c r="W770" s="118"/>
      <c r="Y770" s="118"/>
      <c r="AA770" s="118"/>
      <c r="AC770" s="118"/>
      <c r="AE770" s="118"/>
      <c r="AF770" s="119"/>
    </row>
    <row r="771" spans="1:32" x14ac:dyDescent="0.3">
      <c r="A771" s="118"/>
      <c r="C771" s="118"/>
      <c r="E771" s="118"/>
      <c r="G771" s="118"/>
      <c r="I771" s="118"/>
      <c r="K771" s="118"/>
      <c r="M771" s="118"/>
      <c r="O771" s="118"/>
      <c r="P771" s="119"/>
      <c r="S771" s="118"/>
      <c r="U771" s="118"/>
      <c r="W771" s="118"/>
      <c r="Y771" s="118"/>
      <c r="AA771" s="118"/>
      <c r="AC771" s="118"/>
      <c r="AE771" s="118"/>
      <c r="AF771" s="119"/>
    </row>
    <row r="772" spans="1:32" x14ac:dyDescent="0.3">
      <c r="A772" s="118"/>
      <c r="C772" s="118"/>
      <c r="E772" s="118"/>
      <c r="G772" s="118"/>
      <c r="I772" s="118"/>
      <c r="K772" s="118"/>
      <c r="M772" s="118"/>
      <c r="O772" s="118"/>
      <c r="P772" s="119"/>
      <c r="S772" s="118"/>
      <c r="U772" s="118"/>
      <c r="W772" s="118"/>
      <c r="Y772" s="118"/>
      <c r="AA772" s="118"/>
      <c r="AC772" s="118"/>
      <c r="AE772" s="118"/>
      <c r="AF772" s="119"/>
    </row>
    <row r="773" spans="1:32" x14ac:dyDescent="0.3">
      <c r="A773" s="118"/>
      <c r="C773" s="118"/>
      <c r="E773" s="118"/>
      <c r="G773" s="118"/>
      <c r="I773" s="118"/>
      <c r="K773" s="118"/>
      <c r="M773" s="118"/>
      <c r="O773" s="118"/>
      <c r="P773" s="119"/>
      <c r="S773" s="118"/>
      <c r="U773" s="118"/>
      <c r="W773" s="118"/>
      <c r="Y773" s="118"/>
      <c r="AA773" s="118"/>
      <c r="AC773" s="118"/>
      <c r="AE773" s="118"/>
      <c r="AF773" s="119"/>
    </row>
    <row r="774" spans="1:32" x14ac:dyDescent="0.3">
      <c r="A774" s="118"/>
      <c r="C774" s="118"/>
      <c r="E774" s="118"/>
      <c r="G774" s="118"/>
      <c r="I774" s="118"/>
      <c r="K774" s="118"/>
      <c r="M774" s="118"/>
      <c r="O774" s="118"/>
      <c r="P774" s="119"/>
      <c r="S774" s="118"/>
      <c r="U774" s="118"/>
      <c r="W774" s="118"/>
      <c r="Y774" s="118"/>
      <c r="AA774" s="118"/>
      <c r="AC774" s="118"/>
      <c r="AE774" s="118"/>
      <c r="AF774" s="119"/>
    </row>
    <row r="775" spans="1:32" x14ac:dyDescent="0.3">
      <c r="A775" s="118"/>
      <c r="C775" s="118"/>
      <c r="E775" s="118"/>
      <c r="G775" s="118"/>
      <c r="I775" s="118"/>
      <c r="K775" s="118"/>
      <c r="M775" s="118"/>
      <c r="O775" s="118"/>
      <c r="P775" s="119"/>
      <c r="S775" s="118"/>
      <c r="U775" s="118"/>
      <c r="W775" s="118"/>
      <c r="Y775" s="118"/>
      <c r="AA775" s="118"/>
      <c r="AC775" s="118"/>
      <c r="AE775" s="118"/>
      <c r="AF775" s="119"/>
    </row>
    <row r="776" spans="1:32" x14ac:dyDescent="0.3">
      <c r="A776" s="118"/>
      <c r="C776" s="118"/>
      <c r="E776" s="118"/>
      <c r="G776" s="118"/>
      <c r="I776" s="118"/>
      <c r="K776" s="118"/>
      <c r="M776" s="118"/>
      <c r="O776" s="118"/>
      <c r="P776" s="119"/>
      <c r="S776" s="118"/>
      <c r="U776" s="118"/>
      <c r="W776" s="118"/>
      <c r="Y776" s="118"/>
      <c r="AA776" s="118"/>
      <c r="AC776" s="118"/>
      <c r="AE776" s="118"/>
      <c r="AF776" s="119"/>
    </row>
    <row r="777" spans="1:32" x14ac:dyDescent="0.3">
      <c r="A777" s="118"/>
      <c r="C777" s="118"/>
      <c r="E777" s="118"/>
      <c r="G777" s="118"/>
      <c r="I777" s="118"/>
      <c r="K777" s="118"/>
      <c r="M777" s="118"/>
      <c r="O777" s="118"/>
      <c r="P777" s="119"/>
      <c r="S777" s="118"/>
      <c r="U777" s="118"/>
      <c r="W777" s="118"/>
      <c r="Y777" s="118"/>
      <c r="AA777" s="118"/>
      <c r="AC777" s="118"/>
      <c r="AE777" s="118"/>
      <c r="AF777" s="119"/>
    </row>
    <row r="778" spans="1:32" x14ac:dyDescent="0.3">
      <c r="A778" s="118"/>
      <c r="C778" s="118"/>
      <c r="E778" s="118"/>
      <c r="G778" s="118"/>
      <c r="I778" s="118"/>
      <c r="K778" s="118"/>
      <c r="M778" s="118"/>
      <c r="O778" s="118"/>
      <c r="P778" s="119"/>
      <c r="S778" s="118"/>
      <c r="U778" s="118"/>
      <c r="W778" s="118"/>
      <c r="Y778" s="118"/>
      <c r="AA778" s="118"/>
      <c r="AC778" s="118"/>
      <c r="AE778" s="118"/>
      <c r="AF778" s="119"/>
    </row>
    <row r="779" spans="1:32" x14ac:dyDescent="0.3">
      <c r="A779" s="118"/>
      <c r="C779" s="118"/>
      <c r="E779" s="118"/>
      <c r="G779" s="118"/>
      <c r="I779" s="118"/>
      <c r="K779" s="118"/>
      <c r="M779" s="118"/>
      <c r="O779" s="118"/>
      <c r="P779" s="119"/>
      <c r="S779" s="118"/>
      <c r="U779" s="118"/>
      <c r="W779" s="118"/>
      <c r="Y779" s="118"/>
      <c r="AA779" s="118"/>
      <c r="AC779" s="118"/>
      <c r="AE779" s="118"/>
      <c r="AF779" s="119"/>
    </row>
    <row r="780" spans="1:32" x14ac:dyDescent="0.3">
      <c r="A780" s="118"/>
      <c r="C780" s="118"/>
      <c r="E780" s="118"/>
      <c r="G780" s="118"/>
      <c r="I780" s="118"/>
      <c r="K780" s="118"/>
      <c r="M780" s="118"/>
      <c r="O780" s="118"/>
      <c r="P780" s="119"/>
      <c r="S780" s="118"/>
      <c r="U780" s="118"/>
      <c r="W780" s="118"/>
      <c r="Y780" s="118"/>
      <c r="AA780" s="118"/>
      <c r="AC780" s="118"/>
      <c r="AE780" s="118"/>
      <c r="AF780" s="119"/>
    </row>
    <row r="781" spans="1:32" x14ac:dyDescent="0.3">
      <c r="A781" s="118"/>
      <c r="C781" s="118"/>
      <c r="E781" s="118"/>
      <c r="G781" s="118"/>
      <c r="I781" s="118"/>
      <c r="K781" s="118"/>
      <c r="M781" s="118"/>
      <c r="O781" s="118"/>
      <c r="P781" s="119"/>
      <c r="S781" s="118"/>
      <c r="U781" s="118"/>
      <c r="W781" s="118"/>
      <c r="Y781" s="118"/>
      <c r="AA781" s="118"/>
      <c r="AC781" s="118"/>
      <c r="AE781" s="118"/>
      <c r="AF781" s="119"/>
    </row>
    <row r="782" spans="1:32" x14ac:dyDescent="0.3">
      <c r="A782" s="118"/>
      <c r="C782" s="118"/>
      <c r="E782" s="118"/>
      <c r="G782" s="118"/>
      <c r="I782" s="118"/>
      <c r="K782" s="118"/>
      <c r="M782" s="118"/>
      <c r="O782" s="118"/>
      <c r="P782" s="119"/>
      <c r="S782" s="118"/>
      <c r="U782" s="118"/>
      <c r="W782" s="118"/>
      <c r="Y782" s="118"/>
      <c r="AA782" s="118"/>
      <c r="AC782" s="118"/>
      <c r="AE782" s="118"/>
      <c r="AF782" s="119"/>
    </row>
    <row r="783" spans="1:32" x14ac:dyDescent="0.3">
      <c r="A783" s="118"/>
      <c r="C783" s="118"/>
      <c r="E783" s="118"/>
      <c r="G783" s="118"/>
      <c r="I783" s="118"/>
      <c r="K783" s="118"/>
      <c r="M783" s="118"/>
      <c r="O783" s="118"/>
      <c r="P783" s="119"/>
      <c r="S783" s="118"/>
      <c r="U783" s="118"/>
      <c r="W783" s="118"/>
      <c r="Y783" s="118"/>
      <c r="AA783" s="118"/>
      <c r="AC783" s="118"/>
      <c r="AE783" s="118"/>
      <c r="AF783" s="119"/>
    </row>
    <row r="784" spans="1:32" x14ac:dyDescent="0.3">
      <c r="A784" s="118"/>
      <c r="C784" s="118"/>
      <c r="E784" s="118"/>
      <c r="G784" s="118"/>
      <c r="I784" s="118"/>
      <c r="K784" s="118"/>
      <c r="M784" s="118"/>
      <c r="O784" s="118"/>
      <c r="P784" s="119"/>
      <c r="S784" s="118"/>
      <c r="U784" s="118"/>
      <c r="W784" s="118"/>
      <c r="Y784" s="118"/>
      <c r="AA784" s="118"/>
      <c r="AC784" s="118"/>
      <c r="AE784" s="118"/>
      <c r="AF784" s="119"/>
    </row>
    <row r="785" spans="1:32" x14ac:dyDescent="0.3">
      <c r="A785" s="118"/>
      <c r="C785" s="118"/>
      <c r="E785" s="118"/>
      <c r="G785" s="118"/>
      <c r="I785" s="118"/>
      <c r="K785" s="118"/>
      <c r="M785" s="118"/>
      <c r="O785" s="118"/>
      <c r="P785" s="119"/>
      <c r="S785" s="118"/>
      <c r="U785" s="118"/>
      <c r="W785" s="118"/>
      <c r="Y785" s="118"/>
      <c r="AA785" s="118"/>
      <c r="AC785" s="118"/>
      <c r="AE785" s="118"/>
      <c r="AF785" s="119"/>
    </row>
    <row r="786" spans="1:32" x14ac:dyDescent="0.3">
      <c r="A786" s="118"/>
      <c r="C786" s="118"/>
      <c r="E786" s="118"/>
      <c r="G786" s="118"/>
      <c r="I786" s="118"/>
      <c r="K786" s="118"/>
      <c r="M786" s="118"/>
      <c r="O786" s="118"/>
      <c r="P786" s="119"/>
      <c r="S786" s="118"/>
      <c r="U786" s="118"/>
      <c r="W786" s="118"/>
      <c r="Y786" s="118"/>
      <c r="AA786" s="118"/>
      <c r="AC786" s="118"/>
      <c r="AE786" s="118"/>
      <c r="AF786" s="119"/>
    </row>
    <row r="787" spans="1:32" x14ac:dyDescent="0.3">
      <c r="A787" s="118"/>
      <c r="C787" s="118"/>
      <c r="E787" s="118"/>
      <c r="G787" s="118"/>
      <c r="I787" s="118"/>
      <c r="K787" s="118"/>
      <c r="M787" s="118"/>
      <c r="O787" s="118"/>
      <c r="P787" s="119"/>
      <c r="S787" s="118"/>
      <c r="U787" s="118"/>
      <c r="W787" s="118"/>
      <c r="Y787" s="118"/>
      <c r="AA787" s="118"/>
      <c r="AC787" s="118"/>
      <c r="AE787" s="118"/>
      <c r="AF787" s="119"/>
    </row>
    <row r="788" spans="1:32" x14ac:dyDescent="0.3">
      <c r="A788" s="118"/>
      <c r="C788" s="118"/>
      <c r="E788" s="118"/>
      <c r="G788" s="118"/>
      <c r="I788" s="118"/>
      <c r="K788" s="118"/>
      <c r="M788" s="118"/>
      <c r="O788" s="118"/>
      <c r="P788" s="119"/>
      <c r="S788" s="118"/>
      <c r="U788" s="118"/>
      <c r="W788" s="118"/>
      <c r="Y788" s="118"/>
      <c r="AA788" s="118"/>
      <c r="AC788" s="118"/>
      <c r="AE788" s="118"/>
      <c r="AF788" s="119"/>
    </row>
    <row r="789" spans="1:32" x14ac:dyDescent="0.3">
      <c r="A789" s="118"/>
      <c r="C789" s="118"/>
      <c r="E789" s="118"/>
      <c r="G789" s="118"/>
      <c r="I789" s="118"/>
      <c r="K789" s="118"/>
      <c r="M789" s="118"/>
      <c r="O789" s="118"/>
      <c r="P789" s="119"/>
      <c r="S789" s="118"/>
      <c r="U789" s="118"/>
      <c r="W789" s="118"/>
      <c r="Y789" s="118"/>
      <c r="AA789" s="118"/>
      <c r="AC789" s="118"/>
      <c r="AE789" s="118"/>
      <c r="AF789" s="119"/>
    </row>
    <row r="790" spans="1:32" x14ac:dyDescent="0.3">
      <c r="A790" s="118"/>
      <c r="C790" s="118"/>
      <c r="E790" s="118"/>
      <c r="G790" s="118"/>
      <c r="I790" s="118"/>
      <c r="K790" s="118"/>
      <c r="M790" s="118"/>
      <c r="O790" s="118"/>
      <c r="P790" s="119"/>
      <c r="S790" s="118"/>
      <c r="U790" s="118"/>
      <c r="W790" s="118"/>
      <c r="Y790" s="118"/>
      <c r="AA790" s="118"/>
      <c r="AC790" s="118"/>
      <c r="AE790" s="118"/>
      <c r="AF790" s="119"/>
    </row>
    <row r="791" spans="1:32" x14ac:dyDescent="0.3">
      <c r="A791" s="118"/>
      <c r="C791" s="118"/>
      <c r="E791" s="118"/>
      <c r="G791" s="118"/>
      <c r="I791" s="118"/>
      <c r="K791" s="118"/>
      <c r="M791" s="118"/>
      <c r="O791" s="118"/>
      <c r="P791" s="119"/>
      <c r="S791" s="118"/>
      <c r="U791" s="118"/>
      <c r="W791" s="118"/>
      <c r="Y791" s="118"/>
      <c r="AA791" s="118"/>
      <c r="AC791" s="118"/>
      <c r="AE791" s="118"/>
      <c r="AF791" s="119"/>
    </row>
    <row r="792" spans="1:32" x14ac:dyDescent="0.3">
      <c r="A792" s="118"/>
      <c r="C792" s="118"/>
      <c r="E792" s="118"/>
      <c r="G792" s="118"/>
      <c r="I792" s="118"/>
      <c r="K792" s="118"/>
      <c r="M792" s="118"/>
      <c r="O792" s="118"/>
      <c r="P792" s="119"/>
      <c r="S792" s="118"/>
      <c r="U792" s="118"/>
      <c r="W792" s="118"/>
      <c r="Y792" s="118"/>
      <c r="AA792" s="118"/>
      <c r="AC792" s="118"/>
      <c r="AE792" s="118"/>
      <c r="AF792" s="119"/>
    </row>
    <row r="793" spans="1:32" x14ac:dyDescent="0.3">
      <c r="A793" s="118"/>
      <c r="C793" s="118"/>
      <c r="E793" s="118"/>
      <c r="G793" s="118"/>
      <c r="I793" s="118"/>
      <c r="K793" s="118"/>
      <c r="M793" s="118"/>
      <c r="O793" s="118"/>
      <c r="P793" s="119"/>
      <c r="S793" s="118"/>
      <c r="U793" s="118"/>
      <c r="W793" s="118"/>
      <c r="Y793" s="118"/>
      <c r="AA793" s="118"/>
      <c r="AC793" s="118"/>
      <c r="AE793" s="118"/>
      <c r="AF793" s="119"/>
    </row>
    <row r="794" spans="1:32" x14ac:dyDescent="0.3">
      <c r="A794" s="118"/>
      <c r="C794" s="118"/>
      <c r="E794" s="118"/>
      <c r="G794" s="118"/>
      <c r="I794" s="118"/>
      <c r="K794" s="118"/>
      <c r="M794" s="118"/>
      <c r="O794" s="118"/>
      <c r="P794" s="119"/>
      <c r="S794" s="118"/>
      <c r="U794" s="118"/>
      <c r="W794" s="118"/>
      <c r="Y794" s="118"/>
      <c r="AA794" s="118"/>
      <c r="AC794" s="118"/>
      <c r="AE794" s="118"/>
      <c r="AF794" s="119"/>
    </row>
    <row r="795" spans="1:32" x14ac:dyDescent="0.3">
      <c r="A795" s="118"/>
      <c r="C795" s="118"/>
      <c r="E795" s="118"/>
      <c r="G795" s="118"/>
      <c r="I795" s="118"/>
      <c r="K795" s="118"/>
      <c r="M795" s="118"/>
      <c r="O795" s="118"/>
      <c r="P795" s="119"/>
      <c r="S795" s="118"/>
      <c r="U795" s="118"/>
      <c r="W795" s="118"/>
      <c r="Y795" s="118"/>
      <c r="AA795" s="118"/>
      <c r="AC795" s="118"/>
      <c r="AE795" s="118"/>
      <c r="AF795" s="119"/>
    </row>
    <row r="796" spans="1:32" x14ac:dyDescent="0.3">
      <c r="A796" s="118"/>
      <c r="C796" s="118"/>
      <c r="E796" s="118"/>
      <c r="G796" s="118"/>
      <c r="I796" s="118"/>
      <c r="K796" s="118"/>
      <c r="M796" s="118"/>
      <c r="O796" s="118"/>
      <c r="P796" s="119"/>
      <c r="S796" s="118"/>
      <c r="U796" s="118"/>
      <c r="W796" s="118"/>
      <c r="Y796" s="118"/>
      <c r="AA796" s="118"/>
      <c r="AC796" s="118"/>
      <c r="AE796" s="118"/>
      <c r="AF796" s="119"/>
    </row>
    <row r="797" spans="1:32" x14ac:dyDescent="0.3">
      <c r="A797" s="118"/>
      <c r="C797" s="118"/>
      <c r="E797" s="118"/>
      <c r="G797" s="118"/>
      <c r="I797" s="118"/>
      <c r="K797" s="118"/>
      <c r="M797" s="118"/>
      <c r="O797" s="118"/>
      <c r="P797" s="119"/>
      <c r="S797" s="118"/>
      <c r="U797" s="118"/>
      <c r="W797" s="118"/>
      <c r="Y797" s="118"/>
      <c r="AA797" s="118"/>
      <c r="AC797" s="118"/>
      <c r="AE797" s="118"/>
      <c r="AF797" s="119"/>
    </row>
    <row r="798" spans="1:32" x14ac:dyDescent="0.3">
      <c r="A798" s="118"/>
      <c r="C798" s="118"/>
      <c r="E798" s="118"/>
      <c r="G798" s="118"/>
      <c r="I798" s="118"/>
      <c r="K798" s="118"/>
      <c r="M798" s="118"/>
      <c r="O798" s="118"/>
      <c r="P798" s="119"/>
      <c r="S798" s="118"/>
      <c r="U798" s="118"/>
      <c r="W798" s="118"/>
      <c r="Y798" s="118"/>
      <c r="AA798" s="118"/>
      <c r="AC798" s="118"/>
      <c r="AE798" s="118"/>
      <c r="AF798" s="119"/>
    </row>
    <row r="799" spans="1:32" x14ac:dyDescent="0.3">
      <c r="A799" s="118"/>
      <c r="C799" s="118"/>
      <c r="E799" s="118"/>
      <c r="G799" s="118"/>
      <c r="I799" s="118"/>
      <c r="K799" s="118"/>
      <c r="M799" s="118"/>
      <c r="O799" s="118"/>
      <c r="P799" s="119"/>
      <c r="S799" s="118"/>
      <c r="U799" s="118"/>
      <c r="W799" s="118"/>
      <c r="Y799" s="118"/>
      <c r="AA799" s="118"/>
      <c r="AC799" s="118"/>
      <c r="AE799" s="118"/>
      <c r="AF799" s="119"/>
    </row>
    <row r="800" spans="1:32" x14ac:dyDescent="0.3">
      <c r="A800" s="118"/>
      <c r="C800" s="118"/>
      <c r="E800" s="118"/>
      <c r="G800" s="118"/>
      <c r="I800" s="118"/>
      <c r="K800" s="118"/>
      <c r="M800" s="118"/>
      <c r="O800" s="118"/>
      <c r="P800" s="119"/>
      <c r="S800" s="118"/>
      <c r="U800" s="118"/>
      <c r="W800" s="118"/>
      <c r="Y800" s="118"/>
      <c r="AA800" s="118"/>
      <c r="AC800" s="118"/>
      <c r="AE800" s="118"/>
      <c r="AF800" s="119"/>
    </row>
    <row r="801" spans="1:32" x14ac:dyDescent="0.3">
      <c r="A801" s="118"/>
      <c r="C801" s="118"/>
      <c r="E801" s="118"/>
      <c r="G801" s="118"/>
      <c r="I801" s="118"/>
      <c r="K801" s="118"/>
      <c r="M801" s="118"/>
      <c r="O801" s="118"/>
      <c r="P801" s="119"/>
      <c r="S801" s="118"/>
      <c r="U801" s="118"/>
      <c r="W801" s="118"/>
      <c r="Y801" s="118"/>
      <c r="AA801" s="118"/>
      <c r="AC801" s="118"/>
      <c r="AE801" s="118"/>
      <c r="AF801" s="119"/>
    </row>
    <row r="802" spans="1:32" x14ac:dyDescent="0.3">
      <c r="A802" s="118"/>
      <c r="C802" s="118"/>
      <c r="E802" s="118"/>
      <c r="G802" s="118"/>
      <c r="I802" s="118"/>
      <c r="K802" s="118"/>
      <c r="M802" s="118"/>
      <c r="O802" s="118"/>
      <c r="P802" s="119"/>
      <c r="S802" s="118"/>
      <c r="U802" s="118"/>
      <c r="W802" s="118"/>
      <c r="Y802" s="118"/>
      <c r="AA802" s="118"/>
      <c r="AC802" s="118"/>
      <c r="AE802" s="118"/>
      <c r="AF802" s="119"/>
    </row>
    <row r="803" spans="1:32" x14ac:dyDescent="0.3">
      <c r="A803" s="118"/>
      <c r="C803" s="118"/>
      <c r="E803" s="118"/>
      <c r="G803" s="118"/>
      <c r="I803" s="118"/>
      <c r="K803" s="118"/>
      <c r="M803" s="118"/>
      <c r="O803" s="118"/>
      <c r="P803" s="119"/>
      <c r="S803" s="118"/>
      <c r="U803" s="118"/>
      <c r="W803" s="118"/>
      <c r="Y803" s="118"/>
      <c r="AA803" s="118"/>
      <c r="AC803" s="118"/>
      <c r="AE803" s="118"/>
      <c r="AF803" s="119"/>
    </row>
    <row r="804" spans="1:32" x14ac:dyDescent="0.3">
      <c r="A804" s="118"/>
      <c r="C804" s="118"/>
      <c r="E804" s="118"/>
      <c r="G804" s="118"/>
      <c r="I804" s="118"/>
      <c r="K804" s="118"/>
      <c r="M804" s="118"/>
      <c r="O804" s="118"/>
      <c r="P804" s="119"/>
      <c r="S804" s="118"/>
      <c r="U804" s="118"/>
      <c r="W804" s="118"/>
      <c r="Y804" s="118"/>
      <c r="AA804" s="118"/>
      <c r="AC804" s="118"/>
      <c r="AE804" s="118"/>
      <c r="AF804" s="119"/>
    </row>
    <row r="805" spans="1:32" x14ac:dyDescent="0.3">
      <c r="A805" s="118"/>
      <c r="C805" s="118"/>
      <c r="E805" s="118"/>
      <c r="G805" s="118"/>
      <c r="I805" s="118"/>
      <c r="K805" s="118"/>
      <c r="M805" s="118"/>
      <c r="O805" s="118"/>
      <c r="P805" s="119"/>
      <c r="S805" s="118"/>
      <c r="U805" s="118"/>
      <c r="W805" s="118"/>
      <c r="Y805" s="118"/>
      <c r="AA805" s="118"/>
      <c r="AC805" s="118"/>
      <c r="AE805" s="118"/>
      <c r="AF805" s="119"/>
    </row>
    <row r="806" spans="1:32" x14ac:dyDescent="0.3">
      <c r="A806" s="118"/>
      <c r="C806" s="118"/>
      <c r="E806" s="118"/>
      <c r="G806" s="118"/>
      <c r="I806" s="118"/>
      <c r="K806" s="118"/>
      <c r="M806" s="118"/>
      <c r="O806" s="118"/>
      <c r="P806" s="119"/>
      <c r="S806" s="118"/>
      <c r="U806" s="118"/>
      <c r="W806" s="118"/>
      <c r="Y806" s="118"/>
      <c r="AA806" s="118"/>
      <c r="AC806" s="118"/>
      <c r="AE806" s="118"/>
      <c r="AF806" s="119"/>
    </row>
    <row r="807" spans="1:32" x14ac:dyDescent="0.3">
      <c r="A807" s="118"/>
      <c r="C807" s="118"/>
      <c r="E807" s="118"/>
      <c r="G807" s="118"/>
      <c r="I807" s="118"/>
      <c r="K807" s="118"/>
      <c r="M807" s="118"/>
      <c r="O807" s="118"/>
      <c r="P807" s="119"/>
      <c r="S807" s="118"/>
      <c r="U807" s="118"/>
      <c r="W807" s="118"/>
      <c r="Y807" s="118"/>
      <c r="AA807" s="118"/>
      <c r="AC807" s="118"/>
      <c r="AE807" s="118"/>
      <c r="AF807" s="119"/>
    </row>
    <row r="808" spans="1:32" x14ac:dyDescent="0.3">
      <c r="A808" s="118"/>
      <c r="C808" s="118"/>
      <c r="E808" s="118"/>
      <c r="G808" s="118"/>
      <c r="I808" s="118"/>
      <c r="K808" s="118"/>
      <c r="M808" s="118"/>
      <c r="O808" s="118"/>
      <c r="P808" s="119"/>
      <c r="S808" s="118"/>
      <c r="U808" s="118"/>
      <c r="W808" s="118"/>
      <c r="Y808" s="118"/>
      <c r="AA808" s="118"/>
      <c r="AC808" s="118"/>
      <c r="AE808" s="118"/>
      <c r="AF808" s="119"/>
    </row>
    <row r="809" spans="1:32" x14ac:dyDescent="0.3">
      <c r="A809" s="118"/>
      <c r="C809" s="118"/>
      <c r="E809" s="118"/>
      <c r="G809" s="118"/>
      <c r="I809" s="118"/>
      <c r="K809" s="118"/>
      <c r="M809" s="118"/>
      <c r="O809" s="118"/>
      <c r="P809" s="119"/>
      <c r="S809" s="118"/>
      <c r="U809" s="118"/>
      <c r="W809" s="118"/>
      <c r="Y809" s="118"/>
      <c r="AA809" s="118"/>
      <c r="AC809" s="118"/>
      <c r="AE809" s="118"/>
      <c r="AF809" s="119"/>
    </row>
    <row r="810" spans="1:32" x14ac:dyDescent="0.3">
      <c r="A810" s="118"/>
      <c r="C810" s="118"/>
      <c r="E810" s="118"/>
      <c r="G810" s="118"/>
      <c r="I810" s="118"/>
      <c r="K810" s="118"/>
      <c r="M810" s="118"/>
      <c r="O810" s="118"/>
      <c r="P810" s="119"/>
      <c r="S810" s="118"/>
      <c r="U810" s="118"/>
      <c r="W810" s="118"/>
      <c r="Y810" s="118"/>
      <c r="AA810" s="118"/>
      <c r="AC810" s="118"/>
      <c r="AE810" s="118"/>
      <c r="AF810" s="119"/>
    </row>
    <row r="811" spans="1:32" x14ac:dyDescent="0.3">
      <c r="A811" s="118"/>
      <c r="C811" s="118"/>
      <c r="E811" s="118"/>
      <c r="G811" s="118"/>
      <c r="I811" s="118"/>
      <c r="K811" s="118"/>
      <c r="M811" s="118"/>
      <c r="O811" s="118"/>
      <c r="P811" s="119"/>
      <c r="S811" s="118"/>
      <c r="U811" s="118"/>
      <c r="W811" s="118"/>
      <c r="Y811" s="118"/>
      <c r="AA811" s="118"/>
      <c r="AC811" s="118"/>
      <c r="AE811" s="118"/>
      <c r="AF811" s="119"/>
    </row>
    <row r="812" spans="1:32" x14ac:dyDescent="0.3">
      <c r="A812" s="118"/>
      <c r="C812" s="118"/>
      <c r="E812" s="118"/>
      <c r="G812" s="118"/>
      <c r="I812" s="118"/>
      <c r="K812" s="118"/>
      <c r="M812" s="118"/>
      <c r="O812" s="118"/>
      <c r="P812" s="119"/>
      <c r="S812" s="118"/>
      <c r="U812" s="118"/>
      <c r="W812" s="118"/>
      <c r="Y812" s="118"/>
      <c r="AA812" s="118"/>
      <c r="AC812" s="118"/>
      <c r="AE812" s="118"/>
      <c r="AF812" s="119"/>
    </row>
    <row r="813" spans="1:32" x14ac:dyDescent="0.3">
      <c r="A813" s="118"/>
      <c r="C813" s="118"/>
      <c r="E813" s="118"/>
      <c r="G813" s="118"/>
      <c r="I813" s="118"/>
      <c r="K813" s="118"/>
      <c r="M813" s="118"/>
      <c r="O813" s="118"/>
      <c r="P813" s="119"/>
      <c r="S813" s="118"/>
      <c r="U813" s="118"/>
      <c r="W813" s="118"/>
      <c r="Y813" s="118"/>
      <c r="AA813" s="118"/>
      <c r="AC813" s="118"/>
      <c r="AE813" s="118"/>
      <c r="AF813" s="119"/>
    </row>
    <row r="814" spans="1:32" x14ac:dyDescent="0.3">
      <c r="A814" s="118"/>
      <c r="C814" s="118"/>
      <c r="E814" s="118"/>
      <c r="G814" s="118"/>
      <c r="I814" s="118"/>
      <c r="K814" s="118"/>
      <c r="M814" s="118"/>
      <c r="O814" s="118"/>
      <c r="P814" s="119"/>
      <c r="S814" s="118"/>
      <c r="U814" s="118"/>
      <c r="W814" s="118"/>
      <c r="Y814" s="118"/>
      <c r="AA814" s="118"/>
      <c r="AC814" s="118"/>
      <c r="AE814" s="118"/>
      <c r="AF814" s="119"/>
    </row>
    <row r="815" spans="1:32" x14ac:dyDescent="0.3">
      <c r="A815" s="118"/>
      <c r="C815" s="118"/>
      <c r="E815" s="118"/>
      <c r="G815" s="118"/>
      <c r="I815" s="118"/>
      <c r="K815" s="118"/>
      <c r="M815" s="118"/>
      <c r="O815" s="118"/>
      <c r="P815" s="119"/>
      <c r="S815" s="118"/>
      <c r="U815" s="118"/>
      <c r="W815" s="118"/>
      <c r="Y815" s="118"/>
      <c r="AA815" s="118"/>
      <c r="AC815" s="118"/>
      <c r="AE815" s="118"/>
      <c r="AF815" s="119"/>
    </row>
    <row r="816" spans="1:32" x14ac:dyDescent="0.3">
      <c r="A816" s="118"/>
      <c r="C816" s="118"/>
      <c r="E816" s="118"/>
      <c r="G816" s="118"/>
      <c r="I816" s="118"/>
      <c r="K816" s="118"/>
      <c r="M816" s="118"/>
      <c r="O816" s="118"/>
      <c r="P816" s="119"/>
      <c r="S816" s="118"/>
      <c r="U816" s="118"/>
      <c r="W816" s="118"/>
      <c r="Y816" s="118"/>
      <c r="AA816" s="118"/>
      <c r="AC816" s="118"/>
      <c r="AE816" s="118"/>
      <c r="AF816" s="119"/>
    </row>
    <row r="817" spans="1:32" x14ac:dyDescent="0.3">
      <c r="A817" s="118"/>
      <c r="C817" s="118"/>
      <c r="E817" s="118"/>
      <c r="G817" s="118"/>
      <c r="I817" s="118"/>
      <c r="K817" s="118"/>
      <c r="M817" s="118"/>
      <c r="O817" s="118"/>
      <c r="P817" s="119"/>
      <c r="S817" s="118"/>
      <c r="U817" s="118"/>
      <c r="W817" s="118"/>
      <c r="Y817" s="118"/>
      <c r="AA817" s="118"/>
      <c r="AC817" s="118"/>
      <c r="AE817" s="118"/>
      <c r="AF817" s="119"/>
    </row>
    <row r="818" spans="1:32" x14ac:dyDescent="0.3">
      <c r="A818" s="118"/>
      <c r="C818" s="118"/>
      <c r="E818" s="118"/>
      <c r="G818" s="118"/>
      <c r="I818" s="118"/>
      <c r="K818" s="118"/>
      <c r="M818" s="118"/>
      <c r="O818" s="118"/>
      <c r="P818" s="119"/>
      <c r="S818" s="118"/>
      <c r="U818" s="118"/>
      <c r="W818" s="118"/>
      <c r="Y818" s="118"/>
      <c r="AA818" s="118"/>
      <c r="AC818" s="118"/>
      <c r="AE818" s="118"/>
      <c r="AF818" s="119"/>
    </row>
    <row r="819" spans="1:32" x14ac:dyDescent="0.3">
      <c r="A819" s="118"/>
      <c r="C819" s="118"/>
      <c r="E819" s="118"/>
      <c r="G819" s="118"/>
      <c r="I819" s="118"/>
      <c r="K819" s="118"/>
      <c r="M819" s="118"/>
      <c r="O819" s="118"/>
      <c r="P819" s="119"/>
      <c r="S819" s="118"/>
      <c r="U819" s="118"/>
      <c r="W819" s="118"/>
      <c r="Y819" s="118"/>
      <c r="AA819" s="118"/>
      <c r="AC819" s="118"/>
      <c r="AE819" s="118"/>
      <c r="AF819" s="119"/>
    </row>
    <row r="820" spans="1:32" x14ac:dyDescent="0.3">
      <c r="A820" s="118"/>
      <c r="C820" s="118"/>
      <c r="E820" s="118"/>
      <c r="G820" s="118"/>
      <c r="I820" s="118"/>
      <c r="K820" s="118"/>
      <c r="M820" s="118"/>
      <c r="O820" s="118"/>
      <c r="P820" s="119"/>
      <c r="S820" s="118"/>
      <c r="U820" s="118"/>
      <c r="W820" s="118"/>
      <c r="Y820" s="118"/>
      <c r="AA820" s="118"/>
      <c r="AC820" s="118"/>
      <c r="AE820" s="118"/>
      <c r="AF820" s="119"/>
    </row>
    <row r="821" spans="1:32" x14ac:dyDescent="0.3">
      <c r="A821" s="118"/>
      <c r="C821" s="118"/>
      <c r="E821" s="118"/>
      <c r="G821" s="118"/>
      <c r="I821" s="118"/>
      <c r="K821" s="118"/>
      <c r="M821" s="118"/>
      <c r="O821" s="118"/>
      <c r="P821" s="119"/>
      <c r="S821" s="118"/>
      <c r="U821" s="118"/>
      <c r="W821" s="118"/>
      <c r="Y821" s="118"/>
      <c r="AA821" s="118"/>
      <c r="AC821" s="118"/>
      <c r="AE821" s="118"/>
      <c r="AF821" s="119"/>
    </row>
    <row r="822" spans="1:32" x14ac:dyDescent="0.3">
      <c r="A822" s="118"/>
      <c r="C822" s="118"/>
      <c r="E822" s="118"/>
      <c r="G822" s="118"/>
      <c r="I822" s="118"/>
      <c r="K822" s="118"/>
      <c r="M822" s="118"/>
      <c r="O822" s="118"/>
      <c r="P822" s="119"/>
      <c r="S822" s="118"/>
      <c r="U822" s="118"/>
      <c r="W822" s="118"/>
      <c r="Y822" s="118"/>
      <c r="AA822" s="118"/>
      <c r="AC822" s="118"/>
      <c r="AE822" s="118"/>
      <c r="AF822" s="119"/>
    </row>
    <row r="823" spans="1:32" x14ac:dyDescent="0.3">
      <c r="A823" s="118"/>
      <c r="C823" s="118"/>
      <c r="E823" s="118"/>
      <c r="G823" s="118"/>
      <c r="I823" s="118"/>
      <c r="K823" s="118"/>
      <c r="M823" s="118"/>
      <c r="O823" s="118"/>
      <c r="P823" s="119"/>
      <c r="S823" s="118"/>
      <c r="U823" s="118"/>
      <c r="W823" s="118"/>
      <c r="Y823" s="118"/>
      <c r="AA823" s="118"/>
      <c r="AC823" s="118"/>
      <c r="AE823" s="118"/>
      <c r="AF823" s="119"/>
    </row>
    <row r="824" spans="1:32" x14ac:dyDescent="0.3">
      <c r="A824" s="118"/>
      <c r="C824" s="118"/>
      <c r="E824" s="118"/>
      <c r="G824" s="118"/>
      <c r="I824" s="118"/>
      <c r="K824" s="118"/>
      <c r="M824" s="118"/>
      <c r="O824" s="118"/>
      <c r="P824" s="119"/>
      <c r="S824" s="118"/>
      <c r="U824" s="118"/>
      <c r="W824" s="118"/>
      <c r="Y824" s="118"/>
      <c r="AA824" s="118"/>
      <c r="AC824" s="118"/>
      <c r="AE824" s="118"/>
      <c r="AF824" s="119"/>
    </row>
    <row r="825" spans="1:32" x14ac:dyDescent="0.3">
      <c r="A825" s="118"/>
      <c r="C825" s="118"/>
      <c r="E825" s="118"/>
      <c r="G825" s="118"/>
      <c r="I825" s="118"/>
      <c r="K825" s="118"/>
      <c r="M825" s="118"/>
      <c r="O825" s="118"/>
      <c r="P825" s="119"/>
      <c r="S825" s="118"/>
      <c r="U825" s="118"/>
      <c r="W825" s="118"/>
      <c r="Y825" s="118"/>
      <c r="AA825" s="118"/>
      <c r="AC825" s="118"/>
      <c r="AE825" s="118"/>
      <c r="AF825" s="119"/>
    </row>
    <row r="826" spans="1:32" x14ac:dyDescent="0.3">
      <c r="A826" s="118"/>
      <c r="C826" s="118"/>
      <c r="E826" s="118"/>
      <c r="G826" s="118"/>
      <c r="I826" s="118"/>
      <c r="K826" s="118"/>
      <c r="M826" s="118"/>
      <c r="O826" s="118"/>
      <c r="P826" s="119"/>
      <c r="S826" s="118"/>
      <c r="U826" s="118"/>
      <c r="W826" s="118"/>
      <c r="Y826" s="118"/>
      <c r="AA826" s="118"/>
      <c r="AC826" s="118"/>
      <c r="AE826" s="118"/>
      <c r="AF826" s="119"/>
    </row>
    <row r="827" spans="1:32" x14ac:dyDescent="0.3">
      <c r="A827" s="118"/>
      <c r="C827" s="118"/>
      <c r="E827" s="118"/>
      <c r="G827" s="118"/>
      <c r="I827" s="118"/>
      <c r="K827" s="118"/>
      <c r="M827" s="118"/>
      <c r="O827" s="118"/>
      <c r="P827" s="119"/>
      <c r="S827" s="118"/>
      <c r="U827" s="118"/>
      <c r="W827" s="118"/>
      <c r="Y827" s="118"/>
      <c r="AA827" s="118"/>
      <c r="AC827" s="118"/>
      <c r="AE827" s="118"/>
      <c r="AF827" s="119"/>
    </row>
    <row r="828" spans="1:32" x14ac:dyDescent="0.3">
      <c r="A828" s="118"/>
      <c r="C828" s="118"/>
      <c r="E828" s="118"/>
      <c r="G828" s="118"/>
      <c r="I828" s="118"/>
      <c r="K828" s="118"/>
      <c r="M828" s="118"/>
      <c r="O828" s="118"/>
      <c r="P828" s="119"/>
      <c r="S828" s="118"/>
      <c r="U828" s="118"/>
      <c r="W828" s="118"/>
      <c r="Y828" s="118"/>
      <c r="AA828" s="118"/>
      <c r="AC828" s="118"/>
      <c r="AE828" s="118"/>
      <c r="AF828" s="119"/>
    </row>
    <row r="829" spans="1:32" x14ac:dyDescent="0.3">
      <c r="A829" s="118"/>
      <c r="C829" s="118"/>
      <c r="E829" s="118"/>
      <c r="G829" s="118"/>
      <c r="I829" s="118"/>
      <c r="K829" s="118"/>
      <c r="M829" s="118"/>
      <c r="O829" s="118"/>
      <c r="P829" s="119"/>
      <c r="S829" s="118"/>
      <c r="U829" s="118"/>
      <c r="W829" s="118"/>
      <c r="Y829" s="118"/>
      <c r="AA829" s="118"/>
      <c r="AC829" s="118"/>
      <c r="AE829" s="118"/>
      <c r="AF829" s="119"/>
    </row>
    <row r="830" spans="1:32" x14ac:dyDescent="0.3">
      <c r="A830" s="118"/>
      <c r="C830" s="118"/>
      <c r="E830" s="118"/>
      <c r="G830" s="118"/>
      <c r="I830" s="118"/>
      <c r="K830" s="118"/>
      <c r="M830" s="118"/>
      <c r="O830" s="118"/>
      <c r="P830" s="119"/>
      <c r="S830" s="118"/>
      <c r="U830" s="118"/>
      <c r="W830" s="118"/>
      <c r="Y830" s="118"/>
      <c r="AA830" s="118"/>
      <c r="AC830" s="118"/>
      <c r="AE830" s="118"/>
      <c r="AF830" s="119"/>
    </row>
    <row r="831" spans="1:32" x14ac:dyDescent="0.3">
      <c r="A831" s="118"/>
      <c r="C831" s="118"/>
      <c r="E831" s="118"/>
      <c r="G831" s="118"/>
      <c r="I831" s="118"/>
      <c r="K831" s="118"/>
      <c r="M831" s="118"/>
      <c r="O831" s="118"/>
      <c r="P831" s="119"/>
      <c r="S831" s="118"/>
      <c r="U831" s="118"/>
      <c r="W831" s="118"/>
      <c r="Y831" s="118"/>
      <c r="AA831" s="118"/>
      <c r="AC831" s="118"/>
      <c r="AE831" s="118"/>
      <c r="AF831" s="119"/>
    </row>
    <row r="832" spans="1:32" x14ac:dyDescent="0.3">
      <c r="A832" s="118"/>
      <c r="C832" s="118"/>
      <c r="E832" s="118"/>
      <c r="G832" s="118"/>
      <c r="I832" s="118"/>
      <c r="K832" s="118"/>
      <c r="M832" s="118"/>
      <c r="O832" s="118"/>
      <c r="P832" s="119"/>
      <c r="S832" s="118"/>
      <c r="U832" s="118"/>
      <c r="W832" s="118"/>
      <c r="Y832" s="118"/>
      <c r="AA832" s="118"/>
      <c r="AC832" s="118"/>
      <c r="AE832" s="118"/>
      <c r="AF832" s="119"/>
    </row>
    <row r="833" spans="1:32" x14ac:dyDescent="0.3">
      <c r="A833" s="118"/>
      <c r="C833" s="118"/>
      <c r="E833" s="118"/>
      <c r="G833" s="118"/>
      <c r="I833" s="118"/>
      <c r="K833" s="118"/>
      <c r="M833" s="118"/>
      <c r="O833" s="118"/>
      <c r="P833" s="119"/>
      <c r="S833" s="118"/>
      <c r="U833" s="118"/>
      <c r="W833" s="118"/>
      <c r="Y833" s="118"/>
      <c r="AA833" s="118"/>
      <c r="AC833" s="118"/>
      <c r="AE833" s="118"/>
      <c r="AF833" s="119"/>
    </row>
    <row r="834" spans="1:32" x14ac:dyDescent="0.3">
      <c r="A834" s="118"/>
      <c r="C834" s="118"/>
      <c r="E834" s="118"/>
      <c r="G834" s="118"/>
      <c r="I834" s="118"/>
      <c r="K834" s="118"/>
      <c r="M834" s="118"/>
      <c r="O834" s="118"/>
      <c r="P834" s="119"/>
      <c r="S834" s="118"/>
      <c r="U834" s="118"/>
      <c r="W834" s="118"/>
      <c r="Y834" s="118"/>
      <c r="AA834" s="118"/>
      <c r="AC834" s="118"/>
      <c r="AE834" s="118"/>
      <c r="AF834" s="119"/>
    </row>
    <row r="835" spans="1:32" x14ac:dyDescent="0.3">
      <c r="A835" s="118"/>
      <c r="C835" s="118"/>
      <c r="E835" s="118"/>
      <c r="G835" s="118"/>
      <c r="I835" s="118"/>
      <c r="K835" s="118"/>
      <c r="M835" s="118"/>
      <c r="O835" s="118"/>
      <c r="P835" s="119"/>
      <c r="S835" s="118"/>
      <c r="U835" s="118"/>
      <c r="W835" s="118"/>
      <c r="Y835" s="118"/>
      <c r="AA835" s="118"/>
      <c r="AC835" s="118"/>
      <c r="AE835" s="118"/>
      <c r="AF835" s="119"/>
    </row>
    <row r="836" spans="1:32" x14ac:dyDescent="0.3">
      <c r="A836" s="118"/>
      <c r="C836" s="118"/>
      <c r="E836" s="118"/>
      <c r="G836" s="118"/>
      <c r="I836" s="118"/>
      <c r="K836" s="118"/>
      <c r="M836" s="118"/>
      <c r="O836" s="118"/>
      <c r="P836" s="119"/>
      <c r="S836" s="118"/>
      <c r="U836" s="118"/>
      <c r="W836" s="118"/>
      <c r="Y836" s="118"/>
      <c r="AA836" s="118"/>
      <c r="AC836" s="118"/>
      <c r="AE836" s="118"/>
      <c r="AF836" s="119"/>
    </row>
    <row r="837" spans="1:32" x14ac:dyDescent="0.3">
      <c r="A837" s="118"/>
      <c r="C837" s="118"/>
      <c r="E837" s="118"/>
      <c r="G837" s="118"/>
      <c r="I837" s="118"/>
      <c r="K837" s="118"/>
      <c r="M837" s="118"/>
      <c r="O837" s="118"/>
      <c r="P837" s="119"/>
      <c r="S837" s="118"/>
      <c r="U837" s="118"/>
      <c r="W837" s="118"/>
      <c r="Y837" s="118"/>
      <c r="AA837" s="118"/>
      <c r="AC837" s="118"/>
      <c r="AE837" s="118"/>
      <c r="AF837" s="119"/>
    </row>
    <row r="838" spans="1:32" x14ac:dyDescent="0.3">
      <c r="A838" s="118"/>
      <c r="C838" s="118"/>
      <c r="E838" s="118"/>
      <c r="G838" s="118"/>
      <c r="I838" s="118"/>
      <c r="K838" s="118"/>
      <c r="M838" s="118"/>
      <c r="O838" s="118"/>
      <c r="P838" s="119"/>
      <c r="S838" s="118"/>
      <c r="U838" s="118"/>
      <c r="W838" s="118"/>
      <c r="Y838" s="118"/>
      <c r="AA838" s="118"/>
      <c r="AC838" s="118"/>
      <c r="AE838" s="118"/>
      <c r="AF838" s="119"/>
    </row>
    <row r="839" spans="1:32" x14ac:dyDescent="0.3">
      <c r="A839" s="118"/>
      <c r="C839" s="118"/>
      <c r="E839" s="118"/>
      <c r="G839" s="118"/>
      <c r="I839" s="118"/>
      <c r="K839" s="118"/>
      <c r="M839" s="118"/>
      <c r="O839" s="118"/>
      <c r="P839" s="119"/>
      <c r="S839" s="118"/>
      <c r="U839" s="118"/>
      <c r="W839" s="118"/>
      <c r="Y839" s="118"/>
      <c r="AA839" s="118"/>
      <c r="AC839" s="118"/>
      <c r="AE839" s="118"/>
      <c r="AF839" s="119"/>
    </row>
    <row r="840" spans="1:32" x14ac:dyDescent="0.3">
      <c r="A840" s="118"/>
      <c r="C840" s="118"/>
      <c r="E840" s="118"/>
      <c r="G840" s="118"/>
      <c r="I840" s="118"/>
      <c r="K840" s="118"/>
      <c r="M840" s="118"/>
      <c r="O840" s="118"/>
      <c r="P840" s="119"/>
      <c r="S840" s="118"/>
      <c r="U840" s="118"/>
      <c r="W840" s="118"/>
      <c r="Y840" s="118"/>
      <c r="AA840" s="118"/>
      <c r="AC840" s="118"/>
      <c r="AE840" s="118"/>
      <c r="AF840" s="119"/>
    </row>
    <row r="841" spans="1:32" x14ac:dyDescent="0.3">
      <c r="A841" s="118"/>
      <c r="C841" s="118"/>
      <c r="E841" s="118"/>
      <c r="G841" s="118"/>
      <c r="I841" s="118"/>
      <c r="K841" s="118"/>
      <c r="M841" s="118"/>
      <c r="O841" s="118"/>
      <c r="P841" s="119"/>
      <c r="S841" s="118"/>
      <c r="U841" s="118"/>
      <c r="W841" s="118"/>
      <c r="Y841" s="118"/>
      <c r="AA841" s="118"/>
      <c r="AC841" s="118"/>
      <c r="AE841" s="118"/>
      <c r="AF841" s="119"/>
    </row>
    <row r="842" spans="1:32" x14ac:dyDescent="0.3">
      <c r="A842" s="118"/>
      <c r="C842" s="118"/>
      <c r="E842" s="118"/>
      <c r="G842" s="118"/>
      <c r="I842" s="118"/>
      <c r="K842" s="118"/>
      <c r="M842" s="118"/>
      <c r="O842" s="118"/>
      <c r="P842" s="119"/>
      <c r="S842" s="118"/>
      <c r="U842" s="118"/>
      <c r="W842" s="118"/>
      <c r="Y842" s="118"/>
      <c r="AA842" s="118"/>
      <c r="AC842" s="118"/>
      <c r="AE842" s="118"/>
      <c r="AF842" s="119"/>
    </row>
    <row r="843" spans="1:32" x14ac:dyDescent="0.3">
      <c r="A843" s="118"/>
      <c r="C843" s="118"/>
      <c r="E843" s="118"/>
      <c r="G843" s="118"/>
      <c r="I843" s="118"/>
      <c r="K843" s="118"/>
      <c r="M843" s="118"/>
      <c r="O843" s="118"/>
      <c r="P843" s="119"/>
      <c r="S843" s="118"/>
      <c r="U843" s="118"/>
      <c r="W843" s="118"/>
      <c r="Y843" s="118"/>
      <c r="AA843" s="118"/>
      <c r="AC843" s="118"/>
      <c r="AE843" s="118"/>
      <c r="AF843" s="119"/>
    </row>
    <row r="844" spans="1:32" x14ac:dyDescent="0.3">
      <c r="A844" s="118"/>
      <c r="C844" s="118"/>
      <c r="E844" s="118"/>
      <c r="G844" s="118"/>
      <c r="I844" s="118"/>
      <c r="K844" s="118"/>
      <c r="M844" s="118"/>
      <c r="O844" s="118"/>
      <c r="P844" s="119"/>
      <c r="S844" s="118"/>
      <c r="U844" s="118"/>
      <c r="W844" s="118"/>
      <c r="Y844" s="118"/>
      <c r="AA844" s="118"/>
      <c r="AC844" s="118"/>
      <c r="AE844" s="118"/>
      <c r="AF844" s="119"/>
    </row>
    <row r="845" spans="1:32" x14ac:dyDescent="0.3">
      <c r="A845" s="118"/>
      <c r="C845" s="118"/>
      <c r="E845" s="118"/>
      <c r="G845" s="118"/>
      <c r="I845" s="118"/>
      <c r="K845" s="118"/>
      <c r="M845" s="118"/>
      <c r="O845" s="118"/>
      <c r="P845" s="119"/>
      <c r="S845" s="118"/>
      <c r="U845" s="118"/>
      <c r="W845" s="118"/>
      <c r="Y845" s="118"/>
      <c r="AA845" s="118"/>
      <c r="AC845" s="118"/>
      <c r="AE845" s="118"/>
      <c r="AF845" s="119"/>
    </row>
    <row r="846" spans="1:32" x14ac:dyDescent="0.3">
      <c r="A846" s="118"/>
      <c r="C846" s="118"/>
      <c r="E846" s="118"/>
      <c r="G846" s="118"/>
      <c r="I846" s="118"/>
      <c r="K846" s="118"/>
      <c r="M846" s="118"/>
      <c r="O846" s="118"/>
      <c r="P846" s="119"/>
      <c r="S846" s="118"/>
      <c r="U846" s="118"/>
      <c r="W846" s="118"/>
      <c r="Y846" s="118"/>
      <c r="AA846" s="118"/>
      <c r="AC846" s="118"/>
      <c r="AE846" s="118"/>
      <c r="AF846" s="119"/>
    </row>
    <row r="847" spans="1:32" x14ac:dyDescent="0.3">
      <c r="A847" s="118"/>
      <c r="C847" s="118"/>
      <c r="E847" s="118"/>
      <c r="G847" s="118"/>
      <c r="I847" s="118"/>
      <c r="K847" s="118"/>
      <c r="M847" s="118"/>
      <c r="O847" s="118"/>
      <c r="P847" s="119"/>
      <c r="S847" s="118"/>
      <c r="U847" s="118"/>
      <c r="W847" s="118"/>
      <c r="Y847" s="118"/>
      <c r="AA847" s="118"/>
      <c r="AC847" s="118"/>
      <c r="AE847" s="118"/>
      <c r="AF847" s="119"/>
    </row>
    <row r="848" spans="1:32" x14ac:dyDescent="0.3">
      <c r="A848" s="118"/>
      <c r="C848" s="118"/>
      <c r="E848" s="118"/>
      <c r="G848" s="118"/>
      <c r="I848" s="118"/>
      <c r="K848" s="118"/>
      <c r="M848" s="118"/>
      <c r="O848" s="118"/>
      <c r="P848" s="119"/>
      <c r="S848" s="118"/>
      <c r="U848" s="118"/>
      <c r="W848" s="118"/>
      <c r="Y848" s="118"/>
      <c r="AA848" s="118"/>
      <c r="AC848" s="118"/>
      <c r="AE848" s="118"/>
      <c r="AF848" s="119"/>
    </row>
    <row r="849" spans="1:32" x14ac:dyDescent="0.3">
      <c r="A849" s="118"/>
      <c r="C849" s="118"/>
      <c r="E849" s="118"/>
      <c r="G849" s="118"/>
      <c r="I849" s="118"/>
      <c r="K849" s="118"/>
      <c r="M849" s="118"/>
      <c r="O849" s="118"/>
      <c r="P849" s="119"/>
      <c r="S849" s="118"/>
      <c r="U849" s="118"/>
      <c r="W849" s="118"/>
      <c r="Y849" s="118"/>
      <c r="AA849" s="118"/>
      <c r="AC849" s="118"/>
      <c r="AE849" s="118"/>
      <c r="AF849" s="119"/>
    </row>
    <row r="850" spans="1:32" x14ac:dyDescent="0.3">
      <c r="A850" s="118"/>
      <c r="C850" s="118"/>
      <c r="E850" s="118"/>
      <c r="G850" s="118"/>
      <c r="I850" s="118"/>
      <c r="K850" s="118"/>
      <c r="M850" s="118"/>
      <c r="O850" s="118"/>
      <c r="P850" s="119"/>
      <c r="S850" s="118"/>
      <c r="U850" s="118"/>
      <c r="W850" s="118"/>
      <c r="Y850" s="118"/>
      <c r="AA850" s="118"/>
      <c r="AC850" s="118"/>
      <c r="AE850" s="118"/>
      <c r="AF850" s="119"/>
    </row>
    <row r="851" spans="1:32" x14ac:dyDescent="0.3">
      <c r="A851" s="118"/>
      <c r="C851" s="118"/>
      <c r="E851" s="118"/>
      <c r="G851" s="118"/>
      <c r="I851" s="118"/>
      <c r="K851" s="118"/>
      <c r="M851" s="118"/>
      <c r="O851" s="118"/>
      <c r="P851" s="119"/>
      <c r="S851" s="118"/>
      <c r="U851" s="118"/>
      <c r="W851" s="118"/>
      <c r="Y851" s="118"/>
      <c r="AA851" s="118"/>
      <c r="AC851" s="118"/>
      <c r="AE851" s="118"/>
      <c r="AF851" s="119"/>
    </row>
    <row r="852" spans="1:32" x14ac:dyDescent="0.3">
      <c r="A852" s="118"/>
      <c r="C852" s="118"/>
      <c r="E852" s="118"/>
      <c r="G852" s="118"/>
      <c r="I852" s="118"/>
      <c r="K852" s="118"/>
      <c r="M852" s="118"/>
      <c r="O852" s="118"/>
      <c r="P852" s="119"/>
      <c r="S852" s="118"/>
      <c r="U852" s="118"/>
      <c r="W852" s="118"/>
      <c r="Y852" s="118"/>
      <c r="AA852" s="118"/>
      <c r="AC852" s="118"/>
      <c r="AE852" s="118"/>
      <c r="AF852" s="119"/>
    </row>
    <row r="853" spans="1:32" x14ac:dyDescent="0.3">
      <c r="A853" s="118"/>
      <c r="C853" s="118"/>
      <c r="E853" s="118"/>
      <c r="G853" s="118"/>
      <c r="I853" s="118"/>
      <c r="K853" s="118"/>
      <c r="M853" s="118"/>
      <c r="O853" s="118"/>
      <c r="P853" s="119"/>
      <c r="S853" s="118"/>
      <c r="U853" s="118"/>
      <c r="W853" s="118"/>
      <c r="Y853" s="118"/>
      <c r="AA853" s="118"/>
      <c r="AC853" s="118"/>
      <c r="AE853" s="118"/>
      <c r="AF853" s="119"/>
    </row>
    <row r="854" spans="1:32" x14ac:dyDescent="0.3">
      <c r="A854" s="118"/>
      <c r="C854" s="118"/>
      <c r="E854" s="118"/>
      <c r="G854" s="118"/>
      <c r="I854" s="118"/>
      <c r="K854" s="118"/>
      <c r="M854" s="118"/>
      <c r="O854" s="118"/>
      <c r="P854" s="119"/>
      <c r="S854" s="118"/>
      <c r="U854" s="118"/>
      <c r="W854" s="118"/>
      <c r="Y854" s="118"/>
      <c r="AA854" s="118"/>
      <c r="AC854" s="118"/>
      <c r="AE854" s="118"/>
      <c r="AF854" s="119"/>
    </row>
    <row r="855" spans="1:32" x14ac:dyDescent="0.3">
      <c r="A855" s="118"/>
      <c r="C855" s="118"/>
      <c r="E855" s="118"/>
      <c r="G855" s="118"/>
      <c r="I855" s="118"/>
      <c r="K855" s="118"/>
      <c r="M855" s="118"/>
      <c r="O855" s="118"/>
      <c r="P855" s="119"/>
      <c r="S855" s="118"/>
      <c r="U855" s="118"/>
      <c r="W855" s="118"/>
      <c r="Y855" s="118"/>
      <c r="AA855" s="118"/>
      <c r="AC855" s="118"/>
      <c r="AE855" s="118"/>
      <c r="AF855" s="119"/>
    </row>
    <row r="856" spans="1:32" x14ac:dyDescent="0.3">
      <c r="A856" s="118"/>
      <c r="C856" s="118"/>
      <c r="E856" s="118"/>
      <c r="G856" s="118"/>
      <c r="I856" s="118"/>
      <c r="K856" s="118"/>
      <c r="M856" s="118"/>
      <c r="O856" s="118"/>
      <c r="P856" s="119"/>
      <c r="S856" s="118"/>
      <c r="U856" s="118"/>
      <c r="W856" s="118"/>
      <c r="Y856" s="118"/>
      <c r="AA856" s="118"/>
      <c r="AC856" s="118"/>
      <c r="AE856" s="118"/>
      <c r="AF856" s="119"/>
    </row>
    <row r="857" spans="1:32" x14ac:dyDescent="0.3">
      <c r="A857" s="118"/>
      <c r="C857" s="118"/>
      <c r="E857" s="118"/>
      <c r="G857" s="118"/>
      <c r="I857" s="118"/>
      <c r="K857" s="118"/>
      <c r="M857" s="118"/>
      <c r="O857" s="118"/>
      <c r="P857" s="119"/>
      <c r="S857" s="118"/>
      <c r="U857" s="118"/>
      <c r="W857" s="118"/>
      <c r="Y857" s="118"/>
      <c r="AA857" s="118"/>
      <c r="AC857" s="118"/>
      <c r="AE857" s="118"/>
      <c r="AF857" s="119"/>
    </row>
    <row r="858" spans="1:32" x14ac:dyDescent="0.3">
      <c r="A858" s="118"/>
      <c r="C858" s="118"/>
      <c r="E858" s="118"/>
      <c r="G858" s="118"/>
      <c r="I858" s="118"/>
      <c r="K858" s="118"/>
      <c r="M858" s="118"/>
      <c r="O858" s="118"/>
      <c r="P858" s="119"/>
      <c r="S858" s="118"/>
      <c r="U858" s="118"/>
      <c r="W858" s="118"/>
      <c r="Y858" s="118"/>
      <c r="AA858" s="118"/>
      <c r="AC858" s="118"/>
      <c r="AE858" s="118"/>
      <c r="AF858" s="119"/>
    </row>
    <row r="859" spans="1:32" x14ac:dyDescent="0.3">
      <c r="A859" s="118"/>
      <c r="C859" s="118"/>
      <c r="E859" s="118"/>
      <c r="G859" s="118"/>
      <c r="I859" s="118"/>
      <c r="K859" s="118"/>
      <c r="M859" s="118"/>
      <c r="O859" s="118"/>
      <c r="P859" s="119"/>
      <c r="S859" s="118"/>
      <c r="U859" s="118"/>
      <c r="W859" s="118"/>
      <c r="Y859" s="118"/>
      <c r="AA859" s="118"/>
      <c r="AC859" s="118"/>
      <c r="AE859" s="118"/>
      <c r="AF859" s="119"/>
    </row>
    <row r="860" spans="1:32" x14ac:dyDescent="0.3">
      <c r="A860" s="118"/>
      <c r="C860" s="118"/>
      <c r="E860" s="118"/>
      <c r="G860" s="118"/>
      <c r="I860" s="118"/>
      <c r="K860" s="118"/>
      <c r="M860" s="118"/>
      <c r="O860" s="118"/>
      <c r="P860" s="119"/>
      <c r="S860" s="118"/>
      <c r="U860" s="118"/>
      <c r="W860" s="118"/>
      <c r="Y860" s="118"/>
      <c r="AA860" s="118"/>
      <c r="AC860" s="118"/>
      <c r="AE860" s="118"/>
      <c r="AF860" s="119"/>
    </row>
    <row r="861" spans="1:32" x14ac:dyDescent="0.3">
      <c r="A861" s="118"/>
      <c r="C861" s="118"/>
      <c r="E861" s="118"/>
      <c r="G861" s="118"/>
      <c r="I861" s="118"/>
      <c r="K861" s="118"/>
      <c r="M861" s="118"/>
      <c r="O861" s="118"/>
      <c r="P861" s="119"/>
      <c r="S861" s="118"/>
      <c r="U861" s="118"/>
      <c r="W861" s="118"/>
      <c r="Y861" s="118"/>
      <c r="AA861" s="118"/>
      <c r="AC861" s="118"/>
      <c r="AE861" s="118"/>
      <c r="AF861" s="119"/>
    </row>
    <row r="862" spans="1:32" x14ac:dyDescent="0.3">
      <c r="A862" s="118"/>
      <c r="C862" s="118"/>
      <c r="E862" s="118"/>
      <c r="G862" s="118"/>
      <c r="I862" s="118"/>
      <c r="K862" s="118"/>
      <c r="M862" s="118"/>
      <c r="O862" s="118"/>
      <c r="P862" s="119"/>
      <c r="S862" s="118"/>
      <c r="U862" s="118"/>
      <c r="W862" s="118"/>
      <c r="Y862" s="118"/>
      <c r="AA862" s="118"/>
      <c r="AC862" s="118"/>
      <c r="AE862" s="118"/>
      <c r="AF862" s="119"/>
    </row>
    <row r="863" spans="1:32" x14ac:dyDescent="0.3">
      <c r="A863" s="118"/>
      <c r="C863" s="118"/>
      <c r="E863" s="118"/>
      <c r="G863" s="118"/>
      <c r="I863" s="118"/>
      <c r="K863" s="118"/>
      <c r="M863" s="118"/>
      <c r="O863" s="118"/>
      <c r="P863" s="119"/>
      <c r="S863" s="118"/>
      <c r="U863" s="118"/>
      <c r="W863" s="118"/>
      <c r="Y863" s="118"/>
      <c r="AA863" s="118"/>
      <c r="AC863" s="118"/>
      <c r="AE863" s="118"/>
      <c r="AF863" s="119"/>
    </row>
    <row r="864" spans="1:32" x14ac:dyDescent="0.3">
      <c r="A864" s="118"/>
      <c r="C864" s="118"/>
      <c r="E864" s="118"/>
      <c r="G864" s="118"/>
      <c r="I864" s="118"/>
      <c r="K864" s="118"/>
      <c r="M864" s="118"/>
      <c r="O864" s="118"/>
      <c r="P864" s="119"/>
      <c r="S864" s="118"/>
      <c r="U864" s="118"/>
      <c r="W864" s="118"/>
      <c r="Y864" s="118"/>
      <c r="AA864" s="118"/>
      <c r="AC864" s="118"/>
      <c r="AE864" s="118"/>
      <c r="AF864" s="119"/>
    </row>
    <row r="865" spans="1:32" x14ac:dyDescent="0.3">
      <c r="A865" s="118"/>
      <c r="C865" s="118"/>
      <c r="E865" s="118"/>
      <c r="G865" s="118"/>
      <c r="I865" s="118"/>
      <c r="K865" s="118"/>
      <c r="M865" s="118"/>
      <c r="O865" s="118"/>
      <c r="P865" s="119"/>
      <c r="S865" s="118"/>
      <c r="U865" s="118"/>
      <c r="W865" s="118"/>
      <c r="Y865" s="118"/>
      <c r="AA865" s="118"/>
      <c r="AC865" s="118"/>
      <c r="AE865" s="118"/>
      <c r="AF865" s="119"/>
    </row>
    <row r="866" spans="1:32" x14ac:dyDescent="0.3">
      <c r="A866" s="118"/>
      <c r="C866" s="118"/>
      <c r="E866" s="118"/>
      <c r="G866" s="118"/>
      <c r="I866" s="118"/>
      <c r="K866" s="118"/>
      <c r="M866" s="118"/>
      <c r="O866" s="118"/>
      <c r="P866" s="119"/>
      <c r="S866" s="118"/>
      <c r="U866" s="118"/>
      <c r="W866" s="118"/>
      <c r="Y866" s="118"/>
      <c r="AA866" s="118"/>
      <c r="AC866" s="118"/>
      <c r="AE866" s="118"/>
      <c r="AF866" s="119"/>
    </row>
    <row r="867" spans="1:32" x14ac:dyDescent="0.3">
      <c r="A867" s="118"/>
      <c r="C867" s="118"/>
      <c r="E867" s="118"/>
      <c r="G867" s="118"/>
      <c r="I867" s="118"/>
      <c r="K867" s="118"/>
      <c r="M867" s="118"/>
      <c r="O867" s="118"/>
      <c r="P867" s="119"/>
      <c r="S867" s="118"/>
      <c r="U867" s="118"/>
      <c r="W867" s="118"/>
      <c r="Y867" s="118"/>
      <c r="AA867" s="118"/>
      <c r="AC867" s="118"/>
      <c r="AE867" s="118"/>
      <c r="AF867" s="119"/>
    </row>
    <row r="868" spans="1:32" x14ac:dyDescent="0.3">
      <c r="A868" s="118"/>
      <c r="C868" s="118"/>
      <c r="E868" s="118"/>
      <c r="G868" s="118"/>
      <c r="I868" s="118"/>
      <c r="K868" s="118"/>
      <c r="M868" s="118"/>
      <c r="O868" s="118"/>
      <c r="P868" s="119"/>
      <c r="S868" s="118"/>
      <c r="U868" s="118"/>
      <c r="W868" s="118"/>
      <c r="Y868" s="118"/>
      <c r="AA868" s="118"/>
      <c r="AC868" s="118"/>
      <c r="AE868" s="118"/>
      <c r="AF868" s="119"/>
    </row>
    <row r="869" spans="1:32" x14ac:dyDescent="0.3">
      <c r="A869" s="118"/>
      <c r="C869" s="118"/>
      <c r="E869" s="118"/>
      <c r="G869" s="118"/>
      <c r="I869" s="118"/>
      <c r="K869" s="118"/>
      <c r="M869" s="118"/>
      <c r="O869" s="118"/>
      <c r="P869" s="119"/>
      <c r="S869" s="118"/>
      <c r="U869" s="118"/>
      <c r="W869" s="118"/>
      <c r="Y869" s="118"/>
      <c r="AA869" s="118"/>
      <c r="AC869" s="118"/>
      <c r="AE869" s="118"/>
      <c r="AF869" s="119"/>
    </row>
    <row r="870" spans="1:32" x14ac:dyDescent="0.3">
      <c r="A870" s="118"/>
      <c r="C870" s="118"/>
      <c r="E870" s="118"/>
      <c r="G870" s="118"/>
      <c r="I870" s="118"/>
      <c r="K870" s="118"/>
      <c r="M870" s="118"/>
      <c r="O870" s="118"/>
      <c r="P870" s="119"/>
      <c r="S870" s="118"/>
      <c r="U870" s="118"/>
      <c r="W870" s="118"/>
      <c r="Y870" s="118"/>
      <c r="AA870" s="118"/>
      <c r="AC870" s="118"/>
      <c r="AE870" s="118"/>
      <c r="AF870" s="119"/>
    </row>
    <row r="871" spans="1:32" x14ac:dyDescent="0.3">
      <c r="A871" s="118"/>
      <c r="C871" s="118"/>
      <c r="E871" s="118"/>
      <c r="G871" s="118"/>
      <c r="I871" s="118"/>
      <c r="K871" s="118"/>
      <c r="M871" s="118"/>
      <c r="O871" s="118"/>
      <c r="P871" s="119"/>
      <c r="S871" s="118"/>
      <c r="U871" s="118"/>
      <c r="W871" s="118"/>
      <c r="Y871" s="118"/>
      <c r="AA871" s="118"/>
      <c r="AC871" s="118"/>
      <c r="AE871" s="118"/>
      <c r="AF871" s="119"/>
    </row>
    <row r="872" spans="1:32" x14ac:dyDescent="0.3">
      <c r="A872" s="118"/>
      <c r="C872" s="118"/>
      <c r="E872" s="118"/>
      <c r="G872" s="118"/>
      <c r="I872" s="118"/>
      <c r="K872" s="118"/>
      <c r="M872" s="118"/>
      <c r="O872" s="118"/>
      <c r="P872" s="119"/>
      <c r="S872" s="118"/>
      <c r="U872" s="118"/>
      <c r="W872" s="118"/>
      <c r="Y872" s="118"/>
      <c r="AA872" s="118"/>
      <c r="AC872" s="118"/>
      <c r="AE872" s="118"/>
      <c r="AF872" s="119"/>
    </row>
    <row r="873" spans="1:32" x14ac:dyDescent="0.3">
      <c r="A873" s="118"/>
      <c r="C873" s="118"/>
      <c r="E873" s="118"/>
      <c r="G873" s="118"/>
      <c r="I873" s="118"/>
      <c r="K873" s="118"/>
      <c r="M873" s="118"/>
      <c r="O873" s="118"/>
      <c r="P873" s="119"/>
      <c r="S873" s="118"/>
      <c r="U873" s="118"/>
      <c r="W873" s="118"/>
      <c r="Y873" s="118"/>
      <c r="AA873" s="118"/>
      <c r="AC873" s="118"/>
      <c r="AE873" s="118"/>
      <c r="AF873" s="119"/>
    </row>
    <row r="874" spans="1:32" x14ac:dyDescent="0.3">
      <c r="A874" s="118"/>
      <c r="C874" s="118"/>
      <c r="E874" s="118"/>
      <c r="G874" s="118"/>
      <c r="I874" s="118"/>
      <c r="K874" s="118"/>
      <c r="M874" s="118"/>
      <c r="O874" s="118"/>
      <c r="P874" s="119"/>
      <c r="S874" s="118"/>
      <c r="U874" s="118"/>
      <c r="W874" s="118"/>
      <c r="Y874" s="118"/>
      <c r="AA874" s="118"/>
      <c r="AC874" s="118"/>
      <c r="AE874" s="118"/>
      <c r="AF874" s="119"/>
    </row>
    <row r="875" spans="1:32" x14ac:dyDescent="0.3">
      <c r="A875" s="118"/>
      <c r="C875" s="118"/>
      <c r="E875" s="118"/>
      <c r="G875" s="118"/>
      <c r="I875" s="118"/>
      <c r="K875" s="118"/>
      <c r="M875" s="118"/>
      <c r="O875" s="118"/>
      <c r="P875" s="119"/>
      <c r="S875" s="118"/>
      <c r="U875" s="118"/>
      <c r="W875" s="118"/>
      <c r="Y875" s="118"/>
      <c r="AA875" s="118"/>
      <c r="AC875" s="118"/>
      <c r="AE875" s="118"/>
      <c r="AF875" s="119"/>
    </row>
    <row r="876" spans="1:32" x14ac:dyDescent="0.3">
      <c r="A876" s="118"/>
      <c r="C876" s="118"/>
      <c r="E876" s="118"/>
      <c r="G876" s="118"/>
      <c r="I876" s="118"/>
      <c r="K876" s="118"/>
      <c r="M876" s="118"/>
      <c r="O876" s="118"/>
      <c r="P876" s="119"/>
      <c r="S876" s="118"/>
      <c r="U876" s="118"/>
      <c r="W876" s="118"/>
      <c r="Y876" s="118"/>
      <c r="AA876" s="118"/>
      <c r="AC876" s="118"/>
      <c r="AE876" s="118"/>
      <c r="AF876" s="119"/>
    </row>
    <row r="877" spans="1:32" x14ac:dyDescent="0.3">
      <c r="A877" s="118"/>
      <c r="C877" s="118"/>
      <c r="E877" s="118"/>
      <c r="G877" s="118"/>
      <c r="I877" s="118"/>
      <c r="K877" s="118"/>
      <c r="M877" s="118"/>
      <c r="O877" s="118"/>
      <c r="P877" s="119"/>
      <c r="S877" s="118"/>
      <c r="U877" s="118"/>
      <c r="W877" s="118"/>
      <c r="Y877" s="118"/>
      <c r="AA877" s="118"/>
      <c r="AC877" s="118"/>
      <c r="AE877" s="118"/>
      <c r="AF877" s="119"/>
    </row>
    <row r="878" spans="1:32" x14ac:dyDescent="0.3">
      <c r="A878" s="118"/>
      <c r="C878" s="118"/>
      <c r="E878" s="118"/>
      <c r="G878" s="118"/>
      <c r="I878" s="118"/>
      <c r="K878" s="118"/>
      <c r="M878" s="118"/>
      <c r="O878" s="118"/>
      <c r="P878" s="119"/>
      <c r="S878" s="118"/>
      <c r="U878" s="118"/>
      <c r="W878" s="118"/>
      <c r="Y878" s="118"/>
      <c r="AA878" s="118"/>
      <c r="AC878" s="118"/>
      <c r="AE878" s="118"/>
      <c r="AF878" s="119"/>
    </row>
    <row r="879" spans="1:32" x14ac:dyDescent="0.3">
      <c r="A879" s="118"/>
      <c r="C879" s="118"/>
      <c r="E879" s="118"/>
      <c r="G879" s="118"/>
      <c r="I879" s="118"/>
      <c r="K879" s="118"/>
      <c r="M879" s="118"/>
      <c r="O879" s="118"/>
      <c r="P879" s="119"/>
      <c r="S879" s="118"/>
      <c r="U879" s="118"/>
      <c r="W879" s="118"/>
      <c r="Y879" s="118"/>
      <c r="AA879" s="118"/>
      <c r="AC879" s="118"/>
      <c r="AE879" s="118"/>
      <c r="AF879" s="119"/>
    </row>
    <row r="880" spans="1:32" x14ac:dyDescent="0.3">
      <c r="A880" s="118"/>
      <c r="C880" s="118"/>
      <c r="E880" s="118"/>
      <c r="G880" s="118"/>
      <c r="I880" s="118"/>
      <c r="K880" s="118"/>
      <c r="M880" s="118"/>
      <c r="O880" s="118"/>
      <c r="P880" s="119"/>
      <c r="S880" s="118"/>
      <c r="U880" s="118"/>
      <c r="W880" s="118"/>
      <c r="Y880" s="118"/>
      <c r="AA880" s="118"/>
      <c r="AC880" s="118"/>
      <c r="AE880" s="118"/>
      <c r="AF880" s="119"/>
    </row>
    <row r="881" spans="1:32" x14ac:dyDescent="0.3">
      <c r="A881" s="118"/>
      <c r="C881" s="118"/>
      <c r="E881" s="118"/>
      <c r="G881" s="118"/>
      <c r="I881" s="118"/>
      <c r="K881" s="118"/>
      <c r="M881" s="118"/>
      <c r="O881" s="118"/>
      <c r="P881" s="119"/>
      <c r="S881" s="118"/>
      <c r="U881" s="118"/>
      <c r="W881" s="118"/>
      <c r="Y881" s="118"/>
      <c r="AA881" s="118"/>
      <c r="AC881" s="118"/>
      <c r="AE881" s="118"/>
      <c r="AF881" s="119"/>
    </row>
    <row r="882" spans="1:32" x14ac:dyDescent="0.3">
      <c r="A882" s="118"/>
      <c r="C882" s="118"/>
      <c r="E882" s="118"/>
      <c r="G882" s="118"/>
      <c r="I882" s="118"/>
      <c r="K882" s="118"/>
      <c r="M882" s="118"/>
      <c r="O882" s="118"/>
      <c r="P882" s="119"/>
      <c r="S882" s="118"/>
      <c r="U882" s="118"/>
      <c r="W882" s="118"/>
      <c r="Y882" s="118"/>
      <c r="AA882" s="118"/>
      <c r="AC882" s="118"/>
      <c r="AE882" s="118"/>
      <c r="AF882" s="119"/>
    </row>
    <row r="883" spans="1:32" x14ac:dyDescent="0.3">
      <c r="A883" s="118"/>
      <c r="C883" s="118"/>
      <c r="E883" s="118"/>
      <c r="G883" s="118"/>
      <c r="I883" s="118"/>
      <c r="K883" s="118"/>
      <c r="M883" s="118"/>
      <c r="O883" s="118"/>
      <c r="P883" s="119"/>
      <c r="S883" s="118"/>
      <c r="U883" s="118"/>
      <c r="W883" s="118"/>
      <c r="Y883" s="118"/>
      <c r="AA883" s="118"/>
      <c r="AC883" s="118"/>
      <c r="AE883" s="118"/>
      <c r="AF883" s="119"/>
    </row>
    <row r="884" spans="1:32" x14ac:dyDescent="0.3">
      <c r="A884" s="118"/>
      <c r="C884" s="118"/>
      <c r="E884" s="118"/>
      <c r="G884" s="118"/>
      <c r="I884" s="118"/>
      <c r="K884" s="118"/>
      <c r="M884" s="118"/>
      <c r="O884" s="118"/>
      <c r="P884" s="119"/>
      <c r="S884" s="118"/>
      <c r="U884" s="118"/>
      <c r="W884" s="118"/>
      <c r="Y884" s="118"/>
      <c r="AA884" s="118"/>
      <c r="AC884" s="118"/>
      <c r="AE884" s="118"/>
      <c r="AF884" s="119"/>
    </row>
    <row r="885" spans="1:32" x14ac:dyDescent="0.3">
      <c r="A885" s="118"/>
      <c r="C885" s="118"/>
      <c r="E885" s="118"/>
      <c r="G885" s="118"/>
      <c r="I885" s="118"/>
      <c r="K885" s="118"/>
      <c r="M885" s="118"/>
      <c r="O885" s="118"/>
      <c r="P885" s="119"/>
      <c r="S885" s="118"/>
      <c r="U885" s="118"/>
      <c r="W885" s="118"/>
      <c r="Y885" s="118"/>
      <c r="AA885" s="118"/>
      <c r="AC885" s="118"/>
      <c r="AE885" s="118"/>
      <c r="AF885" s="119"/>
    </row>
    <row r="886" spans="1:32" x14ac:dyDescent="0.3">
      <c r="A886" s="118"/>
      <c r="C886" s="118"/>
      <c r="E886" s="118"/>
      <c r="G886" s="118"/>
      <c r="I886" s="118"/>
      <c r="K886" s="118"/>
      <c r="M886" s="118"/>
      <c r="O886" s="118"/>
      <c r="P886" s="119"/>
      <c r="S886" s="118"/>
      <c r="U886" s="118"/>
      <c r="W886" s="118"/>
      <c r="Y886" s="118"/>
      <c r="AA886" s="118"/>
      <c r="AC886" s="118"/>
      <c r="AE886" s="118"/>
      <c r="AF886" s="119"/>
    </row>
    <row r="887" spans="1:32" x14ac:dyDescent="0.3">
      <c r="A887" s="118"/>
      <c r="C887" s="118"/>
      <c r="E887" s="118"/>
      <c r="G887" s="118"/>
      <c r="I887" s="118"/>
      <c r="K887" s="118"/>
      <c r="M887" s="118"/>
      <c r="O887" s="118"/>
      <c r="P887" s="119"/>
      <c r="S887" s="118"/>
      <c r="U887" s="118"/>
      <c r="W887" s="118"/>
      <c r="Y887" s="118"/>
      <c r="AA887" s="118"/>
      <c r="AC887" s="118"/>
      <c r="AE887" s="118"/>
      <c r="AF887" s="119"/>
    </row>
    <row r="888" spans="1:32" x14ac:dyDescent="0.3">
      <c r="A888" s="118"/>
      <c r="C888" s="118"/>
      <c r="E888" s="118"/>
      <c r="G888" s="118"/>
      <c r="I888" s="118"/>
      <c r="K888" s="118"/>
      <c r="M888" s="118"/>
      <c r="O888" s="118"/>
      <c r="P888" s="119"/>
      <c r="S888" s="118"/>
      <c r="U888" s="118"/>
      <c r="W888" s="118"/>
      <c r="Y888" s="118"/>
      <c r="AA888" s="118"/>
      <c r="AC888" s="118"/>
      <c r="AE888" s="118"/>
      <c r="AF888" s="119"/>
    </row>
    <row r="889" spans="1:32" x14ac:dyDescent="0.3">
      <c r="A889" s="118"/>
      <c r="C889" s="118"/>
      <c r="E889" s="118"/>
      <c r="G889" s="118"/>
      <c r="I889" s="118"/>
      <c r="K889" s="118"/>
      <c r="M889" s="118"/>
      <c r="O889" s="118"/>
      <c r="P889" s="119"/>
      <c r="S889" s="118"/>
      <c r="U889" s="118"/>
      <c r="W889" s="118"/>
      <c r="Y889" s="118"/>
      <c r="AA889" s="118"/>
      <c r="AC889" s="118"/>
      <c r="AE889" s="118"/>
      <c r="AF889" s="119"/>
    </row>
    <row r="890" spans="1:32" x14ac:dyDescent="0.3">
      <c r="A890" s="118"/>
      <c r="C890" s="118"/>
      <c r="E890" s="118"/>
      <c r="G890" s="118"/>
      <c r="I890" s="118"/>
      <c r="K890" s="118"/>
      <c r="M890" s="118"/>
      <c r="O890" s="118"/>
      <c r="P890" s="119"/>
      <c r="S890" s="118"/>
      <c r="U890" s="118"/>
      <c r="W890" s="118"/>
      <c r="Y890" s="118"/>
      <c r="AA890" s="118"/>
      <c r="AC890" s="118"/>
      <c r="AE890" s="118"/>
      <c r="AF890" s="119"/>
    </row>
    <row r="891" spans="1:32" x14ac:dyDescent="0.3">
      <c r="A891" s="118"/>
      <c r="C891" s="118"/>
      <c r="E891" s="118"/>
      <c r="G891" s="118"/>
      <c r="I891" s="118"/>
      <c r="K891" s="118"/>
      <c r="M891" s="118"/>
      <c r="O891" s="118"/>
      <c r="P891" s="119"/>
      <c r="S891" s="118"/>
      <c r="U891" s="118"/>
      <c r="W891" s="118"/>
      <c r="Y891" s="118"/>
      <c r="AA891" s="118"/>
      <c r="AC891" s="118"/>
      <c r="AE891" s="118"/>
      <c r="AF891" s="119"/>
    </row>
    <row r="892" spans="1:32" x14ac:dyDescent="0.3">
      <c r="A892" s="118"/>
      <c r="C892" s="118"/>
      <c r="E892" s="118"/>
      <c r="G892" s="118"/>
      <c r="I892" s="118"/>
      <c r="K892" s="118"/>
      <c r="M892" s="118"/>
      <c r="O892" s="118"/>
      <c r="P892" s="119"/>
      <c r="S892" s="118"/>
      <c r="U892" s="118"/>
      <c r="W892" s="118"/>
      <c r="Y892" s="118"/>
      <c r="AA892" s="118"/>
      <c r="AC892" s="118"/>
      <c r="AE892" s="118"/>
      <c r="AF892" s="119"/>
    </row>
    <row r="893" spans="1:32" x14ac:dyDescent="0.3">
      <c r="A893" s="118"/>
      <c r="C893" s="118"/>
      <c r="E893" s="118"/>
      <c r="G893" s="118"/>
      <c r="I893" s="118"/>
      <c r="K893" s="118"/>
      <c r="M893" s="118"/>
      <c r="O893" s="118"/>
      <c r="P893" s="119"/>
      <c r="S893" s="118"/>
      <c r="U893" s="118"/>
      <c r="W893" s="118"/>
      <c r="Y893" s="118"/>
      <c r="AA893" s="118"/>
      <c r="AC893" s="118"/>
      <c r="AE893" s="118"/>
      <c r="AF893" s="119"/>
    </row>
    <row r="894" spans="1:32" x14ac:dyDescent="0.3">
      <c r="A894" s="118"/>
      <c r="C894" s="118"/>
      <c r="E894" s="118"/>
      <c r="G894" s="118"/>
      <c r="I894" s="118"/>
      <c r="K894" s="118"/>
      <c r="M894" s="118"/>
      <c r="O894" s="118"/>
      <c r="P894" s="119"/>
      <c r="S894" s="118"/>
      <c r="U894" s="118"/>
      <c r="W894" s="118"/>
      <c r="Y894" s="118"/>
      <c r="AA894" s="118"/>
      <c r="AC894" s="118"/>
      <c r="AE894" s="118"/>
      <c r="AF894" s="119"/>
    </row>
    <row r="895" spans="1:32" x14ac:dyDescent="0.3">
      <c r="A895" s="118"/>
      <c r="C895" s="118"/>
      <c r="E895" s="118"/>
      <c r="G895" s="118"/>
      <c r="I895" s="118"/>
      <c r="K895" s="118"/>
      <c r="M895" s="118"/>
      <c r="O895" s="118"/>
      <c r="P895" s="119"/>
      <c r="S895" s="118"/>
      <c r="U895" s="118"/>
      <c r="W895" s="118"/>
      <c r="Y895" s="118"/>
      <c r="AA895" s="118"/>
      <c r="AC895" s="118"/>
      <c r="AE895" s="118"/>
      <c r="AF895" s="119"/>
    </row>
    <row r="896" spans="1:32" x14ac:dyDescent="0.3">
      <c r="A896" s="118"/>
      <c r="C896" s="118"/>
      <c r="E896" s="118"/>
      <c r="G896" s="118"/>
      <c r="I896" s="118"/>
      <c r="K896" s="118"/>
      <c r="M896" s="118"/>
      <c r="O896" s="118"/>
      <c r="P896" s="119"/>
      <c r="S896" s="118"/>
      <c r="U896" s="118"/>
      <c r="W896" s="118"/>
      <c r="Y896" s="118"/>
      <c r="AA896" s="118"/>
      <c r="AC896" s="118"/>
      <c r="AE896" s="118"/>
      <c r="AF896" s="119"/>
    </row>
    <row r="897" spans="1:32" x14ac:dyDescent="0.3">
      <c r="A897" s="118"/>
      <c r="C897" s="118"/>
      <c r="E897" s="118"/>
      <c r="G897" s="118"/>
      <c r="I897" s="118"/>
      <c r="K897" s="118"/>
      <c r="M897" s="118"/>
      <c r="O897" s="118"/>
      <c r="P897" s="119"/>
      <c r="S897" s="118"/>
      <c r="U897" s="118"/>
      <c r="W897" s="118"/>
      <c r="Y897" s="118"/>
      <c r="AA897" s="118"/>
      <c r="AC897" s="118"/>
      <c r="AE897" s="118"/>
      <c r="AF897" s="119"/>
    </row>
    <row r="898" spans="1:32" x14ac:dyDescent="0.3">
      <c r="A898" s="118"/>
      <c r="C898" s="118"/>
      <c r="E898" s="118"/>
      <c r="G898" s="118"/>
      <c r="I898" s="118"/>
      <c r="K898" s="118"/>
      <c r="M898" s="118"/>
      <c r="O898" s="118"/>
      <c r="P898" s="119"/>
      <c r="S898" s="118"/>
      <c r="U898" s="118"/>
      <c r="W898" s="118"/>
      <c r="Y898" s="118"/>
      <c r="AA898" s="118"/>
      <c r="AC898" s="118"/>
      <c r="AE898" s="118"/>
      <c r="AF898" s="119"/>
    </row>
    <row r="899" spans="1:32" x14ac:dyDescent="0.3">
      <c r="A899" s="118"/>
      <c r="C899" s="118"/>
      <c r="E899" s="118"/>
      <c r="G899" s="118"/>
      <c r="I899" s="118"/>
      <c r="K899" s="118"/>
      <c r="M899" s="118"/>
      <c r="O899" s="118"/>
      <c r="P899" s="119"/>
      <c r="S899" s="118"/>
      <c r="U899" s="118"/>
      <c r="W899" s="118"/>
      <c r="Y899" s="118"/>
      <c r="AA899" s="118"/>
      <c r="AC899" s="118"/>
      <c r="AE899" s="118"/>
      <c r="AF899" s="119"/>
    </row>
    <row r="900" spans="1:32" x14ac:dyDescent="0.3">
      <c r="A900" s="118"/>
      <c r="C900" s="118"/>
      <c r="E900" s="118"/>
      <c r="G900" s="118"/>
      <c r="I900" s="118"/>
      <c r="K900" s="118"/>
      <c r="M900" s="118"/>
      <c r="O900" s="118"/>
      <c r="P900" s="119"/>
      <c r="S900" s="118"/>
      <c r="U900" s="118"/>
      <c r="W900" s="118"/>
      <c r="Y900" s="118"/>
      <c r="AA900" s="118"/>
      <c r="AC900" s="118"/>
      <c r="AE900" s="118"/>
      <c r="AF900" s="119"/>
    </row>
    <row r="901" spans="1:32" x14ac:dyDescent="0.3">
      <c r="A901" s="118"/>
      <c r="C901" s="118"/>
      <c r="E901" s="118"/>
      <c r="G901" s="118"/>
      <c r="I901" s="118"/>
      <c r="K901" s="118"/>
      <c r="M901" s="118"/>
      <c r="O901" s="118"/>
      <c r="P901" s="119"/>
      <c r="S901" s="118"/>
      <c r="U901" s="118"/>
      <c r="W901" s="118"/>
      <c r="Y901" s="118"/>
      <c r="AA901" s="118"/>
      <c r="AC901" s="118"/>
      <c r="AE901" s="118"/>
      <c r="AF901" s="119"/>
    </row>
    <row r="902" spans="1:32" x14ac:dyDescent="0.3">
      <c r="A902" s="118"/>
      <c r="C902" s="118"/>
      <c r="E902" s="118"/>
      <c r="G902" s="118"/>
      <c r="I902" s="118"/>
      <c r="K902" s="118"/>
      <c r="M902" s="118"/>
      <c r="O902" s="118"/>
      <c r="P902" s="119"/>
      <c r="S902" s="118"/>
      <c r="U902" s="118"/>
      <c r="W902" s="118"/>
      <c r="Y902" s="118"/>
      <c r="AA902" s="118"/>
      <c r="AC902" s="118"/>
      <c r="AE902" s="118"/>
      <c r="AF902" s="119"/>
    </row>
    <row r="903" spans="1:32" x14ac:dyDescent="0.3">
      <c r="A903" s="118"/>
      <c r="C903" s="118"/>
      <c r="E903" s="118"/>
      <c r="G903" s="118"/>
      <c r="I903" s="118"/>
      <c r="K903" s="118"/>
      <c r="M903" s="118"/>
      <c r="O903" s="118"/>
      <c r="P903" s="119"/>
      <c r="S903" s="118"/>
      <c r="U903" s="118"/>
      <c r="W903" s="118"/>
      <c r="Y903" s="118"/>
      <c r="AA903" s="118"/>
      <c r="AC903" s="118"/>
      <c r="AE903" s="118"/>
      <c r="AF903" s="119"/>
    </row>
    <row r="904" spans="1:32" x14ac:dyDescent="0.3">
      <c r="A904" s="118"/>
      <c r="C904" s="118"/>
      <c r="E904" s="118"/>
      <c r="G904" s="118"/>
      <c r="I904" s="118"/>
      <c r="K904" s="118"/>
      <c r="M904" s="118"/>
      <c r="O904" s="118"/>
      <c r="P904" s="119"/>
      <c r="S904" s="118"/>
      <c r="U904" s="118"/>
      <c r="W904" s="118"/>
      <c r="Y904" s="118"/>
      <c r="AA904" s="118"/>
      <c r="AC904" s="118"/>
      <c r="AE904" s="118"/>
      <c r="AF904" s="119"/>
    </row>
    <row r="905" spans="1:32" x14ac:dyDescent="0.3">
      <c r="A905" s="118"/>
      <c r="C905" s="118"/>
      <c r="E905" s="118"/>
      <c r="G905" s="118"/>
      <c r="I905" s="118"/>
      <c r="K905" s="118"/>
      <c r="M905" s="118"/>
      <c r="O905" s="118"/>
      <c r="P905" s="119"/>
      <c r="S905" s="118"/>
      <c r="U905" s="118"/>
      <c r="W905" s="118"/>
      <c r="Y905" s="118"/>
      <c r="AA905" s="118"/>
      <c r="AC905" s="118"/>
      <c r="AE905" s="118"/>
      <c r="AF905" s="119"/>
    </row>
    <row r="906" spans="1:32" x14ac:dyDescent="0.3">
      <c r="A906" s="118"/>
      <c r="C906" s="118"/>
      <c r="E906" s="118"/>
      <c r="G906" s="118"/>
      <c r="I906" s="118"/>
      <c r="K906" s="118"/>
      <c r="M906" s="118"/>
      <c r="O906" s="118"/>
      <c r="P906" s="119"/>
      <c r="S906" s="118"/>
      <c r="U906" s="118"/>
      <c r="W906" s="118"/>
      <c r="Y906" s="118"/>
      <c r="AA906" s="118"/>
      <c r="AC906" s="118"/>
      <c r="AE906" s="118"/>
      <c r="AF906" s="119"/>
    </row>
    <row r="907" spans="1:32" x14ac:dyDescent="0.3">
      <c r="A907" s="118"/>
      <c r="C907" s="118"/>
      <c r="E907" s="118"/>
      <c r="G907" s="118"/>
      <c r="I907" s="118"/>
      <c r="K907" s="118"/>
      <c r="M907" s="118"/>
      <c r="O907" s="118"/>
      <c r="P907" s="119"/>
      <c r="S907" s="118"/>
      <c r="U907" s="118"/>
      <c r="W907" s="118"/>
      <c r="Y907" s="118"/>
      <c r="AA907" s="118"/>
      <c r="AC907" s="118"/>
      <c r="AE907" s="118"/>
      <c r="AF907" s="119"/>
    </row>
    <row r="908" spans="1:32" x14ac:dyDescent="0.3">
      <c r="A908" s="118"/>
      <c r="C908" s="118"/>
      <c r="E908" s="118"/>
      <c r="G908" s="118"/>
      <c r="I908" s="118"/>
      <c r="K908" s="118"/>
      <c r="M908" s="118"/>
      <c r="O908" s="118"/>
      <c r="P908" s="119"/>
      <c r="S908" s="118"/>
      <c r="U908" s="118"/>
      <c r="W908" s="118"/>
      <c r="Y908" s="118"/>
      <c r="AA908" s="118"/>
      <c r="AC908" s="118"/>
      <c r="AE908" s="118"/>
      <c r="AF908" s="119"/>
    </row>
    <row r="909" spans="1:32" x14ac:dyDescent="0.3">
      <c r="A909" s="118"/>
      <c r="C909" s="118"/>
      <c r="E909" s="118"/>
      <c r="G909" s="118"/>
      <c r="I909" s="118"/>
      <c r="K909" s="118"/>
      <c r="M909" s="118"/>
      <c r="O909" s="118"/>
      <c r="P909" s="119"/>
      <c r="S909" s="118"/>
      <c r="U909" s="118"/>
      <c r="W909" s="118"/>
      <c r="Y909" s="118"/>
      <c r="AA909" s="118"/>
      <c r="AC909" s="118"/>
      <c r="AE909" s="118"/>
      <c r="AF909" s="119"/>
    </row>
    <row r="910" spans="1:32" x14ac:dyDescent="0.3">
      <c r="A910" s="118"/>
      <c r="C910" s="118"/>
      <c r="E910" s="118"/>
      <c r="G910" s="118"/>
      <c r="I910" s="118"/>
      <c r="K910" s="118"/>
      <c r="M910" s="118"/>
      <c r="O910" s="118"/>
      <c r="P910" s="119"/>
      <c r="S910" s="118"/>
      <c r="U910" s="118"/>
      <c r="W910" s="118"/>
      <c r="Y910" s="118"/>
      <c r="AA910" s="118"/>
      <c r="AC910" s="118"/>
      <c r="AE910" s="118"/>
      <c r="AF910" s="119"/>
    </row>
    <row r="911" spans="1:32" x14ac:dyDescent="0.3">
      <c r="A911" s="118"/>
      <c r="C911" s="118"/>
      <c r="E911" s="118"/>
      <c r="G911" s="118"/>
      <c r="I911" s="118"/>
      <c r="K911" s="118"/>
      <c r="M911" s="118"/>
      <c r="O911" s="118"/>
      <c r="P911" s="119"/>
      <c r="S911" s="118"/>
      <c r="U911" s="118"/>
      <c r="W911" s="118"/>
      <c r="Y911" s="118"/>
      <c r="AA911" s="118"/>
      <c r="AC911" s="118"/>
      <c r="AE911" s="118"/>
      <c r="AF911" s="119"/>
    </row>
    <row r="912" spans="1:32" x14ac:dyDescent="0.3">
      <c r="A912" s="118"/>
      <c r="C912" s="118"/>
      <c r="E912" s="118"/>
      <c r="G912" s="118"/>
      <c r="I912" s="118"/>
      <c r="K912" s="118"/>
      <c r="M912" s="118"/>
      <c r="O912" s="118"/>
      <c r="P912" s="119"/>
      <c r="S912" s="118"/>
      <c r="U912" s="118"/>
      <c r="W912" s="118"/>
      <c r="Y912" s="118"/>
      <c r="AA912" s="118"/>
      <c r="AC912" s="118"/>
      <c r="AE912" s="118"/>
      <c r="AF912" s="119"/>
    </row>
    <row r="913" spans="1:32" x14ac:dyDescent="0.3">
      <c r="A913" s="118"/>
      <c r="C913" s="118"/>
      <c r="E913" s="118"/>
      <c r="G913" s="118"/>
      <c r="I913" s="118"/>
      <c r="K913" s="118"/>
      <c r="M913" s="118"/>
      <c r="O913" s="118"/>
      <c r="P913" s="119"/>
      <c r="S913" s="118"/>
      <c r="U913" s="118"/>
      <c r="W913" s="118"/>
      <c r="Y913" s="118"/>
      <c r="AA913" s="118"/>
      <c r="AC913" s="118"/>
      <c r="AE913" s="118"/>
      <c r="AF913" s="119"/>
    </row>
    <row r="914" spans="1:32" x14ac:dyDescent="0.3">
      <c r="A914" s="118"/>
      <c r="C914" s="118"/>
      <c r="E914" s="118"/>
      <c r="G914" s="118"/>
      <c r="I914" s="118"/>
      <c r="K914" s="118"/>
      <c r="M914" s="118"/>
      <c r="O914" s="118"/>
      <c r="P914" s="119"/>
      <c r="S914" s="118"/>
      <c r="U914" s="118"/>
      <c r="W914" s="118"/>
      <c r="Y914" s="118"/>
      <c r="AA914" s="118"/>
      <c r="AC914" s="118"/>
      <c r="AE914" s="118"/>
      <c r="AF914" s="119"/>
    </row>
    <row r="915" spans="1:32" x14ac:dyDescent="0.3">
      <c r="A915" s="118"/>
      <c r="C915" s="118"/>
      <c r="E915" s="118"/>
      <c r="G915" s="118"/>
      <c r="I915" s="118"/>
      <c r="K915" s="118"/>
      <c r="M915" s="118"/>
      <c r="O915" s="118"/>
      <c r="P915" s="119"/>
      <c r="S915" s="118"/>
      <c r="U915" s="118"/>
      <c r="W915" s="118"/>
      <c r="Y915" s="118"/>
      <c r="AA915" s="118"/>
      <c r="AC915" s="118"/>
      <c r="AE915" s="118"/>
      <c r="AF915" s="119"/>
    </row>
    <row r="916" spans="1:32" x14ac:dyDescent="0.3">
      <c r="A916" s="118"/>
      <c r="C916" s="118"/>
      <c r="E916" s="118"/>
      <c r="G916" s="118"/>
      <c r="I916" s="118"/>
      <c r="K916" s="118"/>
      <c r="M916" s="118"/>
      <c r="O916" s="118"/>
      <c r="P916" s="119"/>
      <c r="S916" s="118"/>
      <c r="U916" s="118"/>
      <c r="W916" s="118"/>
      <c r="Y916" s="118"/>
      <c r="AA916" s="118"/>
      <c r="AC916" s="118"/>
      <c r="AE916" s="118"/>
      <c r="AF916" s="119"/>
    </row>
    <row r="917" spans="1:32" x14ac:dyDescent="0.3">
      <c r="A917" s="118"/>
      <c r="C917" s="118"/>
      <c r="E917" s="118"/>
      <c r="G917" s="118"/>
      <c r="I917" s="118"/>
      <c r="K917" s="118"/>
      <c r="M917" s="118"/>
      <c r="O917" s="118"/>
      <c r="P917" s="119"/>
      <c r="S917" s="118"/>
      <c r="U917" s="118"/>
      <c r="W917" s="118"/>
      <c r="Y917" s="118"/>
      <c r="AA917" s="118"/>
      <c r="AC917" s="118"/>
      <c r="AE917" s="118"/>
      <c r="AF917" s="119"/>
    </row>
    <row r="918" spans="1:32" x14ac:dyDescent="0.3">
      <c r="A918" s="118"/>
      <c r="C918" s="118"/>
      <c r="E918" s="118"/>
      <c r="G918" s="118"/>
      <c r="I918" s="118"/>
      <c r="K918" s="118"/>
      <c r="M918" s="118"/>
      <c r="O918" s="118"/>
      <c r="P918" s="119"/>
      <c r="S918" s="118"/>
      <c r="U918" s="118"/>
      <c r="W918" s="118"/>
      <c r="Y918" s="118"/>
      <c r="AA918" s="118"/>
      <c r="AC918" s="118"/>
      <c r="AE918" s="118"/>
      <c r="AF918" s="119"/>
    </row>
    <row r="919" spans="1:32" x14ac:dyDescent="0.3">
      <c r="A919" s="118"/>
      <c r="C919" s="118"/>
      <c r="E919" s="118"/>
      <c r="G919" s="118"/>
      <c r="I919" s="118"/>
      <c r="K919" s="118"/>
      <c r="M919" s="118"/>
      <c r="O919" s="118"/>
      <c r="P919" s="119"/>
      <c r="S919" s="118"/>
      <c r="U919" s="118"/>
      <c r="W919" s="118"/>
      <c r="Y919" s="118"/>
      <c r="AA919" s="118"/>
      <c r="AC919" s="118"/>
      <c r="AE919" s="118"/>
      <c r="AF919" s="119"/>
    </row>
    <row r="920" spans="1:32" x14ac:dyDescent="0.3">
      <c r="A920" s="118"/>
      <c r="C920" s="118"/>
      <c r="E920" s="118"/>
      <c r="G920" s="118"/>
      <c r="I920" s="118"/>
      <c r="K920" s="118"/>
      <c r="M920" s="118"/>
      <c r="O920" s="118"/>
      <c r="P920" s="119"/>
      <c r="S920" s="118"/>
      <c r="U920" s="118"/>
      <c r="W920" s="118"/>
      <c r="Y920" s="118"/>
      <c r="AA920" s="118"/>
      <c r="AC920" s="118"/>
      <c r="AE920" s="118"/>
      <c r="AF920" s="119"/>
    </row>
    <row r="921" spans="1:32" x14ac:dyDescent="0.3">
      <c r="A921" s="118"/>
      <c r="C921" s="118"/>
      <c r="E921" s="118"/>
      <c r="G921" s="118"/>
      <c r="I921" s="118"/>
      <c r="K921" s="118"/>
      <c r="M921" s="118"/>
      <c r="O921" s="118"/>
      <c r="P921" s="119"/>
      <c r="S921" s="118"/>
      <c r="U921" s="118"/>
      <c r="W921" s="118"/>
      <c r="Y921" s="118"/>
      <c r="AA921" s="118"/>
      <c r="AC921" s="118"/>
      <c r="AE921" s="118"/>
      <c r="AF921" s="119"/>
    </row>
    <row r="922" spans="1:32" x14ac:dyDescent="0.3">
      <c r="A922" s="118"/>
      <c r="C922" s="118"/>
      <c r="E922" s="118"/>
      <c r="G922" s="118"/>
      <c r="I922" s="118"/>
      <c r="K922" s="118"/>
      <c r="M922" s="118"/>
      <c r="O922" s="118"/>
      <c r="P922" s="119"/>
      <c r="S922" s="118"/>
      <c r="U922" s="118"/>
      <c r="W922" s="118"/>
      <c r="Y922" s="118"/>
      <c r="AA922" s="118"/>
      <c r="AC922" s="118"/>
      <c r="AE922" s="118"/>
      <c r="AF922" s="119"/>
    </row>
    <row r="923" spans="1:32" x14ac:dyDescent="0.3">
      <c r="A923" s="118"/>
      <c r="C923" s="118"/>
      <c r="E923" s="118"/>
      <c r="G923" s="118"/>
      <c r="I923" s="118"/>
      <c r="K923" s="118"/>
      <c r="M923" s="118"/>
      <c r="O923" s="118"/>
      <c r="P923" s="119"/>
      <c r="S923" s="118"/>
      <c r="U923" s="118"/>
      <c r="W923" s="118"/>
      <c r="Y923" s="118"/>
      <c r="AA923" s="118"/>
      <c r="AC923" s="118"/>
      <c r="AE923" s="118"/>
      <c r="AF923" s="119"/>
    </row>
    <row r="924" spans="1:32" x14ac:dyDescent="0.3">
      <c r="A924" s="118"/>
      <c r="C924" s="118"/>
      <c r="E924" s="118"/>
      <c r="G924" s="118"/>
      <c r="I924" s="118"/>
      <c r="K924" s="118"/>
      <c r="M924" s="118"/>
      <c r="O924" s="118"/>
      <c r="P924" s="119"/>
      <c r="S924" s="118"/>
      <c r="U924" s="118"/>
      <c r="W924" s="118"/>
      <c r="Y924" s="118"/>
      <c r="AA924" s="118"/>
      <c r="AC924" s="118"/>
      <c r="AE924" s="118"/>
      <c r="AF924" s="119"/>
    </row>
    <row r="925" spans="1:32" x14ac:dyDescent="0.3">
      <c r="A925" s="118"/>
      <c r="C925" s="118"/>
      <c r="E925" s="118"/>
      <c r="G925" s="118"/>
      <c r="I925" s="118"/>
      <c r="K925" s="118"/>
      <c r="M925" s="118"/>
      <c r="O925" s="118"/>
      <c r="P925" s="119"/>
      <c r="S925" s="118"/>
      <c r="U925" s="118"/>
      <c r="W925" s="118"/>
      <c r="Y925" s="118"/>
      <c r="AA925" s="118"/>
      <c r="AC925" s="118"/>
      <c r="AE925" s="118"/>
      <c r="AF925" s="119"/>
    </row>
    <row r="926" spans="1:32" x14ac:dyDescent="0.3">
      <c r="A926" s="118"/>
      <c r="C926" s="118"/>
      <c r="E926" s="118"/>
      <c r="G926" s="118"/>
      <c r="I926" s="118"/>
      <c r="K926" s="118"/>
      <c r="M926" s="118"/>
      <c r="O926" s="118"/>
      <c r="P926" s="119"/>
      <c r="S926" s="118"/>
      <c r="U926" s="118"/>
      <c r="W926" s="118"/>
      <c r="Y926" s="118"/>
      <c r="AA926" s="118"/>
      <c r="AC926" s="118"/>
      <c r="AE926" s="118"/>
      <c r="AF926" s="119"/>
    </row>
    <row r="927" spans="1:32" x14ac:dyDescent="0.3">
      <c r="A927" s="118"/>
      <c r="C927" s="118"/>
      <c r="E927" s="118"/>
      <c r="G927" s="118"/>
      <c r="I927" s="118"/>
      <c r="K927" s="118"/>
      <c r="M927" s="118"/>
      <c r="O927" s="118"/>
      <c r="P927" s="119"/>
      <c r="S927" s="118"/>
      <c r="U927" s="118"/>
      <c r="W927" s="118"/>
      <c r="Y927" s="118"/>
      <c r="AA927" s="118"/>
      <c r="AC927" s="118"/>
      <c r="AE927" s="118"/>
      <c r="AF927" s="119"/>
    </row>
    <row r="928" spans="1:32" x14ac:dyDescent="0.3">
      <c r="A928" s="118"/>
      <c r="C928" s="118"/>
      <c r="E928" s="118"/>
      <c r="G928" s="118"/>
      <c r="I928" s="118"/>
      <c r="K928" s="118"/>
      <c r="M928" s="118"/>
      <c r="O928" s="118"/>
      <c r="P928" s="119"/>
      <c r="S928" s="118"/>
      <c r="U928" s="118"/>
      <c r="W928" s="118"/>
      <c r="Y928" s="118"/>
      <c r="AA928" s="118"/>
      <c r="AC928" s="118"/>
      <c r="AE928" s="118"/>
      <c r="AF928" s="119"/>
    </row>
    <row r="929" spans="1:32" x14ac:dyDescent="0.3">
      <c r="A929" s="118"/>
      <c r="C929" s="118"/>
      <c r="E929" s="118"/>
      <c r="G929" s="118"/>
      <c r="I929" s="118"/>
      <c r="K929" s="118"/>
      <c r="M929" s="118"/>
      <c r="O929" s="118"/>
      <c r="P929" s="119"/>
      <c r="S929" s="118"/>
      <c r="U929" s="118"/>
      <c r="W929" s="118"/>
      <c r="Y929" s="118"/>
      <c r="AA929" s="118"/>
      <c r="AC929" s="118"/>
      <c r="AE929" s="118"/>
      <c r="AF929" s="119"/>
    </row>
    <row r="930" spans="1:32" x14ac:dyDescent="0.3">
      <c r="A930" s="118"/>
      <c r="C930" s="118"/>
      <c r="E930" s="118"/>
      <c r="G930" s="118"/>
      <c r="I930" s="118"/>
      <c r="K930" s="118"/>
      <c r="M930" s="118"/>
      <c r="O930" s="118"/>
      <c r="P930" s="119"/>
      <c r="S930" s="118"/>
      <c r="U930" s="118"/>
      <c r="W930" s="118"/>
      <c r="Y930" s="118"/>
      <c r="AA930" s="118"/>
      <c r="AC930" s="118"/>
      <c r="AE930" s="118"/>
      <c r="AF930" s="119"/>
    </row>
    <row r="931" spans="1:32" x14ac:dyDescent="0.3">
      <c r="A931" s="118"/>
      <c r="C931" s="118"/>
      <c r="E931" s="118"/>
      <c r="G931" s="118"/>
      <c r="I931" s="118"/>
      <c r="K931" s="118"/>
      <c r="M931" s="118"/>
      <c r="O931" s="118"/>
      <c r="P931" s="119"/>
      <c r="S931" s="118"/>
      <c r="U931" s="118"/>
      <c r="W931" s="118"/>
      <c r="Y931" s="118"/>
      <c r="AA931" s="118"/>
      <c r="AC931" s="118"/>
      <c r="AE931" s="118"/>
      <c r="AF931" s="119"/>
    </row>
    <row r="932" spans="1:32" x14ac:dyDescent="0.3">
      <c r="A932" s="118"/>
      <c r="C932" s="118"/>
      <c r="E932" s="118"/>
      <c r="G932" s="118"/>
      <c r="I932" s="118"/>
      <c r="K932" s="118"/>
      <c r="M932" s="118"/>
      <c r="O932" s="118"/>
      <c r="P932" s="119"/>
      <c r="S932" s="118"/>
      <c r="U932" s="118"/>
      <c r="W932" s="118"/>
      <c r="Y932" s="118"/>
      <c r="AA932" s="118"/>
      <c r="AC932" s="118"/>
      <c r="AE932" s="118"/>
      <c r="AF932" s="119"/>
    </row>
    <row r="933" spans="1:32" x14ac:dyDescent="0.3">
      <c r="A933" s="118"/>
      <c r="C933" s="118"/>
      <c r="E933" s="118"/>
      <c r="G933" s="118"/>
      <c r="I933" s="118"/>
      <c r="K933" s="118"/>
      <c r="M933" s="118"/>
      <c r="O933" s="118"/>
      <c r="P933" s="119"/>
      <c r="S933" s="118"/>
      <c r="U933" s="118"/>
      <c r="W933" s="118"/>
      <c r="Y933" s="118"/>
      <c r="AA933" s="118"/>
      <c r="AC933" s="118"/>
      <c r="AE933" s="118"/>
      <c r="AF933" s="119"/>
    </row>
    <row r="934" spans="1:32" x14ac:dyDescent="0.3">
      <c r="A934" s="118"/>
      <c r="C934" s="118"/>
      <c r="E934" s="118"/>
      <c r="G934" s="118"/>
      <c r="I934" s="118"/>
      <c r="K934" s="118"/>
      <c r="M934" s="118"/>
      <c r="O934" s="118"/>
      <c r="P934" s="119"/>
      <c r="S934" s="118"/>
      <c r="U934" s="118"/>
      <c r="W934" s="118"/>
      <c r="Y934" s="118"/>
      <c r="AA934" s="118"/>
      <c r="AC934" s="118"/>
      <c r="AE934" s="118"/>
      <c r="AF934" s="119"/>
    </row>
    <row r="935" spans="1:32" x14ac:dyDescent="0.3">
      <c r="A935" s="118"/>
      <c r="C935" s="118"/>
      <c r="E935" s="118"/>
      <c r="G935" s="118"/>
      <c r="I935" s="118"/>
      <c r="K935" s="118"/>
      <c r="M935" s="118"/>
      <c r="O935" s="118"/>
      <c r="P935" s="119"/>
      <c r="S935" s="118"/>
      <c r="U935" s="118"/>
      <c r="W935" s="118"/>
      <c r="Y935" s="118"/>
      <c r="AA935" s="118"/>
      <c r="AC935" s="118"/>
      <c r="AE935" s="118"/>
      <c r="AF935" s="119"/>
    </row>
    <row r="936" spans="1:32" x14ac:dyDescent="0.3">
      <c r="A936" s="118"/>
      <c r="C936" s="118"/>
      <c r="E936" s="118"/>
      <c r="G936" s="118"/>
      <c r="I936" s="118"/>
      <c r="K936" s="118"/>
      <c r="M936" s="118"/>
      <c r="O936" s="118"/>
      <c r="P936" s="119"/>
      <c r="S936" s="118"/>
      <c r="U936" s="118"/>
      <c r="W936" s="118"/>
      <c r="Y936" s="118"/>
      <c r="AA936" s="118"/>
      <c r="AC936" s="118"/>
      <c r="AE936" s="118"/>
      <c r="AF936" s="119"/>
    </row>
    <row r="937" spans="1:32" x14ac:dyDescent="0.3">
      <c r="A937" s="118"/>
      <c r="C937" s="118"/>
      <c r="E937" s="118"/>
      <c r="G937" s="118"/>
      <c r="I937" s="118"/>
      <c r="K937" s="118"/>
      <c r="M937" s="118"/>
      <c r="O937" s="118"/>
      <c r="P937" s="119"/>
      <c r="S937" s="118"/>
      <c r="U937" s="118"/>
      <c r="W937" s="118"/>
      <c r="Y937" s="118"/>
      <c r="AA937" s="118"/>
      <c r="AC937" s="118"/>
      <c r="AE937" s="118"/>
      <c r="AF937" s="119"/>
    </row>
    <row r="938" spans="1:32" x14ac:dyDescent="0.3">
      <c r="A938" s="118"/>
      <c r="C938" s="118"/>
      <c r="E938" s="118"/>
      <c r="G938" s="118"/>
      <c r="I938" s="118"/>
      <c r="K938" s="118"/>
      <c r="M938" s="118"/>
      <c r="O938" s="118"/>
      <c r="P938" s="119"/>
      <c r="S938" s="118"/>
      <c r="U938" s="118"/>
      <c r="W938" s="118"/>
      <c r="Y938" s="118"/>
      <c r="AA938" s="118"/>
      <c r="AC938" s="118"/>
      <c r="AE938" s="118"/>
      <c r="AF938" s="119"/>
    </row>
    <row r="939" spans="1:32" x14ac:dyDescent="0.3">
      <c r="A939" s="118"/>
      <c r="C939" s="118"/>
      <c r="E939" s="118"/>
      <c r="G939" s="118"/>
      <c r="I939" s="118"/>
      <c r="K939" s="118"/>
      <c r="M939" s="118"/>
      <c r="O939" s="118"/>
      <c r="P939" s="119"/>
      <c r="S939" s="118"/>
      <c r="U939" s="118"/>
      <c r="W939" s="118"/>
      <c r="Y939" s="118"/>
      <c r="AA939" s="118"/>
      <c r="AC939" s="118"/>
      <c r="AE939" s="118"/>
      <c r="AF939" s="119"/>
    </row>
    <row r="940" spans="1:32" x14ac:dyDescent="0.3">
      <c r="A940" s="118"/>
      <c r="C940" s="118"/>
      <c r="E940" s="118"/>
      <c r="G940" s="118"/>
      <c r="I940" s="118"/>
      <c r="K940" s="118"/>
      <c r="M940" s="118"/>
      <c r="O940" s="118"/>
      <c r="P940" s="119"/>
      <c r="S940" s="118"/>
      <c r="U940" s="118"/>
      <c r="W940" s="118"/>
      <c r="Y940" s="118"/>
      <c r="AA940" s="118"/>
      <c r="AC940" s="118"/>
      <c r="AE940" s="118"/>
      <c r="AF940" s="119"/>
    </row>
    <row r="941" spans="1:32" x14ac:dyDescent="0.3">
      <c r="A941" s="118"/>
      <c r="C941" s="118"/>
      <c r="E941" s="118"/>
      <c r="G941" s="118"/>
      <c r="I941" s="118"/>
      <c r="K941" s="118"/>
      <c r="M941" s="118"/>
      <c r="O941" s="118"/>
      <c r="P941" s="119"/>
      <c r="S941" s="118"/>
      <c r="U941" s="118"/>
      <c r="W941" s="118"/>
      <c r="Y941" s="118"/>
      <c r="AA941" s="118"/>
      <c r="AC941" s="118"/>
      <c r="AE941" s="118"/>
      <c r="AF941" s="119"/>
    </row>
    <row r="942" spans="1:32" x14ac:dyDescent="0.3">
      <c r="A942" s="118"/>
      <c r="C942" s="118"/>
      <c r="E942" s="118"/>
      <c r="G942" s="118"/>
      <c r="I942" s="118"/>
      <c r="K942" s="118"/>
      <c r="M942" s="118"/>
      <c r="O942" s="118"/>
      <c r="P942" s="119"/>
      <c r="S942" s="118"/>
      <c r="U942" s="118"/>
      <c r="W942" s="118"/>
      <c r="Y942" s="118"/>
      <c r="AA942" s="118"/>
      <c r="AC942" s="118"/>
      <c r="AE942" s="118"/>
      <c r="AF942" s="119"/>
    </row>
    <row r="943" spans="1:32" x14ac:dyDescent="0.3">
      <c r="A943" s="118"/>
      <c r="C943" s="118"/>
      <c r="E943" s="118"/>
      <c r="G943" s="118"/>
      <c r="I943" s="118"/>
      <c r="K943" s="118"/>
      <c r="M943" s="118"/>
      <c r="O943" s="118"/>
      <c r="P943" s="119"/>
      <c r="S943" s="118"/>
      <c r="U943" s="118"/>
      <c r="W943" s="118"/>
      <c r="Y943" s="118"/>
      <c r="AA943" s="118"/>
      <c r="AC943" s="118"/>
      <c r="AE943" s="118"/>
      <c r="AF943" s="119"/>
    </row>
    <row r="944" spans="1:32" x14ac:dyDescent="0.3">
      <c r="A944" s="118"/>
      <c r="C944" s="118"/>
      <c r="E944" s="118"/>
      <c r="G944" s="118"/>
      <c r="I944" s="118"/>
      <c r="K944" s="118"/>
      <c r="M944" s="118"/>
      <c r="O944" s="118"/>
      <c r="P944" s="119"/>
      <c r="S944" s="118"/>
      <c r="U944" s="118"/>
      <c r="W944" s="118"/>
      <c r="Y944" s="118"/>
      <c r="AA944" s="118"/>
      <c r="AC944" s="118"/>
      <c r="AE944" s="118"/>
      <c r="AF944" s="119"/>
    </row>
    <row r="945" spans="1:32" x14ac:dyDescent="0.3">
      <c r="A945" s="118"/>
      <c r="C945" s="118"/>
      <c r="E945" s="118"/>
      <c r="G945" s="118"/>
      <c r="I945" s="118"/>
      <c r="K945" s="118"/>
      <c r="M945" s="118"/>
      <c r="O945" s="118"/>
      <c r="P945" s="119"/>
      <c r="S945" s="118"/>
      <c r="U945" s="118"/>
      <c r="W945" s="118"/>
      <c r="Y945" s="118"/>
      <c r="AA945" s="118"/>
      <c r="AC945" s="118"/>
      <c r="AE945" s="118"/>
      <c r="AF945" s="119"/>
    </row>
    <row r="946" spans="1:32" x14ac:dyDescent="0.3">
      <c r="A946" s="118"/>
      <c r="C946" s="118"/>
      <c r="E946" s="118"/>
      <c r="G946" s="118"/>
      <c r="I946" s="118"/>
      <c r="K946" s="118"/>
      <c r="M946" s="118"/>
      <c r="O946" s="118"/>
      <c r="P946" s="119"/>
      <c r="S946" s="118"/>
      <c r="U946" s="118"/>
      <c r="W946" s="118"/>
      <c r="Y946" s="118"/>
      <c r="AA946" s="118"/>
      <c r="AC946" s="118"/>
      <c r="AE946" s="118"/>
      <c r="AF946" s="119"/>
    </row>
    <row r="947" spans="1:32" x14ac:dyDescent="0.3">
      <c r="A947" s="118"/>
      <c r="C947" s="118"/>
      <c r="E947" s="118"/>
      <c r="G947" s="118"/>
      <c r="I947" s="118"/>
      <c r="K947" s="118"/>
      <c r="M947" s="118"/>
      <c r="O947" s="118"/>
      <c r="P947" s="119"/>
      <c r="S947" s="118"/>
      <c r="U947" s="118"/>
      <c r="W947" s="118"/>
      <c r="Y947" s="118"/>
      <c r="AA947" s="118"/>
      <c r="AC947" s="118"/>
      <c r="AE947" s="118"/>
      <c r="AF947" s="119"/>
    </row>
    <row r="948" spans="1:32" x14ac:dyDescent="0.3">
      <c r="A948" s="118"/>
      <c r="C948" s="118"/>
      <c r="E948" s="118"/>
      <c r="G948" s="118"/>
      <c r="I948" s="118"/>
      <c r="K948" s="118"/>
      <c r="M948" s="118"/>
      <c r="O948" s="118"/>
      <c r="P948" s="119"/>
      <c r="S948" s="118"/>
      <c r="U948" s="118"/>
      <c r="W948" s="118"/>
      <c r="Y948" s="118"/>
      <c r="AA948" s="118"/>
      <c r="AC948" s="118"/>
      <c r="AE948" s="118"/>
      <c r="AF948" s="119"/>
    </row>
    <row r="949" spans="1:32" x14ac:dyDescent="0.3">
      <c r="A949" s="118"/>
      <c r="C949" s="118"/>
      <c r="E949" s="118"/>
      <c r="G949" s="118"/>
      <c r="I949" s="118"/>
      <c r="K949" s="118"/>
      <c r="M949" s="118"/>
      <c r="O949" s="118"/>
      <c r="P949" s="119"/>
      <c r="S949" s="118"/>
      <c r="U949" s="118"/>
      <c r="W949" s="118"/>
      <c r="Y949" s="118"/>
      <c r="AA949" s="118"/>
      <c r="AC949" s="118"/>
      <c r="AE949" s="118"/>
      <c r="AF949" s="119"/>
    </row>
    <row r="950" spans="1:32" x14ac:dyDescent="0.3">
      <c r="A950" s="118"/>
      <c r="C950" s="118"/>
      <c r="E950" s="118"/>
      <c r="G950" s="118"/>
      <c r="I950" s="118"/>
      <c r="K950" s="118"/>
      <c r="M950" s="118"/>
      <c r="O950" s="118"/>
      <c r="P950" s="119"/>
      <c r="S950" s="118"/>
      <c r="U950" s="118"/>
      <c r="W950" s="118"/>
      <c r="Y950" s="118"/>
      <c r="AA950" s="118"/>
      <c r="AC950" s="118"/>
      <c r="AE950" s="118"/>
      <c r="AF950" s="119"/>
    </row>
    <row r="951" spans="1:32" x14ac:dyDescent="0.3">
      <c r="A951" s="118"/>
      <c r="C951" s="118"/>
      <c r="E951" s="118"/>
      <c r="G951" s="118"/>
      <c r="I951" s="118"/>
      <c r="K951" s="118"/>
      <c r="M951" s="118"/>
      <c r="O951" s="118"/>
      <c r="P951" s="119"/>
      <c r="S951" s="118"/>
      <c r="U951" s="118"/>
      <c r="W951" s="118"/>
      <c r="Y951" s="118"/>
      <c r="AA951" s="118"/>
      <c r="AC951" s="118"/>
      <c r="AE951" s="118"/>
      <c r="AF951" s="119"/>
    </row>
    <row r="952" spans="1:32" x14ac:dyDescent="0.3">
      <c r="A952" s="118"/>
      <c r="C952" s="118"/>
      <c r="E952" s="118"/>
      <c r="G952" s="118"/>
      <c r="I952" s="118"/>
      <c r="K952" s="118"/>
      <c r="M952" s="118"/>
      <c r="O952" s="118"/>
      <c r="P952" s="119"/>
      <c r="S952" s="118"/>
      <c r="U952" s="118"/>
      <c r="W952" s="118"/>
      <c r="Y952" s="118"/>
      <c r="AA952" s="118"/>
      <c r="AC952" s="118"/>
      <c r="AE952" s="118"/>
      <c r="AF952" s="119"/>
    </row>
    <row r="953" spans="1:32" x14ac:dyDescent="0.3">
      <c r="A953" s="118"/>
      <c r="C953" s="118"/>
      <c r="E953" s="118"/>
      <c r="G953" s="118"/>
      <c r="I953" s="118"/>
      <c r="K953" s="118"/>
      <c r="M953" s="118"/>
      <c r="O953" s="118"/>
      <c r="P953" s="119"/>
      <c r="S953" s="118"/>
      <c r="U953" s="118"/>
      <c r="W953" s="118"/>
      <c r="Y953" s="118"/>
      <c r="AA953" s="118"/>
      <c r="AC953" s="118"/>
      <c r="AE953" s="118"/>
      <c r="AF953" s="119"/>
    </row>
    <row r="954" spans="1:32" x14ac:dyDescent="0.3">
      <c r="A954" s="118"/>
      <c r="C954" s="118"/>
      <c r="E954" s="118"/>
      <c r="G954" s="118"/>
      <c r="I954" s="118"/>
      <c r="K954" s="118"/>
      <c r="M954" s="118"/>
      <c r="O954" s="118"/>
      <c r="P954" s="119"/>
      <c r="S954" s="118"/>
      <c r="U954" s="118"/>
      <c r="W954" s="118"/>
      <c r="Y954" s="118"/>
      <c r="AA954" s="118"/>
      <c r="AC954" s="118"/>
      <c r="AE954" s="118"/>
      <c r="AF954" s="119"/>
    </row>
    <row r="955" spans="1:32" x14ac:dyDescent="0.3">
      <c r="A955" s="118"/>
      <c r="C955" s="118"/>
      <c r="E955" s="118"/>
      <c r="G955" s="118"/>
      <c r="I955" s="118"/>
      <c r="K955" s="118"/>
      <c r="M955" s="118"/>
      <c r="O955" s="118"/>
      <c r="P955" s="119"/>
      <c r="S955" s="118"/>
      <c r="U955" s="118"/>
      <c r="W955" s="118"/>
      <c r="Y955" s="118"/>
      <c r="AA955" s="118"/>
      <c r="AC955" s="118"/>
      <c r="AE955" s="118"/>
      <c r="AF955" s="119"/>
    </row>
    <row r="956" spans="1:32" x14ac:dyDescent="0.3">
      <c r="A956" s="118"/>
      <c r="C956" s="118"/>
      <c r="E956" s="118"/>
      <c r="G956" s="118"/>
      <c r="I956" s="118"/>
      <c r="K956" s="118"/>
      <c r="M956" s="118"/>
      <c r="O956" s="118"/>
      <c r="P956" s="119"/>
      <c r="S956" s="118"/>
      <c r="U956" s="118"/>
      <c r="W956" s="118"/>
      <c r="Y956" s="118"/>
      <c r="AA956" s="118"/>
      <c r="AC956" s="118"/>
      <c r="AE956" s="118"/>
      <c r="AF956" s="119"/>
    </row>
    <row r="957" spans="1:32" x14ac:dyDescent="0.3">
      <c r="A957" s="118"/>
      <c r="C957" s="118"/>
      <c r="E957" s="118"/>
      <c r="G957" s="118"/>
      <c r="I957" s="118"/>
      <c r="K957" s="118"/>
      <c r="M957" s="118"/>
      <c r="O957" s="118"/>
      <c r="P957" s="119"/>
      <c r="S957" s="118"/>
      <c r="U957" s="118"/>
      <c r="W957" s="118"/>
      <c r="Y957" s="118"/>
      <c r="AA957" s="118"/>
      <c r="AC957" s="118"/>
      <c r="AE957" s="118"/>
      <c r="AF957" s="119"/>
    </row>
    <row r="958" spans="1:32" x14ac:dyDescent="0.3">
      <c r="A958" s="118"/>
      <c r="C958" s="118"/>
      <c r="E958" s="118"/>
      <c r="G958" s="118"/>
      <c r="I958" s="118"/>
      <c r="K958" s="118"/>
      <c r="M958" s="118"/>
      <c r="O958" s="118"/>
      <c r="P958" s="119"/>
      <c r="S958" s="118"/>
      <c r="U958" s="118"/>
      <c r="W958" s="118"/>
      <c r="Y958" s="118"/>
      <c r="AA958" s="118"/>
      <c r="AC958" s="118"/>
      <c r="AE958" s="118"/>
      <c r="AF958" s="119"/>
    </row>
    <row r="959" spans="1:32" x14ac:dyDescent="0.3">
      <c r="A959" s="118"/>
      <c r="C959" s="118"/>
      <c r="E959" s="118"/>
      <c r="G959" s="118"/>
      <c r="I959" s="118"/>
      <c r="K959" s="118"/>
      <c r="M959" s="118"/>
      <c r="O959" s="118"/>
      <c r="P959" s="119"/>
      <c r="S959" s="118"/>
      <c r="U959" s="118"/>
      <c r="W959" s="118"/>
      <c r="Y959" s="118"/>
      <c r="AA959" s="118"/>
      <c r="AC959" s="118"/>
      <c r="AE959" s="118"/>
      <c r="AF959" s="119"/>
    </row>
    <row r="960" spans="1:32" x14ac:dyDescent="0.3">
      <c r="A960" s="118"/>
      <c r="C960" s="118"/>
      <c r="E960" s="118"/>
      <c r="G960" s="118"/>
      <c r="I960" s="118"/>
      <c r="K960" s="118"/>
      <c r="M960" s="118"/>
      <c r="O960" s="118"/>
      <c r="P960" s="119"/>
      <c r="S960" s="118"/>
      <c r="U960" s="118"/>
      <c r="W960" s="118"/>
      <c r="Y960" s="118"/>
      <c r="AA960" s="118"/>
      <c r="AC960" s="118"/>
      <c r="AE960" s="118"/>
      <c r="AF960" s="119"/>
    </row>
    <row r="961" spans="1:32" x14ac:dyDescent="0.3">
      <c r="A961" s="118"/>
      <c r="C961" s="118"/>
      <c r="E961" s="118"/>
      <c r="G961" s="118"/>
      <c r="I961" s="118"/>
      <c r="K961" s="118"/>
      <c r="M961" s="118"/>
      <c r="O961" s="118"/>
      <c r="P961" s="119"/>
      <c r="S961" s="118"/>
      <c r="U961" s="118"/>
      <c r="W961" s="118"/>
      <c r="Y961" s="118"/>
      <c r="AA961" s="118"/>
      <c r="AC961" s="118"/>
      <c r="AE961" s="118"/>
      <c r="AF961" s="119"/>
    </row>
    <row r="962" spans="1:32" x14ac:dyDescent="0.3">
      <c r="A962" s="118"/>
      <c r="C962" s="118"/>
      <c r="E962" s="118"/>
      <c r="G962" s="118"/>
      <c r="I962" s="118"/>
      <c r="K962" s="118"/>
      <c r="M962" s="118"/>
      <c r="O962" s="118"/>
      <c r="P962" s="119"/>
      <c r="S962" s="118"/>
      <c r="U962" s="118"/>
      <c r="W962" s="118"/>
      <c r="Y962" s="118"/>
      <c r="AA962" s="118"/>
      <c r="AC962" s="118"/>
      <c r="AE962" s="118"/>
      <c r="AF962" s="119"/>
    </row>
    <row r="963" spans="1:32" x14ac:dyDescent="0.3">
      <c r="A963" s="118"/>
      <c r="C963" s="118"/>
      <c r="E963" s="118"/>
      <c r="G963" s="118"/>
      <c r="I963" s="118"/>
      <c r="K963" s="118"/>
      <c r="M963" s="118"/>
      <c r="O963" s="118"/>
      <c r="P963" s="119"/>
      <c r="S963" s="118"/>
      <c r="U963" s="118"/>
      <c r="W963" s="118"/>
      <c r="Y963" s="118"/>
      <c r="AA963" s="118"/>
      <c r="AC963" s="118"/>
      <c r="AE963" s="118"/>
      <c r="AF963" s="119"/>
    </row>
    <row r="964" spans="1:32" x14ac:dyDescent="0.3">
      <c r="A964" s="118"/>
      <c r="C964" s="118"/>
      <c r="E964" s="118"/>
      <c r="G964" s="118"/>
      <c r="I964" s="118"/>
      <c r="K964" s="118"/>
      <c r="M964" s="118"/>
      <c r="O964" s="118"/>
      <c r="P964" s="119"/>
      <c r="S964" s="118"/>
      <c r="U964" s="118"/>
      <c r="W964" s="118"/>
      <c r="Y964" s="118"/>
      <c r="AA964" s="118"/>
      <c r="AC964" s="118"/>
      <c r="AE964" s="118"/>
      <c r="AF964" s="119"/>
    </row>
    <row r="965" spans="1:32" x14ac:dyDescent="0.3">
      <c r="A965" s="118"/>
      <c r="C965" s="118"/>
      <c r="E965" s="118"/>
      <c r="G965" s="118"/>
      <c r="I965" s="118"/>
      <c r="K965" s="118"/>
      <c r="M965" s="118"/>
      <c r="O965" s="118"/>
      <c r="P965" s="119"/>
      <c r="S965" s="118"/>
      <c r="U965" s="118"/>
      <c r="W965" s="118"/>
      <c r="Y965" s="118"/>
      <c r="AA965" s="118"/>
      <c r="AC965" s="118"/>
      <c r="AE965" s="118"/>
      <c r="AF965" s="119"/>
    </row>
    <row r="966" spans="1:32" x14ac:dyDescent="0.3">
      <c r="A966" s="118"/>
      <c r="C966" s="118"/>
      <c r="E966" s="118"/>
      <c r="G966" s="118"/>
      <c r="I966" s="118"/>
      <c r="K966" s="118"/>
      <c r="M966" s="118"/>
      <c r="O966" s="118"/>
      <c r="P966" s="119"/>
      <c r="S966" s="118"/>
      <c r="U966" s="118"/>
      <c r="W966" s="118"/>
      <c r="Y966" s="118"/>
      <c r="AA966" s="118"/>
      <c r="AC966" s="118"/>
      <c r="AE966" s="118"/>
      <c r="AF966" s="119"/>
    </row>
    <row r="967" spans="1:32" x14ac:dyDescent="0.3">
      <c r="A967" s="118"/>
      <c r="C967" s="118"/>
      <c r="E967" s="118"/>
      <c r="G967" s="118"/>
      <c r="I967" s="118"/>
      <c r="K967" s="118"/>
      <c r="M967" s="118"/>
      <c r="O967" s="118"/>
      <c r="P967" s="119"/>
      <c r="S967" s="118"/>
      <c r="U967" s="118"/>
      <c r="W967" s="118"/>
      <c r="Y967" s="118"/>
      <c r="AA967" s="118"/>
      <c r="AC967" s="118"/>
      <c r="AE967" s="118"/>
      <c r="AF967" s="119"/>
    </row>
    <row r="968" spans="1:32" x14ac:dyDescent="0.3">
      <c r="A968" s="118"/>
      <c r="C968" s="118"/>
      <c r="E968" s="118"/>
      <c r="G968" s="118"/>
      <c r="I968" s="118"/>
      <c r="K968" s="118"/>
      <c r="M968" s="118"/>
      <c r="O968" s="118"/>
      <c r="P968" s="119"/>
      <c r="S968" s="118"/>
      <c r="U968" s="118"/>
      <c r="W968" s="118"/>
      <c r="Y968" s="118"/>
      <c r="AA968" s="118"/>
      <c r="AC968" s="118"/>
      <c r="AE968" s="118"/>
      <c r="AF968" s="119"/>
    </row>
    <row r="969" spans="1:32" x14ac:dyDescent="0.3">
      <c r="A969" s="118"/>
      <c r="C969" s="118"/>
      <c r="E969" s="118"/>
      <c r="G969" s="118"/>
      <c r="I969" s="118"/>
      <c r="K969" s="118"/>
      <c r="M969" s="118"/>
      <c r="O969" s="118"/>
      <c r="P969" s="119"/>
      <c r="S969" s="118"/>
      <c r="U969" s="118"/>
      <c r="W969" s="118"/>
      <c r="Y969" s="118"/>
      <c r="AA969" s="118"/>
      <c r="AC969" s="118"/>
      <c r="AE969" s="118"/>
      <c r="AF969" s="119"/>
    </row>
    <row r="970" spans="1:32" x14ac:dyDescent="0.3">
      <c r="A970" s="118"/>
      <c r="C970" s="118"/>
      <c r="E970" s="118"/>
      <c r="G970" s="118"/>
      <c r="I970" s="118"/>
      <c r="K970" s="118"/>
      <c r="M970" s="118"/>
      <c r="O970" s="118"/>
      <c r="P970" s="119"/>
      <c r="S970" s="118"/>
      <c r="U970" s="118"/>
      <c r="W970" s="118"/>
      <c r="Y970" s="118"/>
      <c r="AA970" s="118"/>
      <c r="AC970" s="118"/>
      <c r="AE970" s="118"/>
      <c r="AF970" s="119"/>
    </row>
    <row r="971" spans="1:32" x14ac:dyDescent="0.3">
      <c r="A971" s="118"/>
      <c r="C971" s="118"/>
      <c r="E971" s="118"/>
      <c r="G971" s="118"/>
      <c r="I971" s="118"/>
      <c r="K971" s="118"/>
      <c r="M971" s="118"/>
      <c r="O971" s="118"/>
      <c r="P971" s="119"/>
      <c r="S971" s="118"/>
      <c r="U971" s="118"/>
      <c r="W971" s="118"/>
      <c r="Y971" s="118"/>
      <c r="AA971" s="118"/>
      <c r="AC971" s="118"/>
      <c r="AE971" s="118"/>
      <c r="AF971" s="119"/>
    </row>
    <row r="972" spans="1:32" x14ac:dyDescent="0.3">
      <c r="A972" s="118"/>
      <c r="C972" s="118"/>
      <c r="E972" s="118"/>
      <c r="G972" s="118"/>
      <c r="I972" s="118"/>
      <c r="K972" s="118"/>
      <c r="M972" s="118"/>
      <c r="O972" s="118"/>
      <c r="P972" s="119"/>
      <c r="S972" s="118"/>
      <c r="U972" s="118"/>
      <c r="W972" s="118"/>
      <c r="Y972" s="118"/>
      <c r="AA972" s="118"/>
      <c r="AC972" s="118"/>
      <c r="AE972" s="118"/>
      <c r="AF972" s="119"/>
    </row>
    <row r="973" spans="1:32" x14ac:dyDescent="0.3">
      <c r="A973" s="118"/>
      <c r="C973" s="118"/>
      <c r="E973" s="118"/>
      <c r="G973" s="118"/>
      <c r="I973" s="118"/>
      <c r="K973" s="118"/>
      <c r="M973" s="118"/>
      <c r="O973" s="118"/>
      <c r="P973" s="119"/>
      <c r="S973" s="118"/>
      <c r="U973" s="118"/>
      <c r="W973" s="118"/>
      <c r="Y973" s="118"/>
      <c r="AA973" s="118"/>
      <c r="AC973" s="118"/>
      <c r="AE973" s="118"/>
      <c r="AF973" s="119"/>
    </row>
    <row r="974" spans="1:32" x14ac:dyDescent="0.3">
      <c r="A974" s="118"/>
      <c r="C974" s="118"/>
      <c r="E974" s="118"/>
      <c r="G974" s="118"/>
      <c r="I974" s="118"/>
      <c r="K974" s="118"/>
      <c r="M974" s="118"/>
      <c r="O974" s="118"/>
      <c r="P974" s="119"/>
      <c r="S974" s="118"/>
      <c r="U974" s="118"/>
      <c r="W974" s="118"/>
      <c r="Y974" s="118"/>
      <c r="AA974" s="118"/>
      <c r="AC974" s="118"/>
      <c r="AE974" s="118"/>
      <c r="AF974" s="119"/>
    </row>
    <row r="975" spans="1:32" x14ac:dyDescent="0.3">
      <c r="A975" s="118"/>
      <c r="C975" s="118"/>
      <c r="E975" s="118"/>
      <c r="G975" s="118"/>
      <c r="I975" s="118"/>
      <c r="K975" s="118"/>
      <c r="M975" s="118"/>
      <c r="O975" s="118"/>
      <c r="P975" s="119"/>
      <c r="S975" s="118"/>
      <c r="U975" s="118"/>
      <c r="W975" s="118"/>
      <c r="Y975" s="118"/>
      <c r="AA975" s="118"/>
      <c r="AC975" s="118"/>
      <c r="AE975" s="118"/>
      <c r="AF975" s="119"/>
    </row>
    <row r="976" spans="1:32" x14ac:dyDescent="0.3">
      <c r="A976" s="118"/>
      <c r="C976" s="118"/>
      <c r="E976" s="118"/>
      <c r="G976" s="118"/>
      <c r="I976" s="118"/>
      <c r="K976" s="118"/>
      <c r="M976" s="118"/>
      <c r="O976" s="118"/>
      <c r="P976" s="119"/>
      <c r="S976" s="118"/>
      <c r="U976" s="118"/>
      <c r="W976" s="118"/>
      <c r="Y976" s="118"/>
      <c r="AA976" s="118"/>
      <c r="AC976" s="118"/>
      <c r="AE976" s="118"/>
      <c r="AF976" s="119"/>
    </row>
    <row r="977" spans="1:32" x14ac:dyDescent="0.3">
      <c r="A977" s="118"/>
      <c r="C977" s="118"/>
      <c r="E977" s="118"/>
      <c r="G977" s="118"/>
      <c r="I977" s="118"/>
      <c r="K977" s="118"/>
      <c r="M977" s="118"/>
      <c r="O977" s="118"/>
      <c r="P977" s="119"/>
      <c r="S977" s="118"/>
      <c r="U977" s="118"/>
      <c r="W977" s="118"/>
      <c r="Y977" s="118"/>
      <c r="AA977" s="118"/>
      <c r="AC977" s="118"/>
      <c r="AE977" s="118"/>
      <c r="AF977" s="119"/>
    </row>
    <row r="978" spans="1:32" x14ac:dyDescent="0.3">
      <c r="A978" s="118"/>
      <c r="C978" s="118"/>
      <c r="E978" s="118"/>
      <c r="G978" s="118"/>
      <c r="I978" s="118"/>
      <c r="K978" s="118"/>
      <c r="M978" s="118"/>
      <c r="O978" s="118"/>
      <c r="P978" s="119"/>
      <c r="S978" s="118"/>
      <c r="U978" s="118"/>
      <c r="W978" s="118"/>
      <c r="Y978" s="118"/>
      <c r="AA978" s="118"/>
      <c r="AC978" s="118"/>
      <c r="AE978" s="118"/>
      <c r="AF978" s="119"/>
    </row>
    <row r="979" spans="1:32" x14ac:dyDescent="0.3">
      <c r="A979" s="118"/>
      <c r="C979" s="118"/>
      <c r="E979" s="118"/>
      <c r="G979" s="118"/>
      <c r="I979" s="118"/>
      <c r="K979" s="118"/>
      <c r="M979" s="118"/>
      <c r="O979" s="118"/>
      <c r="P979" s="119"/>
      <c r="S979" s="118"/>
      <c r="U979" s="118"/>
      <c r="W979" s="118"/>
      <c r="Y979" s="118"/>
      <c r="AA979" s="118"/>
      <c r="AC979" s="118"/>
      <c r="AE979" s="118"/>
      <c r="AF979" s="119"/>
    </row>
    <row r="980" spans="1:32" x14ac:dyDescent="0.3">
      <c r="A980" s="118"/>
      <c r="C980" s="118"/>
      <c r="E980" s="118"/>
      <c r="G980" s="118"/>
      <c r="I980" s="118"/>
      <c r="K980" s="118"/>
      <c r="M980" s="118"/>
      <c r="O980" s="118"/>
      <c r="P980" s="119"/>
      <c r="S980" s="118"/>
      <c r="U980" s="118"/>
      <c r="W980" s="118"/>
      <c r="Y980" s="118"/>
      <c r="AA980" s="118"/>
      <c r="AC980" s="118"/>
      <c r="AE980" s="118"/>
      <c r="AF980" s="119"/>
    </row>
    <row r="981" spans="1:32" x14ac:dyDescent="0.3">
      <c r="A981" s="118"/>
      <c r="C981" s="118"/>
      <c r="E981" s="118"/>
      <c r="G981" s="118"/>
      <c r="I981" s="118"/>
      <c r="K981" s="118"/>
      <c r="M981" s="118"/>
      <c r="O981" s="118"/>
      <c r="P981" s="119"/>
      <c r="S981" s="118"/>
      <c r="U981" s="118"/>
      <c r="W981" s="118"/>
      <c r="Y981" s="118"/>
      <c r="AA981" s="118"/>
      <c r="AC981" s="118"/>
      <c r="AE981" s="118"/>
      <c r="AF981" s="119"/>
    </row>
    <row r="982" spans="1:32" x14ac:dyDescent="0.3">
      <c r="A982" s="118"/>
      <c r="C982" s="118"/>
      <c r="E982" s="118"/>
      <c r="G982" s="118"/>
      <c r="I982" s="118"/>
      <c r="K982" s="118"/>
      <c r="M982" s="118"/>
      <c r="O982" s="118"/>
      <c r="P982" s="119"/>
      <c r="S982" s="118"/>
      <c r="U982" s="118"/>
      <c r="W982" s="118"/>
      <c r="Y982" s="118"/>
      <c r="AA982" s="118"/>
      <c r="AC982" s="118"/>
      <c r="AE982" s="118"/>
      <c r="AF982" s="119"/>
    </row>
    <row r="983" spans="1:32" x14ac:dyDescent="0.3">
      <c r="A983" s="118"/>
      <c r="C983" s="118"/>
      <c r="E983" s="118"/>
      <c r="G983" s="118"/>
      <c r="I983" s="118"/>
      <c r="K983" s="118"/>
      <c r="M983" s="118"/>
      <c r="O983" s="118"/>
      <c r="P983" s="119"/>
      <c r="S983" s="118"/>
      <c r="U983" s="118"/>
      <c r="W983" s="118"/>
      <c r="Y983" s="118"/>
      <c r="AA983" s="118"/>
      <c r="AC983" s="118"/>
      <c r="AE983" s="118"/>
      <c r="AF983" s="119"/>
    </row>
    <row r="984" spans="1:32" x14ac:dyDescent="0.3">
      <c r="A984" s="118"/>
      <c r="C984" s="118"/>
      <c r="E984" s="118"/>
      <c r="G984" s="118"/>
      <c r="I984" s="118"/>
      <c r="K984" s="118"/>
      <c r="M984" s="118"/>
      <c r="O984" s="118"/>
      <c r="P984" s="119"/>
      <c r="S984" s="118"/>
      <c r="U984" s="118"/>
      <c r="W984" s="118"/>
      <c r="Y984" s="118"/>
      <c r="AA984" s="118"/>
      <c r="AC984" s="118"/>
      <c r="AE984" s="118"/>
      <c r="AF984" s="119"/>
    </row>
    <row r="985" spans="1:32" x14ac:dyDescent="0.3">
      <c r="A985" s="118"/>
      <c r="C985" s="118"/>
      <c r="E985" s="118"/>
      <c r="G985" s="118"/>
      <c r="I985" s="118"/>
      <c r="K985" s="118"/>
      <c r="M985" s="118"/>
      <c r="O985" s="118"/>
      <c r="P985" s="119"/>
      <c r="S985" s="118"/>
      <c r="U985" s="118"/>
      <c r="W985" s="118"/>
      <c r="Y985" s="118"/>
      <c r="AA985" s="118"/>
      <c r="AC985" s="118"/>
      <c r="AE985" s="118"/>
      <c r="AF985" s="119"/>
    </row>
    <row r="986" spans="1:32" x14ac:dyDescent="0.3">
      <c r="A986" s="118"/>
      <c r="C986" s="118"/>
      <c r="E986" s="118"/>
      <c r="G986" s="118"/>
      <c r="I986" s="118"/>
      <c r="K986" s="118"/>
      <c r="M986" s="118"/>
      <c r="O986" s="118"/>
      <c r="P986" s="119"/>
      <c r="S986" s="118"/>
      <c r="U986" s="118"/>
      <c r="W986" s="118"/>
      <c r="Y986" s="118"/>
      <c r="AA986" s="118"/>
      <c r="AC986" s="118"/>
      <c r="AE986" s="118"/>
      <c r="AF986" s="119"/>
    </row>
    <row r="987" spans="1:32" x14ac:dyDescent="0.3">
      <c r="A987" s="118"/>
      <c r="C987" s="118"/>
      <c r="E987" s="118"/>
      <c r="G987" s="118"/>
      <c r="I987" s="118"/>
      <c r="K987" s="118"/>
      <c r="M987" s="118"/>
      <c r="O987" s="118"/>
      <c r="P987" s="119"/>
      <c r="S987" s="118"/>
      <c r="U987" s="118"/>
      <c r="W987" s="118"/>
      <c r="Y987" s="118"/>
      <c r="AA987" s="118"/>
      <c r="AC987" s="118"/>
      <c r="AE987" s="118"/>
      <c r="AF987" s="119"/>
    </row>
    <row r="988" spans="1:32" x14ac:dyDescent="0.3">
      <c r="A988" s="118"/>
      <c r="C988" s="118"/>
      <c r="E988" s="118"/>
      <c r="G988" s="118"/>
      <c r="I988" s="118"/>
      <c r="K988" s="118"/>
      <c r="M988" s="118"/>
      <c r="O988" s="118"/>
      <c r="P988" s="119"/>
      <c r="S988" s="118"/>
      <c r="U988" s="118"/>
      <c r="W988" s="118"/>
      <c r="Y988" s="118"/>
      <c r="AA988" s="118"/>
      <c r="AC988" s="118"/>
      <c r="AE988" s="118"/>
      <c r="AF988" s="119"/>
    </row>
    <row r="989" spans="1:32" x14ac:dyDescent="0.3">
      <c r="A989" s="118"/>
      <c r="C989" s="118"/>
      <c r="E989" s="118"/>
      <c r="G989" s="118"/>
      <c r="I989" s="118"/>
      <c r="K989" s="118"/>
      <c r="M989" s="118"/>
      <c r="O989" s="118"/>
      <c r="P989" s="119"/>
      <c r="S989" s="118"/>
      <c r="U989" s="118"/>
      <c r="W989" s="118"/>
      <c r="Y989" s="118"/>
      <c r="AA989" s="118"/>
      <c r="AC989" s="118"/>
      <c r="AE989" s="118"/>
      <c r="AF989" s="119"/>
    </row>
    <row r="990" spans="1:32" x14ac:dyDescent="0.3">
      <c r="A990" s="118"/>
      <c r="C990" s="118"/>
      <c r="E990" s="118"/>
      <c r="G990" s="118"/>
      <c r="I990" s="118"/>
      <c r="K990" s="118"/>
      <c r="M990" s="118"/>
      <c r="O990" s="118"/>
      <c r="P990" s="119"/>
      <c r="S990" s="118"/>
      <c r="U990" s="118"/>
      <c r="W990" s="118"/>
      <c r="Y990" s="118"/>
      <c r="AA990" s="118"/>
      <c r="AC990" s="118"/>
      <c r="AE990" s="118"/>
      <c r="AF990" s="119"/>
    </row>
    <row r="991" spans="1:32" x14ac:dyDescent="0.3">
      <c r="A991" s="118"/>
      <c r="C991" s="118"/>
      <c r="E991" s="118"/>
      <c r="G991" s="118"/>
      <c r="I991" s="118"/>
      <c r="K991" s="118"/>
      <c r="M991" s="118"/>
      <c r="O991" s="118"/>
      <c r="P991" s="119"/>
      <c r="S991" s="118"/>
      <c r="U991" s="118"/>
      <c r="W991" s="118"/>
      <c r="Y991" s="118"/>
      <c r="AA991" s="118"/>
      <c r="AC991" s="118"/>
      <c r="AE991" s="118"/>
      <c r="AF991" s="119"/>
    </row>
    <row r="992" spans="1:32" x14ac:dyDescent="0.3">
      <c r="A992" s="118"/>
      <c r="C992" s="118"/>
      <c r="E992" s="118"/>
      <c r="G992" s="118"/>
      <c r="I992" s="118"/>
      <c r="K992" s="118"/>
      <c r="M992" s="118"/>
      <c r="O992" s="118"/>
      <c r="P992" s="119"/>
      <c r="S992" s="118"/>
      <c r="U992" s="118"/>
      <c r="W992" s="118"/>
      <c r="Y992" s="118"/>
      <c r="AA992" s="118"/>
      <c r="AC992" s="118"/>
      <c r="AE992" s="118"/>
      <c r="AF992" s="119"/>
    </row>
    <row r="993" spans="1:32" x14ac:dyDescent="0.3">
      <c r="A993" s="118"/>
      <c r="C993" s="118"/>
      <c r="E993" s="118"/>
      <c r="G993" s="118"/>
      <c r="I993" s="118"/>
      <c r="K993" s="118"/>
      <c r="M993" s="118"/>
      <c r="O993" s="118"/>
      <c r="P993" s="119"/>
      <c r="S993" s="118"/>
      <c r="U993" s="118"/>
      <c r="W993" s="118"/>
      <c r="Y993" s="118"/>
      <c r="AA993" s="118"/>
      <c r="AC993" s="118"/>
      <c r="AE993" s="118"/>
      <c r="AF993" s="119"/>
    </row>
    <row r="994" spans="1:32" x14ac:dyDescent="0.3">
      <c r="A994" s="118"/>
      <c r="C994" s="118"/>
      <c r="E994" s="118"/>
      <c r="G994" s="118"/>
      <c r="I994" s="118"/>
      <c r="K994" s="118"/>
      <c r="M994" s="118"/>
      <c r="O994" s="118"/>
      <c r="P994" s="119"/>
      <c r="S994" s="118"/>
      <c r="U994" s="118"/>
      <c r="W994" s="118"/>
      <c r="Y994" s="118"/>
      <c r="AA994" s="118"/>
      <c r="AC994" s="118"/>
      <c r="AE994" s="118"/>
      <c r="AF994" s="119"/>
    </row>
    <row r="995" spans="1:32" x14ac:dyDescent="0.3">
      <c r="A995" s="118"/>
      <c r="C995" s="118"/>
      <c r="E995" s="118"/>
      <c r="G995" s="118"/>
      <c r="I995" s="118"/>
      <c r="K995" s="118"/>
      <c r="M995" s="118"/>
      <c r="O995" s="118"/>
      <c r="P995" s="119"/>
      <c r="S995" s="118"/>
      <c r="U995" s="118"/>
      <c r="W995" s="118"/>
      <c r="Y995" s="118"/>
      <c r="AA995" s="118"/>
      <c r="AC995" s="118"/>
      <c r="AE995" s="118"/>
      <c r="AF995" s="119"/>
    </row>
    <row r="996" spans="1:32" x14ac:dyDescent="0.3">
      <c r="A996" s="118"/>
      <c r="C996" s="118"/>
      <c r="E996" s="118"/>
      <c r="G996" s="118"/>
      <c r="I996" s="118"/>
      <c r="K996" s="118"/>
      <c r="M996" s="118"/>
      <c r="O996" s="118"/>
      <c r="P996" s="119"/>
      <c r="S996" s="118"/>
      <c r="U996" s="118"/>
      <c r="W996" s="118"/>
      <c r="Y996" s="118"/>
      <c r="AA996" s="118"/>
      <c r="AC996" s="118"/>
      <c r="AE996" s="118"/>
      <c r="AF996" s="119"/>
    </row>
    <row r="997" spans="1:32" x14ac:dyDescent="0.3">
      <c r="A997" s="118"/>
      <c r="C997" s="118"/>
      <c r="E997" s="118"/>
      <c r="G997" s="118"/>
      <c r="I997" s="118"/>
      <c r="K997" s="118"/>
      <c r="M997" s="118"/>
      <c r="O997" s="118"/>
      <c r="P997" s="119"/>
      <c r="S997" s="118"/>
      <c r="U997" s="118"/>
      <c r="W997" s="118"/>
      <c r="Y997" s="118"/>
      <c r="AA997" s="118"/>
      <c r="AC997" s="118"/>
      <c r="AE997" s="118"/>
      <c r="AF997" s="119"/>
    </row>
    <row r="998" spans="1:32" x14ac:dyDescent="0.3">
      <c r="A998" s="118"/>
      <c r="C998" s="118"/>
      <c r="E998" s="118"/>
      <c r="G998" s="118"/>
      <c r="I998" s="118"/>
      <c r="K998" s="118"/>
      <c r="M998" s="118"/>
      <c r="O998" s="118"/>
      <c r="P998" s="119"/>
      <c r="S998" s="118"/>
      <c r="U998" s="118"/>
      <c r="W998" s="118"/>
      <c r="Y998" s="118"/>
      <c r="AA998" s="118"/>
      <c r="AC998" s="118"/>
      <c r="AE998" s="118"/>
      <c r="AF998" s="119"/>
    </row>
    <row r="999" spans="1:32" x14ac:dyDescent="0.3">
      <c r="A999" s="118"/>
      <c r="C999" s="118"/>
      <c r="E999" s="118"/>
      <c r="G999" s="118"/>
      <c r="I999" s="118"/>
      <c r="K999" s="118"/>
      <c r="M999" s="118"/>
      <c r="O999" s="118"/>
      <c r="P999" s="119"/>
      <c r="S999" s="118"/>
      <c r="U999" s="118"/>
      <c r="W999" s="118"/>
      <c r="Y999" s="118"/>
      <c r="AA999" s="118"/>
      <c r="AC999" s="118"/>
      <c r="AE999" s="118"/>
      <c r="AF999" s="119"/>
    </row>
    <row r="1000" spans="1:32" x14ac:dyDescent="0.3">
      <c r="A1000" s="118"/>
      <c r="C1000" s="118"/>
      <c r="E1000" s="118"/>
      <c r="G1000" s="118"/>
      <c r="I1000" s="118"/>
      <c r="K1000" s="118"/>
      <c r="M1000" s="118"/>
      <c r="O1000" s="118"/>
      <c r="P1000" s="119"/>
      <c r="S1000" s="118"/>
      <c r="U1000" s="118"/>
      <c r="W1000" s="118"/>
      <c r="Y1000" s="118"/>
      <c r="AA1000" s="118"/>
      <c r="AC1000" s="118"/>
      <c r="AE1000" s="118"/>
      <c r="AF1000" s="119"/>
    </row>
  </sheetData>
  <mergeCells count="16">
    <mergeCell ref="K1:L1"/>
    <mergeCell ref="A1:B1"/>
    <mergeCell ref="C1:D1"/>
    <mergeCell ref="E1:F1"/>
    <mergeCell ref="G1:H1"/>
    <mergeCell ref="I1:J1"/>
    <mergeCell ref="Y1:Z1"/>
    <mergeCell ref="AA1:AB1"/>
    <mergeCell ref="AC1:AD1"/>
    <mergeCell ref="AE1:AF1"/>
    <mergeCell ref="M1:N1"/>
    <mergeCell ref="O1:P1"/>
    <mergeCell ref="Q1:R1"/>
    <mergeCell ref="S1:T1"/>
    <mergeCell ref="U1:V1"/>
    <mergeCell ref="W1:X1"/>
  </mergeCells>
  <pageMargins left="0.511811024" right="0.511811024" top="0.78740157499999996" bottom="0.78740157499999996" header="0.31496062000000002" footer="0.31496062000000002"/>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6A966-E427-4E4E-87A0-8F2526C6F8B8}">
  <sheetPr codeName="Plan17"/>
  <dimension ref="A1:AF1000"/>
  <sheetViews>
    <sheetView workbookViewId="0">
      <selection activeCell="A80" sqref="A80:XFD80"/>
    </sheetView>
  </sheetViews>
  <sheetFormatPr defaultColWidth="9.21875" defaultRowHeight="14.4" x14ac:dyDescent="0.3"/>
  <cols>
    <col min="1" max="64" width="18.6640625" customWidth="1"/>
    <col min="65" max="194" width="17.5546875" customWidth="1"/>
  </cols>
  <sheetData>
    <row r="1" spans="1:32" x14ac:dyDescent="0.3">
      <c r="A1" s="145" t="s">
        <v>858</v>
      </c>
      <c r="B1" s="145"/>
      <c r="C1" s="145" t="s">
        <v>859</v>
      </c>
      <c r="D1" s="145"/>
      <c r="E1" s="145" t="s">
        <v>860</v>
      </c>
      <c r="F1" s="145"/>
      <c r="G1" s="145" t="s">
        <v>861</v>
      </c>
      <c r="H1" s="145"/>
      <c r="I1" s="145" t="s">
        <v>862</v>
      </c>
      <c r="J1" s="145"/>
      <c r="K1" s="145" t="s">
        <v>863</v>
      </c>
      <c r="L1" s="145"/>
      <c r="M1" s="145" t="s">
        <v>864</v>
      </c>
      <c r="N1" s="145"/>
      <c r="O1" s="145" t="s">
        <v>865</v>
      </c>
      <c r="P1" s="145"/>
      <c r="Q1" s="145" t="s">
        <v>866</v>
      </c>
      <c r="R1" s="145"/>
      <c r="S1" s="145" t="s">
        <v>867</v>
      </c>
      <c r="T1" s="145"/>
      <c r="U1" s="145" t="s">
        <v>868</v>
      </c>
      <c r="V1" s="145"/>
      <c r="W1" s="145" t="s">
        <v>869</v>
      </c>
      <c r="X1" s="145"/>
      <c r="Y1" s="145" t="s">
        <v>870</v>
      </c>
      <c r="Z1" s="145"/>
      <c r="AA1" s="145" t="s">
        <v>871</v>
      </c>
      <c r="AB1" s="145"/>
      <c r="AC1" s="145" t="s">
        <v>872</v>
      </c>
      <c r="AD1" s="145"/>
      <c r="AE1" s="145" t="s">
        <v>873</v>
      </c>
      <c r="AF1" s="145"/>
    </row>
    <row r="2" spans="1:32" x14ac:dyDescent="0.3">
      <c r="A2" s="126" t="s">
        <v>961</v>
      </c>
      <c r="B2" s="66" t="s">
        <v>962</v>
      </c>
      <c r="C2" s="126" t="s">
        <v>961</v>
      </c>
      <c r="D2" s="66" t="s">
        <v>962</v>
      </c>
      <c r="E2" s="126" t="s">
        <v>961</v>
      </c>
      <c r="F2" s="66" t="s">
        <v>962</v>
      </c>
      <c r="G2" s="126" t="s">
        <v>961</v>
      </c>
      <c r="H2" s="66" t="s">
        <v>962</v>
      </c>
      <c r="I2" s="126" t="s">
        <v>961</v>
      </c>
      <c r="J2" s="127" t="s">
        <v>962</v>
      </c>
      <c r="K2" s="66" t="s">
        <v>961</v>
      </c>
      <c r="L2" s="66" t="s">
        <v>962</v>
      </c>
      <c r="M2" s="126" t="s">
        <v>961</v>
      </c>
      <c r="N2" s="66" t="s">
        <v>962</v>
      </c>
      <c r="O2" s="126" t="s">
        <v>961</v>
      </c>
      <c r="P2" s="66" t="s">
        <v>962</v>
      </c>
      <c r="Q2" s="126" t="s">
        <v>961</v>
      </c>
      <c r="R2" s="66" t="s">
        <v>962</v>
      </c>
      <c r="S2" s="126" t="s">
        <v>961</v>
      </c>
      <c r="T2" s="66" t="s">
        <v>962</v>
      </c>
      <c r="U2" s="126" t="s">
        <v>961</v>
      </c>
      <c r="V2" s="66" t="s">
        <v>962</v>
      </c>
      <c r="W2" s="126" t="s">
        <v>961</v>
      </c>
      <c r="X2" s="66" t="s">
        <v>962</v>
      </c>
      <c r="Y2" s="126" t="s">
        <v>961</v>
      </c>
      <c r="Z2" s="66" t="s">
        <v>962</v>
      </c>
      <c r="AA2" s="126" t="s">
        <v>961</v>
      </c>
      <c r="AB2" s="66" t="s">
        <v>962</v>
      </c>
      <c r="AC2" s="126" t="s">
        <v>961</v>
      </c>
      <c r="AD2" s="66" t="s">
        <v>962</v>
      </c>
      <c r="AE2" s="126" t="s">
        <v>961</v>
      </c>
      <c r="AF2" s="127" t="s">
        <v>962</v>
      </c>
    </row>
    <row r="3" spans="1:32" x14ac:dyDescent="0.3">
      <c r="A3" s="118" t="s">
        <v>967</v>
      </c>
      <c r="B3" t="s">
        <v>964</v>
      </c>
      <c r="C3" s="118" t="s">
        <v>1014</v>
      </c>
      <c r="D3" t="s">
        <v>1011</v>
      </c>
      <c r="E3" s="118" t="s">
        <v>1061</v>
      </c>
      <c r="F3" t="s">
        <v>1058</v>
      </c>
      <c r="G3" s="118" t="s">
        <v>1108</v>
      </c>
      <c r="H3" t="s">
        <v>1105</v>
      </c>
      <c r="I3" s="118" t="s">
        <v>1155</v>
      </c>
      <c r="J3" s="119" t="s">
        <v>1152</v>
      </c>
      <c r="K3" t="s">
        <v>1202</v>
      </c>
      <c r="L3" t="s">
        <v>1199</v>
      </c>
      <c r="M3" s="118" t="s">
        <v>1249</v>
      </c>
      <c r="N3" t="s">
        <v>1246</v>
      </c>
      <c r="O3" s="118" t="s">
        <v>1296</v>
      </c>
      <c r="P3" t="s">
        <v>1293</v>
      </c>
      <c r="Q3" s="118" t="s">
        <v>1343</v>
      </c>
      <c r="R3" t="s">
        <v>1340</v>
      </c>
      <c r="S3" s="118" t="s">
        <v>1390</v>
      </c>
      <c r="T3" t="s">
        <v>1387</v>
      </c>
      <c r="U3" s="118" t="s">
        <v>1437</v>
      </c>
      <c r="V3" t="s">
        <v>1434</v>
      </c>
      <c r="W3" s="118" t="s">
        <v>1484</v>
      </c>
      <c r="X3" t="s">
        <v>1481</v>
      </c>
      <c r="Y3" s="118" t="s">
        <v>1531</v>
      </c>
      <c r="Z3" t="s">
        <v>1528</v>
      </c>
      <c r="AA3" s="118" t="s">
        <v>1578</v>
      </c>
      <c r="AB3" t="s">
        <v>1575</v>
      </c>
      <c r="AC3" s="118" t="s">
        <v>1625</v>
      </c>
      <c r="AD3" t="s">
        <v>1622</v>
      </c>
      <c r="AE3" s="118" t="s">
        <v>1672</v>
      </c>
      <c r="AF3" s="119" t="s">
        <v>1669</v>
      </c>
    </row>
    <row r="4" spans="1:32" x14ac:dyDescent="0.3">
      <c r="A4" s="118" t="s">
        <v>968</v>
      </c>
      <c r="B4" t="s">
        <v>969</v>
      </c>
      <c r="C4" s="118" t="s">
        <v>1015</v>
      </c>
      <c r="D4" t="s">
        <v>1004</v>
      </c>
      <c r="E4" s="118" t="s">
        <v>1062</v>
      </c>
      <c r="F4" t="s">
        <v>1041</v>
      </c>
      <c r="G4" s="118" t="s">
        <v>1109</v>
      </c>
      <c r="H4" t="s">
        <v>1078</v>
      </c>
      <c r="I4" s="118" t="s">
        <v>1156</v>
      </c>
      <c r="J4" s="119" t="s">
        <v>1115</v>
      </c>
      <c r="K4" t="s">
        <v>1203</v>
      </c>
      <c r="L4" t="s">
        <v>1150</v>
      </c>
      <c r="M4" s="118" t="s">
        <v>1250</v>
      </c>
      <c r="N4" t="s">
        <v>1187</v>
      </c>
      <c r="O4" s="118" t="s">
        <v>1297</v>
      </c>
      <c r="P4" t="s">
        <v>1224</v>
      </c>
      <c r="Q4" s="118" t="s">
        <v>1344</v>
      </c>
      <c r="R4" t="s">
        <v>1261</v>
      </c>
      <c r="S4" s="118" t="s">
        <v>1391</v>
      </c>
      <c r="T4" t="s">
        <v>1298</v>
      </c>
      <c r="U4" s="118" t="s">
        <v>1438</v>
      </c>
      <c r="V4" t="s">
        <v>1333</v>
      </c>
      <c r="W4" s="118" t="s">
        <v>1485</v>
      </c>
      <c r="X4" t="s">
        <v>1370</v>
      </c>
      <c r="Y4" s="118" t="s">
        <v>1532</v>
      </c>
      <c r="Z4" t="s">
        <v>1407</v>
      </c>
      <c r="AA4" s="118" t="s">
        <v>1579</v>
      </c>
      <c r="AB4" t="s">
        <v>1444</v>
      </c>
      <c r="AC4" s="118" t="s">
        <v>1626</v>
      </c>
      <c r="AD4" t="s">
        <v>1479</v>
      </c>
      <c r="AE4" s="118" t="s">
        <v>1673</v>
      </c>
      <c r="AF4" s="119" t="s">
        <v>1516</v>
      </c>
    </row>
    <row r="5" spans="1:32" x14ac:dyDescent="0.3">
      <c r="A5" s="118" t="s">
        <v>972</v>
      </c>
      <c r="B5" t="s">
        <v>974</v>
      </c>
      <c r="C5" s="118" t="s">
        <v>1019</v>
      </c>
      <c r="D5" t="s">
        <v>1009</v>
      </c>
      <c r="E5" s="118" t="s">
        <v>1066</v>
      </c>
      <c r="F5" t="s">
        <v>1046</v>
      </c>
      <c r="G5" s="118" t="s">
        <v>1113</v>
      </c>
      <c r="H5" t="s">
        <v>1083</v>
      </c>
      <c r="I5" s="118" t="s">
        <v>1160</v>
      </c>
      <c r="J5" s="119" t="s">
        <v>1120</v>
      </c>
      <c r="K5" t="s">
        <v>1207</v>
      </c>
      <c r="L5" t="s">
        <v>1157</v>
      </c>
      <c r="M5" s="118" t="s">
        <v>1254</v>
      </c>
      <c r="N5" t="s">
        <v>1192</v>
      </c>
      <c r="O5" s="118" t="s">
        <v>1301</v>
      </c>
      <c r="P5" t="s">
        <v>1229</v>
      </c>
      <c r="Q5" s="118" t="s">
        <v>1348</v>
      </c>
      <c r="R5" t="s">
        <v>1266</v>
      </c>
      <c r="S5" s="118" t="s">
        <v>1395</v>
      </c>
      <c r="T5" t="s">
        <v>1303</v>
      </c>
      <c r="U5" s="118" t="s">
        <v>1442</v>
      </c>
      <c r="V5" t="s">
        <v>1338</v>
      </c>
      <c r="W5" s="118" t="s">
        <v>1489</v>
      </c>
      <c r="X5" t="s">
        <v>1375</v>
      </c>
      <c r="Y5" s="118" t="s">
        <v>1536</v>
      </c>
      <c r="Z5" t="s">
        <v>1412</v>
      </c>
      <c r="AA5" s="118" t="s">
        <v>1583</v>
      </c>
      <c r="AB5" t="s">
        <v>1449</v>
      </c>
      <c r="AC5" s="118" t="s">
        <v>1630</v>
      </c>
      <c r="AD5" t="s">
        <v>1486</v>
      </c>
      <c r="AE5" s="118" t="s">
        <v>1677</v>
      </c>
      <c r="AF5" s="119" t="s">
        <v>1521</v>
      </c>
    </row>
    <row r="6" spans="1:32" x14ac:dyDescent="0.3">
      <c r="A6" s="118" t="s">
        <v>973</v>
      </c>
      <c r="B6" t="s">
        <v>979</v>
      </c>
      <c r="C6" s="118" t="s">
        <v>1020</v>
      </c>
      <c r="D6" t="s">
        <v>1016</v>
      </c>
      <c r="E6" s="118" t="s">
        <v>1067</v>
      </c>
      <c r="F6" t="s">
        <v>1051</v>
      </c>
      <c r="G6" s="118" t="s">
        <v>1114</v>
      </c>
      <c r="H6" t="s">
        <v>1088</v>
      </c>
      <c r="I6" s="118" t="s">
        <v>1161</v>
      </c>
      <c r="J6" s="119" t="s">
        <v>1125</v>
      </c>
      <c r="K6" t="s">
        <v>1208</v>
      </c>
      <c r="L6" t="s">
        <v>1162</v>
      </c>
      <c r="M6" s="118" t="s">
        <v>1255</v>
      </c>
      <c r="N6" t="s">
        <v>1197</v>
      </c>
      <c r="O6" s="118" t="s">
        <v>1302</v>
      </c>
      <c r="P6" t="s">
        <v>1234</v>
      </c>
      <c r="Q6" s="118" t="s">
        <v>1349</v>
      </c>
      <c r="R6" t="s">
        <v>1271</v>
      </c>
      <c r="S6" s="118" t="s">
        <v>1396</v>
      </c>
      <c r="T6" t="s">
        <v>1308</v>
      </c>
      <c r="U6" s="118" t="s">
        <v>1443</v>
      </c>
      <c r="V6" t="s">
        <v>1345</v>
      </c>
      <c r="W6" s="118" t="s">
        <v>1490</v>
      </c>
      <c r="X6" t="s">
        <v>1380</v>
      </c>
      <c r="Y6" s="118" t="s">
        <v>1537</v>
      </c>
      <c r="Z6" t="s">
        <v>1417</v>
      </c>
      <c r="AA6" s="118" t="s">
        <v>1584</v>
      </c>
      <c r="AB6" t="s">
        <v>1454</v>
      </c>
      <c r="AC6" s="118" t="s">
        <v>1631</v>
      </c>
      <c r="AD6" t="s">
        <v>1491</v>
      </c>
      <c r="AE6" s="118" t="s">
        <v>1678</v>
      </c>
      <c r="AF6" s="119" t="s">
        <v>1526</v>
      </c>
    </row>
    <row r="7" spans="1:32" x14ac:dyDescent="0.3">
      <c r="A7" s="118" t="s">
        <v>977</v>
      </c>
      <c r="B7" t="s">
        <v>984</v>
      </c>
      <c r="C7" s="118" t="s">
        <v>1024</v>
      </c>
      <c r="D7" t="s">
        <v>1021</v>
      </c>
      <c r="E7" s="118" t="s">
        <v>1071</v>
      </c>
      <c r="F7" t="s">
        <v>1056</v>
      </c>
      <c r="G7" s="118" t="s">
        <v>1118</v>
      </c>
      <c r="H7" t="s">
        <v>1093</v>
      </c>
      <c r="I7" s="118" t="s">
        <v>1165</v>
      </c>
      <c r="J7" s="119" t="s">
        <v>1130</v>
      </c>
      <c r="K7" t="s">
        <v>1212</v>
      </c>
      <c r="L7" t="s">
        <v>1167</v>
      </c>
      <c r="M7" s="118" t="s">
        <v>1259</v>
      </c>
      <c r="N7" t="s">
        <v>1204</v>
      </c>
      <c r="O7" s="118" t="s">
        <v>1306</v>
      </c>
      <c r="P7" t="s">
        <v>1239</v>
      </c>
      <c r="Q7" s="118" t="s">
        <v>1353</v>
      </c>
      <c r="R7" t="s">
        <v>1276</v>
      </c>
      <c r="S7" s="118" t="s">
        <v>1400</v>
      </c>
      <c r="T7" t="s">
        <v>1313</v>
      </c>
      <c r="U7" s="118" t="s">
        <v>1447</v>
      </c>
      <c r="V7" t="s">
        <v>1350</v>
      </c>
      <c r="W7" s="118" t="s">
        <v>1494</v>
      </c>
      <c r="X7" t="s">
        <v>1385</v>
      </c>
      <c r="Y7" s="118" t="s">
        <v>1541</v>
      </c>
      <c r="Z7" t="s">
        <v>1422</v>
      </c>
      <c r="AA7" s="118" t="s">
        <v>1588</v>
      </c>
      <c r="AB7" t="s">
        <v>1459</v>
      </c>
      <c r="AC7" s="118" t="s">
        <v>1635</v>
      </c>
      <c r="AD7" t="s">
        <v>1496</v>
      </c>
      <c r="AE7" s="118" t="s">
        <v>1682</v>
      </c>
      <c r="AF7" s="119" t="s">
        <v>1533</v>
      </c>
    </row>
    <row r="8" spans="1:32" x14ac:dyDescent="0.3">
      <c r="A8" s="118" t="s">
        <v>978</v>
      </c>
      <c r="B8" t="s">
        <v>989</v>
      </c>
      <c r="C8" s="118" t="s">
        <v>1025</v>
      </c>
      <c r="D8" t="s">
        <v>1026</v>
      </c>
      <c r="E8" s="118" t="s">
        <v>1072</v>
      </c>
      <c r="F8" t="s">
        <v>1063</v>
      </c>
      <c r="G8" s="118" t="s">
        <v>1119</v>
      </c>
      <c r="H8" t="s">
        <v>1098</v>
      </c>
      <c r="I8" s="118" t="s">
        <v>1166</v>
      </c>
      <c r="J8" s="119" t="s">
        <v>1135</v>
      </c>
      <c r="K8" t="s">
        <v>1213</v>
      </c>
      <c r="L8" t="s">
        <v>1172</v>
      </c>
      <c r="M8" s="118" t="s">
        <v>1260</v>
      </c>
      <c r="N8" t="s">
        <v>1209</v>
      </c>
      <c r="O8" s="118" t="s">
        <v>1307</v>
      </c>
      <c r="P8" t="s">
        <v>1244</v>
      </c>
      <c r="Q8" s="118" t="s">
        <v>1354</v>
      </c>
      <c r="R8" t="s">
        <v>1281</v>
      </c>
      <c r="S8" s="118" t="s">
        <v>1401</v>
      </c>
      <c r="T8" t="s">
        <v>1318</v>
      </c>
      <c r="U8" s="118" t="s">
        <v>1448</v>
      </c>
      <c r="V8" t="s">
        <v>1355</v>
      </c>
      <c r="W8" s="118" t="s">
        <v>1495</v>
      </c>
      <c r="X8" t="s">
        <v>1392</v>
      </c>
      <c r="Y8" s="118" t="s">
        <v>1542</v>
      </c>
      <c r="Z8" t="s">
        <v>1427</v>
      </c>
      <c r="AA8" s="118" t="s">
        <v>1589</v>
      </c>
      <c r="AB8" t="s">
        <v>1464</v>
      </c>
      <c r="AC8" s="118" t="s">
        <v>1636</v>
      </c>
      <c r="AD8" t="s">
        <v>1501</v>
      </c>
      <c r="AE8" s="118" t="s">
        <v>1683</v>
      </c>
      <c r="AF8" s="119" t="s">
        <v>1538</v>
      </c>
    </row>
    <row r="9" spans="1:32" x14ac:dyDescent="0.3">
      <c r="A9" s="118" t="s">
        <v>982</v>
      </c>
      <c r="B9" t="s">
        <v>994</v>
      </c>
      <c r="C9" s="118" t="s">
        <v>1029</v>
      </c>
      <c r="D9" t="s">
        <v>1031</v>
      </c>
      <c r="E9" s="118" t="s">
        <v>1076</v>
      </c>
      <c r="F9" t="s">
        <v>1068</v>
      </c>
      <c r="G9" s="118" t="s">
        <v>1123</v>
      </c>
      <c r="H9" t="s">
        <v>1103</v>
      </c>
      <c r="I9" s="118" t="s">
        <v>1170</v>
      </c>
      <c r="J9" s="119" t="s">
        <v>1140</v>
      </c>
      <c r="K9" t="s">
        <v>1217</v>
      </c>
      <c r="L9" t="s">
        <v>1177</v>
      </c>
      <c r="M9" s="118" t="s">
        <v>1264</v>
      </c>
      <c r="N9" t="s">
        <v>1214</v>
      </c>
      <c r="O9" s="118" t="s">
        <v>1311</v>
      </c>
      <c r="P9" t="s">
        <v>1251</v>
      </c>
      <c r="Q9" s="118" t="s">
        <v>1358</v>
      </c>
      <c r="R9" t="s">
        <v>1286</v>
      </c>
      <c r="S9" s="118" t="s">
        <v>1405</v>
      </c>
      <c r="T9" t="s">
        <v>1323</v>
      </c>
      <c r="U9" s="118" t="s">
        <v>1452</v>
      </c>
      <c r="V9" t="s">
        <v>1360</v>
      </c>
      <c r="W9" s="118" t="s">
        <v>1499</v>
      </c>
      <c r="X9" t="s">
        <v>1397</v>
      </c>
      <c r="Y9" s="118" t="s">
        <v>1546</v>
      </c>
      <c r="Z9" t="s">
        <v>1432</v>
      </c>
      <c r="AA9" s="118" t="s">
        <v>1593</v>
      </c>
      <c r="AB9" t="s">
        <v>1469</v>
      </c>
      <c r="AC9" s="118" t="s">
        <v>1640</v>
      </c>
      <c r="AD9" t="s">
        <v>1506</v>
      </c>
      <c r="AE9" s="118" t="s">
        <v>1687</v>
      </c>
      <c r="AF9" s="119" t="s">
        <v>1543</v>
      </c>
    </row>
    <row r="10" spans="1:32" x14ac:dyDescent="0.3">
      <c r="A10" s="118" t="s">
        <v>983</v>
      </c>
      <c r="B10" t="s">
        <v>999</v>
      </c>
      <c r="C10" s="118" t="s">
        <v>1030</v>
      </c>
      <c r="D10" t="s">
        <v>1036</v>
      </c>
      <c r="E10" s="118" t="s">
        <v>1077</v>
      </c>
      <c r="F10" t="s">
        <v>1073</v>
      </c>
      <c r="G10" s="118" t="s">
        <v>1124</v>
      </c>
      <c r="H10" t="s">
        <v>1110</v>
      </c>
      <c r="I10" s="118" t="s">
        <v>1171</v>
      </c>
      <c r="J10" s="119" t="s">
        <v>1145</v>
      </c>
      <c r="K10" t="s">
        <v>1218</v>
      </c>
      <c r="L10" t="s">
        <v>1182</v>
      </c>
      <c r="M10" s="118" t="s">
        <v>1265</v>
      </c>
      <c r="N10" t="s">
        <v>1219</v>
      </c>
      <c r="O10" s="118" t="s">
        <v>1312</v>
      </c>
      <c r="P10" t="s">
        <v>1256</v>
      </c>
      <c r="Q10" s="118" t="s">
        <v>1359</v>
      </c>
      <c r="R10" t="s">
        <v>1291</v>
      </c>
      <c r="S10" s="118" t="s">
        <v>1406</v>
      </c>
      <c r="T10" t="s">
        <v>1328</v>
      </c>
      <c r="U10" s="118" t="s">
        <v>1453</v>
      </c>
      <c r="V10" t="s">
        <v>1365</v>
      </c>
      <c r="W10" s="118" t="s">
        <v>1500</v>
      </c>
      <c r="X10" t="s">
        <v>1402</v>
      </c>
      <c r="Y10" s="118" t="s">
        <v>1547</v>
      </c>
      <c r="Z10" t="s">
        <v>1439</v>
      </c>
      <c r="AA10" s="118" t="s">
        <v>1594</v>
      </c>
      <c r="AB10" t="s">
        <v>1474</v>
      </c>
      <c r="AC10" s="118" t="s">
        <v>1641</v>
      </c>
      <c r="AD10" t="s">
        <v>1511</v>
      </c>
      <c r="AE10" s="118" t="s">
        <v>1688</v>
      </c>
      <c r="AF10" s="119" t="s">
        <v>1548</v>
      </c>
    </row>
    <row r="11" spans="1:32" x14ac:dyDescent="0.3">
      <c r="A11" s="118" t="s">
        <v>987</v>
      </c>
      <c r="B11" t="s">
        <v>1553</v>
      </c>
      <c r="C11" s="118" t="s">
        <v>1034</v>
      </c>
      <c r="D11" t="s">
        <v>1605</v>
      </c>
      <c r="E11" s="118" t="s">
        <v>1081</v>
      </c>
      <c r="F11" t="s">
        <v>1657</v>
      </c>
      <c r="G11" s="118" t="s">
        <v>1128</v>
      </c>
      <c r="H11" t="s">
        <v>1709</v>
      </c>
      <c r="I11" s="118" t="s">
        <v>1175</v>
      </c>
      <c r="J11" s="119" t="s">
        <v>1759</v>
      </c>
      <c r="K11" t="s">
        <v>1222</v>
      </c>
      <c r="L11" t="s">
        <v>1809</v>
      </c>
      <c r="M11" s="118" t="s">
        <v>1269</v>
      </c>
      <c r="N11" t="s">
        <v>1859</v>
      </c>
      <c r="O11" s="118" t="s">
        <v>1316</v>
      </c>
      <c r="P11" t="s">
        <v>1909</v>
      </c>
      <c r="Q11" s="118" t="s">
        <v>1363</v>
      </c>
      <c r="R11" t="s">
        <v>1959</v>
      </c>
      <c r="S11" s="118" t="s">
        <v>1410</v>
      </c>
      <c r="T11" t="s">
        <v>2009</v>
      </c>
      <c r="U11" s="118" t="s">
        <v>1457</v>
      </c>
      <c r="V11" t="s">
        <v>2059</v>
      </c>
      <c r="W11" s="118" t="s">
        <v>1504</v>
      </c>
      <c r="X11" t="s">
        <v>2109</v>
      </c>
      <c r="Y11" s="118" t="s">
        <v>1551</v>
      </c>
      <c r="Z11" t="s">
        <v>2159</v>
      </c>
      <c r="AA11" s="118" t="s">
        <v>1598</v>
      </c>
      <c r="AB11" t="s">
        <v>2209</v>
      </c>
      <c r="AC11" s="118" t="s">
        <v>1645</v>
      </c>
      <c r="AD11" t="s">
        <v>2259</v>
      </c>
      <c r="AE11" s="118" t="s">
        <v>1692</v>
      </c>
      <c r="AF11" s="119" t="s">
        <v>2309</v>
      </c>
    </row>
    <row r="12" spans="1:32" x14ac:dyDescent="0.3">
      <c r="A12" s="118" t="s">
        <v>988</v>
      </c>
      <c r="B12" t="s">
        <v>1558</v>
      </c>
      <c r="C12" s="118" t="s">
        <v>1035</v>
      </c>
      <c r="D12" t="s">
        <v>1610</v>
      </c>
      <c r="E12" s="118" t="s">
        <v>1082</v>
      </c>
      <c r="F12" t="s">
        <v>1662</v>
      </c>
      <c r="G12" s="118" t="s">
        <v>1129</v>
      </c>
      <c r="H12" t="s">
        <v>1714</v>
      </c>
      <c r="I12" s="118" t="s">
        <v>1176</v>
      </c>
      <c r="J12" s="119" t="s">
        <v>1764</v>
      </c>
      <c r="K12" t="s">
        <v>1223</v>
      </c>
      <c r="L12" t="s">
        <v>1814</v>
      </c>
      <c r="M12" s="118" t="s">
        <v>1270</v>
      </c>
      <c r="N12" t="s">
        <v>1864</v>
      </c>
      <c r="O12" s="118" t="s">
        <v>1317</v>
      </c>
      <c r="P12" t="s">
        <v>1914</v>
      </c>
      <c r="Q12" s="118" t="s">
        <v>1364</v>
      </c>
      <c r="R12" t="s">
        <v>1964</v>
      </c>
      <c r="S12" s="118" t="s">
        <v>1411</v>
      </c>
      <c r="T12" t="s">
        <v>2014</v>
      </c>
      <c r="U12" s="118" t="s">
        <v>1458</v>
      </c>
      <c r="V12" t="s">
        <v>2064</v>
      </c>
      <c r="W12" s="118" t="s">
        <v>1505</v>
      </c>
      <c r="X12" t="s">
        <v>2114</v>
      </c>
      <c r="Y12" s="118" t="s">
        <v>1552</v>
      </c>
      <c r="Z12" t="s">
        <v>2164</v>
      </c>
      <c r="AA12" s="118" t="s">
        <v>1599</v>
      </c>
      <c r="AB12" t="s">
        <v>2214</v>
      </c>
      <c r="AC12" s="118" t="s">
        <v>1646</v>
      </c>
      <c r="AD12" t="s">
        <v>2264</v>
      </c>
      <c r="AE12" s="118" t="s">
        <v>1693</v>
      </c>
      <c r="AF12" s="119" t="s">
        <v>2314</v>
      </c>
    </row>
    <row r="13" spans="1:32" x14ac:dyDescent="0.3">
      <c r="A13" s="118" t="s">
        <v>992</v>
      </c>
      <c r="B13" t="s">
        <v>1563</v>
      </c>
      <c r="C13" s="118" t="s">
        <v>1039</v>
      </c>
      <c r="D13" t="s">
        <v>1615</v>
      </c>
      <c r="E13" s="118" t="s">
        <v>1086</v>
      </c>
      <c r="F13" t="s">
        <v>1667</v>
      </c>
      <c r="G13" s="118" t="s">
        <v>1133</v>
      </c>
      <c r="H13" t="s">
        <v>1719</v>
      </c>
      <c r="I13" s="118" t="s">
        <v>1180</v>
      </c>
      <c r="J13" s="119" t="s">
        <v>1769</v>
      </c>
      <c r="K13" t="s">
        <v>1227</v>
      </c>
      <c r="L13" t="s">
        <v>1819</v>
      </c>
      <c r="M13" s="118" t="s">
        <v>1274</v>
      </c>
      <c r="N13" t="s">
        <v>1869</v>
      </c>
      <c r="O13" s="118" t="s">
        <v>1321</v>
      </c>
      <c r="P13" t="s">
        <v>1919</v>
      </c>
      <c r="Q13" s="118" t="s">
        <v>1368</v>
      </c>
      <c r="R13" t="s">
        <v>1969</v>
      </c>
      <c r="S13" s="118" t="s">
        <v>1415</v>
      </c>
      <c r="T13" t="s">
        <v>2019</v>
      </c>
      <c r="U13" s="118" t="s">
        <v>1462</v>
      </c>
      <c r="V13" t="s">
        <v>2069</v>
      </c>
      <c r="W13" s="118" t="s">
        <v>1509</v>
      </c>
      <c r="X13" t="s">
        <v>2119</v>
      </c>
      <c r="Y13" s="118" t="s">
        <v>1556</v>
      </c>
      <c r="Z13" t="s">
        <v>2169</v>
      </c>
      <c r="AA13" s="118" t="s">
        <v>1603</v>
      </c>
      <c r="AB13" t="s">
        <v>2219</v>
      </c>
      <c r="AC13" s="118" t="s">
        <v>1650</v>
      </c>
      <c r="AD13" t="s">
        <v>2269</v>
      </c>
      <c r="AE13" s="118" t="s">
        <v>1697</v>
      </c>
      <c r="AF13" s="119" t="s">
        <v>2319</v>
      </c>
    </row>
    <row r="14" spans="1:32" x14ac:dyDescent="0.3">
      <c r="A14" s="118" t="s">
        <v>993</v>
      </c>
      <c r="B14" t="s">
        <v>1568</v>
      </c>
      <c r="C14" s="118" t="s">
        <v>1040</v>
      </c>
      <c r="D14" t="s">
        <v>1620</v>
      </c>
      <c r="E14" s="118" t="s">
        <v>1087</v>
      </c>
      <c r="F14" t="s">
        <v>1674</v>
      </c>
      <c r="G14" s="118" t="s">
        <v>1134</v>
      </c>
      <c r="H14" t="s">
        <v>1724</v>
      </c>
      <c r="I14" s="118" t="s">
        <v>1181</v>
      </c>
      <c r="J14" s="119" t="s">
        <v>1774</v>
      </c>
      <c r="K14" t="s">
        <v>1228</v>
      </c>
      <c r="L14" t="s">
        <v>1824</v>
      </c>
      <c r="M14" s="118" t="s">
        <v>1275</v>
      </c>
      <c r="N14" t="s">
        <v>1874</v>
      </c>
      <c r="O14" s="118" t="s">
        <v>1322</v>
      </c>
      <c r="P14" t="s">
        <v>1924</v>
      </c>
      <c r="Q14" s="118" t="s">
        <v>1369</v>
      </c>
      <c r="R14" t="s">
        <v>1974</v>
      </c>
      <c r="S14" s="118" t="s">
        <v>1416</v>
      </c>
      <c r="T14" t="s">
        <v>2024</v>
      </c>
      <c r="U14" s="118" t="s">
        <v>1463</v>
      </c>
      <c r="V14" t="s">
        <v>2074</v>
      </c>
      <c r="W14" s="118" t="s">
        <v>1510</v>
      </c>
      <c r="X14" t="s">
        <v>2124</v>
      </c>
      <c r="Y14" s="118" t="s">
        <v>1557</v>
      </c>
      <c r="Z14" t="s">
        <v>2174</v>
      </c>
      <c r="AA14" s="118" t="s">
        <v>1604</v>
      </c>
      <c r="AB14" t="s">
        <v>2224</v>
      </c>
      <c r="AC14" s="118" t="s">
        <v>1651</v>
      </c>
      <c r="AD14" t="s">
        <v>2274</v>
      </c>
      <c r="AE14" s="118" t="s">
        <v>1698</v>
      </c>
      <c r="AF14" s="119" t="s">
        <v>2324</v>
      </c>
    </row>
    <row r="15" spans="1:32" x14ac:dyDescent="0.3">
      <c r="A15" s="118" t="s">
        <v>997</v>
      </c>
      <c r="B15" t="s">
        <v>1573</v>
      </c>
      <c r="C15" s="118" t="s">
        <v>1044</v>
      </c>
      <c r="D15" t="s">
        <v>1627</v>
      </c>
      <c r="E15" s="118" t="s">
        <v>1091</v>
      </c>
      <c r="F15" t="s">
        <v>1679</v>
      </c>
      <c r="G15" s="118" t="s">
        <v>1138</v>
      </c>
      <c r="H15" t="s">
        <v>1729</v>
      </c>
      <c r="I15" s="118" t="s">
        <v>1185</v>
      </c>
      <c r="J15" s="119" t="s">
        <v>1779</v>
      </c>
      <c r="K15" t="s">
        <v>1232</v>
      </c>
      <c r="L15" t="s">
        <v>1829</v>
      </c>
      <c r="M15" s="118" t="s">
        <v>1279</v>
      </c>
      <c r="N15" t="s">
        <v>1879</v>
      </c>
      <c r="O15" s="118" t="s">
        <v>1326</v>
      </c>
      <c r="P15" t="s">
        <v>1929</v>
      </c>
      <c r="Q15" s="118" t="s">
        <v>1373</v>
      </c>
      <c r="R15" t="s">
        <v>1979</v>
      </c>
      <c r="S15" s="118" t="s">
        <v>1420</v>
      </c>
      <c r="T15" t="s">
        <v>2029</v>
      </c>
      <c r="U15" s="118" t="s">
        <v>1467</v>
      </c>
      <c r="V15" t="s">
        <v>2079</v>
      </c>
      <c r="W15" s="118" t="s">
        <v>1514</v>
      </c>
      <c r="X15" t="s">
        <v>2129</v>
      </c>
      <c r="Y15" s="118" t="s">
        <v>1561</v>
      </c>
      <c r="Z15" t="s">
        <v>2179</v>
      </c>
      <c r="AA15" s="118" t="s">
        <v>1608</v>
      </c>
      <c r="AB15" t="s">
        <v>2229</v>
      </c>
      <c r="AC15" s="118" t="s">
        <v>1655</v>
      </c>
      <c r="AD15" t="s">
        <v>2279</v>
      </c>
      <c r="AE15" s="118" t="s">
        <v>1702</v>
      </c>
      <c r="AF15" s="119" t="s">
        <v>2329</v>
      </c>
    </row>
    <row r="16" spans="1:32" x14ac:dyDescent="0.3">
      <c r="A16" s="118" t="s">
        <v>998</v>
      </c>
      <c r="B16" t="s">
        <v>1580</v>
      </c>
      <c r="C16" s="118" t="s">
        <v>1045</v>
      </c>
      <c r="D16" t="s">
        <v>1632</v>
      </c>
      <c r="E16" s="118" t="s">
        <v>1092</v>
      </c>
      <c r="F16" t="s">
        <v>1684</v>
      </c>
      <c r="G16" s="118" t="s">
        <v>1139</v>
      </c>
      <c r="H16" t="s">
        <v>1734</v>
      </c>
      <c r="I16" s="118" t="s">
        <v>1186</v>
      </c>
      <c r="J16" s="119" t="s">
        <v>1784</v>
      </c>
      <c r="K16" t="s">
        <v>1233</v>
      </c>
      <c r="L16" t="s">
        <v>1834</v>
      </c>
      <c r="M16" s="118" t="s">
        <v>1280</v>
      </c>
      <c r="N16" t="s">
        <v>1884</v>
      </c>
      <c r="O16" s="118" t="s">
        <v>1327</v>
      </c>
      <c r="P16" t="s">
        <v>1934</v>
      </c>
      <c r="Q16" s="118" t="s">
        <v>1374</v>
      </c>
      <c r="R16" t="s">
        <v>1984</v>
      </c>
      <c r="S16" s="118" t="s">
        <v>1421</v>
      </c>
      <c r="T16" t="s">
        <v>2034</v>
      </c>
      <c r="U16" s="118" t="s">
        <v>1468</v>
      </c>
      <c r="V16" t="s">
        <v>2084</v>
      </c>
      <c r="W16" s="118" t="s">
        <v>1515</v>
      </c>
      <c r="X16" t="s">
        <v>2134</v>
      </c>
      <c r="Y16" s="118" t="s">
        <v>1562</v>
      </c>
      <c r="Z16" t="s">
        <v>2184</v>
      </c>
      <c r="AA16" s="118" t="s">
        <v>1609</v>
      </c>
      <c r="AB16" t="s">
        <v>2234</v>
      </c>
      <c r="AC16" s="118" t="s">
        <v>1656</v>
      </c>
      <c r="AD16" t="s">
        <v>2284</v>
      </c>
      <c r="AE16" s="118" t="s">
        <v>1703</v>
      </c>
      <c r="AF16" s="119" t="s">
        <v>2334</v>
      </c>
    </row>
    <row r="17" spans="1:32" x14ac:dyDescent="0.3">
      <c r="A17" s="118" t="s">
        <v>1002</v>
      </c>
      <c r="B17" t="s">
        <v>1585</v>
      </c>
      <c r="C17" s="118" t="s">
        <v>1049</v>
      </c>
      <c r="D17" t="s">
        <v>1637</v>
      </c>
      <c r="E17" s="118" t="s">
        <v>1096</v>
      </c>
      <c r="F17" t="s">
        <v>1689</v>
      </c>
      <c r="G17" s="118" t="s">
        <v>1143</v>
      </c>
      <c r="H17" t="s">
        <v>1739</v>
      </c>
      <c r="I17" s="118" t="s">
        <v>1190</v>
      </c>
      <c r="J17" s="119" t="s">
        <v>1789</v>
      </c>
      <c r="K17" t="s">
        <v>1237</v>
      </c>
      <c r="L17" t="s">
        <v>1839</v>
      </c>
      <c r="M17" s="118" t="s">
        <v>1284</v>
      </c>
      <c r="N17" t="s">
        <v>1889</v>
      </c>
      <c r="O17" s="118" t="s">
        <v>1331</v>
      </c>
      <c r="P17" t="s">
        <v>1939</v>
      </c>
      <c r="Q17" s="118" t="s">
        <v>1378</v>
      </c>
      <c r="R17" t="s">
        <v>1989</v>
      </c>
      <c r="S17" s="118" t="s">
        <v>1425</v>
      </c>
      <c r="T17" t="s">
        <v>2039</v>
      </c>
      <c r="U17" s="118" t="s">
        <v>1472</v>
      </c>
      <c r="V17" t="s">
        <v>2089</v>
      </c>
      <c r="W17" s="118" t="s">
        <v>1519</v>
      </c>
      <c r="X17" t="s">
        <v>2139</v>
      </c>
      <c r="Y17" s="118" t="s">
        <v>1566</v>
      </c>
      <c r="Z17" t="s">
        <v>2189</v>
      </c>
      <c r="AA17" s="118" t="s">
        <v>1613</v>
      </c>
      <c r="AB17" t="s">
        <v>2239</v>
      </c>
      <c r="AC17" s="118" t="s">
        <v>1660</v>
      </c>
      <c r="AD17" t="s">
        <v>2289</v>
      </c>
      <c r="AE17" s="118" t="s">
        <v>1707</v>
      </c>
      <c r="AF17" s="119" t="s">
        <v>2339</v>
      </c>
    </row>
    <row r="18" spans="1:32" x14ac:dyDescent="0.3">
      <c r="A18" s="118" t="s">
        <v>1003</v>
      </c>
      <c r="B18" t="s">
        <v>1590</v>
      </c>
      <c r="C18" s="118" t="s">
        <v>1050</v>
      </c>
      <c r="D18" t="s">
        <v>1642</v>
      </c>
      <c r="E18" s="118" t="s">
        <v>1097</v>
      </c>
      <c r="F18" t="s">
        <v>1694</v>
      </c>
      <c r="G18" s="118" t="s">
        <v>1144</v>
      </c>
      <c r="H18" t="s">
        <v>1744</v>
      </c>
      <c r="I18" s="118" t="s">
        <v>1191</v>
      </c>
      <c r="J18" s="119" t="s">
        <v>1794</v>
      </c>
      <c r="K18" t="s">
        <v>1238</v>
      </c>
      <c r="L18" t="s">
        <v>1844</v>
      </c>
      <c r="M18" s="118" t="s">
        <v>1285</v>
      </c>
      <c r="N18" t="s">
        <v>1894</v>
      </c>
      <c r="O18" s="118" t="s">
        <v>1332</v>
      </c>
      <c r="P18" t="s">
        <v>1944</v>
      </c>
      <c r="Q18" s="118" t="s">
        <v>1379</v>
      </c>
      <c r="R18" t="s">
        <v>1994</v>
      </c>
      <c r="S18" s="118" t="s">
        <v>1426</v>
      </c>
      <c r="T18" t="s">
        <v>2044</v>
      </c>
      <c r="U18" s="118" t="s">
        <v>1473</v>
      </c>
      <c r="V18" t="s">
        <v>2094</v>
      </c>
      <c r="W18" s="118" t="s">
        <v>1520</v>
      </c>
      <c r="X18" t="s">
        <v>2144</v>
      </c>
      <c r="Y18" s="118" t="s">
        <v>1567</v>
      </c>
      <c r="Z18" t="s">
        <v>2194</v>
      </c>
      <c r="AA18" s="118" t="s">
        <v>1614</v>
      </c>
      <c r="AB18" t="s">
        <v>2244</v>
      </c>
      <c r="AC18" s="118" t="s">
        <v>1661</v>
      </c>
      <c r="AD18" t="s">
        <v>2294</v>
      </c>
      <c r="AE18" s="118" t="s">
        <v>1708</v>
      </c>
      <c r="AF18" s="119" t="s">
        <v>2344</v>
      </c>
    </row>
    <row r="19" spans="1:32" x14ac:dyDescent="0.3">
      <c r="A19" s="118" t="s">
        <v>1007</v>
      </c>
      <c r="B19" t="s">
        <v>1595</v>
      </c>
      <c r="C19" s="118" t="s">
        <v>1054</v>
      </c>
      <c r="D19" t="s">
        <v>1647</v>
      </c>
      <c r="E19" s="118" t="s">
        <v>1101</v>
      </c>
      <c r="F19" t="s">
        <v>1699</v>
      </c>
      <c r="G19" s="118" t="s">
        <v>1148</v>
      </c>
      <c r="H19" t="s">
        <v>1749</v>
      </c>
      <c r="I19" s="118" t="s">
        <v>1195</v>
      </c>
      <c r="J19" s="119" t="s">
        <v>1799</v>
      </c>
      <c r="K19" t="s">
        <v>1242</v>
      </c>
      <c r="L19" t="s">
        <v>1849</v>
      </c>
      <c r="M19" s="118" t="s">
        <v>1289</v>
      </c>
      <c r="N19" t="s">
        <v>1899</v>
      </c>
      <c r="O19" s="118" t="s">
        <v>1336</v>
      </c>
      <c r="P19" t="s">
        <v>1949</v>
      </c>
      <c r="Q19" s="118" t="s">
        <v>1383</v>
      </c>
      <c r="R19" t="s">
        <v>1999</v>
      </c>
      <c r="S19" s="118" t="s">
        <v>1430</v>
      </c>
      <c r="T19" t="s">
        <v>2049</v>
      </c>
      <c r="U19" s="118" t="s">
        <v>1477</v>
      </c>
      <c r="V19" t="s">
        <v>2099</v>
      </c>
      <c r="W19" s="118" t="s">
        <v>1524</v>
      </c>
      <c r="X19" t="s">
        <v>2149</v>
      </c>
      <c r="Y19" s="118" t="s">
        <v>1571</v>
      </c>
      <c r="Z19" t="s">
        <v>2199</v>
      </c>
      <c r="AA19" s="118" t="s">
        <v>1618</v>
      </c>
      <c r="AB19" t="s">
        <v>2249</v>
      </c>
      <c r="AC19" s="118" t="s">
        <v>1665</v>
      </c>
      <c r="AD19" t="s">
        <v>2299</v>
      </c>
      <c r="AE19" s="118" t="s">
        <v>1712</v>
      </c>
      <c r="AF19" s="119" t="s">
        <v>2349</v>
      </c>
    </row>
    <row r="20" spans="1:32" x14ac:dyDescent="0.3">
      <c r="A20" s="118" t="s">
        <v>1008</v>
      </c>
      <c r="B20" t="s">
        <v>1600</v>
      </c>
      <c r="C20" s="118" t="s">
        <v>1055</v>
      </c>
      <c r="D20" t="s">
        <v>1652</v>
      </c>
      <c r="E20" s="118" t="s">
        <v>1102</v>
      </c>
      <c r="F20" t="s">
        <v>1704</v>
      </c>
      <c r="G20" s="118" t="s">
        <v>1149</v>
      </c>
      <c r="H20" t="s">
        <v>1754</v>
      </c>
      <c r="I20" s="118" t="s">
        <v>1196</v>
      </c>
      <c r="J20" s="119" t="s">
        <v>1804</v>
      </c>
      <c r="K20" t="s">
        <v>1243</v>
      </c>
      <c r="L20" t="s">
        <v>1854</v>
      </c>
      <c r="M20" s="118" t="s">
        <v>1290</v>
      </c>
      <c r="N20" t="s">
        <v>1904</v>
      </c>
      <c r="O20" s="118" t="s">
        <v>1337</v>
      </c>
      <c r="P20" t="s">
        <v>1954</v>
      </c>
      <c r="Q20" s="118" t="s">
        <v>1384</v>
      </c>
      <c r="R20" t="s">
        <v>2004</v>
      </c>
      <c r="S20" s="118" t="s">
        <v>1431</v>
      </c>
      <c r="T20" t="s">
        <v>2054</v>
      </c>
      <c r="U20" s="118" t="s">
        <v>1478</v>
      </c>
      <c r="V20" t="s">
        <v>2104</v>
      </c>
      <c r="W20" s="118" t="s">
        <v>1525</v>
      </c>
      <c r="X20" t="s">
        <v>2154</v>
      </c>
      <c r="Y20" s="118" t="s">
        <v>1572</v>
      </c>
      <c r="Z20" t="s">
        <v>2204</v>
      </c>
      <c r="AA20" s="118" t="s">
        <v>1619</v>
      </c>
      <c r="AB20" t="s">
        <v>2254</v>
      </c>
      <c r="AC20" s="118" t="s">
        <v>1666</v>
      </c>
      <c r="AD20" t="s">
        <v>2304</v>
      </c>
      <c r="AE20" s="118" t="s">
        <v>1713</v>
      </c>
      <c r="AF20" s="119" t="s">
        <v>2354</v>
      </c>
    </row>
    <row r="21" spans="1:32" x14ac:dyDescent="0.3">
      <c r="A21" s="118" t="s">
        <v>1717</v>
      </c>
      <c r="B21" t="s">
        <v>2359</v>
      </c>
      <c r="C21" s="118" t="s">
        <v>1767</v>
      </c>
      <c r="D21" t="s">
        <v>2409</v>
      </c>
      <c r="E21" s="118" t="s">
        <v>1817</v>
      </c>
      <c r="F21" t="s">
        <v>2459</v>
      </c>
      <c r="G21" s="118" t="s">
        <v>1867</v>
      </c>
      <c r="H21" t="s">
        <v>2509</v>
      </c>
      <c r="I21" s="118" t="s">
        <v>1917</v>
      </c>
      <c r="J21" s="119" t="s">
        <v>2559</v>
      </c>
      <c r="K21" t="s">
        <v>1967</v>
      </c>
      <c r="L21" t="s">
        <v>2609</v>
      </c>
      <c r="M21" s="118" t="s">
        <v>2017</v>
      </c>
      <c r="N21" t="s">
        <v>2659</v>
      </c>
      <c r="O21" s="118" t="s">
        <v>2067</v>
      </c>
      <c r="P21" t="s">
        <v>2709</v>
      </c>
      <c r="Q21" s="118" t="s">
        <v>2117</v>
      </c>
      <c r="R21" t="s">
        <v>2759</v>
      </c>
      <c r="S21" s="118" t="s">
        <v>2167</v>
      </c>
      <c r="T21" t="s">
        <v>2809</v>
      </c>
      <c r="U21" s="118" t="s">
        <v>2217</v>
      </c>
      <c r="V21" t="s">
        <v>2859</v>
      </c>
      <c r="W21" s="118" t="s">
        <v>2267</v>
      </c>
      <c r="X21" t="s">
        <v>2909</v>
      </c>
      <c r="Y21" s="118" t="s">
        <v>2317</v>
      </c>
      <c r="Z21" t="s">
        <v>2959</v>
      </c>
      <c r="AA21" s="118" t="s">
        <v>2367</v>
      </c>
      <c r="AB21" t="s">
        <v>3009</v>
      </c>
      <c r="AC21" s="118" t="s">
        <v>2417</v>
      </c>
      <c r="AD21" t="s">
        <v>3059</v>
      </c>
      <c r="AE21" s="118" t="s">
        <v>2467</v>
      </c>
      <c r="AF21" s="119" t="s">
        <v>3109</v>
      </c>
    </row>
    <row r="22" spans="1:32" x14ac:dyDescent="0.3">
      <c r="A22" s="118" t="s">
        <v>1718</v>
      </c>
      <c r="B22" t="s">
        <v>2364</v>
      </c>
      <c r="C22" s="118" t="s">
        <v>1768</v>
      </c>
      <c r="D22" t="s">
        <v>2414</v>
      </c>
      <c r="E22" s="118" t="s">
        <v>1818</v>
      </c>
      <c r="F22" t="s">
        <v>2464</v>
      </c>
      <c r="G22" s="118" t="s">
        <v>1868</v>
      </c>
      <c r="H22" t="s">
        <v>2514</v>
      </c>
      <c r="I22" s="118" t="s">
        <v>1918</v>
      </c>
      <c r="J22" s="119" t="s">
        <v>2564</v>
      </c>
      <c r="K22" t="s">
        <v>1968</v>
      </c>
      <c r="L22" t="s">
        <v>2614</v>
      </c>
      <c r="M22" s="118" t="s">
        <v>2018</v>
      </c>
      <c r="N22" t="s">
        <v>2664</v>
      </c>
      <c r="O22" s="118" t="s">
        <v>2068</v>
      </c>
      <c r="P22" t="s">
        <v>2714</v>
      </c>
      <c r="Q22" s="118" t="s">
        <v>2118</v>
      </c>
      <c r="R22" t="s">
        <v>2764</v>
      </c>
      <c r="S22" s="118" t="s">
        <v>2168</v>
      </c>
      <c r="T22" t="s">
        <v>2814</v>
      </c>
      <c r="U22" s="118" t="s">
        <v>2218</v>
      </c>
      <c r="V22" t="s">
        <v>2864</v>
      </c>
      <c r="W22" s="118" t="s">
        <v>2268</v>
      </c>
      <c r="X22" t="s">
        <v>2914</v>
      </c>
      <c r="Y22" s="118" t="s">
        <v>2318</v>
      </c>
      <c r="Z22" t="s">
        <v>2964</v>
      </c>
      <c r="AA22" s="118" t="s">
        <v>2368</v>
      </c>
      <c r="AB22" t="s">
        <v>3014</v>
      </c>
      <c r="AC22" s="118" t="s">
        <v>2418</v>
      </c>
      <c r="AD22" t="s">
        <v>3064</v>
      </c>
      <c r="AE22" s="118" t="s">
        <v>2468</v>
      </c>
      <c r="AF22" s="119" t="s">
        <v>3114</v>
      </c>
    </row>
    <row r="23" spans="1:32" x14ac:dyDescent="0.3">
      <c r="A23" s="118" t="s">
        <v>1722</v>
      </c>
      <c r="B23" t="s">
        <v>2369</v>
      </c>
      <c r="C23" s="118" t="s">
        <v>1772</v>
      </c>
      <c r="D23" t="s">
        <v>2419</v>
      </c>
      <c r="E23" s="118" t="s">
        <v>1822</v>
      </c>
      <c r="F23" t="s">
        <v>2469</v>
      </c>
      <c r="G23" s="118" t="s">
        <v>1872</v>
      </c>
      <c r="H23" t="s">
        <v>2519</v>
      </c>
      <c r="I23" s="118" t="s">
        <v>1922</v>
      </c>
      <c r="J23" s="119" t="s">
        <v>2569</v>
      </c>
      <c r="K23" t="s">
        <v>1972</v>
      </c>
      <c r="L23" t="s">
        <v>2619</v>
      </c>
      <c r="M23" s="118" t="s">
        <v>2022</v>
      </c>
      <c r="N23" t="s">
        <v>2669</v>
      </c>
      <c r="O23" s="118" t="s">
        <v>2072</v>
      </c>
      <c r="P23" t="s">
        <v>2719</v>
      </c>
      <c r="Q23" s="118" t="s">
        <v>2122</v>
      </c>
      <c r="R23" t="s">
        <v>2769</v>
      </c>
      <c r="S23" s="118" t="s">
        <v>2172</v>
      </c>
      <c r="T23" t="s">
        <v>2819</v>
      </c>
      <c r="U23" s="118" t="s">
        <v>2222</v>
      </c>
      <c r="V23" t="s">
        <v>2869</v>
      </c>
      <c r="W23" s="118" t="s">
        <v>2272</v>
      </c>
      <c r="X23" t="s">
        <v>2919</v>
      </c>
      <c r="Y23" s="118" t="s">
        <v>2322</v>
      </c>
      <c r="Z23" t="s">
        <v>2969</v>
      </c>
      <c r="AA23" s="118" t="s">
        <v>2372</v>
      </c>
      <c r="AB23" t="s">
        <v>3019</v>
      </c>
      <c r="AC23" s="118" t="s">
        <v>2422</v>
      </c>
      <c r="AD23" t="s">
        <v>3069</v>
      </c>
      <c r="AE23" s="118" t="s">
        <v>2472</v>
      </c>
      <c r="AF23" s="119" t="s">
        <v>3119</v>
      </c>
    </row>
    <row r="24" spans="1:32" x14ac:dyDescent="0.3">
      <c r="A24" s="118" t="s">
        <v>1723</v>
      </c>
      <c r="B24" t="s">
        <v>2374</v>
      </c>
      <c r="C24" s="118" t="s">
        <v>1773</v>
      </c>
      <c r="D24" t="s">
        <v>2424</v>
      </c>
      <c r="E24" s="118" t="s">
        <v>1823</v>
      </c>
      <c r="F24" t="s">
        <v>2474</v>
      </c>
      <c r="G24" s="118" t="s">
        <v>1873</v>
      </c>
      <c r="H24" t="s">
        <v>2524</v>
      </c>
      <c r="I24" s="118" t="s">
        <v>1923</v>
      </c>
      <c r="J24" s="119" t="s">
        <v>2574</v>
      </c>
      <c r="K24" t="s">
        <v>1973</v>
      </c>
      <c r="L24" t="s">
        <v>2624</v>
      </c>
      <c r="M24" s="118" t="s">
        <v>2023</v>
      </c>
      <c r="N24" t="s">
        <v>2674</v>
      </c>
      <c r="O24" s="118" t="s">
        <v>2073</v>
      </c>
      <c r="P24" t="s">
        <v>2724</v>
      </c>
      <c r="Q24" s="118" t="s">
        <v>2123</v>
      </c>
      <c r="R24" t="s">
        <v>2774</v>
      </c>
      <c r="S24" s="118" t="s">
        <v>2173</v>
      </c>
      <c r="T24" t="s">
        <v>2824</v>
      </c>
      <c r="U24" s="118" t="s">
        <v>2223</v>
      </c>
      <c r="V24" t="s">
        <v>2874</v>
      </c>
      <c r="W24" s="118" t="s">
        <v>2273</v>
      </c>
      <c r="X24" t="s">
        <v>2924</v>
      </c>
      <c r="Y24" s="118" t="s">
        <v>2323</v>
      </c>
      <c r="Z24" t="s">
        <v>2974</v>
      </c>
      <c r="AA24" s="118" t="s">
        <v>2373</v>
      </c>
      <c r="AB24" t="s">
        <v>3024</v>
      </c>
      <c r="AC24" s="118" t="s">
        <v>2423</v>
      </c>
      <c r="AD24" t="s">
        <v>3074</v>
      </c>
      <c r="AE24" s="118" t="s">
        <v>2473</v>
      </c>
      <c r="AF24" s="119" t="s">
        <v>3124</v>
      </c>
    </row>
    <row r="25" spans="1:32" x14ac:dyDescent="0.3">
      <c r="A25" s="118" t="s">
        <v>1727</v>
      </c>
      <c r="B25" t="s">
        <v>2379</v>
      </c>
      <c r="C25" s="118" t="s">
        <v>1777</v>
      </c>
      <c r="D25" t="s">
        <v>2429</v>
      </c>
      <c r="E25" s="118" t="s">
        <v>1827</v>
      </c>
      <c r="F25" t="s">
        <v>2479</v>
      </c>
      <c r="G25" s="118" t="s">
        <v>1877</v>
      </c>
      <c r="H25" t="s">
        <v>2529</v>
      </c>
      <c r="I25" s="118" t="s">
        <v>1927</v>
      </c>
      <c r="J25" s="119" t="s">
        <v>2579</v>
      </c>
      <c r="K25" t="s">
        <v>1977</v>
      </c>
      <c r="L25" t="s">
        <v>2629</v>
      </c>
      <c r="M25" s="118" t="s">
        <v>2027</v>
      </c>
      <c r="N25" t="s">
        <v>2679</v>
      </c>
      <c r="O25" s="118" t="s">
        <v>2077</v>
      </c>
      <c r="P25" t="s">
        <v>2729</v>
      </c>
      <c r="Q25" s="118" t="s">
        <v>2127</v>
      </c>
      <c r="R25" t="s">
        <v>2779</v>
      </c>
      <c r="S25" s="118" t="s">
        <v>2177</v>
      </c>
      <c r="T25" t="s">
        <v>2829</v>
      </c>
      <c r="U25" s="118" t="s">
        <v>2227</v>
      </c>
      <c r="V25" t="s">
        <v>2879</v>
      </c>
      <c r="W25" s="118" t="s">
        <v>2277</v>
      </c>
      <c r="X25" t="s">
        <v>2929</v>
      </c>
      <c r="Y25" s="118" t="s">
        <v>2327</v>
      </c>
      <c r="Z25" t="s">
        <v>2979</v>
      </c>
      <c r="AA25" s="118" t="s">
        <v>2377</v>
      </c>
      <c r="AB25" t="s">
        <v>3029</v>
      </c>
      <c r="AC25" s="118" t="s">
        <v>2427</v>
      </c>
      <c r="AD25" t="s">
        <v>3079</v>
      </c>
      <c r="AE25" s="118" t="s">
        <v>2477</v>
      </c>
      <c r="AF25" s="119" t="s">
        <v>3129</v>
      </c>
    </row>
    <row r="26" spans="1:32" x14ac:dyDescent="0.3">
      <c r="A26" s="118" t="s">
        <v>1728</v>
      </c>
      <c r="B26" t="s">
        <v>2384</v>
      </c>
      <c r="C26" s="118" t="s">
        <v>1778</v>
      </c>
      <c r="D26" t="s">
        <v>2434</v>
      </c>
      <c r="E26" s="118" t="s">
        <v>1828</v>
      </c>
      <c r="F26" t="s">
        <v>2484</v>
      </c>
      <c r="G26" s="118" t="s">
        <v>1878</v>
      </c>
      <c r="H26" t="s">
        <v>2534</v>
      </c>
      <c r="I26" s="118" t="s">
        <v>1928</v>
      </c>
      <c r="J26" s="119" t="s">
        <v>2584</v>
      </c>
      <c r="K26" t="s">
        <v>1978</v>
      </c>
      <c r="L26" t="s">
        <v>2634</v>
      </c>
      <c r="M26" s="118" t="s">
        <v>2028</v>
      </c>
      <c r="N26" t="s">
        <v>2684</v>
      </c>
      <c r="O26" s="118" t="s">
        <v>2078</v>
      </c>
      <c r="P26" t="s">
        <v>2734</v>
      </c>
      <c r="Q26" s="118" t="s">
        <v>2128</v>
      </c>
      <c r="R26" t="s">
        <v>2784</v>
      </c>
      <c r="S26" s="118" t="s">
        <v>2178</v>
      </c>
      <c r="T26" t="s">
        <v>2834</v>
      </c>
      <c r="U26" s="118" t="s">
        <v>2228</v>
      </c>
      <c r="V26" t="s">
        <v>2884</v>
      </c>
      <c r="W26" s="118" t="s">
        <v>2278</v>
      </c>
      <c r="X26" t="s">
        <v>2934</v>
      </c>
      <c r="Y26" s="118" t="s">
        <v>2328</v>
      </c>
      <c r="Z26" t="s">
        <v>2984</v>
      </c>
      <c r="AA26" s="118" t="s">
        <v>2378</v>
      </c>
      <c r="AB26" t="s">
        <v>3034</v>
      </c>
      <c r="AC26" s="118" t="s">
        <v>2428</v>
      </c>
      <c r="AD26" t="s">
        <v>3084</v>
      </c>
      <c r="AE26" s="118" t="s">
        <v>2478</v>
      </c>
      <c r="AF26" s="119" t="s">
        <v>3134</v>
      </c>
    </row>
    <row r="27" spans="1:32" x14ac:dyDescent="0.3">
      <c r="A27" s="118" t="s">
        <v>1732</v>
      </c>
      <c r="B27" t="s">
        <v>2389</v>
      </c>
      <c r="C27" s="118" t="s">
        <v>1782</v>
      </c>
      <c r="D27" t="s">
        <v>2439</v>
      </c>
      <c r="E27" s="118" t="s">
        <v>1832</v>
      </c>
      <c r="F27" t="s">
        <v>2489</v>
      </c>
      <c r="G27" s="118" t="s">
        <v>1882</v>
      </c>
      <c r="H27" t="s">
        <v>2539</v>
      </c>
      <c r="I27" s="118" t="s">
        <v>1932</v>
      </c>
      <c r="J27" s="119" t="s">
        <v>2589</v>
      </c>
      <c r="K27" t="s">
        <v>1982</v>
      </c>
      <c r="L27" t="s">
        <v>2639</v>
      </c>
      <c r="M27" s="118" t="s">
        <v>2032</v>
      </c>
      <c r="N27" t="s">
        <v>2689</v>
      </c>
      <c r="O27" s="118" t="s">
        <v>2082</v>
      </c>
      <c r="P27" t="s">
        <v>2739</v>
      </c>
      <c r="Q27" s="118" t="s">
        <v>2132</v>
      </c>
      <c r="R27" t="s">
        <v>2789</v>
      </c>
      <c r="S27" s="118" t="s">
        <v>2182</v>
      </c>
      <c r="T27" t="s">
        <v>2839</v>
      </c>
      <c r="U27" s="118" t="s">
        <v>2232</v>
      </c>
      <c r="V27" t="s">
        <v>2889</v>
      </c>
      <c r="W27" s="118" t="s">
        <v>2282</v>
      </c>
      <c r="X27" t="s">
        <v>2939</v>
      </c>
      <c r="Y27" s="118" t="s">
        <v>2332</v>
      </c>
      <c r="Z27" t="s">
        <v>2989</v>
      </c>
      <c r="AA27" s="118" t="s">
        <v>2382</v>
      </c>
      <c r="AB27" t="s">
        <v>3039</v>
      </c>
      <c r="AC27" s="118" t="s">
        <v>2432</v>
      </c>
      <c r="AD27" t="s">
        <v>3089</v>
      </c>
      <c r="AE27" s="118" t="s">
        <v>2482</v>
      </c>
      <c r="AF27" s="119" t="s">
        <v>3139</v>
      </c>
    </row>
    <row r="28" spans="1:32" x14ac:dyDescent="0.3">
      <c r="A28" s="118" t="s">
        <v>1733</v>
      </c>
      <c r="B28" t="s">
        <v>2394</v>
      </c>
      <c r="C28" s="118" t="s">
        <v>1783</v>
      </c>
      <c r="D28" t="s">
        <v>2444</v>
      </c>
      <c r="E28" s="118" t="s">
        <v>1833</v>
      </c>
      <c r="F28" t="s">
        <v>2494</v>
      </c>
      <c r="G28" s="118" t="s">
        <v>1883</v>
      </c>
      <c r="H28" t="s">
        <v>2544</v>
      </c>
      <c r="I28" s="118" t="s">
        <v>1933</v>
      </c>
      <c r="J28" s="119" t="s">
        <v>2594</v>
      </c>
      <c r="K28" t="s">
        <v>1983</v>
      </c>
      <c r="L28" t="s">
        <v>2644</v>
      </c>
      <c r="M28" s="118" t="s">
        <v>2033</v>
      </c>
      <c r="N28" t="s">
        <v>2694</v>
      </c>
      <c r="O28" s="118" t="s">
        <v>2083</v>
      </c>
      <c r="P28" t="s">
        <v>2744</v>
      </c>
      <c r="Q28" s="118" t="s">
        <v>2133</v>
      </c>
      <c r="R28" t="s">
        <v>2794</v>
      </c>
      <c r="S28" s="118" t="s">
        <v>2183</v>
      </c>
      <c r="T28" t="s">
        <v>2844</v>
      </c>
      <c r="U28" s="118" t="s">
        <v>2233</v>
      </c>
      <c r="V28" t="s">
        <v>2894</v>
      </c>
      <c r="W28" s="118" t="s">
        <v>2283</v>
      </c>
      <c r="X28" t="s">
        <v>2944</v>
      </c>
      <c r="Y28" s="118" t="s">
        <v>2333</v>
      </c>
      <c r="Z28" t="s">
        <v>2994</v>
      </c>
      <c r="AA28" s="118" t="s">
        <v>2383</v>
      </c>
      <c r="AB28" t="s">
        <v>3044</v>
      </c>
      <c r="AC28" s="118" t="s">
        <v>2433</v>
      </c>
      <c r="AD28" t="s">
        <v>3094</v>
      </c>
      <c r="AE28" s="118" t="s">
        <v>2483</v>
      </c>
      <c r="AF28" s="119" t="s">
        <v>3144</v>
      </c>
    </row>
    <row r="29" spans="1:32" x14ac:dyDescent="0.3">
      <c r="A29" s="118" t="s">
        <v>1737</v>
      </c>
      <c r="B29" t="s">
        <v>2399</v>
      </c>
      <c r="C29" s="118" t="s">
        <v>1787</v>
      </c>
      <c r="D29" t="s">
        <v>2449</v>
      </c>
      <c r="E29" s="118" t="s">
        <v>1837</v>
      </c>
      <c r="F29" t="s">
        <v>2499</v>
      </c>
      <c r="G29" s="118" t="s">
        <v>1887</v>
      </c>
      <c r="H29" t="s">
        <v>2549</v>
      </c>
      <c r="I29" s="118" t="s">
        <v>1937</v>
      </c>
      <c r="J29" s="119" t="s">
        <v>2599</v>
      </c>
      <c r="K29" t="s">
        <v>1987</v>
      </c>
      <c r="L29" t="s">
        <v>2649</v>
      </c>
      <c r="M29" s="118" t="s">
        <v>2037</v>
      </c>
      <c r="N29" t="s">
        <v>2699</v>
      </c>
      <c r="O29" s="118" t="s">
        <v>2087</v>
      </c>
      <c r="P29" t="s">
        <v>2749</v>
      </c>
      <c r="Q29" s="118" t="s">
        <v>2137</v>
      </c>
      <c r="R29" t="s">
        <v>2799</v>
      </c>
      <c r="S29" s="118" t="s">
        <v>2187</v>
      </c>
      <c r="T29" t="s">
        <v>2849</v>
      </c>
      <c r="U29" s="118" t="s">
        <v>2237</v>
      </c>
      <c r="V29" t="s">
        <v>2899</v>
      </c>
      <c r="W29" s="118" t="s">
        <v>2287</v>
      </c>
      <c r="X29" t="s">
        <v>2949</v>
      </c>
      <c r="Y29" s="118" t="s">
        <v>2337</v>
      </c>
      <c r="Z29" t="s">
        <v>2999</v>
      </c>
      <c r="AA29" s="118" t="s">
        <v>2387</v>
      </c>
      <c r="AB29" t="s">
        <v>3049</v>
      </c>
      <c r="AC29" s="118" t="s">
        <v>2437</v>
      </c>
      <c r="AD29" t="s">
        <v>3099</v>
      </c>
      <c r="AE29" s="118" t="s">
        <v>2487</v>
      </c>
      <c r="AF29" s="119" t="s">
        <v>3149</v>
      </c>
    </row>
    <row r="30" spans="1:32" x14ac:dyDescent="0.3">
      <c r="A30" s="118" t="s">
        <v>1738</v>
      </c>
      <c r="B30" t="s">
        <v>2404</v>
      </c>
      <c r="C30" s="118" t="s">
        <v>1788</v>
      </c>
      <c r="D30" t="s">
        <v>2454</v>
      </c>
      <c r="E30" s="118" t="s">
        <v>1838</v>
      </c>
      <c r="F30" t="s">
        <v>2504</v>
      </c>
      <c r="G30" s="118" t="s">
        <v>1888</v>
      </c>
      <c r="H30" t="s">
        <v>2554</v>
      </c>
      <c r="I30" s="118" t="s">
        <v>1938</v>
      </c>
      <c r="J30" s="119" t="s">
        <v>2604</v>
      </c>
      <c r="K30" t="s">
        <v>1988</v>
      </c>
      <c r="L30" t="s">
        <v>2654</v>
      </c>
      <c r="M30" s="118" t="s">
        <v>2038</v>
      </c>
      <c r="N30" t="s">
        <v>2704</v>
      </c>
      <c r="O30" s="118" t="s">
        <v>2088</v>
      </c>
      <c r="P30" t="s">
        <v>2754</v>
      </c>
      <c r="Q30" s="118" t="s">
        <v>2138</v>
      </c>
      <c r="R30" t="s">
        <v>2804</v>
      </c>
      <c r="S30" s="118" t="s">
        <v>2188</v>
      </c>
      <c r="T30" t="s">
        <v>2854</v>
      </c>
      <c r="U30" s="118" t="s">
        <v>2238</v>
      </c>
      <c r="V30" t="s">
        <v>2904</v>
      </c>
      <c r="W30" s="118" t="s">
        <v>2288</v>
      </c>
      <c r="X30" t="s">
        <v>2954</v>
      </c>
      <c r="Y30" s="118" t="s">
        <v>2338</v>
      </c>
      <c r="Z30" t="s">
        <v>3004</v>
      </c>
      <c r="AA30" s="118" t="s">
        <v>2388</v>
      </c>
      <c r="AB30" t="s">
        <v>3054</v>
      </c>
      <c r="AC30" s="118" t="s">
        <v>2438</v>
      </c>
      <c r="AD30" t="s">
        <v>3104</v>
      </c>
      <c r="AE30" s="118" t="s">
        <v>2488</v>
      </c>
      <c r="AF30" s="119" t="s">
        <v>3154</v>
      </c>
    </row>
    <row r="31" spans="1:32" x14ac:dyDescent="0.3">
      <c r="A31" s="118" t="s">
        <v>1742</v>
      </c>
      <c r="B31" t="s">
        <v>3159</v>
      </c>
      <c r="C31" s="118" t="s">
        <v>1792</v>
      </c>
      <c r="D31" t="s">
        <v>3209</v>
      </c>
      <c r="E31" s="118" t="s">
        <v>1842</v>
      </c>
      <c r="F31" t="s">
        <v>3259</v>
      </c>
      <c r="G31" s="118" t="s">
        <v>1892</v>
      </c>
      <c r="H31" t="s">
        <v>3309</v>
      </c>
      <c r="I31" s="118" t="s">
        <v>1942</v>
      </c>
      <c r="J31" s="119" t="s">
        <v>3359</v>
      </c>
      <c r="K31" t="s">
        <v>1992</v>
      </c>
      <c r="L31" t="s">
        <v>3409</v>
      </c>
      <c r="M31" s="118" t="s">
        <v>2042</v>
      </c>
      <c r="N31" t="s">
        <v>3459</v>
      </c>
      <c r="O31" s="118" t="s">
        <v>2092</v>
      </c>
      <c r="P31" t="s">
        <v>3509</v>
      </c>
      <c r="Q31" s="118" t="s">
        <v>2142</v>
      </c>
      <c r="S31" s="118" t="s">
        <v>2192</v>
      </c>
      <c r="U31" s="118" t="s">
        <v>2242</v>
      </c>
      <c r="W31" s="118" t="s">
        <v>2292</v>
      </c>
      <c r="Y31" s="118" t="s">
        <v>2342</v>
      </c>
      <c r="AA31" s="118" t="s">
        <v>2392</v>
      </c>
      <c r="AC31" s="118" t="s">
        <v>2442</v>
      </c>
      <c r="AE31" s="118" t="s">
        <v>2492</v>
      </c>
      <c r="AF31" s="119"/>
    </row>
    <row r="32" spans="1:32" x14ac:dyDescent="0.3">
      <c r="A32" s="118" t="s">
        <v>1743</v>
      </c>
      <c r="B32" t="s">
        <v>3164</v>
      </c>
      <c r="C32" s="118" t="s">
        <v>1793</v>
      </c>
      <c r="D32" t="s">
        <v>3214</v>
      </c>
      <c r="E32" s="118" t="s">
        <v>1843</v>
      </c>
      <c r="F32" t="s">
        <v>3264</v>
      </c>
      <c r="G32" s="118" t="s">
        <v>1893</v>
      </c>
      <c r="H32" t="s">
        <v>3314</v>
      </c>
      <c r="I32" s="118" t="s">
        <v>1943</v>
      </c>
      <c r="J32" s="119" t="s">
        <v>3364</v>
      </c>
      <c r="K32" t="s">
        <v>1993</v>
      </c>
      <c r="L32" t="s">
        <v>3414</v>
      </c>
      <c r="M32" s="118" t="s">
        <v>2043</v>
      </c>
      <c r="N32" t="s">
        <v>3464</v>
      </c>
      <c r="O32" s="118" t="s">
        <v>2093</v>
      </c>
      <c r="P32" t="s">
        <v>3514</v>
      </c>
      <c r="Q32" s="118" t="s">
        <v>2143</v>
      </c>
      <c r="S32" s="118" t="s">
        <v>2193</v>
      </c>
      <c r="U32" s="118" t="s">
        <v>2243</v>
      </c>
      <c r="W32" s="118" t="s">
        <v>2293</v>
      </c>
      <c r="Y32" s="118" t="s">
        <v>2343</v>
      </c>
      <c r="AA32" s="118" t="s">
        <v>2393</v>
      </c>
      <c r="AC32" s="118" t="s">
        <v>2443</v>
      </c>
      <c r="AE32" s="118" t="s">
        <v>2493</v>
      </c>
      <c r="AF32" s="119"/>
    </row>
    <row r="33" spans="1:32" x14ac:dyDescent="0.3">
      <c r="A33" s="118" t="s">
        <v>1747</v>
      </c>
      <c r="B33" t="s">
        <v>3169</v>
      </c>
      <c r="C33" s="118" t="s">
        <v>1797</v>
      </c>
      <c r="D33" t="s">
        <v>3219</v>
      </c>
      <c r="E33" s="118" t="s">
        <v>1847</v>
      </c>
      <c r="F33" t="s">
        <v>3269</v>
      </c>
      <c r="G33" s="118" t="s">
        <v>1897</v>
      </c>
      <c r="H33" t="s">
        <v>3319</v>
      </c>
      <c r="I33" s="118" t="s">
        <v>1947</v>
      </c>
      <c r="J33" s="119" t="s">
        <v>3369</v>
      </c>
      <c r="K33" t="s">
        <v>1997</v>
      </c>
      <c r="L33" t="s">
        <v>3419</v>
      </c>
      <c r="M33" s="118" t="s">
        <v>2047</v>
      </c>
      <c r="N33" t="s">
        <v>3469</v>
      </c>
      <c r="O33" s="118" t="s">
        <v>2097</v>
      </c>
      <c r="Q33" s="118" t="s">
        <v>2147</v>
      </c>
      <c r="S33" s="118" t="s">
        <v>2197</v>
      </c>
      <c r="U33" s="118" t="s">
        <v>2247</v>
      </c>
      <c r="W33" s="118" t="s">
        <v>2297</v>
      </c>
      <c r="Y33" s="118" t="s">
        <v>2347</v>
      </c>
      <c r="AA33" s="118" t="s">
        <v>2397</v>
      </c>
      <c r="AC33" s="118" t="s">
        <v>2447</v>
      </c>
      <c r="AE33" s="118" t="s">
        <v>2497</v>
      </c>
      <c r="AF33" s="119"/>
    </row>
    <row r="34" spans="1:32" x14ac:dyDescent="0.3">
      <c r="A34" s="118" t="s">
        <v>1748</v>
      </c>
      <c r="B34" t="s">
        <v>3174</v>
      </c>
      <c r="C34" s="118" t="s">
        <v>1798</v>
      </c>
      <c r="D34" t="s">
        <v>3224</v>
      </c>
      <c r="E34" s="118" t="s">
        <v>1848</v>
      </c>
      <c r="F34" t="s">
        <v>3274</v>
      </c>
      <c r="G34" s="118" t="s">
        <v>1898</v>
      </c>
      <c r="H34" t="s">
        <v>3324</v>
      </c>
      <c r="I34" s="118" t="s">
        <v>1948</v>
      </c>
      <c r="J34" s="119" t="s">
        <v>3374</v>
      </c>
      <c r="K34" t="s">
        <v>1998</v>
      </c>
      <c r="L34" t="s">
        <v>3424</v>
      </c>
      <c r="M34" s="118" t="s">
        <v>2048</v>
      </c>
      <c r="N34" t="s">
        <v>3474</v>
      </c>
      <c r="O34" s="118" t="s">
        <v>2098</v>
      </c>
      <c r="Q34" s="118" t="s">
        <v>2148</v>
      </c>
      <c r="S34" s="118" t="s">
        <v>2198</v>
      </c>
      <c r="U34" s="118" t="s">
        <v>2248</v>
      </c>
      <c r="W34" s="118" t="s">
        <v>2298</v>
      </c>
      <c r="Y34" s="118" t="s">
        <v>2348</v>
      </c>
      <c r="AA34" s="118" t="s">
        <v>2398</v>
      </c>
      <c r="AC34" s="118" t="s">
        <v>2448</v>
      </c>
      <c r="AE34" s="118" t="s">
        <v>2498</v>
      </c>
      <c r="AF34" s="119"/>
    </row>
    <row r="35" spans="1:32" x14ac:dyDescent="0.3">
      <c r="A35" s="118" t="s">
        <v>1752</v>
      </c>
      <c r="B35" t="s">
        <v>3179</v>
      </c>
      <c r="C35" s="118" t="s">
        <v>1802</v>
      </c>
      <c r="D35" t="s">
        <v>3229</v>
      </c>
      <c r="E35" s="118" t="s">
        <v>1852</v>
      </c>
      <c r="F35" t="s">
        <v>3279</v>
      </c>
      <c r="G35" s="118" t="s">
        <v>1902</v>
      </c>
      <c r="H35" t="s">
        <v>3329</v>
      </c>
      <c r="I35" s="118" t="s">
        <v>1952</v>
      </c>
      <c r="J35" s="119" t="s">
        <v>3379</v>
      </c>
      <c r="K35" t="s">
        <v>2002</v>
      </c>
      <c r="L35" t="s">
        <v>3429</v>
      </c>
      <c r="M35" s="118" t="s">
        <v>2052</v>
      </c>
      <c r="N35" t="s">
        <v>3479</v>
      </c>
      <c r="O35" s="118" t="s">
        <v>2102</v>
      </c>
      <c r="Q35" s="118" t="s">
        <v>2152</v>
      </c>
      <c r="S35" s="118" t="s">
        <v>2202</v>
      </c>
      <c r="U35" s="118" t="s">
        <v>2252</v>
      </c>
      <c r="W35" s="118" t="s">
        <v>2302</v>
      </c>
      <c r="Y35" s="118" t="s">
        <v>2352</v>
      </c>
      <c r="AA35" s="118" t="s">
        <v>2402</v>
      </c>
      <c r="AC35" s="118" t="s">
        <v>2452</v>
      </c>
      <c r="AE35" s="118" t="s">
        <v>2502</v>
      </c>
      <c r="AF35" s="119"/>
    </row>
    <row r="36" spans="1:32" x14ac:dyDescent="0.3">
      <c r="A36" s="118" t="s">
        <v>1753</v>
      </c>
      <c r="B36" t="s">
        <v>3184</v>
      </c>
      <c r="C36" s="118" t="s">
        <v>1803</v>
      </c>
      <c r="D36" t="s">
        <v>3234</v>
      </c>
      <c r="E36" s="118" t="s">
        <v>1853</v>
      </c>
      <c r="F36" t="s">
        <v>3284</v>
      </c>
      <c r="G36" s="118" t="s">
        <v>1903</v>
      </c>
      <c r="H36" t="s">
        <v>3334</v>
      </c>
      <c r="I36" s="118" t="s">
        <v>1953</v>
      </c>
      <c r="J36" s="119" t="s">
        <v>3384</v>
      </c>
      <c r="K36" t="s">
        <v>2003</v>
      </c>
      <c r="L36" t="s">
        <v>3434</v>
      </c>
      <c r="M36" s="118" t="s">
        <v>2053</v>
      </c>
      <c r="N36" t="s">
        <v>3484</v>
      </c>
      <c r="O36" s="118" t="s">
        <v>2103</v>
      </c>
      <c r="Q36" s="118" t="s">
        <v>2153</v>
      </c>
      <c r="S36" s="118" t="s">
        <v>2203</v>
      </c>
      <c r="U36" s="118" t="s">
        <v>2253</v>
      </c>
      <c r="W36" s="118" t="s">
        <v>2303</v>
      </c>
      <c r="Y36" s="118" t="s">
        <v>2353</v>
      </c>
      <c r="AA36" s="118" t="s">
        <v>2403</v>
      </c>
      <c r="AC36" s="118" t="s">
        <v>2453</v>
      </c>
      <c r="AE36" s="118" t="s">
        <v>2503</v>
      </c>
      <c r="AF36" s="119"/>
    </row>
    <row r="37" spans="1:32" x14ac:dyDescent="0.3">
      <c r="A37" s="118" t="s">
        <v>1757</v>
      </c>
      <c r="B37" t="s">
        <v>3189</v>
      </c>
      <c r="C37" s="118" t="s">
        <v>1807</v>
      </c>
      <c r="D37" t="s">
        <v>3239</v>
      </c>
      <c r="E37" s="118" t="s">
        <v>1857</v>
      </c>
      <c r="F37" t="s">
        <v>3289</v>
      </c>
      <c r="G37" s="118" t="s">
        <v>1907</v>
      </c>
      <c r="H37" t="s">
        <v>3339</v>
      </c>
      <c r="I37" s="118" t="s">
        <v>1957</v>
      </c>
      <c r="J37" s="119" t="s">
        <v>3389</v>
      </c>
      <c r="K37" t="s">
        <v>2007</v>
      </c>
      <c r="L37" t="s">
        <v>3439</v>
      </c>
      <c r="M37" s="118" t="s">
        <v>2057</v>
      </c>
      <c r="N37" t="s">
        <v>3489</v>
      </c>
      <c r="O37" s="118" t="s">
        <v>2107</v>
      </c>
      <c r="Q37" s="118" t="s">
        <v>2157</v>
      </c>
      <c r="S37" s="118" t="s">
        <v>2207</v>
      </c>
      <c r="U37" s="118" t="s">
        <v>2257</v>
      </c>
      <c r="W37" s="118" t="s">
        <v>2307</v>
      </c>
      <c r="Y37" s="118" t="s">
        <v>2357</v>
      </c>
      <c r="AA37" s="118" t="s">
        <v>2407</v>
      </c>
      <c r="AC37" s="118" t="s">
        <v>2457</v>
      </c>
      <c r="AE37" s="118" t="s">
        <v>2507</v>
      </c>
      <c r="AF37" s="119"/>
    </row>
    <row r="38" spans="1:32" x14ac:dyDescent="0.3">
      <c r="A38" s="118" t="s">
        <v>1758</v>
      </c>
      <c r="B38" t="s">
        <v>3194</v>
      </c>
      <c r="C38" s="118" t="s">
        <v>1808</v>
      </c>
      <c r="D38" t="s">
        <v>3244</v>
      </c>
      <c r="E38" s="118" t="s">
        <v>1858</v>
      </c>
      <c r="F38" t="s">
        <v>3294</v>
      </c>
      <c r="G38" s="118" t="s">
        <v>1908</v>
      </c>
      <c r="H38" t="s">
        <v>3344</v>
      </c>
      <c r="I38" s="118" t="s">
        <v>1958</v>
      </c>
      <c r="J38" s="119" t="s">
        <v>3394</v>
      </c>
      <c r="K38" t="s">
        <v>2008</v>
      </c>
      <c r="L38" t="s">
        <v>3444</v>
      </c>
      <c r="M38" s="118" t="s">
        <v>2058</v>
      </c>
      <c r="N38" t="s">
        <v>3494</v>
      </c>
      <c r="O38" s="118" t="s">
        <v>2108</v>
      </c>
      <c r="Q38" s="118" t="s">
        <v>2158</v>
      </c>
      <c r="S38" s="118" t="s">
        <v>2208</v>
      </c>
      <c r="U38" s="118" t="s">
        <v>2258</v>
      </c>
      <c r="W38" s="118" t="s">
        <v>2308</v>
      </c>
      <c r="Y38" s="118" t="s">
        <v>2358</v>
      </c>
      <c r="AA38" s="118" t="s">
        <v>2408</v>
      </c>
      <c r="AC38" s="118" t="s">
        <v>2458</v>
      </c>
      <c r="AE38" s="118" t="s">
        <v>2508</v>
      </c>
      <c r="AF38" s="119"/>
    </row>
    <row r="39" spans="1:32" x14ac:dyDescent="0.3">
      <c r="A39" s="118" t="s">
        <v>1762</v>
      </c>
      <c r="B39" t="s">
        <v>3199</v>
      </c>
      <c r="C39" s="118" t="s">
        <v>1812</v>
      </c>
      <c r="D39" t="s">
        <v>3249</v>
      </c>
      <c r="E39" s="118" t="s">
        <v>1862</v>
      </c>
      <c r="F39" t="s">
        <v>3299</v>
      </c>
      <c r="G39" s="118" t="s">
        <v>1912</v>
      </c>
      <c r="H39" t="s">
        <v>3349</v>
      </c>
      <c r="I39" s="118" t="s">
        <v>1962</v>
      </c>
      <c r="J39" s="119" t="s">
        <v>3399</v>
      </c>
      <c r="K39" t="s">
        <v>2012</v>
      </c>
      <c r="L39" t="s">
        <v>3449</v>
      </c>
      <c r="M39" s="118" t="s">
        <v>2062</v>
      </c>
      <c r="N39" t="s">
        <v>3499</v>
      </c>
      <c r="O39" s="118" t="s">
        <v>2112</v>
      </c>
      <c r="Q39" s="118" t="s">
        <v>2162</v>
      </c>
      <c r="S39" s="118" t="s">
        <v>2212</v>
      </c>
      <c r="U39" s="118" t="s">
        <v>2262</v>
      </c>
      <c r="W39" s="118" t="s">
        <v>2312</v>
      </c>
      <c r="Y39" s="118" t="s">
        <v>2362</v>
      </c>
      <c r="AA39" s="118" t="s">
        <v>2412</v>
      </c>
      <c r="AC39" s="118" t="s">
        <v>2462</v>
      </c>
      <c r="AE39" s="118" t="s">
        <v>2512</v>
      </c>
      <c r="AF39" s="119"/>
    </row>
    <row r="40" spans="1:32" x14ac:dyDescent="0.3">
      <c r="A40" s="118" t="s">
        <v>1763</v>
      </c>
      <c r="B40" t="s">
        <v>3204</v>
      </c>
      <c r="C40" s="118" t="s">
        <v>1813</v>
      </c>
      <c r="D40" t="s">
        <v>3254</v>
      </c>
      <c r="E40" s="118" t="s">
        <v>1863</v>
      </c>
      <c r="F40" t="s">
        <v>3304</v>
      </c>
      <c r="G40" s="118" t="s">
        <v>1913</v>
      </c>
      <c r="H40" t="s">
        <v>3354</v>
      </c>
      <c r="I40" s="118" t="s">
        <v>1963</v>
      </c>
      <c r="J40" s="119" t="s">
        <v>3404</v>
      </c>
      <c r="K40" t="s">
        <v>2013</v>
      </c>
      <c r="L40" t="s">
        <v>3454</v>
      </c>
      <c r="M40" s="118" t="s">
        <v>2063</v>
      </c>
      <c r="N40" t="s">
        <v>3504</v>
      </c>
      <c r="O40" s="118" t="s">
        <v>2113</v>
      </c>
      <c r="Q40" s="118" t="s">
        <v>2163</v>
      </c>
      <c r="S40" s="118" t="s">
        <v>2213</v>
      </c>
      <c r="U40" s="118" t="s">
        <v>2263</v>
      </c>
      <c r="W40" s="118" t="s">
        <v>2313</v>
      </c>
      <c r="Y40" s="118" t="s">
        <v>2363</v>
      </c>
      <c r="AA40" s="118" t="s">
        <v>2413</v>
      </c>
      <c r="AC40" s="118" t="s">
        <v>2463</v>
      </c>
      <c r="AE40" s="118" t="s">
        <v>2513</v>
      </c>
      <c r="AF40" s="119"/>
    </row>
    <row r="41" spans="1:32" x14ac:dyDescent="0.3">
      <c r="A41" s="118" t="s">
        <v>2517</v>
      </c>
      <c r="C41" s="118" t="s">
        <v>2567</v>
      </c>
      <c r="E41" s="118" t="s">
        <v>2617</v>
      </c>
      <c r="G41" s="118" t="s">
        <v>2667</v>
      </c>
      <c r="I41" s="118" t="s">
        <v>2717</v>
      </c>
      <c r="J41" s="119"/>
      <c r="K41" t="s">
        <v>2767</v>
      </c>
      <c r="M41" s="118" t="s">
        <v>2817</v>
      </c>
      <c r="O41" s="118" t="s">
        <v>2867</v>
      </c>
      <c r="Q41" s="118" t="s">
        <v>2917</v>
      </c>
      <c r="S41" s="118" t="s">
        <v>2967</v>
      </c>
      <c r="U41" s="118" t="s">
        <v>3017</v>
      </c>
      <c r="W41" s="118" t="s">
        <v>3067</v>
      </c>
      <c r="Y41" s="118" t="s">
        <v>3117</v>
      </c>
      <c r="AA41" s="118" t="s">
        <v>3167</v>
      </c>
      <c r="AC41" s="118" t="s">
        <v>3217</v>
      </c>
      <c r="AE41" s="118" t="s">
        <v>3267</v>
      </c>
      <c r="AF41" s="119"/>
    </row>
    <row r="42" spans="1:32" x14ac:dyDescent="0.3">
      <c r="A42" s="118" t="s">
        <v>2518</v>
      </c>
      <c r="C42" s="118" t="s">
        <v>2568</v>
      </c>
      <c r="E42" s="118" t="s">
        <v>2618</v>
      </c>
      <c r="G42" s="118" t="s">
        <v>2668</v>
      </c>
      <c r="I42" s="118" t="s">
        <v>2718</v>
      </c>
      <c r="J42" s="119"/>
      <c r="K42" t="s">
        <v>2768</v>
      </c>
      <c r="M42" s="118" t="s">
        <v>2818</v>
      </c>
      <c r="O42" s="118" t="s">
        <v>2868</v>
      </c>
      <c r="Q42" s="118" t="s">
        <v>2918</v>
      </c>
      <c r="S42" s="118" t="s">
        <v>2968</v>
      </c>
      <c r="U42" s="118" t="s">
        <v>3018</v>
      </c>
      <c r="W42" s="118" t="s">
        <v>3068</v>
      </c>
      <c r="Y42" s="118" t="s">
        <v>3118</v>
      </c>
      <c r="AA42" s="118" t="s">
        <v>3168</v>
      </c>
      <c r="AC42" s="118" t="s">
        <v>3218</v>
      </c>
      <c r="AE42" s="118" t="s">
        <v>3268</v>
      </c>
      <c r="AF42" s="119"/>
    </row>
    <row r="43" spans="1:32" x14ac:dyDescent="0.3">
      <c r="A43" s="118" t="s">
        <v>2522</v>
      </c>
      <c r="C43" s="118" t="s">
        <v>2572</v>
      </c>
      <c r="E43" s="118" t="s">
        <v>2622</v>
      </c>
      <c r="G43" s="118" t="s">
        <v>2672</v>
      </c>
      <c r="I43" s="118" t="s">
        <v>2722</v>
      </c>
      <c r="J43" s="119"/>
      <c r="K43" t="s">
        <v>2772</v>
      </c>
      <c r="M43" s="118" t="s">
        <v>2822</v>
      </c>
      <c r="O43" s="118" t="s">
        <v>2872</v>
      </c>
      <c r="Q43" s="118" t="s">
        <v>2922</v>
      </c>
      <c r="S43" s="118" t="s">
        <v>2972</v>
      </c>
      <c r="U43" s="118" t="s">
        <v>3022</v>
      </c>
      <c r="W43" s="118" t="s">
        <v>3072</v>
      </c>
      <c r="Y43" s="118" t="s">
        <v>3122</v>
      </c>
      <c r="AA43" s="118" t="s">
        <v>3172</v>
      </c>
      <c r="AC43" s="118" t="s">
        <v>3222</v>
      </c>
      <c r="AE43" s="118" t="s">
        <v>3272</v>
      </c>
      <c r="AF43" s="119"/>
    </row>
    <row r="44" spans="1:32" x14ac:dyDescent="0.3">
      <c r="A44" s="118" t="s">
        <v>2523</v>
      </c>
      <c r="C44" s="118" t="s">
        <v>2573</v>
      </c>
      <c r="E44" s="118" t="s">
        <v>2623</v>
      </c>
      <c r="G44" s="118" t="s">
        <v>2673</v>
      </c>
      <c r="I44" s="118" t="s">
        <v>2723</v>
      </c>
      <c r="J44" s="119"/>
      <c r="K44" t="s">
        <v>2773</v>
      </c>
      <c r="M44" s="118" t="s">
        <v>2823</v>
      </c>
      <c r="O44" s="118" t="s">
        <v>2873</v>
      </c>
      <c r="Q44" s="118" t="s">
        <v>2923</v>
      </c>
      <c r="S44" s="118" t="s">
        <v>2973</v>
      </c>
      <c r="U44" s="118" t="s">
        <v>3023</v>
      </c>
      <c r="W44" s="118" t="s">
        <v>3073</v>
      </c>
      <c r="Y44" s="118" t="s">
        <v>3123</v>
      </c>
      <c r="AA44" s="118" t="s">
        <v>3173</v>
      </c>
      <c r="AC44" s="118" t="s">
        <v>3223</v>
      </c>
      <c r="AE44" s="118" t="s">
        <v>3273</v>
      </c>
      <c r="AF44" s="119"/>
    </row>
    <row r="45" spans="1:32" x14ac:dyDescent="0.3">
      <c r="A45" s="118" t="s">
        <v>2527</v>
      </c>
      <c r="C45" s="118" t="s">
        <v>2577</v>
      </c>
      <c r="E45" s="118" t="s">
        <v>2627</v>
      </c>
      <c r="G45" s="118" t="s">
        <v>2677</v>
      </c>
      <c r="I45" s="118" t="s">
        <v>2727</v>
      </c>
      <c r="J45" s="119"/>
      <c r="K45" t="s">
        <v>2777</v>
      </c>
      <c r="M45" s="118" t="s">
        <v>2827</v>
      </c>
      <c r="O45" s="118" t="s">
        <v>2877</v>
      </c>
      <c r="Q45" s="118" t="s">
        <v>2927</v>
      </c>
      <c r="S45" s="118" t="s">
        <v>2977</v>
      </c>
      <c r="U45" s="118" t="s">
        <v>3027</v>
      </c>
      <c r="W45" s="118" t="s">
        <v>3077</v>
      </c>
      <c r="Y45" s="118" t="s">
        <v>3127</v>
      </c>
      <c r="AA45" s="118" t="s">
        <v>3177</v>
      </c>
      <c r="AC45" s="118" t="s">
        <v>3227</v>
      </c>
      <c r="AE45" s="118" t="s">
        <v>3277</v>
      </c>
      <c r="AF45" s="119"/>
    </row>
    <row r="46" spans="1:32" x14ac:dyDescent="0.3">
      <c r="A46" s="118" t="s">
        <v>2528</v>
      </c>
      <c r="C46" s="118" t="s">
        <v>2578</v>
      </c>
      <c r="E46" s="118" t="s">
        <v>2628</v>
      </c>
      <c r="G46" s="118" t="s">
        <v>2678</v>
      </c>
      <c r="I46" s="118" t="s">
        <v>2728</v>
      </c>
      <c r="J46" s="119"/>
      <c r="K46" t="s">
        <v>2778</v>
      </c>
      <c r="M46" s="118" t="s">
        <v>2828</v>
      </c>
      <c r="O46" s="118" t="s">
        <v>2878</v>
      </c>
      <c r="Q46" s="118" t="s">
        <v>2928</v>
      </c>
      <c r="S46" s="118" t="s">
        <v>2978</v>
      </c>
      <c r="U46" s="118" t="s">
        <v>3028</v>
      </c>
      <c r="W46" s="118" t="s">
        <v>3078</v>
      </c>
      <c r="Y46" s="118" t="s">
        <v>3128</v>
      </c>
      <c r="AA46" s="118" t="s">
        <v>3178</v>
      </c>
      <c r="AC46" s="118" t="s">
        <v>3228</v>
      </c>
      <c r="AE46" s="118" t="s">
        <v>3278</v>
      </c>
      <c r="AF46" s="119"/>
    </row>
    <row r="47" spans="1:32" x14ac:dyDescent="0.3">
      <c r="A47" s="118" t="s">
        <v>2532</v>
      </c>
      <c r="C47" s="118" t="s">
        <v>2582</v>
      </c>
      <c r="E47" s="118" t="s">
        <v>2632</v>
      </c>
      <c r="G47" s="118" t="s">
        <v>2682</v>
      </c>
      <c r="I47" s="118" t="s">
        <v>2732</v>
      </c>
      <c r="J47" s="119"/>
      <c r="K47" t="s">
        <v>2782</v>
      </c>
      <c r="M47" s="118" t="s">
        <v>2832</v>
      </c>
      <c r="O47" s="118" t="s">
        <v>2882</v>
      </c>
      <c r="Q47" s="118" t="s">
        <v>2932</v>
      </c>
      <c r="S47" s="118" t="s">
        <v>2982</v>
      </c>
      <c r="U47" s="118" t="s">
        <v>3032</v>
      </c>
      <c r="W47" s="118" t="s">
        <v>3082</v>
      </c>
      <c r="Y47" s="118" t="s">
        <v>3132</v>
      </c>
      <c r="AA47" s="118" t="s">
        <v>3182</v>
      </c>
      <c r="AC47" s="118" t="s">
        <v>3232</v>
      </c>
      <c r="AE47" s="118" t="s">
        <v>3282</v>
      </c>
      <c r="AF47" s="119"/>
    </row>
    <row r="48" spans="1:32" x14ac:dyDescent="0.3">
      <c r="A48" s="118" t="s">
        <v>2533</v>
      </c>
      <c r="C48" s="118" t="s">
        <v>2583</v>
      </c>
      <c r="E48" s="118" t="s">
        <v>2633</v>
      </c>
      <c r="G48" s="118" t="s">
        <v>2683</v>
      </c>
      <c r="I48" s="118" t="s">
        <v>2733</v>
      </c>
      <c r="J48" s="119"/>
      <c r="K48" t="s">
        <v>2783</v>
      </c>
      <c r="M48" s="118" t="s">
        <v>2833</v>
      </c>
      <c r="O48" s="118" t="s">
        <v>2883</v>
      </c>
      <c r="Q48" s="118" t="s">
        <v>2933</v>
      </c>
      <c r="S48" s="118" t="s">
        <v>2983</v>
      </c>
      <c r="U48" s="118" t="s">
        <v>3033</v>
      </c>
      <c r="W48" s="118" t="s">
        <v>3083</v>
      </c>
      <c r="Y48" s="118" t="s">
        <v>3133</v>
      </c>
      <c r="AA48" s="118" t="s">
        <v>3183</v>
      </c>
      <c r="AC48" s="118" t="s">
        <v>3233</v>
      </c>
      <c r="AE48" s="118" t="s">
        <v>3283</v>
      </c>
      <c r="AF48" s="119"/>
    </row>
    <row r="49" spans="1:32" x14ac:dyDescent="0.3">
      <c r="A49" s="118" t="s">
        <v>2537</v>
      </c>
      <c r="C49" s="118" t="s">
        <v>2587</v>
      </c>
      <c r="E49" s="118" t="s">
        <v>2637</v>
      </c>
      <c r="G49" s="118" t="s">
        <v>2687</v>
      </c>
      <c r="I49" s="118" t="s">
        <v>2737</v>
      </c>
      <c r="J49" s="119"/>
      <c r="K49" t="s">
        <v>2787</v>
      </c>
      <c r="M49" s="118" t="s">
        <v>2837</v>
      </c>
      <c r="O49" s="118" t="s">
        <v>2887</v>
      </c>
      <c r="Q49" s="118" t="s">
        <v>2937</v>
      </c>
      <c r="S49" s="118" t="s">
        <v>2987</v>
      </c>
      <c r="U49" s="118" t="s">
        <v>3037</v>
      </c>
      <c r="W49" s="118" t="s">
        <v>3087</v>
      </c>
      <c r="Y49" s="118" t="s">
        <v>3137</v>
      </c>
      <c r="AA49" s="118" t="s">
        <v>3187</v>
      </c>
      <c r="AC49" s="118" t="s">
        <v>3237</v>
      </c>
      <c r="AE49" s="118" t="s">
        <v>3287</v>
      </c>
      <c r="AF49" s="119"/>
    </row>
    <row r="50" spans="1:32" x14ac:dyDescent="0.3">
      <c r="A50" s="118" t="s">
        <v>2538</v>
      </c>
      <c r="C50" s="118" t="s">
        <v>2588</v>
      </c>
      <c r="E50" s="118" t="s">
        <v>2638</v>
      </c>
      <c r="G50" s="118" t="s">
        <v>2688</v>
      </c>
      <c r="I50" s="118" t="s">
        <v>2738</v>
      </c>
      <c r="J50" s="119"/>
      <c r="K50" t="s">
        <v>2788</v>
      </c>
      <c r="M50" s="118" t="s">
        <v>2838</v>
      </c>
      <c r="O50" s="118" t="s">
        <v>2888</v>
      </c>
      <c r="Q50" s="118" t="s">
        <v>2938</v>
      </c>
      <c r="S50" s="118" t="s">
        <v>2988</v>
      </c>
      <c r="U50" s="118" t="s">
        <v>3038</v>
      </c>
      <c r="W50" s="118" t="s">
        <v>3088</v>
      </c>
      <c r="Y50" s="118" t="s">
        <v>3138</v>
      </c>
      <c r="AA50" s="118" t="s">
        <v>3188</v>
      </c>
      <c r="AC50" s="118" t="s">
        <v>3238</v>
      </c>
      <c r="AE50" s="118" t="s">
        <v>3288</v>
      </c>
      <c r="AF50" s="119"/>
    </row>
    <row r="51" spans="1:32" x14ac:dyDescent="0.3">
      <c r="A51" s="118" t="s">
        <v>2542</v>
      </c>
      <c r="C51" s="118" t="s">
        <v>2592</v>
      </c>
      <c r="E51" s="118" t="s">
        <v>2642</v>
      </c>
      <c r="G51" s="118" t="s">
        <v>2692</v>
      </c>
      <c r="I51" s="118" t="s">
        <v>2742</v>
      </c>
      <c r="J51" s="119"/>
      <c r="K51" t="s">
        <v>2792</v>
      </c>
      <c r="M51" s="118" t="s">
        <v>2842</v>
      </c>
      <c r="O51" s="118" t="s">
        <v>2892</v>
      </c>
      <c r="Q51" s="118" t="s">
        <v>2942</v>
      </c>
      <c r="S51" s="118" t="s">
        <v>2992</v>
      </c>
      <c r="U51" s="118" t="s">
        <v>3042</v>
      </c>
      <c r="W51" s="118" t="s">
        <v>3092</v>
      </c>
      <c r="Y51" s="118" t="s">
        <v>3142</v>
      </c>
      <c r="AA51" s="118" t="s">
        <v>3192</v>
      </c>
      <c r="AC51" s="118" t="s">
        <v>3242</v>
      </c>
      <c r="AE51" s="118" t="s">
        <v>3292</v>
      </c>
      <c r="AF51" s="119"/>
    </row>
    <row r="52" spans="1:32" x14ac:dyDescent="0.3">
      <c r="A52" s="118" t="s">
        <v>2543</v>
      </c>
      <c r="C52" s="118" t="s">
        <v>2593</v>
      </c>
      <c r="E52" s="118" t="s">
        <v>2643</v>
      </c>
      <c r="G52" s="118" t="s">
        <v>2693</v>
      </c>
      <c r="I52" s="118" t="s">
        <v>2743</v>
      </c>
      <c r="J52" s="119"/>
      <c r="K52" t="s">
        <v>2793</v>
      </c>
      <c r="M52" s="118" t="s">
        <v>2843</v>
      </c>
      <c r="O52" s="118" t="s">
        <v>2893</v>
      </c>
      <c r="Q52" s="118" t="s">
        <v>2943</v>
      </c>
      <c r="S52" s="118" t="s">
        <v>2993</v>
      </c>
      <c r="U52" s="118" t="s">
        <v>3043</v>
      </c>
      <c r="W52" s="118" t="s">
        <v>3093</v>
      </c>
      <c r="Y52" s="118" t="s">
        <v>3143</v>
      </c>
      <c r="AA52" s="118" t="s">
        <v>3193</v>
      </c>
      <c r="AC52" s="118" t="s">
        <v>3243</v>
      </c>
      <c r="AE52" s="118" t="s">
        <v>3293</v>
      </c>
      <c r="AF52" s="119"/>
    </row>
    <row r="53" spans="1:32" x14ac:dyDescent="0.3">
      <c r="A53" s="118" t="s">
        <v>2547</v>
      </c>
      <c r="C53" s="118" t="s">
        <v>2597</v>
      </c>
      <c r="E53" s="118" t="s">
        <v>2647</v>
      </c>
      <c r="G53" s="118" t="s">
        <v>2697</v>
      </c>
      <c r="I53" s="118" t="s">
        <v>2747</v>
      </c>
      <c r="J53" s="119"/>
      <c r="K53" t="s">
        <v>2797</v>
      </c>
      <c r="M53" s="118" t="s">
        <v>2847</v>
      </c>
      <c r="O53" s="118" t="s">
        <v>2897</v>
      </c>
      <c r="Q53" s="118" t="s">
        <v>2947</v>
      </c>
      <c r="S53" s="118" t="s">
        <v>2997</v>
      </c>
      <c r="U53" s="118" t="s">
        <v>3047</v>
      </c>
      <c r="W53" s="118" t="s">
        <v>3097</v>
      </c>
      <c r="Y53" s="118" t="s">
        <v>3147</v>
      </c>
      <c r="AA53" s="118" t="s">
        <v>3197</v>
      </c>
      <c r="AC53" s="118" t="s">
        <v>3247</v>
      </c>
      <c r="AE53" s="118" t="s">
        <v>3297</v>
      </c>
      <c r="AF53" s="119"/>
    </row>
    <row r="54" spans="1:32" x14ac:dyDescent="0.3">
      <c r="A54" s="118" t="s">
        <v>2548</v>
      </c>
      <c r="C54" s="118" t="s">
        <v>2598</v>
      </c>
      <c r="E54" s="118" t="s">
        <v>2648</v>
      </c>
      <c r="G54" s="118" t="s">
        <v>2698</v>
      </c>
      <c r="I54" s="118" t="s">
        <v>2748</v>
      </c>
      <c r="J54" s="119"/>
      <c r="K54" t="s">
        <v>2798</v>
      </c>
      <c r="M54" s="118" t="s">
        <v>2848</v>
      </c>
      <c r="O54" s="118" t="s">
        <v>2898</v>
      </c>
      <c r="Q54" s="118" t="s">
        <v>2948</v>
      </c>
      <c r="S54" s="118" t="s">
        <v>2998</v>
      </c>
      <c r="U54" s="118" t="s">
        <v>3048</v>
      </c>
      <c r="W54" s="118" t="s">
        <v>3098</v>
      </c>
      <c r="Y54" s="118" t="s">
        <v>3148</v>
      </c>
      <c r="AA54" s="118" t="s">
        <v>3198</v>
      </c>
      <c r="AC54" s="118" t="s">
        <v>3248</v>
      </c>
      <c r="AE54" s="118" t="s">
        <v>3298</v>
      </c>
      <c r="AF54" s="119"/>
    </row>
    <row r="55" spans="1:32" x14ac:dyDescent="0.3">
      <c r="A55" s="118" t="s">
        <v>2552</v>
      </c>
      <c r="C55" s="118" t="s">
        <v>2602</v>
      </c>
      <c r="E55" s="118" t="s">
        <v>2652</v>
      </c>
      <c r="G55" s="118" t="s">
        <v>2702</v>
      </c>
      <c r="I55" s="118" t="s">
        <v>2752</v>
      </c>
      <c r="J55" s="119"/>
      <c r="K55" t="s">
        <v>2802</v>
      </c>
      <c r="M55" s="118" t="s">
        <v>2852</v>
      </c>
      <c r="O55" s="118" t="s">
        <v>2902</v>
      </c>
      <c r="Q55" s="118" t="s">
        <v>2952</v>
      </c>
      <c r="S55" s="118" t="s">
        <v>3002</v>
      </c>
      <c r="U55" s="118" t="s">
        <v>3052</v>
      </c>
      <c r="W55" s="118" t="s">
        <v>3102</v>
      </c>
      <c r="Y55" s="118" t="s">
        <v>3152</v>
      </c>
      <c r="AA55" s="118" t="s">
        <v>3202</v>
      </c>
      <c r="AC55" s="118" t="s">
        <v>3252</v>
      </c>
      <c r="AE55" s="118" t="s">
        <v>3302</v>
      </c>
      <c r="AF55" s="119"/>
    </row>
    <row r="56" spans="1:32" x14ac:dyDescent="0.3">
      <c r="A56" s="118" t="s">
        <v>2553</v>
      </c>
      <c r="C56" s="118" t="s">
        <v>2603</v>
      </c>
      <c r="E56" s="118" t="s">
        <v>2653</v>
      </c>
      <c r="G56" s="118" t="s">
        <v>2703</v>
      </c>
      <c r="I56" s="118" t="s">
        <v>2753</v>
      </c>
      <c r="J56" s="119"/>
      <c r="K56" t="s">
        <v>2803</v>
      </c>
      <c r="M56" s="118" t="s">
        <v>2853</v>
      </c>
      <c r="O56" s="118" t="s">
        <v>2903</v>
      </c>
      <c r="Q56" s="118" t="s">
        <v>2953</v>
      </c>
      <c r="S56" s="118" t="s">
        <v>3003</v>
      </c>
      <c r="U56" s="118" t="s">
        <v>3053</v>
      </c>
      <c r="W56" s="118" t="s">
        <v>3103</v>
      </c>
      <c r="Y56" s="118" t="s">
        <v>3153</v>
      </c>
      <c r="AA56" s="118" t="s">
        <v>3203</v>
      </c>
      <c r="AC56" s="118" t="s">
        <v>3253</v>
      </c>
      <c r="AE56" s="118" t="s">
        <v>3303</v>
      </c>
      <c r="AF56" s="119"/>
    </row>
    <row r="57" spans="1:32" x14ac:dyDescent="0.3">
      <c r="A57" s="118" t="s">
        <v>2557</v>
      </c>
      <c r="C57" s="118" t="s">
        <v>2607</v>
      </c>
      <c r="E57" s="118" t="s">
        <v>2657</v>
      </c>
      <c r="G57" s="118" t="s">
        <v>2707</v>
      </c>
      <c r="I57" s="118" t="s">
        <v>2757</v>
      </c>
      <c r="J57" s="119"/>
      <c r="K57" t="s">
        <v>2807</v>
      </c>
      <c r="M57" s="118" t="s">
        <v>2857</v>
      </c>
      <c r="O57" s="118" t="s">
        <v>2907</v>
      </c>
      <c r="Q57" s="118" t="s">
        <v>2957</v>
      </c>
      <c r="S57" s="118" t="s">
        <v>3007</v>
      </c>
      <c r="U57" s="118" t="s">
        <v>3057</v>
      </c>
      <c r="W57" s="118" t="s">
        <v>3107</v>
      </c>
      <c r="Y57" s="118" t="s">
        <v>3157</v>
      </c>
      <c r="AA57" s="118" t="s">
        <v>3207</v>
      </c>
      <c r="AC57" s="118" t="s">
        <v>3257</v>
      </c>
      <c r="AE57" s="118" t="s">
        <v>3307</v>
      </c>
      <c r="AF57" s="119"/>
    </row>
    <row r="58" spans="1:32" x14ac:dyDescent="0.3">
      <c r="A58" s="118" t="s">
        <v>2558</v>
      </c>
      <c r="C58" s="118" t="s">
        <v>2608</v>
      </c>
      <c r="E58" s="118" t="s">
        <v>2658</v>
      </c>
      <c r="G58" s="118" t="s">
        <v>2708</v>
      </c>
      <c r="I58" s="118" t="s">
        <v>2758</v>
      </c>
      <c r="J58" s="119"/>
      <c r="K58" t="s">
        <v>2808</v>
      </c>
      <c r="M58" s="118" t="s">
        <v>2858</v>
      </c>
      <c r="O58" s="118" t="s">
        <v>2908</v>
      </c>
      <c r="Q58" s="118" t="s">
        <v>2958</v>
      </c>
      <c r="S58" s="118" t="s">
        <v>3008</v>
      </c>
      <c r="U58" s="118" t="s">
        <v>3058</v>
      </c>
      <c r="W58" s="118" t="s">
        <v>3108</v>
      </c>
      <c r="Y58" s="118" t="s">
        <v>3158</v>
      </c>
      <c r="AA58" s="118" t="s">
        <v>3208</v>
      </c>
      <c r="AC58" s="118" t="s">
        <v>3258</v>
      </c>
      <c r="AE58" s="118" t="s">
        <v>3308</v>
      </c>
      <c r="AF58" s="119"/>
    </row>
    <row r="59" spans="1:32" x14ac:dyDescent="0.3">
      <c r="A59" s="118" t="s">
        <v>2562</v>
      </c>
      <c r="C59" s="118" t="s">
        <v>2612</v>
      </c>
      <c r="E59" s="118" t="s">
        <v>2662</v>
      </c>
      <c r="G59" s="118" t="s">
        <v>2712</v>
      </c>
      <c r="I59" s="118" t="s">
        <v>2762</v>
      </c>
      <c r="J59" s="119"/>
      <c r="K59" t="s">
        <v>2812</v>
      </c>
      <c r="M59" s="118" t="s">
        <v>2862</v>
      </c>
      <c r="O59" s="118" t="s">
        <v>2912</v>
      </c>
      <c r="Q59" s="118" t="s">
        <v>2962</v>
      </c>
      <c r="S59" s="118" t="s">
        <v>3012</v>
      </c>
      <c r="U59" s="118" t="s">
        <v>3062</v>
      </c>
      <c r="W59" s="118" t="s">
        <v>3112</v>
      </c>
      <c r="Y59" s="118" t="s">
        <v>3162</v>
      </c>
      <c r="AA59" s="118" t="s">
        <v>3212</v>
      </c>
      <c r="AC59" s="118" t="s">
        <v>3262</v>
      </c>
      <c r="AE59" s="118" t="s">
        <v>3312</v>
      </c>
      <c r="AF59" s="119"/>
    </row>
    <row r="60" spans="1:32" x14ac:dyDescent="0.3">
      <c r="A60" s="118" t="s">
        <v>2563</v>
      </c>
      <c r="C60" s="118" t="s">
        <v>2613</v>
      </c>
      <c r="E60" s="118" t="s">
        <v>2663</v>
      </c>
      <c r="G60" s="118" t="s">
        <v>2713</v>
      </c>
      <c r="I60" s="118" t="s">
        <v>2763</v>
      </c>
      <c r="J60" s="119"/>
      <c r="K60" t="s">
        <v>2813</v>
      </c>
      <c r="M60" s="118" t="s">
        <v>2863</v>
      </c>
      <c r="O60" s="118" t="s">
        <v>2913</v>
      </c>
      <c r="Q60" s="118" t="s">
        <v>2963</v>
      </c>
      <c r="S60" s="118" t="s">
        <v>3013</v>
      </c>
      <c r="U60" s="118" t="s">
        <v>3063</v>
      </c>
      <c r="W60" s="118" t="s">
        <v>3113</v>
      </c>
      <c r="Y60" s="118" t="s">
        <v>3163</v>
      </c>
      <c r="AA60" s="118" t="s">
        <v>3213</v>
      </c>
      <c r="AC60" s="118" t="s">
        <v>3263</v>
      </c>
      <c r="AE60" s="118" t="s">
        <v>3313</v>
      </c>
      <c r="AF60" s="119"/>
    </row>
    <row r="61" spans="1:32" x14ac:dyDescent="0.3">
      <c r="A61" s="118" t="s">
        <v>3317</v>
      </c>
      <c r="C61" s="118" t="s">
        <v>3367</v>
      </c>
      <c r="E61" s="118" t="s">
        <v>3417</v>
      </c>
      <c r="G61" s="118" t="s">
        <v>3467</v>
      </c>
      <c r="I61" s="118"/>
      <c r="J61" s="119"/>
      <c r="M61" s="118"/>
      <c r="O61" s="118"/>
      <c r="Q61" s="118"/>
      <c r="S61" s="118"/>
      <c r="U61" s="118"/>
      <c r="W61" s="118"/>
      <c r="Y61" s="118"/>
      <c r="AA61" s="118"/>
      <c r="AC61" s="118"/>
      <c r="AE61" s="118"/>
      <c r="AF61" s="119"/>
    </row>
    <row r="62" spans="1:32" x14ac:dyDescent="0.3">
      <c r="A62" s="118" t="s">
        <v>3318</v>
      </c>
      <c r="C62" s="118" t="s">
        <v>3368</v>
      </c>
      <c r="E62" s="118" t="s">
        <v>3418</v>
      </c>
      <c r="G62" s="118" t="s">
        <v>3468</v>
      </c>
      <c r="I62" s="118"/>
      <c r="J62" s="119"/>
      <c r="M62" s="118"/>
      <c r="O62" s="118"/>
      <c r="Q62" s="118"/>
      <c r="S62" s="118"/>
      <c r="U62" s="118"/>
      <c r="W62" s="118"/>
      <c r="Y62" s="118"/>
      <c r="AA62" s="118"/>
      <c r="AC62" s="118"/>
      <c r="AE62" s="118"/>
      <c r="AF62" s="119"/>
    </row>
    <row r="63" spans="1:32" x14ac:dyDescent="0.3">
      <c r="A63" s="118" t="s">
        <v>3322</v>
      </c>
      <c r="C63" s="118" t="s">
        <v>3372</v>
      </c>
      <c r="E63" s="118" t="s">
        <v>3422</v>
      </c>
      <c r="G63" s="118" t="s">
        <v>3472</v>
      </c>
      <c r="I63" s="118"/>
      <c r="J63" s="119"/>
      <c r="M63" s="118"/>
      <c r="O63" s="118"/>
      <c r="Q63" s="118"/>
      <c r="S63" s="118"/>
      <c r="U63" s="118"/>
      <c r="W63" s="118"/>
      <c r="Y63" s="118"/>
      <c r="AA63" s="118"/>
      <c r="AC63" s="118"/>
      <c r="AE63" s="118"/>
      <c r="AF63" s="119"/>
    </row>
    <row r="64" spans="1:32" x14ac:dyDescent="0.3">
      <c r="A64" s="118" t="s">
        <v>3323</v>
      </c>
      <c r="C64" s="118" t="s">
        <v>3373</v>
      </c>
      <c r="E64" s="118" t="s">
        <v>3423</v>
      </c>
      <c r="G64" s="118" t="s">
        <v>3473</v>
      </c>
      <c r="I64" s="118"/>
      <c r="J64" s="119"/>
      <c r="M64" s="118"/>
      <c r="O64" s="118"/>
      <c r="Q64" s="118"/>
      <c r="S64" s="118"/>
      <c r="U64" s="118"/>
      <c r="W64" s="118"/>
      <c r="Y64" s="118"/>
      <c r="AA64" s="118"/>
      <c r="AC64" s="118"/>
      <c r="AE64" s="118"/>
      <c r="AF64" s="119"/>
    </row>
    <row r="65" spans="1:32" x14ac:dyDescent="0.3">
      <c r="A65" s="118" t="s">
        <v>3327</v>
      </c>
      <c r="C65" s="118" t="s">
        <v>3377</v>
      </c>
      <c r="E65" s="118" t="s">
        <v>3427</v>
      </c>
      <c r="G65" s="118" t="s">
        <v>3477</v>
      </c>
      <c r="I65" s="118"/>
      <c r="J65" s="119"/>
      <c r="M65" s="118"/>
      <c r="O65" s="118"/>
      <c r="Q65" s="118"/>
      <c r="S65" s="118"/>
      <c r="U65" s="118"/>
      <c r="W65" s="118"/>
      <c r="Y65" s="118"/>
      <c r="AA65" s="118"/>
      <c r="AC65" s="118"/>
      <c r="AE65" s="118"/>
      <c r="AF65" s="119"/>
    </row>
    <row r="66" spans="1:32" x14ac:dyDescent="0.3">
      <c r="A66" s="118" t="s">
        <v>3328</v>
      </c>
      <c r="C66" s="118" t="s">
        <v>3378</v>
      </c>
      <c r="E66" s="118" t="s">
        <v>3428</v>
      </c>
      <c r="G66" s="118" t="s">
        <v>3478</v>
      </c>
      <c r="I66" s="118"/>
      <c r="J66" s="119"/>
      <c r="M66" s="118"/>
      <c r="O66" s="118"/>
      <c r="Q66" s="118"/>
      <c r="S66" s="118"/>
      <c r="U66" s="118"/>
      <c r="W66" s="118"/>
      <c r="Y66" s="118"/>
      <c r="AA66" s="118"/>
      <c r="AC66" s="118"/>
      <c r="AE66" s="118"/>
      <c r="AF66" s="119"/>
    </row>
    <row r="67" spans="1:32" x14ac:dyDescent="0.3">
      <c r="A67" s="118" t="s">
        <v>3332</v>
      </c>
      <c r="C67" s="118" t="s">
        <v>3382</v>
      </c>
      <c r="E67" s="118" t="s">
        <v>3432</v>
      </c>
      <c r="G67" s="118" t="s">
        <v>3482</v>
      </c>
      <c r="I67" s="118"/>
      <c r="J67" s="119"/>
      <c r="M67" s="118"/>
      <c r="O67" s="118"/>
      <c r="Q67" s="118"/>
      <c r="S67" s="118"/>
      <c r="U67" s="118"/>
      <c r="W67" s="118"/>
      <c r="Y67" s="118"/>
      <c r="AA67" s="118"/>
      <c r="AC67" s="118"/>
      <c r="AE67" s="118"/>
      <c r="AF67" s="119"/>
    </row>
    <row r="68" spans="1:32" x14ac:dyDescent="0.3">
      <c r="A68" s="118" t="s">
        <v>3333</v>
      </c>
      <c r="C68" s="118" t="s">
        <v>3383</v>
      </c>
      <c r="E68" s="118" t="s">
        <v>3433</v>
      </c>
      <c r="G68" s="118" t="s">
        <v>3483</v>
      </c>
      <c r="I68" s="118"/>
      <c r="J68" s="119"/>
      <c r="M68" s="118"/>
      <c r="O68" s="118"/>
      <c r="Q68" s="118"/>
      <c r="S68" s="118"/>
      <c r="U68" s="118"/>
      <c r="W68" s="118"/>
      <c r="Y68" s="118"/>
      <c r="AA68" s="118"/>
      <c r="AC68" s="118"/>
      <c r="AE68" s="118"/>
      <c r="AF68" s="119"/>
    </row>
    <row r="69" spans="1:32" x14ac:dyDescent="0.3">
      <c r="A69" s="118" t="s">
        <v>3337</v>
      </c>
      <c r="C69" s="118" t="s">
        <v>3387</v>
      </c>
      <c r="E69" s="118" t="s">
        <v>3437</v>
      </c>
      <c r="G69" s="118" t="s">
        <v>3487</v>
      </c>
      <c r="I69" s="118"/>
      <c r="J69" s="119"/>
      <c r="M69" s="118"/>
      <c r="O69" s="118"/>
      <c r="Q69" s="118"/>
      <c r="S69" s="118"/>
      <c r="U69" s="118"/>
      <c r="W69" s="118"/>
      <c r="Y69" s="118"/>
      <c r="AA69" s="118"/>
      <c r="AC69" s="118"/>
      <c r="AE69" s="118"/>
      <c r="AF69" s="119"/>
    </row>
    <row r="70" spans="1:32" x14ac:dyDescent="0.3">
      <c r="A70" s="118" t="s">
        <v>3338</v>
      </c>
      <c r="C70" s="118" t="s">
        <v>3388</v>
      </c>
      <c r="E70" s="118" t="s">
        <v>3438</v>
      </c>
      <c r="G70" s="118" t="s">
        <v>3488</v>
      </c>
      <c r="I70" s="118"/>
      <c r="J70" s="119"/>
      <c r="M70" s="118"/>
      <c r="O70" s="118"/>
      <c r="Q70" s="118"/>
      <c r="S70" s="118"/>
      <c r="U70" s="118"/>
      <c r="W70" s="118"/>
      <c r="Y70" s="118"/>
      <c r="AA70" s="118"/>
      <c r="AC70" s="118"/>
      <c r="AE70" s="118"/>
      <c r="AF70" s="119"/>
    </row>
    <row r="71" spans="1:32" x14ac:dyDescent="0.3">
      <c r="A71" s="118" t="s">
        <v>3342</v>
      </c>
      <c r="C71" s="118" t="s">
        <v>3392</v>
      </c>
      <c r="E71" s="118" t="s">
        <v>3442</v>
      </c>
      <c r="G71" s="118" t="s">
        <v>3492</v>
      </c>
      <c r="I71" s="118"/>
      <c r="J71" s="119"/>
      <c r="M71" s="118"/>
      <c r="O71" s="118"/>
      <c r="Q71" s="118"/>
      <c r="S71" s="118"/>
      <c r="U71" s="118"/>
      <c r="W71" s="118"/>
      <c r="Y71" s="118"/>
      <c r="AA71" s="118"/>
      <c r="AC71" s="118"/>
      <c r="AE71" s="118"/>
      <c r="AF71" s="119"/>
    </row>
    <row r="72" spans="1:32" x14ac:dyDescent="0.3">
      <c r="A72" s="118" t="s">
        <v>3343</v>
      </c>
      <c r="C72" s="118" t="s">
        <v>3393</v>
      </c>
      <c r="E72" s="118" t="s">
        <v>3443</v>
      </c>
      <c r="G72" s="118" t="s">
        <v>3493</v>
      </c>
      <c r="I72" s="118"/>
      <c r="J72" s="119"/>
      <c r="M72" s="118"/>
      <c r="O72" s="118"/>
      <c r="Q72" s="118"/>
      <c r="S72" s="118"/>
      <c r="U72" s="118"/>
      <c r="W72" s="118"/>
      <c r="Y72" s="118"/>
      <c r="AA72" s="118"/>
      <c r="AC72" s="118"/>
      <c r="AE72" s="118"/>
      <c r="AF72" s="119"/>
    </row>
    <row r="73" spans="1:32" x14ac:dyDescent="0.3">
      <c r="A73" s="118" t="s">
        <v>3347</v>
      </c>
      <c r="C73" s="118" t="s">
        <v>3397</v>
      </c>
      <c r="E73" s="118" t="s">
        <v>3447</v>
      </c>
      <c r="G73" s="118" t="s">
        <v>3497</v>
      </c>
      <c r="I73" s="118"/>
      <c r="J73" s="119"/>
      <c r="M73" s="118"/>
      <c r="O73" s="118"/>
      <c r="Q73" s="118"/>
      <c r="S73" s="118"/>
      <c r="U73" s="118"/>
      <c r="W73" s="118"/>
      <c r="Y73" s="118"/>
      <c r="AA73" s="118"/>
      <c r="AC73" s="118"/>
      <c r="AE73" s="118"/>
      <c r="AF73" s="119"/>
    </row>
    <row r="74" spans="1:32" x14ac:dyDescent="0.3">
      <c r="A74" s="118" t="s">
        <v>3348</v>
      </c>
      <c r="C74" s="118" t="s">
        <v>3398</v>
      </c>
      <c r="E74" s="118" t="s">
        <v>3448</v>
      </c>
      <c r="G74" s="118" t="s">
        <v>3498</v>
      </c>
      <c r="I74" s="118"/>
      <c r="J74" s="119"/>
      <c r="M74" s="118"/>
      <c r="O74" s="118"/>
      <c r="Q74" s="118"/>
      <c r="S74" s="118"/>
      <c r="U74" s="118"/>
      <c r="W74" s="118"/>
      <c r="Y74" s="118"/>
      <c r="AA74" s="118"/>
      <c r="AC74" s="118"/>
      <c r="AE74" s="118"/>
      <c r="AF74" s="119"/>
    </row>
    <row r="75" spans="1:32" x14ac:dyDescent="0.3">
      <c r="A75" s="118" t="s">
        <v>3352</v>
      </c>
      <c r="C75" s="118" t="s">
        <v>3402</v>
      </c>
      <c r="E75" s="118" t="s">
        <v>3452</v>
      </c>
      <c r="G75" s="118" t="s">
        <v>3502</v>
      </c>
      <c r="I75" s="118"/>
      <c r="J75" s="119"/>
      <c r="M75" s="118"/>
      <c r="O75" s="118"/>
      <c r="Q75" s="118"/>
      <c r="S75" s="118"/>
      <c r="U75" s="118"/>
      <c r="W75" s="118"/>
      <c r="Y75" s="118"/>
      <c r="AA75" s="118"/>
      <c r="AC75" s="118"/>
      <c r="AE75" s="118"/>
      <c r="AF75" s="119"/>
    </row>
    <row r="76" spans="1:32" x14ac:dyDescent="0.3">
      <c r="A76" s="118" t="s">
        <v>3353</v>
      </c>
      <c r="C76" s="118" t="s">
        <v>3403</v>
      </c>
      <c r="E76" s="118" t="s">
        <v>3453</v>
      </c>
      <c r="G76" s="118" t="s">
        <v>3503</v>
      </c>
      <c r="I76" s="118"/>
      <c r="J76" s="119"/>
      <c r="M76" s="118"/>
      <c r="O76" s="118"/>
      <c r="Q76" s="118"/>
      <c r="S76" s="118"/>
      <c r="U76" s="118"/>
      <c r="W76" s="118"/>
      <c r="Y76" s="118"/>
      <c r="AA76" s="118"/>
      <c r="AC76" s="118"/>
      <c r="AE76" s="118"/>
      <c r="AF76" s="119"/>
    </row>
    <row r="77" spans="1:32" x14ac:dyDescent="0.3">
      <c r="A77" s="118" t="s">
        <v>3357</v>
      </c>
      <c r="C77" s="118" t="s">
        <v>3407</v>
      </c>
      <c r="E77" s="118" t="s">
        <v>3457</v>
      </c>
      <c r="G77" s="118" t="s">
        <v>3507</v>
      </c>
      <c r="I77" s="118"/>
      <c r="J77" s="119"/>
      <c r="M77" s="118"/>
      <c r="O77" s="118"/>
      <c r="Q77" s="118"/>
      <c r="S77" s="118"/>
      <c r="U77" s="118"/>
      <c r="W77" s="118"/>
      <c r="Y77" s="118"/>
      <c r="AA77" s="118"/>
      <c r="AC77" s="118"/>
      <c r="AE77" s="118"/>
      <c r="AF77" s="119"/>
    </row>
    <row r="78" spans="1:32" x14ac:dyDescent="0.3">
      <c r="A78" s="118" t="s">
        <v>3358</v>
      </c>
      <c r="C78" s="118" t="s">
        <v>3408</v>
      </c>
      <c r="E78" s="118" t="s">
        <v>3458</v>
      </c>
      <c r="G78" s="118" t="s">
        <v>3508</v>
      </c>
      <c r="I78" s="118"/>
      <c r="J78" s="119"/>
      <c r="M78" s="118"/>
      <c r="O78" s="118"/>
      <c r="Q78" s="118"/>
      <c r="S78" s="118"/>
      <c r="U78" s="118"/>
      <c r="W78" s="118"/>
      <c r="Y78" s="118"/>
      <c r="AA78" s="118"/>
      <c r="AC78" s="118"/>
      <c r="AE78" s="118"/>
      <c r="AF78" s="119"/>
    </row>
    <row r="79" spans="1:32" x14ac:dyDescent="0.3">
      <c r="A79" s="118" t="s">
        <v>3362</v>
      </c>
      <c r="C79" s="118" t="s">
        <v>3412</v>
      </c>
      <c r="E79" s="118" t="s">
        <v>3462</v>
      </c>
      <c r="G79" s="118" t="s">
        <v>3512</v>
      </c>
      <c r="I79" s="118"/>
      <c r="J79" s="119"/>
      <c r="M79" s="118"/>
      <c r="O79" s="118"/>
      <c r="Q79" s="118"/>
      <c r="S79" s="118"/>
      <c r="U79" s="118"/>
      <c r="W79" s="118"/>
      <c r="Y79" s="118"/>
      <c r="AA79" s="118"/>
      <c r="AC79" s="118"/>
      <c r="AE79" s="118"/>
      <c r="AF79" s="119"/>
    </row>
    <row r="80" spans="1:32" x14ac:dyDescent="0.3">
      <c r="A80" s="118" t="s">
        <v>3363</v>
      </c>
      <c r="C80" s="118" t="s">
        <v>3413</v>
      </c>
      <c r="E80" s="118" t="s">
        <v>3463</v>
      </c>
      <c r="G80" s="118" t="s">
        <v>3513</v>
      </c>
      <c r="I80" s="118"/>
      <c r="J80" s="119"/>
      <c r="M80" s="118"/>
      <c r="O80" s="118"/>
      <c r="Q80" s="118"/>
      <c r="S80" s="118"/>
      <c r="U80" s="118"/>
      <c r="W80" s="118"/>
      <c r="Y80" s="118"/>
      <c r="AA80" s="118"/>
      <c r="AC80" s="118"/>
      <c r="AE80" s="118"/>
      <c r="AF80" s="119"/>
    </row>
    <row r="81" spans="1:32" x14ac:dyDescent="0.3">
      <c r="A81" s="118"/>
      <c r="C81" s="118"/>
      <c r="E81" s="118"/>
      <c r="G81" s="118"/>
      <c r="I81" s="118"/>
      <c r="J81" s="119"/>
      <c r="M81" s="118"/>
      <c r="O81" s="118"/>
      <c r="Q81" s="118"/>
      <c r="S81" s="118"/>
      <c r="U81" s="118"/>
      <c r="W81" s="118"/>
      <c r="Y81" s="118"/>
      <c r="AA81" s="118"/>
      <c r="AC81" s="118"/>
      <c r="AE81" s="118"/>
      <c r="AF81" s="119"/>
    </row>
    <row r="82" spans="1:32" x14ac:dyDescent="0.3">
      <c r="A82" s="118"/>
      <c r="C82" s="118"/>
      <c r="E82" s="118"/>
      <c r="G82" s="118"/>
      <c r="I82" s="118"/>
      <c r="J82" s="119"/>
      <c r="M82" s="118"/>
      <c r="O82" s="118"/>
      <c r="Q82" s="118"/>
      <c r="S82" s="118"/>
      <c r="U82" s="118"/>
      <c r="W82" s="118"/>
      <c r="Y82" s="118"/>
      <c r="AA82" s="118"/>
      <c r="AC82" s="118"/>
      <c r="AE82" s="118"/>
      <c r="AF82" s="119"/>
    </row>
    <row r="83" spans="1:32" x14ac:dyDescent="0.3">
      <c r="A83" s="118"/>
      <c r="C83" s="118"/>
      <c r="E83" s="118"/>
      <c r="G83" s="118"/>
      <c r="I83" s="118"/>
      <c r="J83" s="119"/>
      <c r="M83" s="118"/>
      <c r="O83" s="118"/>
      <c r="Q83" s="118"/>
      <c r="S83" s="118"/>
      <c r="U83" s="118"/>
      <c r="W83" s="118"/>
      <c r="Y83" s="118"/>
      <c r="AA83" s="118"/>
      <c r="AC83" s="118"/>
      <c r="AE83" s="118"/>
      <c r="AF83" s="119"/>
    </row>
    <row r="84" spans="1:32" x14ac:dyDescent="0.3">
      <c r="A84" s="118"/>
      <c r="C84" s="118"/>
      <c r="E84" s="118"/>
      <c r="G84" s="118"/>
      <c r="I84" s="118"/>
      <c r="J84" s="119"/>
      <c r="M84" s="118"/>
      <c r="O84" s="118"/>
      <c r="Q84" s="118"/>
      <c r="S84" s="118"/>
      <c r="U84" s="118"/>
      <c r="W84" s="118"/>
      <c r="Y84" s="118"/>
      <c r="AA84" s="118"/>
      <c r="AC84" s="118"/>
      <c r="AE84" s="118"/>
      <c r="AF84" s="119"/>
    </row>
    <row r="85" spans="1:32" x14ac:dyDescent="0.3">
      <c r="A85" s="118"/>
      <c r="C85" s="118"/>
      <c r="E85" s="118"/>
      <c r="G85" s="118"/>
      <c r="I85" s="118"/>
      <c r="J85" s="119"/>
      <c r="M85" s="118"/>
      <c r="O85" s="118"/>
      <c r="Q85" s="118"/>
      <c r="S85" s="118"/>
      <c r="U85" s="118"/>
      <c r="W85" s="118"/>
      <c r="Y85" s="118"/>
      <c r="AA85" s="118"/>
      <c r="AC85" s="118"/>
      <c r="AE85" s="118"/>
      <c r="AF85" s="119"/>
    </row>
    <row r="86" spans="1:32" x14ac:dyDescent="0.3">
      <c r="A86" s="118"/>
      <c r="C86" s="118"/>
      <c r="E86" s="118"/>
      <c r="G86" s="118"/>
      <c r="I86" s="118"/>
      <c r="J86" s="119"/>
      <c r="M86" s="118"/>
      <c r="O86" s="118"/>
      <c r="Q86" s="118"/>
      <c r="S86" s="118"/>
      <c r="U86" s="118"/>
      <c r="W86" s="118"/>
      <c r="Y86" s="118"/>
      <c r="AA86" s="118"/>
      <c r="AC86" s="118"/>
      <c r="AE86" s="118"/>
      <c r="AF86" s="119"/>
    </row>
    <row r="87" spans="1:32" x14ac:dyDescent="0.3">
      <c r="A87" s="118"/>
      <c r="C87" s="118"/>
      <c r="E87" s="118"/>
      <c r="G87" s="118"/>
      <c r="I87" s="118"/>
      <c r="J87" s="119"/>
      <c r="M87" s="118"/>
      <c r="O87" s="118"/>
      <c r="Q87" s="118"/>
      <c r="S87" s="118"/>
      <c r="U87" s="118"/>
      <c r="W87" s="118"/>
      <c r="Y87" s="118"/>
      <c r="AA87" s="118"/>
      <c r="AC87" s="118"/>
      <c r="AE87" s="118"/>
      <c r="AF87" s="119"/>
    </row>
    <row r="88" spans="1:32" x14ac:dyDescent="0.3">
      <c r="A88" s="118"/>
      <c r="C88" s="118"/>
      <c r="E88" s="118"/>
      <c r="G88" s="118"/>
      <c r="I88" s="118"/>
      <c r="J88" s="119"/>
      <c r="M88" s="118"/>
      <c r="O88" s="118"/>
      <c r="Q88" s="118"/>
      <c r="S88" s="118"/>
      <c r="U88" s="118"/>
      <c r="W88" s="118"/>
      <c r="Y88" s="118"/>
      <c r="AA88" s="118"/>
      <c r="AC88" s="118"/>
      <c r="AE88" s="118"/>
      <c r="AF88" s="119"/>
    </row>
    <row r="89" spans="1:32" x14ac:dyDescent="0.3">
      <c r="A89" s="118"/>
      <c r="C89" s="118"/>
      <c r="E89" s="118"/>
      <c r="G89" s="118"/>
      <c r="I89" s="118"/>
      <c r="J89" s="119"/>
      <c r="M89" s="118"/>
      <c r="O89" s="118"/>
      <c r="Q89" s="118"/>
      <c r="S89" s="118"/>
      <c r="U89" s="118"/>
      <c r="W89" s="118"/>
      <c r="Y89" s="118"/>
      <c r="AA89" s="118"/>
      <c r="AC89" s="118"/>
      <c r="AE89" s="118"/>
      <c r="AF89" s="119"/>
    </row>
    <row r="90" spans="1:32" x14ac:dyDescent="0.3">
      <c r="A90" s="118"/>
      <c r="C90" s="118"/>
      <c r="E90" s="118"/>
      <c r="G90" s="118"/>
      <c r="I90" s="118"/>
      <c r="J90" s="119"/>
      <c r="M90" s="118"/>
      <c r="O90" s="118"/>
      <c r="Q90" s="118"/>
      <c r="S90" s="118"/>
      <c r="U90" s="118"/>
      <c r="W90" s="118"/>
      <c r="Y90" s="118"/>
      <c r="AA90" s="118"/>
      <c r="AC90" s="118"/>
      <c r="AE90" s="118"/>
      <c r="AF90" s="119"/>
    </row>
    <row r="91" spans="1:32" x14ac:dyDescent="0.3">
      <c r="A91" s="118"/>
      <c r="C91" s="118"/>
      <c r="E91" s="118"/>
      <c r="G91" s="118"/>
      <c r="I91" s="118"/>
      <c r="J91" s="119"/>
      <c r="M91" s="118"/>
      <c r="O91" s="118"/>
      <c r="Q91" s="118"/>
      <c r="S91" s="118"/>
      <c r="U91" s="118"/>
      <c r="W91" s="118"/>
      <c r="Y91" s="118"/>
      <c r="AA91" s="118"/>
      <c r="AC91" s="118"/>
      <c r="AE91" s="118"/>
      <c r="AF91" s="119"/>
    </row>
    <row r="92" spans="1:32" x14ac:dyDescent="0.3">
      <c r="A92" s="118"/>
      <c r="C92" s="118"/>
      <c r="E92" s="118"/>
      <c r="G92" s="118"/>
      <c r="I92" s="118"/>
      <c r="J92" s="119"/>
      <c r="M92" s="118"/>
      <c r="O92" s="118"/>
      <c r="Q92" s="118"/>
      <c r="S92" s="118"/>
      <c r="U92" s="118"/>
      <c r="W92" s="118"/>
      <c r="Y92" s="118"/>
      <c r="AA92" s="118"/>
      <c r="AC92" s="118"/>
      <c r="AE92" s="118"/>
      <c r="AF92" s="119"/>
    </row>
    <row r="93" spans="1:32" x14ac:dyDescent="0.3">
      <c r="A93" s="118"/>
      <c r="C93" s="118"/>
      <c r="E93" s="118"/>
      <c r="G93" s="118"/>
      <c r="I93" s="118"/>
      <c r="J93" s="119"/>
      <c r="M93" s="118"/>
      <c r="O93" s="118"/>
      <c r="Q93" s="118"/>
      <c r="S93" s="118"/>
      <c r="U93" s="118"/>
      <c r="W93" s="118"/>
      <c r="Y93" s="118"/>
      <c r="AA93" s="118"/>
      <c r="AC93" s="118"/>
      <c r="AE93" s="118"/>
      <c r="AF93" s="119"/>
    </row>
    <row r="94" spans="1:32" x14ac:dyDescent="0.3">
      <c r="A94" s="118"/>
      <c r="C94" s="118"/>
      <c r="E94" s="118"/>
      <c r="G94" s="118"/>
      <c r="I94" s="118"/>
      <c r="J94" s="119"/>
      <c r="M94" s="118"/>
      <c r="O94" s="118"/>
      <c r="Q94" s="118"/>
      <c r="S94" s="118"/>
      <c r="U94" s="118"/>
      <c r="W94" s="118"/>
      <c r="Y94" s="118"/>
      <c r="AA94" s="118"/>
      <c r="AC94" s="118"/>
      <c r="AE94" s="118"/>
      <c r="AF94" s="119"/>
    </row>
    <row r="95" spans="1:32" x14ac:dyDescent="0.3">
      <c r="A95" s="118"/>
      <c r="C95" s="118"/>
      <c r="E95" s="118"/>
      <c r="G95" s="118"/>
      <c r="I95" s="118"/>
      <c r="J95" s="119"/>
      <c r="M95" s="118"/>
      <c r="O95" s="118"/>
      <c r="Q95" s="118"/>
      <c r="S95" s="118"/>
      <c r="U95" s="118"/>
      <c r="W95" s="118"/>
      <c r="Y95" s="118"/>
      <c r="AA95" s="118"/>
      <c r="AC95" s="118"/>
      <c r="AE95" s="118"/>
      <c r="AF95" s="119"/>
    </row>
    <row r="96" spans="1:32" x14ac:dyDescent="0.3">
      <c r="A96" s="118"/>
      <c r="C96" s="118"/>
      <c r="E96" s="118"/>
      <c r="G96" s="118"/>
      <c r="I96" s="118"/>
      <c r="J96" s="119"/>
      <c r="M96" s="118"/>
      <c r="O96" s="118"/>
      <c r="Q96" s="118"/>
      <c r="S96" s="118"/>
      <c r="U96" s="118"/>
      <c r="W96" s="118"/>
      <c r="Y96" s="118"/>
      <c r="AA96" s="118"/>
      <c r="AC96" s="118"/>
      <c r="AE96" s="118"/>
      <c r="AF96" s="119"/>
    </row>
    <row r="97" spans="1:32" x14ac:dyDescent="0.3">
      <c r="A97" s="118"/>
      <c r="C97" s="118"/>
      <c r="E97" s="118"/>
      <c r="G97" s="118"/>
      <c r="I97" s="118"/>
      <c r="J97" s="119"/>
      <c r="M97" s="118"/>
      <c r="O97" s="118"/>
      <c r="Q97" s="118"/>
      <c r="S97" s="118"/>
      <c r="U97" s="118"/>
      <c r="W97" s="118"/>
      <c r="Y97" s="118"/>
      <c r="AA97" s="118"/>
      <c r="AC97" s="118"/>
      <c r="AE97" s="118"/>
      <c r="AF97" s="119"/>
    </row>
    <row r="98" spans="1:32" x14ac:dyDescent="0.3">
      <c r="A98" s="118"/>
      <c r="C98" s="118"/>
      <c r="E98" s="118"/>
      <c r="G98" s="118"/>
      <c r="I98" s="118"/>
      <c r="J98" s="119"/>
      <c r="M98" s="118"/>
      <c r="O98" s="118"/>
      <c r="Q98" s="118"/>
      <c r="S98" s="118"/>
      <c r="U98" s="118"/>
      <c r="W98" s="118"/>
      <c r="Y98" s="118"/>
      <c r="AA98" s="118"/>
      <c r="AC98" s="118"/>
      <c r="AE98" s="118"/>
      <c r="AF98" s="119"/>
    </row>
    <row r="99" spans="1:32" x14ac:dyDescent="0.3">
      <c r="A99" s="118"/>
      <c r="C99" s="118"/>
      <c r="E99" s="118"/>
      <c r="G99" s="118"/>
      <c r="I99" s="118"/>
      <c r="J99" s="119"/>
      <c r="M99" s="118"/>
      <c r="O99" s="118"/>
      <c r="Q99" s="118"/>
      <c r="S99" s="118"/>
      <c r="U99" s="118"/>
      <c r="W99" s="118"/>
      <c r="Y99" s="118"/>
      <c r="AA99" s="118"/>
      <c r="AC99" s="118"/>
      <c r="AE99" s="118"/>
      <c r="AF99" s="119"/>
    </row>
    <row r="100" spans="1:32" x14ac:dyDescent="0.3">
      <c r="A100" s="118"/>
      <c r="C100" s="118"/>
      <c r="E100" s="118"/>
      <c r="G100" s="118"/>
      <c r="I100" s="118"/>
      <c r="J100" s="119"/>
      <c r="M100" s="118"/>
      <c r="O100" s="118"/>
      <c r="Q100" s="118"/>
      <c r="S100" s="118"/>
      <c r="U100" s="118"/>
      <c r="W100" s="118"/>
      <c r="Y100" s="118"/>
      <c r="AA100" s="118"/>
      <c r="AC100" s="118"/>
      <c r="AE100" s="118"/>
      <c r="AF100" s="119"/>
    </row>
    <row r="101" spans="1:32" x14ac:dyDescent="0.3">
      <c r="A101" s="118"/>
      <c r="C101" s="118"/>
      <c r="E101" s="118"/>
      <c r="G101" s="118"/>
      <c r="I101" s="118"/>
      <c r="J101" s="119"/>
      <c r="M101" s="118"/>
      <c r="O101" s="118"/>
      <c r="Q101" s="118"/>
      <c r="S101" s="118"/>
      <c r="U101" s="118"/>
      <c r="W101" s="118"/>
      <c r="Y101" s="118"/>
      <c r="AA101" s="118"/>
      <c r="AC101" s="118"/>
      <c r="AE101" s="118"/>
      <c r="AF101" s="119"/>
    </row>
    <row r="102" spans="1:32" x14ac:dyDescent="0.3">
      <c r="A102" s="118"/>
      <c r="C102" s="118"/>
      <c r="E102" s="118"/>
      <c r="G102" s="118"/>
      <c r="I102" s="118"/>
      <c r="J102" s="119"/>
      <c r="M102" s="118"/>
      <c r="O102" s="118"/>
      <c r="Q102" s="118"/>
      <c r="S102" s="118"/>
      <c r="U102" s="118"/>
      <c r="W102" s="118"/>
      <c r="Y102" s="118"/>
      <c r="AA102" s="118"/>
      <c r="AC102" s="118"/>
      <c r="AE102" s="118"/>
      <c r="AF102" s="119"/>
    </row>
    <row r="103" spans="1:32" x14ac:dyDescent="0.3">
      <c r="A103" s="118"/>
      <c r="C103" s="118"/>
      <c r="E103" s="118"/>
      <c r="G103" s="118"/>
      <c r="I103" s="118"/>
      <c r="J103" s="119"/>
      <c r="M103" s="118"/>
      <c r="O103" s="118"/>
      <c r="Q103" s="118"/>
      <c r="S103" s="118"/>
      <c r="U103" s="118"/>
      <c r="W103" s="118"/>
      <c r="Y103" s="118"/>
      <c r="AA103" s="118"/>
      <c r="AC103" s="118"/>
      <c r="AE103" s="118"/>
      <c r="AF103" s="119"/>
    </row>
    <row r="104" spans="1:32" x14ac:dyDescent="0.3">
      <c r="A104" s="118"/>
      <c r="C104" s="118"/>
      <c r="E104" s="118"/>
      <c r="G104" s="118"/>
      <c r="I104" s="118"/>
      <c r="J104" s="119"/>
      <c r="M104" s="118"/>
      <c r="O104" s="118"/>
      <c r="Q104" s="118"/>
      <c r="S104" s="118"/>
      <c r="U104" s="118"/>
      <c r="W104" s="118"/>
      <c r="Y104" s="118"/>
      <c r="AA104" s="118"/>
      <c r="AC104" s="118"/>
      <c r="AE104" s="118"/>
      <c r="AF104" s="119"/>
    </row>
    <row r="105" spans="1:32" x14ac:dyDescent="0.3">
      <c r="A105" s="118"/>
      <c r="C105" s="118"/>
      <c r="E105" s="118"/>
      <c r="G105" s="118"/>
      <c r="I105" s="118"/>
      <c r="J105" s="119"/>
      <c r="M105" s="118"/>
      <c r="O105" s="118"/>
      <c r="Q105" s="118"/>
      <c r="S105" s="118"/>
      <c r="U105" s="118"/>
      <c r="W105" s="118"/>
      <c r="Y105" s="118"/>
      <c r="AA105" s="118"/>
      <c r="AC105" s="118"/>
      <c r="AE105" s="118"/>
      <c r="AF105" s="119"/>
    </row>
    <row r="106" spans="1:32" x14ac:dyDescent="0.3">
      <c r="A106" s="118"/>
      <c r="C106" s="118"/>
      <c r="E106" s="118"/>
      <c r="G106" s="118"/>
      <c r="I106" s="118"/>
      <c r="J106" s="119"/>
      <c r="M106" s="118"/>
      <c r="O106" s="118"/>
      <c r="Q106" s="118"/>
      <c r="S106" s="118"/>
      <c r="U106" s="118"/>
      <c r="W106" s="118"/>
      <c r="Y106" s="118"/>
      <c r="AA106" s="118"/>
      <c r="AC106" s="118"/>
      <c r="AE106" s="118"/>
      <c r="AF106" s="119"/>
    </row>
    <row r="107" spans="1:32" x14ac:dyDescent="0.3">
      <c r="A107" s="118"/>
      <c r="C107" s="118"/>
      <c r="E107" s="118"/>
      <c r="G107" s="118"/>
      <c r="I107" s="118"/>
      <c r="J107" s="119"/>
      <c r="M107" s="118"/>
      <c r="O107" s="118"/>
      <c r="Q107" s="118"/>
      <c r="S107" s="118"/>
      <c r="U107" s="118"/>
      <c r="W107" s="118"/>
      <c r="Y107" s="118"/>
      <c r="AA107" s="118"/>
      <c r="AC107" s="118"/>
      <c r="AE107" s="118"/>
      <c r="AF107" s="119"/>
    </row>
    <row r="108" spans="1:32" x14ac:dyDescent="0.3">
      <c r="A108" s="118"/>
      <c r="C108" s="118"/>
      <c r="E108" s="118"/>
      <c r="G108" s="118"/>
      <c r="I108" s="118"/>
      <c r="J108" s="119"/>
      <c r="M108" s="118"/>
      <c r="O108" s="118"/>
      <c r="Q108" s="118"/>
      <c r="S108" s="118"/>
      <c r="U108" s="118"/>
      <c r="W108" s="118"/>
      <c r="Y108" s="118"/>
      <c r="AA108" s="118"/>
      <c r="AC108" s="118"/>
      <c r="AE108" s="118"/>
      <c r="AF108" s="119"/>
    </row>
    <row r="109" spans="1:32" x14ac:dyDescent="0.3">
      <c r="A109" s="118"/>
      <c r="C109" s="118"/>
      <c r="E109" s="118"/>
      <c r="G109" s="118"/>
      <c r="I109" s="118"/>
      <c r="J109" s="119"/>
      <c r="M109" s="118"/>
      <c r="O109" s="118"/>
      <c r="Q109" s="118"/>
      <c r="S109" s="118"/>
      <c r="U109" s="118"/>
      <c r="W109" s="118"/>
      <c r="Y109" s="118"/>
      <c r="AA109" s="118"/>
      <c r="AC109" s="118"/>
      <c r="AE109" s="118"/>
      <c r="AF109" s="119"/>
    </row>
    <row r="110" spans="1:32" x14ac:dyDescent="0.3">
      <c r="A110" s="118"/>
      <c r="C110" s="118"/>
      <c r="E110" s="118"/>
      <c r="G110" s="118"/>
      <c r="I110" s="118"/>
      <c r="J110" s="119"/>
      <c r="M110" s="118"/>
      <c r="O110" s="118"/>
      <c r="Q110" s="118"/>
      <c r="S110" s="118"/>
      <c r="U110" s="118"/>
      <c r="W110" s="118"/>
      <c r="Y110" s="118"/>
      <c r="AA110" s="118"/>
      <c r="AC110" s="118"/>
      <c r="AE110" s="118"/>
      <c r="AF110" s="119"/>
    </row>
    <row r="111" spans="1:32" x14ac:dyDescent="0.3">
      <c r="A111" s="118"/>
      <c r="C111" s="118"/>
      <c r="E111" s="118"/>
      <c r="G111" s="118"/>
      <c r="I111" s="118"/>
      <c r="J111" s="119"/>
      <c r="M111" s="118"/>
      <c r="O111" s="118"/>
      <c r="Q111" s="118"/>
      <c r="S111" s="118"/>
      <c r="U111" s="118"/>
      <c r="W111" s="118"/>
      <c r="Y111" s="118"/>
      <c r="AA111" s="118"/>
      <c r="AC111" s="118"/>
      <c r="AE111" s="118"/>
      <c r="AF111" s="119"/>
    </row>
    <row r="112" spans="1:32" x14ac:dyDescent="0.3">
      <c r="A112" s="118"/>
      <c r="C112" s="118"/>
      <c r="E112" s="118"/>
      <c r="G112" s="118"/>
      <c r="I112" s="118"/>
      <c r="J112" s="119"/>
      <c r="M112" s="118"/>
      <c r="O112" s="118"/>
      <c r="Q112" s="118"/>
      <c r="S112" s="118"/>
      <c r="U112" s="118"/>
      <c r="W112" s="118"/>
      <c r="Y112" s="118"/>
      <c r="AA112" s="118"/>
      <c r="AC112" s="118"/>
      <c r="AE112" s="118"/>
      <c r="AF112" s="119"/>
    </row>
    <row r="113" spans="1:32" x14ac:dyDescent="0.3">
      <c r="A113" s="118"/>
      <c r="C113" s="118"/>
      <c r="E113" s="118"/>
      <c r="G113" s="118"/>
      <c r="I113" s="118"/>
      <c r="J113" s="119"/>
      <c r="M113" s="118"/>
      <c r="O113" s="118"/>
      <c r="Q113" s="118"/>
      <c r="S113" s="118"/>
      <c r="U113" s="118"/>
      <c r="W113" s="118"/>
      <c r="Y113" s="118"/>
      <c r="AA113" s="118"/>
      <c r="AC113" s="118"/>
      <c r="AE113" s="118"/>
      <c r="AF113" s="119"/>
    </row>
    <row r="114" spans="1:32" x14ac:dyDescent="0.3">
      <c r="A114" s="118"/>
      <c r="C114" s="118"/>
      <c r="E114" s="118"/>
      <c r="G114" s="118"/>
      <c r="I114" s="118"/>
      <c r="J114" s="119"/>
      <c r="M114" s="118"/>
      <c r="O114" s="118"/>
      <c r="Q114" s="118"/>
      <c r="S114" s="118"/>
      <c r="U114" s="118"/>
      <c r="W114" s="118"/>
      <c r="Y114" s="118"/>
      <c r="AA114" s="118"/>
      <c r="AC114" s="118"/>
      <c r="AE114" s="118"/>
      <c r="AF114" s="119"/>
    </row>
    <row r="115" spans="1:32" x14ac:dyDescent="0.3">
      <c r="A115" s="118"/>
      <c r="C115" s="118"/>
      <c r="E115" s="118"/>
      <c r="G115" s="118"/>
      <c r="I115" s="118"/>
      <c r="J115" s="119"/>
      <c r="M115" s="118"/>
      <c r="O115" s="118"/>
      <c r="Q115" s="118"/>
      <c r="S115" s="118"/>
      <c r="U115" s="118"/>
      <c r="W115" s="118"/>
      <c r="Y115" s="118"/>
      <c r="AA115" s="118"/>
      <c r="AC115" s="118"/>
      <c r="AE115" s="118"/>
      <c r="AF115" s="119"/>
    </row>
    <row r="116" spans="1:32" x14ac:dyDescent="0.3">
      <c r="A116" s="118"/>
      <c r="C116" s="118"/>
      <c r="E116" s="118"/>
      <c r="G116" s="118"/>
      <c r="I116" s="118"/>
      <c r="J116" s="119"/>
      <c r="M116" s="118"/>
      <c r="O116" s="118"/>
      <c r="Q116" s="118"/>
      <c r="S116" s="118"/>
      <c r="U116" s="118"/>
      <c r="W116" s="118"/>
      <c r="Y116" s="118"/>
      <c r="AA116" s="118"/>
      <c r="AC116" s="118"/>
      <c r="AE116" s="118"/>
      <c r="AF116" s="119"/>
    </row>
    <row r="117" spans="1:32" x14ac:dyDescent="0.3">
      <c r="A117" s="118"/>
      <c r="C117" s="118"/>
      <c r="E117" s="118"/>
      <c r="G117" s="118"/>
      <c r="I117" s="118"/>
      <c r="J117" s="119"/>
      <c r="M117" s="118"/>
      <c r="O117" s="118"/>
      <c r="Q117" s="118"/>
      <c r="S117" s="118"/>
      <c r="U117" s="118"/>
      <c r="W117" s="118"/>
      <c r="Y117" s="118"/>
      <c r="AA117" s="118"/>
      <c r="AC117" s="118"/>
      <c r="AE117" s="118"/>
      <c r="AF117" s="119"/>
    </row>
    <row r="118" spans="1:32" x14ac:dyDescent="0.3">
      <c r="A118" s="118"/>
      <c r="C118" s="118"/>
      <c r="E118" s="118"/>
      <c r="G118" s="118"/>
      <c r="I118" s="118"/>
      <c r="J118" s="119"/>
      <c r="M118" s="118"/>
      <c r="O118" s="118"/>
      <c r="Q118" s="118"/>
      <c r="S118" s="118"/>
      <c r="U118" s="118"/>
      <c r="W118" s="118"/>
      <c r="Y118" s="118"/>
      <c r="AA118" s="118"/>
      <c r="AC118" s="118"/>
      <c r="AE118" s="118"/>
      <c r="AF118" s="119"/>
    </row>
    <row r="119" spans="1:32" x14ac:dyDescent="0.3">
      <c r="A119" s="118"/>
      <c r="C119" s="118"/>
      <c r="E119" s="118"/>
      <c r="G119" s="118"/>
      <c r="I119" s="118"/>
      <c r="J119" s="119"/>
      <c r="M119" s="118"/>
      <c r="O119" s="118"/>
      <c r="Q119" s="118"/>
      <c r="S119" s="118"/>
      <c r="U119" s="118"/>
      <c r="W119" s="118"/>
      <c r="Y119" s="118"/>
      <c r="AA119" s="118"/>
      <c r="AC119" s="118"/>
      <c r="AE119" s="118"/>
      <c r="AF119" s="119"/>
    </row>
    <row r="120" spans="1:32" x14ac:dyDescent="0.3">
      <c r="A120" s="118"/>
      <c r="C120" s="118"/>
      <c r="E120" s="118"/>
      <c r="G120" s="118"/>
      <c r="I120" s="118"/>
      <c r="J120" s="119"/>
      <c r="M120" s="118"/>
      <c r="O120" s="118"/>
      <c r="Q120" s="118"/>
      <c r="S120" s="118"/>
      <c r="U120" s="118"/>
      <c r="W120" s="118"/>
      <c r="Y120" s="118"/>
      <c r="AA120" s="118"/>
      <c r="AC120" s="118"/>
      <c r="AE120" s="118"/>
      <c r="AF120" s="119"/>
    </row>
    <row r="121" spans="1:32" x14ac:dyDescent="0.3">
      <c r="A121" s="118"/>
      <c r="C121" s="118"/>
      <c r="E121" s="118"/>
      <c r="G121" s="118"/>
      <c r="I121" s="118"/>
      <c r="J121" s="119"/>
      <c r="M121" s="118"/>
      <c r="O121" s="118"/>
      <c r="Q121" s="118"/>
      <c r="S121" s="118"/>
      <c r="U121" s="118"/>
      <c r="W121" s="118"/>
      <c r="Y121" s="118"/>
      <c r="AA121" s="118"/>
      <c r="AC121" s="118"/>
      <c r="AE121" s="118"/>
      <c r="AF121" s="119"/>
    </row>
    <row r="122" spans="1:32" x14ac:dyDescent="0.3">
      <c r="A122" s="118"/>
      <c r="C122" s="118"/>
      <c r="E122" s="118"/>
      <c r="G122" s="118"/>
      <c r="I122" s="118"/>
      <c r="J122" s="119"/>
      <c r="M122" s="118"/>
      <c r="O122" s="118"/>
      <c r="Q122" s="118"/>
      <c r="S122" s="118"/>
      <c r="U122" s="118"/>
      <c r="W122" s="118"/>
      <c r="Y122" s="118"/>
      <c r="AA122" s="118"/>
      <c r="AC122" s="118"/>
      <c r="AE122" s="118"/>
      <c r="AF122" s="119"/>
    </row>
    <row r="123" spans="1:32" x14ac:dyDescent="0.3">
      <c r="A123" s="118"/>
      <c r="C123" s="118"/>
      <c r="E123" s="118"/>
      <c r="G123" s="118"/>
      <c r="I123" s="118"/>
      <c r="J123" s="119"/>
      <c r="M123" s="118"/>
      <c r="O123" s="118"/>
      <c r="Q123" s="118"/>
      <c r="S123" s="118"/>
      <c r="U123" s="118"/>
      <c r="W123" s="118"/>
      <c r="Y123" s="118"/>
      <c r="AA123" s="118"/>
      <c r="AC123" s="118"/>
      <c r="AE123" s="118"/>
      <c r="AF123" s="119"/>
    </row>
    <row r="124" spans="1:32" x14ac:dyDescent="0.3">
      <c r="A124" s="118"/>
      <c r="C124" s="118"/>
      <c r="E124" s="118"/>
      <c r="G124" s="118"/>
      <c r="I124" s="118"/>
      <c r="J124" s="119"/>
      <c r="M124" s="118"/>
      <c r="O124" s="118"/>
      <c r="Q124" s="118"/>
      <c r="S124" s="118"/>
      <c r="U124" s="118"/>
      <c r="W124" s="118"/>
      <c r="Y124" s="118"/>
      <c r="AA124" s="118"/>
      <c r="AC124" s="118"/>
      <c r="AE124" s="118"/>
      <c r="AF124" s="119"/>
    </row>
    <row r="125" spans="1:32" x14ac:dyDescent="0.3">
      <c r="A125" s="118"/>
      <c r="C125" s="118"/>
      <c r="E125" s="118"/>
      <c r="G125" s="118"/>
      <c r="I125" s="118"/>
      <c r="J125" s="119"/>
      <c r="M125" s="118"/>
      <c r="O125" s="118"/>
      <c r="Q125" s="118"/>
      <c r="S125" s="118"/>
      <c r="U125" s="118"/>
      <c r="W125" s="118"/>
      <c r="Y125" s="118"/>
      <c r="AA125" s="118"/>
      <c r="AC125" s="118"/>
      <c r="AE125" s="118"/>
      <c r="AF125" s="119"/>
    </row>
    <row r="126" spans="1:32" x14ac:dyDescent="0.3">
      <c r="A126" s="118"/>
      <c r="C126" s="118"/>
      <c r="E126" s="118"/>
      <c r="G126" s="118"/>
      <c r="I126" s="118"/>
      <c r="J126" s="119"/>
      <c r="M126" s="118"/>
      <c r="O126" s="118"/>
      <c r="Q126" s="118"/>
      <c r="S126" s="118"/>
      <c r="U126" s="118"/>
      <c r="W126" s="118"/>
      <c r="Y126" s="118"/>
      <c r="AA126" s="118"/>
      <c r="AC126" s="118"/>
      <c r="AE126" s="118"/>
      <c r="AF126" s="119"/>
    </row>
    <row r="127" spans="1:32" x14ac:dyDescent="0.3">
      <c r="A127" s="118"/>
      <c r="C127" s="118"/>
      <c r="E127" s="118"/>
      <c r="G127" s="118"/>
      <c r="I127" s="118"/>
      <c r="J127" s="119"/>
      <c r="M127" s="118"/>
      <c r="O127" s="118"/>
      <c r="Q127" s="118"/>
      <c r="S127" s="118"/>
      <c r="U127" s="118"/>
      <c r="W127" s="118"/>
      <c r="Y127" s="118"/>
      <c r="AA127" s="118"/>
      <c r="AC127" s="118"/>
      <c r="AE127" s="118"/>
      <c r="AF127" s="119"/>
    </row>
    <row r="128" spans="1:32" x14ac:dyDescent="0.3">
      <c r="A128" s="118"/>
      <c r="C128" s="118"/>
      <c r="E128" s="118"/>
      <c r="G128" s="118"/>
      <c r="I128" s="118"/>
      <c r="J128" s="119"/>
      <c r="M128" s="118"/>
      <c r="O128" s="118"/>
      <c r="Q128" s="118"/>
      <c r="S128" s="118"/>
      <c r="U128" s="118"/>
      <c r="W128" s="118"/>
      <c r="Y128" s="118"/>
      <c r="AA128" s="118"/>
      <c r="AC128" s="118"/>
      <c r="AE128" s="118"/>
      <c r="AF128" s="119"/>
    </row>
    <row r="129" spans="1:32" x14ac:dyDescent="0.3">
      <c r="A129" s="118"/>
      <c r="C129" s="118"/>
      <c r="E129" s="118"/>
      <c r="G129" s="118"/>
      <c r="I129" s="118"/>
      <c r="J129" s="119"/>
      <c r="M129" s="118"/>
      <c r="O129" s="118"/>
      <c r="Q129" s="118"/>
      <c r="S129" s="118"/>
      <c r="U129" s="118"/>
      <c r="W129" s="118"/>
      <c r="Y129" s="118"/>
      <c r="AA129" s="118"/>
      <c r="AC129" s="118"/>
      <c r="AE129" s="118"/>
      <c r="AF129" s="119"/>
    </row>
    <row r="130" spans="1:32" x14ac:dyDescent="0.3">
      <c r="A130" s="118"/>
      <c r="C130" s="118"/>
      <c r="E130" s="118"/>
      <c r="G130" s="118"/>
      <c r="I130" s="118"/>
      <c r="J130" s="119"/>
      <c r="M130" s="118"/>
      <c r="O130" s="118"/>
      <c r="Q130" s="118"/>
      <c r="S130" s="118"/>
      <c r="U130" s="118"/>
      <c r="W130" s="118"/>
      <c r="Y130" s="118"/>
      <c r="AA130" s="118"/>
      <c r="AC130" s="118"/>
      <c r="AE130" s="118"/>
      <c r="AF130" s="119"/>
    </row>
    <row r="131" spans="1:32" x14ac:dyDescent="0.3">
      <c r="A131" s="118"/>
      <c r="C131" s="118"/>
      <c r="E131" s="118"/>
      <c r="G131" s="118"/>
      <c r="I131" s="118"/>
      <c r="J131" s="119"/>
      <c r="M131" s="118"/>
      <c r="O131" s="118"/>
      <c r="Q131" s="118"/>
      <c r="S131" s="118"/>
      <c r="U131" s="118"/>
      <c r="W131" s="118"/>
      <c r="Y131" s="118"/>
      <c r="AA131" s="118"/>
      <c r="AC131" s="118"/>
      <c r="AE131" s="118"/>
      <c r="AF131" s="119"/>
    </row>
    <row r="132" spans="1:32" x14ac:dyDescent="0.3">
      <c r="A132" s="118"/>
      <c r="C132" s="118"/>
      <c r="E132" s="118"/>
      <c r="G132" s="118"/>
      <c r="I132" s="118"/>
      <c r="J132" s="119"/>
      <c r="M132" s="118"/>
      <c r="O132" s="118"/>
      <c r="Q132" s="118"/>
      <c r="S132" s="118"/>
      <c r="U132" s="118"/>
      <c r="W132" s="118"/>
      <c r="Y132" s="118"/>
      <c r="AA132" s="118"/>
      <c r="AC132" s="118"/>
      <c r="AE132" s="118"/>
      <c r="AF132" s="119"/>
    </row>
    <row r="133" spans="1:32" x14ac:dyDescent="0.3">
      <c r="A133" s="118"/>
      <c r="C133" s="118"/>
      <c r="E133" s="118"/>
      <c r="G133" s="118"/>
      <c r="I133" s="118"/>
      <c r="J133" s="119"/>
      <c r="M133" s="118"/>
      <c r="O133" s="118"/>
      <c r="Q133" s="118"/>
      <c r="S133" s="118"/>
      <c r="U133" s="118"/>
      <c r="W133" s="118"/>
      <c r="Y133" s="118"/>
      <c r="AA133" s="118"/>
      <c r="AC133" s="118"/>
      <c r="AE133" s="118"/>
      <c r="AF133" s="119"/>
    </row>
    <row r="134" spans="1:32" x14ac:dyDescent="0.3">
      <c r="A134" s="118"/>
      <c r="C134" s="118"/>
      <c r="E134" s="118"/>
      <c r="G134" s="118"/>
      <c r="I134" s="118"/>
      <c r="J134" s="119"/>
      <c r="M134" s="118"/>
      <c r="O134" s="118"/>
      <c r="Q134" s="118"/>
      <c r="S134" s="118"/>
      <c r="U134" s="118"/>
      <c r="W134" s="118"/>
      <c r="Y134" s="118"/>
      <c r="AA134" s="118"/>
      <c r="AC134" s="118"/>
      <c r="AE134" s="118"/>
      <c r="AF134" s="119"/>
    </row>
    <row r="135" spans="1:32" x14ac:dyDescent="0.3">
      <c r="A135" s="118"/>
      <c r="C135" s="118"/>
      <c r="E135" s="118"/>
      <c r="G135" s="118"/>
      <c r="I135" s="118"/>
      <c r="J135" s="119"/>
      <c r="M135" s="118"/>
      <c r="O135" s="118"/>
      <c r="Q135" s="118"/>
      <c r="S135" s="118"/>
      <c r="U135" s="118"/>
      <c r="W135" s="118"/>
      <c r="Y135" s="118"/>
      <c r="AA135" s="118"/>
      <c r="AC135" s="118"/>
      <c r="AE135" s="118"/>
      <c r="AF135" s="119"/>
    </row>
    <row r="136" spans="1:32" x14ac:dyDescent="0.3">
      <c r="A136" s="118"/>
      <c r="C136" s="118"/>
      <c r="E136" s="118"/>
      <c r="G136" s="118"/>
      <c r="I136" s="118"/>
      <c r="J136" s="119"/>
      <c r="M136" s="118"/>
      <c r="O136" s="118"/>
      <c r="Q136" s="118"/>
      <c r="S136" s="118"/>
      <c r="U136" s="118"/>
      <c r="W136" s="118"/>
      <c r="Y136" s="118"/>
      <c r="AA136" s="118"/>
      <c r="AC136" s="118"/>
      <c r="AE136" s="118"/>
      <c r="AF136" s="119"/>
    </row>
    <row r="137" spans="1:32" x14ac:dyDescent="0.3">
      <c r="A137" s="118"/>
      <c r="C137" s="118"/>
      <c r="E137" s="118"/>
      <c r="G137" s="118"/>
      <c r="I137" s="118"/>
      <c r="J137" s="119"/>
      <c r="M137" s="118"/>
      <c r="O137" s="118"/>
      <c r="Q137" s="118"/>
      <c r="S137" s="118"/>
      <c r="U137" s="118"/>
      <c r="W137" s="118"/>
      <c r="Y137" s="118"/>
      <c r="AA137" s="118"/>
      <c r="AC137" s="118"/>
      <c r="AE137" s="118"/>
      <c r="AF137" s="119"/>
    </row>
    <row r="138" spans="1:32" x14ac:dyDescent="0.3">
      <c r="A138" s="118"/>
      <c r="C138" s="118"/>
      <c r="E138" s="118"/>
      <c r="G138" s="118"/>
      <c r="I138" s="118"/>
      <c r="J138" s="119"/>
      <c r="M138" s="118"/>
      <c r="O138" s="118"/>
      <c r="Q138" s="118"/>
      <c r="S138" s="118"/>
      <c r="U138" s="118"/>
      <c r="W138" s="118"/>
      <c r="Y138" s="118"/>
      <c r="AA138" s="118"/>
      <c r="AC138" s="118"/>
      <c r="AE138" s="118"/>
      <c r="AF138" s="119"/>
    </row>
    <row r="139" spans="1:32" x14ac:dyDescent="0.3">
      <c r="A139" s="118"/>
      <c r="C139" s="118"/>
      <c r="E139" s="118"/>
      <c r="G139" s="118"/>
      <c r="I139" s="118"/>
      <c r="J139" s="119"/>
      <c r="M139" s="118"/>
      <c r="O139" s="118"/>
      <c r="Q139" s="118"/>
      <c r="S139" s="118"/>
      <c r="U139" s="118"/>
      <c r="W139" s="118"/>
      <c r="Y139" s="118"/>
      <c r="AA139" s="118"/>
      <c r="AC139" s="118"/>
      <c r="AE139" s="118"/>
      <c r="AF139" s="119"/>
    </row>
    <row r="140" spans="1:32" x14ac:dyDescent="0.3">
      <c r="A140" s="118"/>
      <c r="C140" s="118"/>
      <c r="E140" s="118"/>
      <c r="G140" s="118"/>
      <c r="I140" s="118"/>
      <c r="J140" s="119"/>
      <c r="M140" s="118"/>
      <c r="O140" s="118"/>
      <c r="Q140" s="118"/>
      <c r="S140" s="118"/>
      <c r="U140" s="118"/>
      <c r="W140" s="118"/>
      <c r="Y140" s="118"/>
      <c r="AA140" s="118"/>
      <c r="AC140" s="118"/>
      <c r="AE140" s="118"/>
      <c r="AF140" s="119"/>
    </row>
    <row r="141" spans="1:32" x14ac:dyDescent="0.3">
      <c r="A141" s="118"/>
      <c r="C141" s="118"/>
      <c r="E141" s="118"/>
      <c r="G141" s="118"/>
      <c r="I141" s="118"/>
      <c r="J141" s="119"/>
      <c r="M141" s="118"/>
      <c r="O141" s="118"/>
      <c r="Q141" s="118"/>
      <c r="S141" s="118"/>
      <c r="U141" s="118"/>
      <c r="W141" s="118"/>
      <c r="Y141" s="118"/>
      <c r="AA141" s="118"/>
      <c r="AC141" s="118"/>
      <c r="AE141" s="118"/>
      <c r="AF141" s="119"/>
    </row>
    <row r="142" spans="1:32" x14ac:dyDescent="0.3">
      <c r="A142" s="118"/>
      <c r="C142" s="118"/>
      <c r="E142" s="118"/>
      <c r="G142" s="118"/>
      <c r="I142" s="118"/>
      <c r="J142" s="119"/>
      <c r="M142" s="118"/>
      <c r="O142" s="118"/>
      <c r="Q142" s="118"/>
      <c r="S142" s="118"/>
      <c r="U142" s="118"/>
      <c r="W142" s="118"/>
      <c r="Y142" s="118"/>
      <c r="AA142" s="118"/>
      <c r="AC142" s="118"/>
      <c r="AE142" s="118"/>
      <c r="AF142" s="119"/>
    </row>
    <row r="143" spans="1:32" x14ac:dyDescent="0.3">
      <c r="A143" s="118"/>
      <c r="C143" s="118"/>
      <c r="E143" s="118"/>
      <c r="G143" s="118"/>
      <c r="I143" s="118"/>
      <c r="J143" s="119"/>
      <c r="M143" s="118"/>
      <c r="O143" s="118"/>
      <c r="Q143" s="118"/>
      <c r="S143" s="118"/>
      <c r="U143" s="118"/>
      <c r="W143" s="118"/>
      <c r="Y143" s="118"/>
      <c r="AA143" s="118"/>
      <c r="AC143" s="118"/>
      <c r="AE143" s="118"/>
      <c r="AF143" s="119"/>
    </row>
    <row r="144" spans="1:32" x14ac:dyDescent="0.3">
      <c r="A144" s="118"/>
      <c r="C144" s="118"/>
      <c r="E144" s="118"/>
      <c r="G144" s="118"/>
      <c r="I144" s="118"/>
      <c r="J144" s="119"/>
      <c r="M144" s="118"/>
      <c r="O144" s="118"/>
      <c r="Q144" s="118"/>
      <c r="S144" s="118"/>
      <c r="U144" s="118"/>
      <c r="W144" s="118"/>
      <c r="Y144" s="118"/>
      <c r="AA144" s="118"/>
      <c r="AC144" s="118"/>
      <c r="AE144" s="118"/>
      <c r="AF144" s="119"/>
    </row>
    <row r="145" spans="1:32" x14ac:dyDescent="0.3">
      <c r="A145" s="118"/>
      <c r="C145" s="118"/>
      <c r="E145" s="118"/>
      <c r="G145" s="118"/>
      <c r="I145" s="118"/>
      <c r="J145" s="119"/>
      <c r="M145" s="118"/>
      <c r="O145" s="118"/>
      <c r="Q145" s="118"/>
      <c r="S145" s="118"/>
      <c r="U145" s="118"/>
      <c r="W145" s="118"/>
      <c r="Y145" s="118"/>
      <c r="AA145" s="118"/>
      <c r="AC145" s="118"/>
      <c r="AE145" s="118"/>
      <c r="AF145" s="119"/>
    </row>
    <row r="146" spans="1:32" x14ac:dyDescent="0.3">
      <c r="A146" s="118"/>
      <c r="C146" s="118"/>
      <c r="E146" s="118"/>
      <c r="G146" s="118"/>
      <c r="I146" s="118"/>
      <c r="J146" s="119"/>
      <c r="M146" s="118"/>
      <c r="O146" s="118"/>
      <c r="Q146" s="118"/>
      <c r="S146" s="118"/>
      <c r="U146" s="118"/>
      <c r="W146" s="118"/>
      <c r="Y146" s="118"/>
      <c r="AA146" s="118"/>
      <c r="AC146" s="118"/>
      <c r="AE146" s="118"/>
      <c r="AF146" s="119"/>
    </row>
    <row r="147" spans="1:32" x14ac:dyDescent="0.3">
      <c r="A147" s="118"/>
      <c r="C147" s="118"/>
      <c r="E147" s="118"/>
      <c r="G147" s="118"/>
      <c r="I147" s="118"/>
      <c r="J147" s="119"/>
      <c r="M147" s="118"/>
      <c r="O147" s="118"/>
      <c r="Q147" s="118"/>
      <c r="S147" s="118"/>
      <c r="U147" s="118"/>
      <c r="W147" s="118"/>
      <c r="Y147" s="118"/>
      <c r="AA147" s="118"/>
      <c r="AC147" s="118"/>
      <c r="AE147" s="118"/>
      <c r="AF147" s="119"/>
    </row>
    <row r="148" spans="1:32" x14ac:dyDescent="0.3">
      <c r="A148" s="118"/>
      <c r="C148" s="118"/>
      <c r="E148" s="118"/>
      <c r="G148" s="118"/>
      <c r="I148" s="118"/>
      <c r="J148" s="119"/>
      <c r="M148" s="118"/>
      <c r="O148" s="118"/>
      <c r="Q148" s="118"/>
      <c r="S148" s="118"/>
      <c r="U148" s="118"/>
      <c r="W148" s="118"/>
      <c r="Y148" s="118"/>
      <c r="AA148" s="118"/>
      <c r="AC148" s="118"/>
      <c r="AE148" s="118"/>
      <c r="AF148" s="119"/>
    </row>
    <row r="149" spans="1:32" x14ac:dyDescent="0.3">
      <c r="A149" s="118"/>
      <c r="C149" s="118"/>
      <c r="E149" s="118"/>
      <c r="G149" s="118"/>
      <c r="I149" s="118"/>
      <c r="J149" s="119"/>
      <c r="M149" s="118"/>
      <c r="O149" s="118"/>
      <c r="Q149" s="118"/>
      <c r="S149" s="118"/>
      <c r="U149" s="118"/>
      <c r="W149" s="118"/>
      <c r="Y149" s="118"/>
      <c r="AA149" s="118"/>
      <c r="AC149" s="118"/>
      <c r="AE149" s="118"/>
      <c r="AF149" s="119"/>
    </row>
    <row r="150" spans="1:32" x14ac:dyDescent="0.3">
      <c r="A150" s="118"/>
      <c r="C150" s="118"/>
      <c r="E150" s="118"/>
      <c r="G150" s="118"/>
      <c r="I150" s="118"/>
      <c r="J150" s="119"/>
      <c r="M150" s="118"/>
      <c r="O150" s="118"/>
      <c r="Q150" s="118"/>
      <c r="S150" s="118"/>
      <c r="U150" s="118"/>
      <c r="W150" s="118"/>
      <c r="Y150" s="118"/>
      <c r="AA150" s="118"/>
      <c r="AC150" s="118"/>
      <c r="AE150" s="118"/>
      <c r="AF150" s="119"/>
    </row>
    <row r="151" spans="1:32" x14ac:dyDescent="0.3">
      <c r="A151" s="118"/>
      <c r="C151" s="118"/>
      <c r="E151" s="118"/>
      <c r="G151" s="118"/>
      <c r="I151" s="118"/>
      <c r="J151" s="119"/>
      <c r="M151" s="118"/>
      <c r="O151" s="118"/>
      <c r="Q151" s="118"/>
      <c r="S151" s="118"/>
      <c r="U151" s="118"/>
      <c r="W151" s="118"/>
      <c r="Y151" s="118"/>
      <c r="AA151" s="118"/>
      <c r="AC151" s="118"/>
      <c r="AE151" s="118"/>
      <c r="AF151" s="119"/>
    </row>
    <row r="152" spans="1:32" x14ac:dyDescent="0.3">
      <c r="A152" s="118"/>
      <c r="C152" s="118"/>
      <c r="E152" s="118"/>
      <c r="G152" s="118"/>
      <c r="I152" s="118"/>
      <c r="J152" s="119"/>
      <c r="M152" s="118"/>
      <c r="O152" s="118"/>
      <c r="Q152" s="118"/>
      <c r="S152" s="118"/>
      <c r="U152" s="118"/>
      <c r="W152" s="118"/>
      <c r="Y152" s="118"/>
      <c r="AA152" s="118"/>
      <c r="AC152" s="118"/>
      <c r="AE152" s="118"/>
      <c r="AF152" s="119"/>
    </row>
    <row r="153" spans="1:32" x14ac:dyDescent="0.3">
      <c r="A153" s="118"/>
      <c r="C153" s="118"/>
      <c r="E153" s="118"/>
      <c r="G153" s="118"/>
      <c r="I153" s="118"/>
      <c r="J153" s="119"/>
      <c r="M153" s="118"/>
      <c r="O153" s="118"/>
      <c r="Q153" s="118"/>
      <c r="S153" s="118"/>
      <c r="U153" s="118"/>
      <c r="W153" s="118"/>
      <c r="Y153" s="118"/>
      <c r="AA153" s="118"/>
      <c r="AC153" s="118"/>
      <c r="AE153" s="118"/>
      <c r="AF153" s="119"/>
    </row>
    <row r="154" spans="1:32" x14ac:dyDescent="0.3">
      <c r="A154" s="118"/>
      <c r="C154" s="118"/>
      <c r="E154" s="118"/>
      <c r="G154" s="118"/>
      <c r="I154" s="118"/>
      <c r="J154" s="119"/>
      <c r="M154" s="118"/>
      <c r="O154" s="118"/>
      <c r="Q154" s="118"/>
      <c r="S154" s="118"/>
      <c r="U154" s="118"/>
      <c r="W154" s="118"/>
      <c r="Y154" s="118"/>
      <c r="AA154" s="118"/>
      <c r="AC154" s="118"/>
      <c r="AE154" s="118"/>
      <c r="AF154" s="119"/>
    </row>
    <row r="155" spans="1:32" x14ac:dyDescent="0.3">
      <c r="A155" s="118"/>
      <c r="C155" s="118"/>
      <c r="E155" s="118"/>
      <c r="G155" s="118"/>
      <c r="I155" s="118"/>
      <c r="J155" s="119"/>
      <c r="M155" s="118"/>
      <c r="O155" s="118"/>
      <c r="Q155" s="118"/>
      <c r="S155" s="118"/>
      <c r="U155" s="118"/>
      <c r="W155" s="118"/>
      <c r="Y155" s="118"/>
      <c r="AA155" s="118"/>
      <c r="AC155" s="118"/>
      <c r="AE155" s="118"/>
      <c r="AF155" s="119"/>
    </row>
    <row r="156" spans="1:32" x14ac:dyDescent="0.3">
      <c r="A156" s="118"/>
      <c r="C156" s="118"/>
      <c r="E156" s="118"/>
      <c r="G156" s="118"/>
      <c r="I156" s="118"/>
      <c r="J156" s="119"/>
      <c r="M156" s="118"/>
      <c r="O156" s="118"/>
      <c r="Q156" s="118"/>
      <c r="S156" s="118"/>
      <c r="U156" s="118"/>
      <c r="W156" s="118"/>
      <c r="Y156" s="118"/>
      <c r="AA156" s="118"/>
      <c r="AC156" s="118"/>
      <c r="AE156" s="118"/>
      <c r="AF156" s="119"/>
    </row>
    <row r="157" spans="1:32" x14ac:dyDescent="0.3">
      <c r="A157" s="118"/>
      <c r="C157" s="118"/>
      <c r="E157" s="118"/>
      <c r="G157" s="118"/>
      <c r="I157" s="118"/>
      <c r="J157" s="119"/>
      <c r="M157" s="118"/>
      <c r="O157" s="118"/>
      <c r="Q157" s="118"/>
      <c r="S157" s="118"/>
      <c r="U157" s="118"/>
      <c r="W157" s="118"/>
      <c r="Y157" s="118"/>
      <c r="AA157" s="118"/>
      <c r="AC157" s="118"/>
      <c r="AE157" s="118"/>
      <c r="AF157" s="119"/>
    </row>
    <row r="158" spans="1:32" x14ac:dyDescent="0.3">
      <c r="A158" s="118"/>
      <c r="C158" s="118"/>
      <c r="E158" s="118"/>
      <c r="G158" s="118"/>
      <c r="I158" s="118"/>
      <c r="J158" s="119"/>
      <c r="M158" s="118"/>
      <c r="O158" s="118"/>
      <c r="Q158" s="118"/>
      <c r="S158" s="118"/>
      <c r="U158" s="118"/>
      <c r="W158" s="118"/>
      <c r="Y158" s="118"/>
      <c r="AA158" s="118"/>
      <c r="AC158" s="118"/>
      <c r="AE158" s="118"/>
      <c r="AF158" s="119"/>
    </row>
    <row r="159" spans="1:32" x14ac:dyDescent="0.3">
      <c r="A159" s="118"/>
      <c r="C159" s="118"/>
      <c r="E159" s="118"/>
      <c r="G159" s="118"/>
      <c r="I159" s="118"/>
      <c r="J159" s="119"/>
      <c r="M159" s="118"/>
      <c r="O159" s="118"/>
      <c r="Q159" s="118"/>
      <c r="S159" s="118"/>
      <c r="U159" s="118"/>
      <c r="W159" s="118"/>
      <c r="Y159" s="118"/>
      <c r="AA159" s="118"/>
      <c r="AC159" s="118"/>
      <c r="AE159" s="118"/>
      <c r="AF159" s="119"/>
    </row>
    <row r="160" spans="1:32" x14ac:dyDescent="0.3">
      <c r="A160" s="118"/>
      <c r="C160" s="118"/>
      <c r="E160" s="118"/>
      <c r="G160" s="118"/>
      <c r="I160" s="118"/>
      <c r="J160" s="119"/>
      <c r="M160" s="118"/>
      <c r="O160" s="118"/>
      <c r="Q160" s="118"/>
      <c r="S160" s="118"/>
      <c r="U160" s="118"/>
      <c r="W160" s="118"/>
      <c r="Y160" s="118"/>
      <c r="AA160" s="118"/>
      <c r="AC160" s="118"/>
      <c r="AE160" s="118"/>
      <c r="AF160" s="119"/>
    </row>
    <row r="161" spans="1:32" x14ac:dyDescent="0.3">
      <c r="A161" s="118"/>
      <c r="C161" s="118"/>
      <c r="E161" s="118"/>
      <c r="G161" s="118"/>
      <c r="I161" s="118"/>
      <c r="J161" s="119"/>
      <c r="M161" s="118"/>
      <c r="O161" s="118"/>
      <c r="Q161" s="118"/>
      <c r="S161" s="118"/>
      <c r="U161" s="118"/>
      <c r="W161" s="118"/>
      <c r="Y161" s="118"/>
      <c r="AA161" s="118"/>
      <c r="AC161" s="118"/>
      <c r="AE161" s="118"/>
      <c r="AF161" s="119"/>
    </row>
    <row r="162" spans="1:32" x14ac:dyDescent="0.3">
      <c r="A162" s="118"/>
      <c r="C162" s="118"/>
      <c r="E162" s="118"/>
      <c r="G162" s="118"/>
      <c r="I162" s="118"/>
      <c r="J162" s="119"/>
      <c r="M162" s="118"/>
      <c r="O162" s="118"/>
      <c r="Q162" s="118"/>
      <c r="S162" s="118"/>
      <c r="U162" s="118"/>
      <c r="W162" s="118"/>
      <c r="Y162" s="118"/>
      <c r="AA162" s="118"/>
      <c r="AC162" s="118"/>
      <c r="AE162" s="118"/>
      <c r="AF162" s="119"/>
    </row>
    <row r="163" spans="1:32" x14ac:dyDescent="0.3">
      <c r="A163" s="118"/>
      <c r="C163" s="118"/>
      <c r="E163" s="118"/>
      <c r="G163" s="118"/>
      <c r="I163" s="118"/>
      <c r="J163" s="119"/>
      <c r="M163" s="118"/>
      <c r="O163" s="118"/>
      <c r="Q163" s="118"/>
      <c r="S163" s="118"/>
      <c r="U163" s="118"/>
      <c r="W163" s="118"/>
      <c r="Y163" s="118"/>
      <c r="AA163" s="118"/>
      <c r="AC163" s="118"/>
      <c r="AE163" s="118"/>
      <c r="AF163" s="119"/>
    </row>
    <row r="164" spans="1:32" x14ac:dyDescent="0.3">
      <c r="A164" s="118"/>
      <c r="C164" s="118"/>
      <c r="E164" s="118"/>
      <c r="G164" s="118"/>
      <c r="I164" s="118"/>
      <c r="J164" s="119"/>
      <c r="M164" s="118"/>
      <c r="O164" s="118"/>
      <c r="Q164" s="118"/>
      <c r="S164" s="118"/>
      <c r="U164" s="118"/>
      <c r="W164" s="118"/>
      <c r="Y164" s="118"/>
      <c r="AA164" s="118"/>
      <c r="AC164" s="118"/>
      <c r="AE164" s="118"/>
      <c r="AF164" s="119"/>
    </row>
    <row r="165" spans="1:32" x14ac:dyDescent="0.3">
      <c r="A165" s="118"/>
      <c r="C165" s="118"/>
      <c r="E165" s="118"/>
      <c r="G165" s="118"/>
      <c r="I165" s="118"/>
      <c r="J165" s="119"/>
      <c r="M165" s="118"/>
      <c r="O165" s="118"/>
      <c r="Q165" s="118"/>
      <c r="S165" s="118"/>
      <c r="U165" s="118"/>
      <c r="W165" s="118"/>
      <c r="Y165" s="118"/>
      <c r="AA165" s="118"/>
      <c r="AC165" s="118"/>
      <c r="AE165" s="118"/>
      <c r="AF165" s="119"/>
    </row>
    <row r="166" spans="1:32" x14ac:dyDescent="0.3">
      <c r="A166" s="118"/>
      <c r="C166" s="118"/>
      <c r="E166" s="118"/>
      <c r="G166" s="118"/>
      <c r="I166" s="118"/>
      <c r="J166" s="119"/>
      <c r="M166" s="118"/>
      <c r="O166" s="118"/>
      <c r="Q166" s="118"/>
      <c r="S166" s="118"/>
      <c r="U166" s="118"/>
      <c r="W166" s="118"/>
      <c r="Y166" s="118"/>
      <c r="AA166" s="118"/>
      <c r="AC166" s="118"/>
      <c r="AE166" s="118"/>
      <c r="AF166" s="119"/>
    </row>
    <row r="167" spans="1:32" x14ac:dyDescent="0.3">
      <c r="A167" s="118"/>
      <c r="C167" s="118"/>
      <c r="E167" s="118"/>
      <c r="G167" s="118"/>
      <c r="I167" s="118"/>
      <c r="J167" s="119"/>
      <c r="M167" s="118"/>
      <c r="O167" s="118"/>
      <c r="Q167" s="118"/>
      <c r="S167" s="118"/>
      <c r="U167" s="118"/>
      <c r="W167" s="118"/>
      <c r="Y167" s="118"/>
      <c r="AA167" s="118"/>
      <c r="AC167" s="118"/>
      <c r="AE167" s="118"/>
      <c r="AF167" s="119"/>
    </row>
    <row r="168" spans="1:32" x14ac:dyDescent="0.3">
      <c r="A168" s="118"/>
      <c r="C168" s="118"/>
      <c r="E168" s="118"/>
      <c r="G168" s="118"/>
      <c r="I168" s="118"/>
      <c r="J168" s="119"/>
      <c r="M168" s="118"/>
      <c r="O168" s="118"/>
      <c r="Q168" s="118"/>
      <c r="S168" s="118"/>
      <c r="U168" s="118"/>
      <c r="W168" s="118"/>
      <c r="Y168" s="118"/>
      <c r="AA168" s="118"/>
      <c r="AC168" s="118"/>
      <c r="AE168" s="118"/>
      <c r="AF168" s="119"/>
    </row>
    <row r="169" spans="1:32" x14ac:dyDescent="0.3">
      <c r="A169" s="118"/>
      <c r="C169" s="118"/>
      <c r="E169" s="118"/>
      <c r="G169" s="118"/>
      <c r="I169" s="118"/>
      <c r="J169" s="119"/>
      <c r="M169" s="118"/>
      <c r="O169" s="118"/>
      <c r="Q169" s="118"/>
      <c r="S169" s="118"/>
      <c r="U169" s="118"/>
      <c r="W169" s="118"/>
      <c r="Y169" s="118"/>
      <c r="AA169" s="118"/>
      <c r="AC169" s="118"/>
      <c r="AE169" s="118"/>
      <c r="AF169" s="119"/>
    </row>
    <row r="170" spans="1:32" x14ac:dyDescent="0.3">
      <c r="A170" s="118"/>
      <c r="C170" s="118"/>
      <c r="E170" s="118"/>
      <c r="G170" s="118"/>
      <c r="I170" s="118"/>
      <c r="J170" s="119"/>
      <c r="M170" s="118"/>
      <c r="O170" s="118"/>
      <c r="Q170" s="118"/>
      <c r="S170" s="118"/>
      <c r="U170" s="118"/>
      <c r="W170" s="118"/>
      <c r="Y170" s="118"/>
      <c r="AA170" s="118"/>
      <c r="AC170" s="118"/>
      <c r="AE170" s="118"/>
      <c r="AF170" s="119"/>
    </row>
    <row r="171" spans="1:32" x14ac:dyDescent="0.3">
      <c r="A171" s="118"/>
      <c r="C171" s="118"/>
      <c r="E171" s="118"/>
      <c r="G171" s="118"/>
      <c r="I171" s="118"/>
      <c r="J171" s="119"/>
      <c r="M171" s="118"/>
      <c r="O171" s="118"/>
      <c r="Q171" s="118"/>
      <c r="S171" s="118"/>
      <c r="U171" s="118"/>
      <c r="W171" s="118"/>
      <c r="Y171" s="118"/>
      <c r="AA171" s="118"/>
      <c r="AC171" s="118"/>
      <c r="AE171" s="118"/>
      <c r="AF171" s="119"/>
    </row>
    <row r="172" spans="1:32" x14ac:dyDescent="0.3">
      <c r="A172" s="118"/>
      <c r="C172" s="118"/>
      <c r="E172" s="118"/>
      <c r="G172" s="118"/>
      <c r="I172" s="118"/>
      <c r="J172" s="119"/>
      <c r="M172" s="118"/>
      <c r="O172" s="118"/>
      <c r="Q172" s="118"/>
      <c r="S172" s="118"/>
      <c r="U172" s="118"/>
      <c r="W172" s="118"/>
      <c r="Y172" s="118"/>
      <c r="AA172" s="118"/>
      <c r="AC172" s="118"/>
      <c r="AE172" s="118"/>
      <c r="AF172" s="119"/>
    </row>
    <row r="173" spans="1:32" x14ac:dyDescent="0.3">
      <c r="A173" s="118"/>
      <c r="C173" s="118"/>
      <c r="E173" s="118"/>
      <c r="G173" s="118"/>
      <c r="I173" s="118"/>
      <c r="J173" s="119"/>
      <c r="M173" s="118"/>
      <c r="O173" s="118"/>
      <c r="Q173" s="118"/>
      <c r="S173" s="118"/>
      <c r="U173" s="118"/>
      <c r="W173" s="118"/>
      <c r="Y173" s="118"/>
      <c r="AA173" s="118"/>
      <c r="AC173" s="118"/>
      <c r="AE173" s="118"/>
      <c r="AF173" s="119"/>
    </row>
    <row r="174" spans="1:32" x14ac:dyDescent="0.3">
      <c r="A174" s="118"/>
      <c r="C174" s="118"/>
      <c r="E174" s="118"/>
      <c r="G174" s="118"/>
      <c r="I174" s="118"/>
      <c r="J174" s="119"/>
      <c r="M174" s="118"/>
      <c r="O174" s="118"/>
      <c r="Q174" s="118"/>
      <c r="S174" s="118"/>
      <c r="U174" s="118"/>
      <c r="W174" s="118"/>
      <c r="Y174" s="118"/>
      <c r="AA174" s="118"/>
      <c r="AC174" s="118"/>
      <c r="AE174" s="118"/>
      <c r="AF174" s="119"/>
    </row>
    <row r="175" spans="1:32" x14ac:dyDescent="0.3">
      <c r="A175" s="118"/>
      <c r="C175" s="118"/>
      <c r="E175" s="118"/>
      <c r="G175" s="118"/>
      <c r="I175" s="118"/>
      <c r="J175" s="119"/>
      <c r="M175" s="118"/>
      <c r="O175" s="118"/>
      <c r="Q175" s="118"/>
      <c r="S175" s="118"/>
      <c r="U175" s="118"/>
      <c r="W175" s="118"/>
      <c r="Y175" s="118"/>
      <c r="AA175" s="118"/>
      <c r="AC175" s="118"/>
      <c r="AE175" s="118"/>
      <c r="AF175" s="119"/>
    </row>
    <row r="176" spans="1:32" x14ac:dyDescent="0.3">
      <c r="A176" s="118"/>
      <c r="C176" s="118"/>
      <c r="E176" s="118"/>
      <c r="G176" s="118"/>
      <c r="I176" s="118"/>
      <c r="J176" s="119"/>
      <c r="M176" s="118"/>
      <c r="O176" s="118"/>
      <c r="Q176" s="118"/>
      <c r="S176" s="118"/>
      <c r="U176" s="118"/>
      <c r="W176" s="118"/>
      <c r="Y176" s="118"/>
      <c r="AA176" s="118"/>
      <c r="AC176" s="118"/>
      <c r="AE176" s="118"/>
      <c r="AF176" s="119"/>
    </row>
    <row r="177" spans="1:32" x14ac:dyDescent="0.3">
      <c r="A177" s="118"/>
      <c r="C177" s="118"/>
      <c r="E177" s="118"/>
      <c r="G177" s="118"/>
      <c r="I177" s="118"/>
      <c r="J177" s="119"/>
      <c r="M177" s="118"/>
      <c r="O177" s="118"/>
      <c r="Q177" s="118"/>
      <c r="S177" s="118"/>
      <c r="U177" s="118"/>
      <c r="W177" s="118"/>
      <c r="Y177" s="118"/>
      <c r="AA177" s="118"/>
      <c r="AC177" s="118"/>
      <c r="AE177" s="118"/>
      <c r="AF177" s="119"/>
    </row>
    <row r="178" spans="1:32" x14ac:dyDescent="0.3">
      <c r="A178" s="118"/>
      <c r="C178" s="118"/>
      <c r="E178" s="118"/>
      <c r="G178" s="118"/>
      <c r="I178" s="118"/>
      <c r="J178" s="119"/>
      <c r="M178" s="118"/>
      <c r="O178" s="118"/>
      <c r="Q178" s="118"/>
      <c r="S178" s="118"/>
      <c r="U178" s="118"/>
      <c r="W178" s="118"/>
      <c r="Y178" s="118"/>
      <c r="AA178" s="118"/>
      <c r="AC178" s="118"/>
      <c r="AE178" s="118"/>
      <c r="AF178" s="119"/>
    </row>
    <row r="179" spans="1:32" x14ac:dyDescent="0.3">
      <c r="A179" s="118"/>
      <c r="C179" s="118"/>
      <c r="E179" s="118"/>
      <c r="G179" s="118"/>
      <c r="I179" s="118"/>
      <c r="J179" s="119"/>
      <c r="M179" s="118"/>
      <c r="O179" s="118"/>
      <c r="Q179" s="118"/>
      <c r="S179" s="118"/>
      <c r="U179" s="118"/>
      <c r="W179" s="118"/>
      <c r="Y179" s="118"/>
      <c r="AA179" s="118"/>
      <c r="AC179" s="118"/>
      <c r="AE179" s="118"/>
      <c r="AF179" s="119"/>
    </row>
    <row r="180" spans="1:32" x14ac:dyDescent="0.3">
      <c r="A180" s="118"/>
      <c r="C180" s="118"/>
      <c r="E180" s="118"/>
      <c r="G180" s="118"/>
      <c r="I180" s="118"/>
      <c r="J180" s="119"/>
      <c r="M180" s="118"/>
      <c r="O180" s="118"/>
      <c r="Q180" s="118"/>
      <c r="S180" s="118"/>
      <c r="U180" s="118"/>
      <c r="W180" s="118"/>
      <c r="Y180" s="118"/>
      <c r="AA180" s="118"/>
      <c r="AC180" s="118"/>
      <c r="AE180" s="118"/>
      <c r="AF180" s="119"/>
    </row>
    <row r="181" spans="1:32" x14ac:dyDescent="0.3">
      <c r="A181" s="118"/>
      <c r="C181" s="118"/>
      <c r="E181" s="118"/>
      <c r="G181" s="118"/>
      <c r="I181" s="118"/>
      <c r="J181" s="119"/>
      <c r="M181" s="118"/>
      <c r="O181" s="118"/>
      <c r="Q181" s="118"/>
      <c r="S181" s="118"/>
      <c r="U181" s="118"/>
      <c r="W181" s="118"/>
      <c r="Y181" s="118"/>
      <c r="AA181" s="118"/>
      <c r="AC181" s="118"/>
      <c r="AE181" s="118"/>
      <c r="AF181" s="119"/>
    </row>
    <row r="182" spans="1:32" x14ac:dyDescent="0.3">
      <c r="A182" s="118"/>
      <c r="C182" s="118"/>
      <c r="E182" s="118"/>
      <c r="G182" s="118"/>
      <c r="I182" s="118"/>
      <c r="J182" s="119"/>
      <c r="M182" s="118"/>
      <c r="O182" s="118"/>
      <c r="Q182" s="118"/>
      <c r="S182" s="118"/>
      <c r="U182" s="118"/>
      <c r="W182" s="118"/>
      <c r="Y182" s="118"/>
      <c r="AA182" s="118"/>
      <c r="AC182" s="118"/>
      <c r="AE182" s="118"/>
      <c r="AF182" s="119"/>
    </row>
    <row r="183" spans="1:32" x14ac:dyDescent="0.3">
      <c r="A183" s="118"/>
      <c r="C183" s="118"/>
      <c r="E183" s="118"/>
      <c r="G183" s="118"/>
      <c r="I183" s="118"/>
      <c r="J183" s="119"/>
      <c r="M183" s="118"/>
      <c r="O183" s="118"/>
      <c r="Q183" s="118"/>
      <c r="S183" s="118"/>
      <c r="U183" s="118"/>
      <c r="W183" s="118"/>
      <c r="Y183" s="118"/>
      <c r="AA183" s="118"/>
      <c r="AC183" s="118"/>
      <c r="AE183" s="118"/>
      <c r="AF183" s="119"/>
    </row>
    <row r="184" spans="1:32" x14ac:dyDescent="0.3">
      <c r="A184" s="118"/>
      <c r="C184" s="118"/>
      <c r="E184" s="118"/>
      <c r="G184" s="118"/>
      <c r="I184" s="118"/>
      <c r="J184" s="119"/>
      <c r="M184" s="118"/>
      <c r="O184" s="118"/>
      <c r="Q184" s="118"/>
      <c r="S184" s="118"/>
      <c r="U184" s="118"/>
      <c r="W184" s="118"/>
      <c r="Y184" s="118"/>
      <c r="AA184" s="118"/>
      <c r="AC184" s="118"/>
      <c r="AE184" s="118"/>
      <c r="AF184" s="119"/>
    </row>
    <row r="185" spans="1:32" x14ac:dyDescent="0.3">
      <c r="A185" s="118"/>
      <c r="C185" s="118"/>
      <c r="E185" s="118"/>
      <c r="G185" s="118"/>
      <c r="I185" s="118"/>
      <c r="J185" s="119"/>
      <c r="M185" s="118"/>
      <c r="O185" s="118"/>
      <c r="Q185" s="118"/>
      <c r="S185" s="118"/>
      <c r="U185" s="118"/>
      <c r="W185" s="118"/>
      <c r="Y185" s="118"/>
      <c r="AA185" s="118"/>
      <c r="AC185" s="118"/>
      <c r="AE185" s="118"/>
      <c r="AF185" s="119"/>
    </row>
    <row r="186" spans="1:32" x14ac:dyDescent="0.3">
      <c r="A186" s="118"/>
      <c r="C186" s="118"/>
      <c r="E186" s="118"/>
      <c r="G186" s="118"/>
      <c r="I186" s="118"/>
      <c r="J186" s="119"/>
      <c r="M186" s="118"/>
      <c r="O186" s="118"/>
      <c r="Q186" s="118"/>
      <c r="S186" s="118"/>
      <c r="U186" s="118"/>
      <c r="W186" s="118"/>
      <c r="Y186" s="118"/>
      <c r="AA186" s="118"/>
      <c r="AC186" s="118"/>
      <c r="AE186" s="118"/>
      <c r="AF186" s="119"/>
    </row>
    <row r="187" spans="1:32" x14ac:dyDescent="0.3">
      <c r="A187" s="118"/>
      <c r="C187" s="118"/>
      <c r="E187" s="118"/>
      <c r="G187" s="118"/>
      <c r="I187" s="118"/>
      <c r="J187" s="119"/>
      <c r="M187" s="118"/>
      <c r="O187" s="118"/>
      <c r="Q187" s="118"/>
      <c r="S187" s="118"/>
      <c r="U187" s="118"/>
      <c r="W187" s="118"/>
      <c r="Y187" s="118"/>
      <c r="AA187" s="118"/>
      <c r="AC187" s="118"/>
      <c r="AE187" s="118"/>
      <c r="AF187" s="119"/>
    </row>
    <row r="188" spans="1:32" x14ac:dyDescent="0.3">
      <c r="A188" s="118"/>
      <c r="C188" s="118"/>
      <c r="E188" s="118"/>
      <c r="G188" s="118"/>
      <c r="I188" s="118"/>
      <c r="J188" s="119"/>
      <c r="M188" s="118"/>
      <c r="O188" s="118"/>
      <c r="Q188" s="118"/>
      <c r="S188" s="118"/>
      <c r="U188" s="118"/>
      <c r="W188" s="118"/>
      <c r="Y188" s="118"/>
      <c r="AA188" s="118"/>
      <c r="AC188" s="118"/>
      <c r="AE188" s="118"/>
      <c r="AF188" s="119"/>
    </row>
    <row r="189" spans="1:32" x14ac:dyDescent="0.3">
      <c r="A189" s="118"/>
      <c r="C189" s="118"/>
      <c r="E189" s="118"/>
      <c r="G189" s="118"/>
      <c r="I189" s="118"/>
      <c r="J189" s="119"/>
      <c r="M189" s="118"/>
      <c r="O189" s="118"/>
      <c r="Q189" s="118"/>
      <c r="S189" s="118"/>
      <c r="U189" s="118"/>
      <c r="W189" s="118"/>
      <c r="Y189" s="118"/>
      <c r="AA189" s="118"/>
      <c r="AC189" s="118"/>
      <c r="AE189" s="118"/>
      <c r="AF189" s="119"/>
    </row>
    <row r="190" spans="1:32" x14ac:dyDescent="0.3">
      <c r="A190" s="118"/>
      <c r="C190" s="118"/>
      <c r="E190" s="118"/>
      <c r="G190" s="118"/>
      <c r="I190" s="118"/>
      <c r="J190" s="119"/>
      <c r="M190" s="118"/>
      <c r="O190" s="118"/>
      <c r="Q190" s="118"/>
      <c r="S190" s="118"/>
      <c r="U190" s="118"/>
      <c r="W190" s="118"/>
      <c r="Y190" s="118"/>
      <c r="AA190" s="118"/>
      <c r="AC190" s="118"/>
      <c r="AE190" s="118"/>
      <c r="AF190" s="119"/>
    </row>
    <row r="191" spans="1:32" x14ac:dyDescent="0.3">
      <c r="A191" s="118"/>
      <c r="C191" s="118"/>
      <c r="E191" s="118"/>
      <c r="G191" s="118"/>
      <c r="I191" s="118"/>
      <c r="J191" s="119"/>
      <c r="M191" s="118"/>
      <c r="O191" s="118"/>
      <c r="Q191" s="118"/>
      <c r="S191" s="118"/>
      <c r="U191" s="118"/>
      <c r="W191" s="118"/>
      <c r="Y191" s="118"/>
      <c r="AA191" s="118"/>
      <c r="AC191" s="118"/>
      <c r="AE191" s="118"/>
      <c r="AF191" s="119"/>
    </row>
    <row r="192" spans="1:32" x14ac:dyDescent="0.3">
      <c r="A192" s="118"/>
      <c r="C192" s="118"/>
      <c r="E192" s="118"/>
      <c r="G192" s="118"/>
      <c r="I192" s="118"/>
      <c r="J192" s="119"/>
      <c r="M192" s="118"/>
      <c r="O192" s="118"/>
      <c r="Q192" s="118"/>
      <c r="S192" s="118"/>
      <c r="U192" s="118"/>
      <c r="W192" s="118"/>
      <c r="Y192" s="118"/>
      <c r="AA192" s="118"/>
      <c r="AC192" s="118"/>
      <c r="AE192" s="118"/>
      <c r="AF192" s="119"/>
    </row>
    <row r="193" spans="1:32" x14ac:dyDescent="0.3">
      <c r="A193" s="118"/>
      <c r="C193" s="118"/>
      <c r="E193" s="118"/>
      <c r="G193" s="118"/>
      <c r="I193" s="118"/>
      <c r="J193" s="119"/>
      <c r="M193" s="118"/>
      <c r="O193" s="118"/>
      <c r="Q193" s="118"/>
      <c r="S193" s="118"/>
      <c r="U193" s="118"/>
      <c r="W193" s="118"/>
      <c r="Y193" s="118"/>
      <c r="AA193" s="118"/>
      <c r="AC193" s="118"/>
      <c r="AE193" s="118"/>
      <c r="AF193" s="119"/>
    </row>
    <row r="194" spans="1:32" x14ac:dyDescent="0.3">
      <c r="A194" s="118"/>
      <c r="C194" s="118"/>
      <c r="E194" s="118"/>
      <c r="G194" s="118"/>
      <c r="I194" s="118"/>
      <c r="J194" s="119"/>
      <c r="M194" s="118"/>
      <c r="O194" s="118"/>
      <c r="Q194" s="118"/>
      <c r="S194" s="118"/>
      <c r="U194" s="118"/>
      <c r="W194" s="118"/>
      <c r="Y194" s="118"/>
      <c r="AA194" s="118"/>
      <c r="AC194" s="118"/>
      <c r="AE194" s="118"/>
      <c r="AF194" s="119"/>
    </row>
    <row r="195" spans="1:32" x14ac:dyDescent="0.3">
      <c r="A195" s="118"/>
      <c r="C195" s="118"/>
      <c r="E195" s="118"/>
      <c r="G195" s="118"/>
      <c r="I195" s="118"/>
      <c r="J195" s="119"/>
      <c r="M195" s="118"/>
      <c r="O195" s="118"/>
      <c r="Q195" s="118"/>
      <c r="S195" s="118"/>
      <c r="U195" s="118"/>
      <c r="W195" s="118"/>
      <c r="Y195" s="118"/>
      <c r="AA195" s="118"/>
      <c r="AC195" s="118"/>
      <c r="AE195" s="118"/>
      <c r="AF195" s="119"/>
    </row>
    <row r="196" spans="1:32" x14ac:dyDescent="0.3">
      <c r="A196" s="118"/>
      <c r="C196" s="118"/>
      <c r="E196" s="118"/>
      <c r="G196" s="118"/>
      <c r="I196" s="118"/>
      <c r="J196" s="119"/>
      <c r="M196" s="118"/>
      <c r="O196" s="118"/>
      <c r="Q196" s="118"/>
      <c r="S196" s="118"/>
      <c r="U196" s="118"/>
      <c r="W196" s="118"/>
      <c r="Y196" s="118"/>
      <c r="AA196" s="118"/>
      <c r="AC196" s="118"/>
      <c r="AE196" s="118"/>
      <c r="AF196" s="119"/>
    </row>
    <row r="197" spans="1:32" x14ac:dyDescent="0.3">
      <c r="A197" s="118"/>
      <c r="C197" s="118"/>
      <c r="E197" s="118"/>
      <c r="G197" s="118"/>
      <c r="I197" s="118"/>
      <c r="J197" s="119"/>
      <c r="M197" s="118"/>
      <c r="O197" s="118"/>
      <c r="Q197" s="118"/>
      <c r="S197" s="118"/>
      <c r="U197" s="118"/>
      <c r="W197" s="118"/>
      <c r="Y197" s="118"/>
      <c r="AA197" s="118"/>
      <c r="AC197" s="118"/>
      <c r="AE197" s="118"/>
      <c r="AF197" s="119"/>
    </row>
    <row r="198" spans="1:32" x14ac:dyDescent="0.3">
      <c r="A198" s="118"/>
      <c r="C198" s="118"/>
      <c r="E198" s="118"/>
      <c r="G198" s="118"/>
      <c r="I198" s="118"/>
      <c r="J198" s="119"/>
      <c r="M198" s="118"/>
      <c r="O198" s="118"/>
      <c r="Q198" s="118"/>
      <c r="S198" s="118"/>
      <c r="U198" s="118"/>
      <c r="W198" s="118"/>
      <c r="Y198" s="118"/>
      <c r="AA198" s="118"/>
      <c r="AC198" s="118"/>
      <c r="AE198" s="118"/>
      <c r="AF198" s="119"/>
    </row>
    <row r="199" spans="1:32" x14ac:dyDescent="0.3">
      <c r="A199" s="118"/>
      <c r="C199" s="118"/>
      <c r="E199" s="118"/>
      <c r="G199" s="118"/>
      <c r="I199" s="118"/>
      <c r="J199" s="119"/>
      <c r="M199" s="118"/>
      <c r="O199" s="118"/>
      <c r="Q199" s="118"/>
      <c r="S199" s="118"/>
      <c r="U199" s="118"/>
      <c r="W199" s="118"/>
      <c r="Y199" s="118"/>
      <c r="AA199" s="118"/>
      <c r="AC199" s="118"/>
      <c r="AE199" s="118"/>
      <c r="AF199" s="119"/>
    </row>
    <row r="200" spans="1:32" x14ac:dyDescent="0.3">
      <c r="A200" s="118"/>
      <c r="C200" s="118"/>
      <c r="E200" s="118"/>
      <c r="G200" s="118"/>
      <c r="I200" s="118"/>
      <c r="J200" s="119"/>
      <c r="M200" s="118"/>
      <c r="O200" s="118"/>
      <c r="Q200" s="118"/>
      <c r="S200" s="118"/>
      <c r="U200" s="118"/>
      <c r="W200" s="118"/>
      <c r="Y200" s="118"/>
      <c r="AA200" s="118"/>
      <c r="AC200" s="118"/>
      <c r="AE200" s="118"/>
      <c r="AF200" s="119"/>
    </row>
    <row r="201" spans="1:32" x14ac:dyDescent="0.3">
      <c r="A201" s="118"/>
      <c r="C201" s="118"/>
      <c r="E201" s="118"/>
      <c r="G201" s="118"/>
      <c r="I201" s="118"/>
      <c r="J201" s="119"/>
      <c r="M201" s="118"/>
      <c r="O201" s="118"/>
      <c r="Q201" s="118"/>
      <c r="S201" s="118"/>
      <c r="U201" s="118"/>
      <c r="W201" s="118"/>
      <c r="Y201" s="118"/>
      <c r="AA201" s="118"/>
      <c r="AC201" s="118"/>
      <c r="AE201" s="118"/>
      <c r="AF201" s="119"/>
    </row>
    <row r="202" spans="1:32" x14ac:dyDescent="0.3">
      <c r="A202" s="118"/>
      <c r="C202" s="118"/>
      <c r="E202" s="118"/>
      <c r="G202" s="118"/>
      <c r="I202" s="118"/>
      <c r="J202" s="119"/>
      <c r="M202" s="118"/>
      <c r="O202" s="118"/>
      <c r="Q202" s="118"/>
      <c r="S202" s="118"/>
      <c r="U202" s="118"/>
      <c r="W202" s="118"/>
      <c r="Y202" s="118"/>
      <c r="AA202" s="118"/>
      <c r="AC202" s="118"/>
      <c r="AE202" s="118"/>
      <c r="AF202" s="119"/>
    </row>
    <row r="203" spans="1:32" x14ac:dyDescent="0.3">
      <c r="A203" s="118"/>
      <c r="C203" s="118"/>
      <c r="E203" s="118"/>
      <c r="G203" s="118"/>
      <c r="I203" s="118"/>
      <c r="J203" s="119"/>
      <c r="M203" s="118"/>
      <c r="O203" s="118"/>
      <c r="Q203" s="118"/>
      <c r="S203" s="118"/>
      <c r="U203" s="118"/>
      <c r="W203" s="118"/>
      <c r="Y203" s="118"/>
      <c r="AA203" s="118"/>
      <c r="AC203" s="118"/>
      <c r="AE203" s="118"/>
      <c r="AF203" s="119"/>
    </row>
    <row r="204" spans="1:32" x14ac:dyDescent="0.3">
      <c r="A204" s="118"/>
      <c r="C204" s="118"/>
      <c r="E204" s="118"/>
      <c r="G204" s="118"/>
      <c r="I204" s="118"/>
      <c r="J204" s="119"/>
      <c r="M204" s="118"/>
      <c r="O204" s="118"/>
      <c r="Q204" s="118"/>
      <c r="S204" s="118"/>
      <c r="U204" s="118"/>
      <c r="W204" s="118"/>
      <c r="Y204" s="118"/>
      <c r="AA204" s="118"/>
      <c r="AC204" s="118"/>
      <c r="AE204" s="118"/>
      <c r="AF204" s="119"/>
    </row>
    <row r="205" spans="1:32" x14ac:dyDescent="0.3">
      <c r="A205" s="118"/>
      <c r="C205" s="118"/>
      <c r="E205" s="118"/>
      <c r="G205" s="118"/>
      <c r="I205" s="118"/>
      <c r="J205" s="119"/>
      <c r="M205" s="118"/>
      <c r="O205" s="118"/>
      <c r="Q205" s="118"/>
      <c r="S205" s="118"/>
      <c r="U205" s="118"/>
      <c r="W205" s="118"/>
      <c r="Y205" s="118"/>
      <c r="AA205" s="118"/>
      <c r="AC205" s="118"/>
      <c r="AE205" s="118"/>
      <c r="AF205" s="119"/>
    </row>
    <row r="206" spans="1:32" x14ac:dyDescent="0.3">
      <c r="A206" s="118"/>
      <c r="C206" s="118"/>
      <c r="E206" s="118"/>
      <c r="G206" s="118"/>
      <c r="I206" s="118"/>
      <c r="J206" s="119"/>
      <c r="M206" s="118"/>
      <c r="O206" s="118"/>
      <c r="Q206" s="118"/>
      <c r="S206" s="118"/>
      <c r="U206" s="118"/>
      <c r="W206" s="118"/>
      <c r="Y206" s="118"/>
      <c r="AA206" s="118"/>
      <c r="AC206" s="118"/>
      <c r="AE206" s="118"/>
      <c r="AF206" s="119"/>
    </row>
    <row r="207" spans="1:32" x14ac:dyDescent="0.3">
      <c r="A207" s="118"/>
      <c r="C207" s="118"/>
      <c r="E207" s="118"/>
      <c r="G207" s="118"/>
      <c r="I207" s="118"/>
      <c r="J207" s="119"/>
      <c r="M207" s="118"/>
      <c r="O207" s="118"/>
      <c r="Q207" s="118"/>
      <c r="S207" s="118"/>
      <c r="U207" s="118"/>
      <c r="W207" s="118"/>
      <c r="Y207" s="118"/>
      <c r="AA207" s="118"/>
      <c r="AC207" s="118"/>
      <c r="AE207" s="118"/>
      <c r="AF207" s="119"/>
    </row>
    <row r="208" spans="1:32" x14ac:dyDescent="0.3">
      <c r="A208" s="118"/>
      <c r="C208" s="118"/>
      <c r="E208" s="118"/>
      <c r="G208" s="118"/>
      <c r="I208" s="118"/>
      <c r="J208" s="119"/>
      <c r="M208" s="118"/>
      <c r="O208" s="118"/>
      <c r="Q208" s="118"/>
      <c r="S208" s="118"/>
      <c r="U208" s="118"/>
      <c r="W208" s="118"/>
      <c r="Y208" s="118"/>
      <c r="AA208" s="118"/>
      <c r="AC208" s="118"/>
      <c r="AE208" s="118"/>
      <c r="AF208" s="119"/>
    </row>
    <row r="209" spans="1:32" x14ac:dyDescent="0.3">
      <c r="A209" s="118"/>
      <c r="C209" s="118"/>
      <c r="E209" s="118"/>
      <c r="G209" s="118"/>
      <c r="I209" s="118"/>
      <c r="J209" s="119"/>
      <c r="M209" s="118"/>
      <c r="O209" s="118"/>
      <c r="Q209" s="118"/>
      <c r="S209" s="118"/>
      <c r="U209" s="118"/>
      <c r="W209" s="118"/>
      <c r="Y209" s="118"/>
      <c r="AA209" s="118"/>
      <c r="AC209" s="118"/>
      <c r="AE209" s="118"/>
      <c r="AF209" s="119"/>
    </row>
    <row r="210" spans="1:32" x14ac:dyDescent="0.3">
      <c r="A210" s="118"/>
      <c r="C210" s="118"/>
      <c r="E210" s="118"/>
      <c r="G210" s="118"/>
      <c r="I210" s="118"/>
      <c r="J210" s="119"/>
      <c r="M210" s="118"/>
      <c r="O210" s="118"/>
      <c r="Q210" s="118"/>
      <c r="S210" s="118"/>
      <c r="U210" s="118"/>
      <c r="W210" s="118"/>
      <c r="Y210" s="118"/>
      <c r="AA210" s="118"/>
      <c r="AC210" s="118"/>
      <c r="AE210" s="118"/>
      <c r="AF210" s="119"/>
    </row>
    <row r="211" spans="1:32" x14ac:dyDescent="0.3">
      <c r="A211" s="118"/>
      <c r="C211" s="118"/>
      <c r="E211" s="118"/>
      <c r="G211" s="118"/>
      <c r="I211" s="118"/>
      <c r="J211" s="119"/>
      <c r="M211" s="118"/>
      <c r="O211" s="118"/>
      <c r="Q211" s="118"/>
      <c r="S211" s="118"/>
      <c r="U211" s="118"/>
      <c r="W211" s="118"/>
      <c r="Y211" s="118"/>
      <c r="AA211" s="118"/>
      <c r="AC211" s="118"/>
      <c r="AE211" s="118"/>
      <c r="AF211" s="119"/>
    </row>
    <row r="212" spans="1:32" x14ac:dyDescent="0.3">
      <c r="A212" s="118"/>
      <c r="C212" s="118"/>
      <c r="E212" s="118"/>
      <c r="G212" s="118"/>
      <c r="I212" s="118"/>
      <c r="J212" s="119"/>
      <c r="M212" s="118"/>
      <c r="O212" s="118"/>
      <c r="Q212" s="118"/>
      <c r="S212" s="118"/>
      <c r="U212" s="118"/>
      <c r="W212" s="118"/>
      <c r="Y212" s="118"/>
      <c r="AA212" s="118"/>
      <c r="AC212" s="118"/>
      <c r="AE212" s="118"/>
      <c r="AF212" s="119"/>
    </row>
    <row r="213" spans="1:32" x14ac:dyDescent="0.3">
      <c r="A213" s="118"/>
      <c r="C213" s="118"/>
      <c r="E213" s="118"/>
      <c r="G213" s="118"/>
      <c r="I213" s="118"/>
      <c r="J213" s="119"/>
      <c r="M213" s="118"/>
      <c r="O213" s="118"/>
      <c r="Q213" s="118"/>
      <c r="S213" s="118"/>
      <c r="U213" s="118"/>
      <c r="W213" s="118"/>
      <c r="Y213" s="118"/>
      <c r="AA213" s="118"/>
      <c r="AC213" s="118"/>
      <c r="AE213" s="118"/>
      <c r="AF213" s="119"/>
    </row>
    <row r="214" spans="1:32" x14ac:dyDescent="0.3">
      <c r="A214" s="118"/>
      <c r="C214" s="118"/>
      <c r="E214" s="118"/>
      <c r="G214" s="118"/>
      <c r="I214" s="118"/>
      <c r="J214" s="119"/>
      <c r="M214" s="118"/>
      <c r="O214" s="118"/>
      <c r="Q214" s="118"/>
      <c r="S214" s="118"/>
      <c r="U214" s="118"/>
      <c r="W214" s="118"/>
      <c r="Y214" s="118"/>
      <c r="AA214" s="118"/>
      <c r="AC214" s="118"/>
      <c r="AE214" s="118"/>
      <c r="AF214" s="119"/>
    </row>
    <row r="215" spans="1:32" x14ac:dyDescent="0.3">
      <c r="A215" s="118"/>
      <c r="C215" s="118"/>
      <c r="E215" s="118"/>
      <c r="G215" s="118"/>
      <c r="I215" s="118"/>
      <c r="J215" s="119"/>
      <c r="M215" s="118"/>
      <c r="O215" s="118"/>
      <c r="Q215" s="118"/>
      <c r="S215" s="118"/>
      <c r="U215" s="118"/>
      <c r="W215" s="118"/>
      <c r="Y215" s="118"/>
      <c r="AA215" s="118"/>
      <c r="AC215" s="118"/>
      <c r="AE215" s="118"/>
      <c r="AF215" s="119"/>
    </row>
    <row r="216" spans="1:32" x14ac:dyDescent="0.3">
      <c r="A216" s="118"/>
      <c r="C216" s="118"/>
      <c r="E216" s="118"/>
      <c r="G216" s="118"/>
      <c r="I216" s="118"/>
      <c r="J216" s="119"/>
      <c r="M216" s="118"/>
      <c r="O216" s="118"/>
      <c r="Q216" s="118"/>
      <c r="S216" s="118"/>
      <c r="U216" s="118"/>
      <c r="W216" s="118"/>
      <c r="Y216" s="118"/>
      <c r="AA216" s="118"/>
      <c r="AC216" s="118"/>
      <c r="AE216" s="118"/>
      <c r="AF216" s="119"/>
    </row>
    <row r="217" spans="1:32" x14ac:dyDescent="0.3">
      <c r="A217" s="118"/>
      <c r="C217" s="118"/>
      <c r="E217" s="118"/>
      <c r="G217" s="118"/>
      <c r="I217" s="118"/>
      <c r="J217" s="119"/>
      <c r="M217" s="118"/>
      <c r="O217" s="118"/>
      <c r="Q217" s="118"/>
      <c r="S217" s="118"/>
      <c r="U217" s="118"/>
      <c r="W217" s="118"/>
      <c r="Y217" s="118"/>
      <c r="AA217" s="118"/>
      <c r="AC217" s="118"/>
      <c r="AE217" s="118"/>
      <c r="AF217" s="119"/>
    </row>
    <row r="218" spans="1:32" x14ac:dyDescent="0.3">
      <c r="A218" s="118"/>
      <c r="C218" s="118"/>
      <c r="E218" s="118"/>
      <c r="G218" s="118"/>
      <c r="I218" s="118"/>
      <c r="J218" s="119"/>
      <c r="M218" s="118"/>
      <c r="O218" s="118"/>
      <c r="Q218" s="118"/>
      <c r="S218" s="118"/>
      <c r="U218" s="118"/>
      <c r="W218" s="118"/>
      <c r="Y218" s="118"/>
      <c r="AA218" s="118"/>
      <c r="AC218" s="118"/>
      <c r="AE218" s="118"/>
      <c r="AF218" s="119"/>
    </row>
    <row r="219" spans="1:32" x14ac:dyDescent="0.3">
      <c r="A219" s="118"/>
      <c r="C219" s="118"/>
      <c r="E219" s="118"/>
      <c r="G219" s="118"/>
      <c r="I219" s="118"/>
      <c r="J219" s="119"/>
      <c r="M219" s="118"/>
      <c r="O219" s="118"/>
      <c r="Q219" s="118"/>
      <c r="S219" s="118"/>
      <c r="U219" s="118"/>
      <c r="W219" s="118"/>
      <c r="Y219" s="118"/>
      <c r="AA219" s="118"/>
      <c r="AC219" s="118"/>
      <c r="AE219" s="118"/>
      <c r="AF219" s="119"/>
    </row>
    <row r="220" spans="1:32" x14ac:dyDescent="0.3">
      <c r="A220" s="118"/>
      <c r="C220" s="118"/>
      <c r="E220" s="118"/>
      <c r="G220" s="118"/>
      <c r="I220" s="118"/>
      <c r="J220" s="119"/>
      <c r="M220" s="118"/>
      <c r="O220" s="118"/>
      <c r="Q220" s="118"/>
      <c r="S220" s="118"/>
      <c r="U220" s="118"/>
      <c r="W220" s="118"/>
      <c r="Y220" s="118"/>
      <c r="AA220" s="118"/>
      <c r="AC220" s="118"/>
      <c r="AE220" s="118"/>
      <c r="AF220" s="119"/>
    </row>
    <row r="221" spans="1:32" x14ac:dyDescent="0.3">
      <c r="A221" s="118"/>
      <c r="C221" s="118"/>
      <c r="E221" s="118"/>
      <c r="G221" s="118"/>
      <c r="I221" s="118"/>
      <c r="J221" s="119"/>
      <c r="M221" s="118"/>
      <c r="O221" s="118"/>
      <c r="Q221" s="118"/>
      <c r="S221" s="118"/>
      <c r="U221" s="118"/>
      <c r="W221" s="118"/>
      <c r="Y221" s="118"/>
      <c r="AA221" s="118"/>
      <c r="AC221" s="118"/>
      <c r="AE221" s="118"/>
      <c r="AF221" s="119"/>
    </row>
    <row r="222" spans="1:32" x14ac:dyDescent="0.3">
      <c r="A222" s="118"/>
      <c r="C222" s="118"/>
      <c r="E222" s="118"/>
      <c r="G222" s="118"/>
      <c r="I222" s="118"/>
      <c r="J222" s="119"/>
      <c r="M222" s="118"/>
      <c r="O222" s="118"/>
      <c r="Q222" s="118"/>
      <c r="S222" s="118"/>
      <c r="U222" s="118"/>
      <c r="W222" s="118"/>
      <c r="Y222" s="118"/>
      <c r="AA222" s="118"/>
      <c r="AC222" s="118"/>
      <c r="AE222" s="118"/>
      <c r="AF222" s="119"/>
    </row>
    <row r="223" spans="1:32" x14ac:dyDescent="0.3">
      <c r="A223" s="118"/>
      <c r="C223" s="118"/>
      <c r="E223" s="118"/>
      <c r="G223" s="118"/>
      <c r="I223" s="118"/>
      <c r="J223" s="119"/>
      <c r="M223" s="118"/>
      <c r="O223" s="118"/>
      <c r="Q223" s="118"/>
      <c r="S223" s="118"/>
      <c r="U223" s="118"/>
      <c r="W223" s="118"/>
      <c r="Y223" s="118"/>
      <c r="AA223" s="118"/>
      <c r="AC223" s="118"/>
      <c r="AE223" s="118"/>
      <c r="AF223" s="119"/>
    </row>
    <row r="224" spans="1:32" x14ac:dyDescent="0.3">
      <c r="A224" s="118"/>
      <c r="C224" s="118"/>
      <c r="E224" s="118"/>
      <c r="G224" s="118"/>
      <c r="I224" s="118"/>
      <c r="J224" s="119"/>
      <c r="M224" s="118"/>
      <c r="O224" s="118"/>
      <c r="Q224" s="118"/>
      <c r="S224" s="118"/>
      <c r="U224" s="118"/>
      <c r="W224" s="118"/>
      <c r="Y224" s="118"/>
      <c r="AA224" s="118"/>
      <c r="AC224" s="118"/>
      <c r="AE224" s="118"/>
      <c r="AF224" s="119"/>
    </row>
    <row r="225" spans="1:32" x14ac:dyDescent="0.3">
      <c r="A225" s="118"/>
      <c r="C225" s="118"/>
      <c r="E225" s="118"/>
      <c r="G225" s="118"/>
      <c r="I225" s="118"/>
      <c r="J225" s="119"/>
      <c r="M225" s="118"/>
      <c r="O225" s="118"/>
      <c r="Q225" s="118"/>
      <c r="S225" s="118"/>
      <c r="U225" s="118"/>
      <c r="W225" s="118"/>
      <c r="Y225" s="118"/>
      <c r="AA225" s="118"/>
      <c r="AC225" s="118"/>
      <c r="AE225" s="118"/>
      <c r="AF225" s="119"/>
    </row>
    <row r="226" spans="1:32" x14ac:dyDescent="0.3">
      <c r="A226" s="118"/>
      <c r="C226" s="118"/>
      <c r="E226" s="118"/>
      <c r="G226" s="118"/>
      <c r="I226" s="118"/>
      <c r="J226" s="119"/>
      <c r="M226" s="118"/>
      <c r="O226" s="118"/>
      <c r="Q226" s="118"/>
      <c r="S226" s="118"/>
      <c r="U226" s="118"/>
      <c r="W226" s="118"/>
      <c r="Y226" s="118"/>
      <c r="AA226" s="118"/>
      <c r="AC226" s="118"/>
      <c r="AE226" s="118"/>
      <c r="AF226" s="119"/>
    </row>
    <row r="227" spans="1:32" x14ac:dyDescent="0.3">
      <c r="A227" s="118"/>
      <c r="C227" s="118"/>
      <c r="E227" s="118"/>
      <c r="G227" s="118"/>
      <c r="I227" s="118"/>
      <c r="J227" s="119"/>
      <c r="M227" s="118"/>
      <c r="O227" s="118"/>
      <c r="Q227" s="118"/>
      <c r="S227" s="118"/>
      <c r="U227" s="118"/>
      <c r="W227" s="118"/>
      <c r="Y227" s="118"/>
      <c r="AA227" s="118"/>
      <c r="AC227" s="118"/>
      <c r="AE227" s="118"/>
      <c r="AF227" s="119"/>
    </row>
    <row r="228" spans="1:32" x14ac:dyDescent="0.3">
      <c r="A228" s="118"/>
      <c r="C228" s="118"/>
      <c r="E228" s="118"/>
      <c r="G228" s="118"/>
      <c r="I228" s="118"/>
      <c r="J228" s="119"/>
      <c r="M228" s="118"/>
      <c r="O228" s="118"/>
      <c r="Q228" s="118"/>
      <c r="S228" s="118"/>
      <c r="U228" s="118"/>
      <c r="W228" s="118"/>
      <c r="Y228" s="118"/>
      <c r="AA228" s="118"/>
      <c r="AC228" s="118"/>
      <c r="AE228" s="118"/>
      <c r="AF228" s="119"/>
    </row>
    <row r="229" spans="1:32" x14ac:dyDescent="0.3">
      <c r="A229" s="118"/>
      <c r="C229" s="118"/>
      <c r="E229" s="118"/>
      <c r="G229" s="118"/>
      <c r="I229" s="118"/>
      <c r="J229" s="119"/>
      <c r="M229" s="118"/>
      <c r="O229" s="118"/>
      <c r="Q229" s="118"/>
      <c r="S229" s="118"/>
      <c r="U229" s="118"/>
      <c r="W229" s="118"/>
      <c r="Y229" s="118"/>
      <c r="AA229" s="118"/>
      <c r="AC229" s="118"/>
      <c r="AE229" s="118"/>
      <c r="AF229" s="119"/>
    </row>
    <row r="230" spans="1:32" x14ac:dyDescent="0.3">
      <c r="A230" s="118"/>
      <c r="C230" s="118"/>
      <c r="E230" s="118"/>
      <c r="G230" s="118"/>
      <c r="I230" s="118"/>
      <c r="J230" s="119"/>
      <c r="M230" s="118"/>
      <c r="O230" s="118"/>
      <c r="Q230" s="118"/>
      <c r="S230" s="118"/>
      <c r="U230" s="118"/>
      <c r="W230" s="118"/>
      <c r="Y230" s="118"/>
      <c r="AA230" s="118"/>
      <c r="AC230" s="118"/>
      <c r="AE230" s="118"/>
      <c r="AF230" s="119"/>
    </row>
    <row r="231" spans="1:32" x14ac:dyDescent="0.3">
      <c r="A231" s="118"/>
      <c r="C231" s="118"/>
      <c r="E231" s="118"/>
      <c r="G231" s="118"/>
      <c r="I231" s="118"/>
      <c r="J231" s="119"/>
      <c r="M231" s="118"/>
      <c r="O231" s="118"/>
      <c r="Q231" s="118"/>
      <c r="S231" s="118"/>
      <c r="U231" s="118"/>
      <c r="W231" s="118"/>
      <c r="Y231" s="118"/>
      <c r="AA231" s="118"/>
      <c r="AC231" s="118"/>
      <c r="AE231" s="118"/>
      <c r="AF231" s="119"/>
    </row>
    <row r="232" spans="1:32" x14ac:dyDescent="0.3">
      <c r="A232" s="118"/>
      <c r="C232" s="118"/>
      <c r="E232" s="118"/>
      <c r="G232" s="118"/>
      <c r="I232" s="118"/>
      <c r="J232" s="119"/>
      <c r="M232" s="118"/>
      <c r="O232" s="118"/>
      <c r="Q232" s="118"/>
      <c r="S232" s="118"/>
      <c r="U232" s="118"/>
      <c r="W232" s="118"/>
      <c r="Y232" s="118"/>
      <c r="AA232" s="118"/>
      <c r="AC232" s="118"/>
      <c r="AE232" s="118"/>
      <c r="AF232" s="119"/>
    </row>
    <row r="233" spans="1:32" x14ac:dyDescent="0.3">
      <c r="A233" s="118"/>
      <c r="C233" s="118"/>
      <c r="E233" s="118"/>
      <c r="G233" s="118"/>
      <c r="I233" s="118"/>
      <c r="J233" s="119"/>
      <c r="M233" s="118"/>
      <c r="O233" s="118"/>
      <c r="Q233" s="118"/>
      <c r="S233" s="118"/>
      <c r="U233" s="118"/>
      <c r="W233" s="118"/>
      <c r="Y233" s="118"/>
      <c r="AA233" s="118"/>
      <c r="AC233" s="118"/>
      <c r="AE233" s="118"/>
      <c r="AF233" s="119"/>
    </row>
    <row r="234" spans="1:32" x14ac:dyDescent="0.3">
      <c r="A234" s="118"/>
      <c r="C234" s="118"/>
      <c r="E234" s="118"/>
      <c r="G234" s="118"/>
      <c r="I234" s="118"/>
      <c r="J234" s="119"/>
      <c r="M234" s="118"/>
      <c r="O234" s="118"/>
      <c r="Q234" s="118"/>
      <c r="S234" s="118"/>
      <c r="U234" s="118"/>
      <c r="W234" s="118"/>
      <c r="Y234" s="118"/>
      <c r="AA234" s="118"/>
      <c r="AC234" s="118"/>
      <c r="AE234" s="118"/>
      <c r="AF234" s="119"/>
    </row>
    <row r="235" spans="1:32" x14ac:dyDescent="0.3">
      <c r="A235" s="118"/>
      <c r="C235" s="118"/>
      <c r="E235" s="118"/>
      <c r="G235" s="118"/>
      <c r="I235" s="118"/>
      <c r="J235" s="119"/>
      <c r="M235" s="118"/>
      <c r="O235" s="118"/>
      <c r="Q235" s="118"/>
      <c r="S235" s="118"/>
      <c r="U235" s="118"/>
      <c r="W235" s="118"/>
      <c r="Y235" s="118"/>
      <c r="AA235" s="118"/>
      <c r="AC235" s="118"/>
      <c r="AE235" s="118"/>
      <c r="AF235" s="119"/>
    </row>
    <row r="236" spans="1:32" x14ac:dyDescent="0.3">
      <c r="A236" s="118"/>
      <c r="C236" s="118"/>
      <c r="E236" s="118"/>
      <c r="G236" s="118"/>
      <c r="I236" s="118"/>
      <c r="J236" s="119"/>
      <c r="M236" s="118"/>
      <c r="O236" s="118"/>
      <c r="Q236" s="118"/>
      <c r="S236" s="118"/>
      <c r="U236" s="118"/>
      <c r="W236" s="118"/>
      <c r="Y236" s="118"/>
      <c r="AA236" s="118"/>
      <c r="AC236" s="118"/>
      <c r="AE236" s="118"/>
      <c r="AF236" s="119"/>
    </row>
    <row r="237" spans="1:32" x14ac:dyDescent="0.3">
      <c r="A237" s="118"/>
      <c r="C237" s="118"/>
      <c r="E237" s="118"/>
      <c r="G237" s="118"/>
      <c r="I237" s="118"/>
      <c r="J237" s="119"/>
      <c r="M237" s="118"/>
      <c r="O237" s="118"/>
      <c r="Q237" s="118"/>
      <c r="S237" s="118"/>
      <c r="U237" s="118"/>
      <c r="W237" s="118"/>
      <c r="Y237" s="118"/>
      <c r="AA237" s="118"/>
      <c r="AC237" s="118"/>
      <c r="AE237" s="118"/>
      <c r="AF237" s="119"/>
    </row>
    <row r="238" spans="1:32" x14ac:dyDescent="0.3">
      <c r="A238" s="118"/>
      <c r="C238" s="118"/>
      <c r="E238" s="118"/>
      <c r="G238" s="118"/>
      <c r="I238" s="118"/>
      <c r="J238" s="119"/>
      <c r="M238" s="118"/>
      <c r="O238" s="118"/>
      <c r="Q238" s="118"/>
      <c r="S238" s="118"/>
      <c r="U238" s="118"/>
      <c r="W238" s="118"/>
      <c r="Y238" s="118"/>
      <c r="AA238" s="118"/>
      <c r="AC238" s="118"/>
      <c r="AE238" s="118"/>
      <c r="AF238" s="119"/>
    </row>
    <row r="239" spans="1:32" x14ac:dyDescent="0.3">
      <c r="A239" s="118"/>
      <c r="C239" s="118"/>
      <c r="E239" s="118"/>
      <c r="G239" s="118"/>
      <c r="I239" s="118"/>
      <c r="J239" s="119"/>
      <c r="M239" s="118"/>
      <c r="O239" s="118"/>
      <c r="Q239" s="118"/>
      <c r="S239" s="118"/>
      <c r="U239" s="118"/>
      <c r="W239" s="118"/>
      <c r="Y239" s="118"/>
      <c r="AA239" s="118"/>
      <c r="AC239" s="118"/>
      <c r="AE239" s="118"/>
      <c r="AF239" s="119"/>
    </row>
    <row r="240" spans="1:32" x14ac:dyDescent="0.3">
      <c r="A240" s="118"/>
      <c r="C240" s="118"/>
      <c r="E240" s="118"/>
      <c r="G240" s="118"/>
      <c r="I240" s="118"/>
      <c r="J240" s="119"/>
      <c r="M240" s="118"/>
      <c r="O240" s="118"/>
      <c r="Q240" s="118"/>
      <c r="S240" s="118"/>
      <c r="U240" s="118"/>
      <c r="W240" s="118"/>
      <c r="Y240" s="118"/>
      <c r="AA240" s="118"/>
      <c r="AC240" s="118"/>
      <c r="AE240" s="118"/>
      <c r="AF240" s="119"/>
    </row>
    <row r="241" spans="1:32" x14ac:dyDescent="0.3">
      <c r="A241" s="118"/>
      <c r="C241" s="118"/>
      <c r="E241" s="118"/>
      <c r="G241" s="118"/>
      <c r="I241" s="118"/>
      <c r="J241" s="119"/>
      <c r="M241" s="118"/>
      <c r="O241" s="118"/>
      <c r="Q241" s="118"/>
      <c r="S241" s="118"/>
      <c r="U241" s="118"/>
      <c r="W241" s="118"/>
      <c r="Y241" s="118"/>
      <c r="AA241" s="118"/>
      <c r="AC241" s="118"/>
      <c r="AE241" s="118"/>
      <c r="AF241" s="119"/>
    </row>
    <row r="242" spans="1:32" x14ac:dyDescent="0.3">
      <c r="A242" s="118"/>
      <c r="C242" s="118"/>
      <c r="E242" s="118"/>
      <c r="G242" s="118"/>
      <c r="I242" s="118"/>
      <c r="J242" s="119"/>
      <c r="M242" s="118"/>
      <c r="O242" s="118"/>
      <c r="Q242" s="118"/>
      <c r="S242" s="118"/>
      <c r="U242" s="118"/>
      <c r="W242" s="118"/>
      <c r="Y242" s="118"/>
      <c r="AA242" s="118"/>
      <c r="AC242" s="118"/>
      <c r="AE242" s="118"/>
      <c r="AF242" s="119"/>
    </row>
    <row r="243" spans="1:32" x14ac:dyDescent="0.3">
      <c r="A243" s="118"/>
      <c r="C243" s="118"/>
      <c r="E243" s="118"/>
      <c r="G243" s="118"/>
      <c r="I243" s="118"/>
      <c r="J243" s="119"/>
      <c r="M243" s="118"/>
      <c r="O243" s="118"/>
      <c r="Q243" s="118"/>
      <c r="S243" s="118"/>
      <c r="U243" s="118"/>
      <c r="W243" s="118"/>
      <c r="Y243" s="118"/>
      <c r="AA243" s="118"/>
      <c r="AC243" s="118"/>
      <c r="AE243" s="118"/>
      <c r="AF243" s="119"/>
    </row>
    <row r="244" spans="1:32" x14ac:dyDescent="0.3">
      <c r="A244" s="118"/>
      <c r="C244" s="118"/>
      <c r="E244" s="118"/>
      <c r="G244" s="118"/>
      <c r="I244" s="118"/>
      <c r="J244" s="119"/>
      <c r="M244" s="118"/>
      <c r="O244" s="118"/>
      <c r="Q244" s="118"/>
      <c r="S244" s="118"/>
      <c r="U244" s="118"/>
      <c r="W244" s="118"/>
      <c r="Y244" s="118"/>
      <c r="AA244" s="118"/>
      <c r="AC244" s="118"/>
      <c r="AE244" s="118"/>
      <c r="AF244" s="119"/>
    </row>
    <row r="245" spans="1:32" x14ac:dyDescent="0.3">
      <c r="A245" s="118"/>
      <c r="C245" s="118"/>
      <c r="E245" s="118"/>
      <c r="G245" s="118"/>
      <c r="I245" s="118"/>
      <c r="J245" s="119"/>
      <c r="M245" s="118"/>
      <c r="O245" s="118"/>
      <c r="Q245" s="118"/>
      <c r="S245" s="118"/>
      <c r="U245" s="118"/>
      <c r="W245" s="118"/>
      <c r="Y245" s="118"/>
      <c r="AA245" s="118"/>
      <c r="AC245" s="118"/>
      <c r="AE245" s="118"/>
      <c r="AF245" s="119"/>
    </row>
    <row r="246" spans="1:32" x14ac:dyDescent="0.3">
      <c r="A246" s="118"/>
      <c r="C246" s="118"/>
      <c r="E246" s="118"/>
      <c r="G246" s="118"/>
      <c r="I246" s="118"/>
      <c r="J246" s="119"/>
      <c r="M246" s="118"/>
      <c r="O246" s="118"/>
      <c r="Q246" s="118"/>
      <c r="S246" s="118"/>
      <c r="U246" s="118"/>
      <c r="W246" s="118"/>
      <c r="Y246" s="118"/>
      <c r="AA246" s="118"/>
      <c r="AC246" s="118"/>
      <c r="AE246" s="118"/>
      <c r="AF246" s="119"/>
    </row>
    <row r="247" spans="1:32" x14ac:dyDescent="0.3">
      <c r="A247" s="118"/>
      <c r="C247" s="118"/>
      <c r="E247" s="118"/>
      <c r="G247" s="118"/>
      <c r="I247" s="118"/>
      <c r="J247" s="119"/>
      <c r="M247" s="118"/>
      <c r="O247" s="118"/>
      <c r="Q247" s="118"/>
      <c r="S247" s="118"/>
      <c r="U247" s="118"/>
      <c r="W247" s="118"/>
      <c r="Y247" s="118"/>
      <c r="AA247" s="118"/>
      <c r="AC247" s="118"/>
      <c r="AE247" s="118"/>
      <c r="AF247" s="119"/>
    </row>
    <row r="248" spans="1:32" x14ac:dyDescent="0.3">
      <c r="A248" s="118"/>
      <c r="C248" s="118"/>
      <c r="E248" s="118"/>
      <c r="G248" s="118"/>
      <c r="I248" s="118"/>
      <c r="J248" s="119"/>
      <c r="M248" s="118"/>
      <c r="O248" s="118"/>
      <c r="Q248" s="118"/>
      <c r="S248" s="118"/>
      <c r="U248" s="118"/>
      <c r="W248" s="118"/>
      <c r="Y248" s="118"/>
      <c r="AA248" s="118"/>
      <c r="AC248" s="118"/>
      <c r="AE248" s="118"/>
      <c r="AF248" s="119"/>
    </row>
    <row r="249" spans="1:32" x14ac:dyDescent="0.3">
      <c r="A249" s="118"/>
      <c r="C249" s="118"/>
      <c r="E249" s="118"/>
      <c r="G249" s="118"/>
      <c r="I249" s="118"/>
      <c r="J249" s="119"/>
      <c r="M249" s="118"/>
      <c r="O249" s="118"/>
      <c r="Q249" s="118"/>
      <c r="S249" s="118"/>
      <c r="U249" s="118"/>
      <c r="W249" s="118"/>
      <c r="Y249" s="118"/>
      <c r="AA249" s="118"/>
      <c r="AC249" s="118"/>
      <c r="AE249" s="118"/>
      <c r="AF249" s="119"/>
    </row>
    <row r="250" spans="1:32" x14ac:dyDescent="0.3">
      <c r="A250" s="118"/>
      <c r="C250" s="118"/>
      <c r="E250" s="118"/>
      <c r="G250" s="118"/>
      <c r="I250" s="118"/>
      <c r="J250" s="119"/>
      <c r="M250" s="118"/>
      <c r="O250" s="118"/>
      <c r="Q250" s="118"/>
      <c r="S250" s="118"/>
      <c r="U250" s="118"/>
      <c r="W250" s="118"/>
      <c r="Y250" s="118"/>
      <c r="AA250" s="118"/>
      <c r="AC250" s="118"/>
      <c r="AE250" s="118"/>
      <c r="AF250" s="119"/>
    </row>
    <row r="251" spans="1:32" x14ac:dyDescent="0.3">
      <c r="A251" s="118"/>
      <c r="C251" s="118"/>
      <c r="E251" s="118"/>
      <c r="G251" s="118"/>
      <c r="I251" s="118"/>
      <c r="J251" s="119"/>
      <c r="M251" s="118"/>
      <c r="O251" s="118"/>
      <c r="Q251" s="118"/>
      <c r="S251" s="118"/>
      <c r="U251" s="118"/>
      <c r="W251" s="118"/>
      <c r="Y251" s="118"/>
      <c r="AA251" s="118"/>
      <c r="AC251" s="118"/>
      <c r="AE251" s="118"/>
      <c r="AF251" s="119"/>
    </row>
    <row r="252" spans="1:32" x14ac:dyDescent="0.3">
      <c r="A252" s="118"/>
      <c r="C252" s="118"/>
      <c r="E252" s="118"/>
      <c r="G252" s="118"/>
      <c r="I252" s="118"/>
      <c r="J252" s="119"/>
      <c r="M252" s="118"/>
      <c r="O252" s="118"/>
      <c r="Q252" s="118"/>
      <c r="S252" s="118"/>
      <c r="U252" s="118"/>
      <c r="W252" s="118"/>
      <c r="Y252" s="118"/>
      <c r="AA252" s="118"/>
      <c r="AC252" s="118"/>
      <c r="AE252" s="118"/>
      <c r="AF252" s="119"/>
    </row>
    <row r="253" spans="1:32" x14ac:dyDescent="0.3">
      <c r="A253" s="118"/>
      <c r="C253" s="118"/>
      <c r="E253" s="118"/>
      <c r="G253" s="118"/>
      <c r="I253" s="118"/>
      <c r="J253" s="119"/>
      <c r="M253" s="118"/>
      <c r="O253" s="118"/>
      <c r="Q253" s="118"/>
      <c r="S253" s="118"/>
      <c r="U253" s="118"/>
      <c r="W253" s="118"/>
      <c r="Y253" s="118"/>
      <c r="AA253" s="118"/>
      <c r="AC253" s="118"/>
      <c r="AE253" s="118"/>
      <c r="AF253" s="119"/>
    </row>
    <row r="254" spans="1:32" x14ac:dyDescent="0.3">
      <c r="A254" s="118"/>
      <c r="C254" s="118"/>
      <c r="E254" s="118"/>
      <c r="G254" s="118"/>
      <c r="I254" s="118"/>
      <c r="J254" s="119"/>
      <c r="M254" s="118"/>
      <c r="O254" s="118"/>
      <c r="Q254" s="118"/>
      <c r="S254" s="118"/>
      <c r="U254" s="118"/>
      <c r="W254" s="118"/>
      <c r="Y254" s="118"/>
      <c r="AA254" s="118"/>
      <c r="AC254" s="118"/>
      <c r="AE254" s="118"/>
      <c r="AF254" s="119"/>
    </row>
    <row r="255" spans="1:32" x14ac:dyDescent="0.3">
      <c r="A255" s="118"/>
      <c r="C255" s="118"/>
      <c r="E255" s="118"/>
      <c r="G255" s="118"/>
      <c r="I255" s="118"/>
      <c r="J255" s="119"/>
      <c r="M255" s="118"/>
      <c r="O255" s="118"/>
      <c r="Q255" s="118"/>
      <c r="S255" s="118"/>
      <c r="U255" s="118"/>
      <c r="W255" s="118"/>
      <c r="Y255" s="118"/>
      <c r="AA255" s="118"/>
      <c r="AC255" s="118"/>
      <c r="AE255" s="118"/>
      <c r="AF255" s="119"/>
    </row>
    <row r="256" spans="1:32" x14ac:dyDescent="0.3">
      <c r="A256" s="118"/>
      <c r="C256" s="118"/>
      <c r="E256" s="118"/>
      <c r="G256" s="118"/>
      <c r="I256" s="118"/>
      <c r="J256" s="119"/>
      <c r="M256" s="118"/>
      <c r="O256" s="118"/>
      <c r="Q256" s="118"/>
      <c r="S256" s="118"/>
      <c r="U256" s="118"/>
      <c r="W256" s="118"/>
      <c r="Y256" s="118"/>
      <c r="AA256" s="118"/>
      <c r="AC256" s="118"/>
      <c r="AE256" s="118"/>
      <c r="AF256" s="119"/>
    </row>
    <row r="257" spans="1:32" x14ac:dyDescent="0.3">
      <c r="A257" s="118"/>
      <c r="C257" s="118"/>
      <c r="E257" s="118"/>
      <c r="G257" s="118"/>
      <c r="I257" s="118"/>
      <c r="J257" s="119"/>
      <c r="M257" s="118"/>
      <c r="O257" s="118"/>
      <c r="Q257" s="118"/>
      <c r="S257" s="118"/>
      <c r="U257" s="118"/>
      <c r="W257" s="118"/>
      <c r="Y257" s="118"/>
      <c r="AA257" s="118"/>
      <c r="AC257" s="118"/>
      <c r="AE257" s="118"/>
      <c r="AF257" s="119"/>
    </row>
    <row r="258" spans="1:32" x14ac:dyDescent="0.3">
      <c r="A258" s="118"/>
      <c r="C258" s="118"/>
      <c r="E258" s="118"/>
      <c r="G258" s="118"/>
      <c r="I258" s="118"/>
      <c r="J258" s="119"/>
      <c r="M258" s="118"/>
      <c r="O258" s="118"/>
      <c r="Q258" s="118"/>
      <c r="S258" s="118"/>
      <c r="U258" s="118"/>
      <c r="W258" s="118"/>
      <c r="Y258" s="118"/>
      <c r="AA258" s="118"/>
      <c r="AC258" s="118"/>
      <c r="AE258" s="118"/>
      <c r="AF258" s="119"/>
    </row>
    <row r="259" spans="1:32" x14ac:dyDescent="0.3">
      <c r="A259" s="118"/>
      <c r="C259" s="118"/>
      <c r="E259" s="118"/>
      <c r="G259" s="118"/>
      <c r="I259" s="118"/>
      <c r="J259" s="119"/>
      <c r="M259" s="118"/>
      <c r="O259" s="118"/>
      <c r="Q259" s="118"/>
      <c r="S259" s="118"/>
      <c r="U259" s="118"/>
      <c r="W259" s="118"/>
      <c r="Y259" s="118"/>
      <c r="AA259" s="118"/>
      <c r="AC259" s="118"/>
      <c r="AE259" s="118"/>
      <c r="AF259" s="119"/>
    </row>
    <row r="260" spans="1:32" x14ac:dyDescent="0.3">
      <c r="A260" s="118"/>
      <c r="C260" s="118"/>
      <c r="E260" s="118"/>
      <c r="G260" s="118"/>
      <c r="I260" s="118"/>
      <c r="J260" s="119"/>
      <c r="M260" s="118"/>
      <c r="O260" s="118"/>
      <c r="Q260" s="118"/>
      <c r="S260" s="118"/>
      <c r="U260" s="118"/>
      <c r="W260" s="118"/>
      <c r="Y260" s="118"/>
      <c r="AA260" s="118"/>
      <c r="AC260" s="118"/>
      <c r="AE260" s="118"/>
      <c r="AF260" s="119"/>
    </row>
    <row r="261" spans="1:32" x14ac:dyDescent="0.3">
      <c r="A261" s="118"/>
      <c r="C261" s="118"/>
      <c r="E261" s="118"/>
      <c r="G261" s="118"/>
      <c r="I261" s="118"/>
      <c r="J261" s="119"/>
      <c r="M261" s="118"/>
      <c r="O261" s="118"/>
      <c r="Q261" s="118"/>
      <c r="S261" s="118"/>
      <c r="U261" s="118"/>
      <c r="W261" s="118"/>
      <c r="Y261" s="118"/>
      <c r="AA261" s="118"/>
      <c r="AC261" s="118"/>
      <c r="AE261" s="118"/>
      <c r="AF261" s="119"/>
    </row>
    <row r="262" spans="1:32" x14ac:dyDescent="0.3">
      <c r="A262" s="118"/>
      <c r="C262" s="118"/>
      <c r="E262" s="118"/>
      <c r="G262" s="118"/>
      <c r="I262" s="118"/>
      <c r="J262" s="119"/>
      <c r="M262" s="118"/>
      <c r="O262" s="118"/>
      <c r="Q262" s="118"/>
      <c r="S262" s="118"/>
      <c r="U262" s="118"/>
      <c r="W262" s="118"/>
      <c r="Y262" s="118"/>
      <c r="AA262" s="118"/>
      <c r="AC262" s="118"/>
      <c r="AE262" s="118"/>
      <c r="AF262" s="119"/>
    </row>
    <row r="263" spans="1:32" x14ac:dyDescent="0.3">
      <c r="A263" s="118"/>
      <c r="C263" s="118"/>
      <c r="E263" s="118"/>
      <c r="G263" s="118"/>
      <c r="I263" s="118"/>
      <c r="J263" s="119"/>
      <c r="M263" s="118"/>
      <c r="O263" s="118"/>
      <c r="Q263" s="118"/>
      <c r="S263" s="118"/>
      <c r="U263" s="118"/>
      <c r="W263" s="118"/>
      <c r="Y263" s="118"/>
      <c r="AA263" s="118"/>
      <c r="AC263" s="118"/>
      <c r="AE263" s="118"/>
      <c r="AF263" s="119"/>
    </row>
    <row r="264" spans="1:32" x14ac:dyDescent="0.3">
      <c r="A264" s="118"/>
      <c r="C264" s="118"/>
      <c r="E264" s="118"/>
      <c r="G264" s="118"/>
      <c r="I264" s="118"/>
      <c r="J264" s="119"/>
      <c r="M264" s="118"/>
      <c r="O264" s="118"/>
      <c r="Q264" s="118"/>
      <c r="S264" s="118"/>
      <c r="U264" s="118"/>
      <c r="W264" s="118"/>
      <c r="Y264" s="118"/>
      <c r="AA264" s="118"/>
      <c r="AC264" s="118"/>
      <c r="AE264" s="118"/>
      <c r="AF264" s="119"/>
    </row>
    <row r="265" spans="1:32" x14ac:dyDescent="0.3">
      <c r="A265" s="118"/>
      <c r="C265" s="118"/>
      <c r="E265" s="118"/>
      <c r="G265" s="118"/>
      <c r="I265" s="118"/>
      <c r="J265" s="119"/>
      <c r="M265" s="118"/>
      <c r="O265" s="118"/>
      <c r="Q265" s="118"/>
      <c r="S265" s="118"/>
      <c r="U265" s="118"/>
      <c r="W265" s="118"/>
      <c r="Y265" s="118"/>
      <c r="AA265" s="118"/>
      <c r="AC265" s="118"/>
      <c r="AE265" s="118"/>
      <c r="AF265" s="119"/>
    </row>
    <row r="266" spans="1:32" x14ac:dyDescent="0.3">
      <c r="A266" s="118"/>
      <c r="C266" s="118"/>
      <c r="E266" s="118"/>
      <c r="G266" s="118"/>
      <c r="I266" s="118"/>
      <c r="J266" s="119"/>
      <c r="M266" s="118"/>
      <c r="O266" s="118"/>
      <c r="Q266" s="118"/>
      <c r="S266" s="118"/>
      <c r="U266" s="118"/>
      <c r="W266" s="118"/>
      <c r="Y266" s="118"/>
      <c r="AA266" s="118"/>
      <c r="AC266" s="118"/>
      <c r="AE266" s="118"/>
      <c r="AF266" s="119"/>
    </row>
    <row r="267" spans="1:32" x14ac:dyDescent="0.3">
      <c r="A267" s="118"/>
      <c r="C267" s="118"/>
      <c r="E267" s="118"/>
      <c r="G267" s="118"/>
      <c r="I267" s="118"/>
      <c r="J267" s="119"/>
      <c r="M267" s="118"/>
      <c r="O267" s="118"/>
      <c r="Q267" s="118"/>
      <c r="S267" s="118"/>
      <c r="U267" s="118"/>
      <c r="W267" s="118"/>
      <c r="Y267" s="118"/>
      <c r="AA267" s="118"/>
      <c r="AC267" s="118"/>
      <c r="AE267" s="118"/>
      <c r="AF267" s="119"/>
    </row>
    <row r="268" spans="1:32" x14ac:dyDescent="0.3">
      <c r="A268" s="118"/>
      <c r="C268" s="118"/>
      <c r="E268" s="118"/>
      <c r="G268" s="118"/>
      <c r="I268" s="118"/>
      <c r="J268" s="119"/>
      <c r="M268" s="118"/>
      <c r="O268" s="118"/>
      <c r="Q268" s="118"/>
      <c r="S268" s="118"/>
      <c r="U268" s="118"/>
      <c r="W268" s="118"/>
      <c r="Y268" s="118"/>
      <c r="AA268" s="118"/>
      <c r="AC268" s="118"/>
      <c r="AE268" s="118"/>
      <c r="AF268" s="119"/>
    </row>
    <row r="269" spans="1:32" x14ac:dyDescent="0.3">
      <c r="A269" s="118"/>
      <c r="C269" s="118"/>
      <c r="E269" s="118"/>
      <c r="G269" s="118"/>
      <c r="I269" s="118"/>
      <c r="J269" s="119"/>
      <c r="M269" s="118"/>
      <c r="O269" s="118"/>
      <c r="Q269" s="118"/>
      <c r="S269" s="118"/>
      <c r="U269" s="118"/>
      <c r="W269" s="118"/>
      <c r="Y269" s="118"/>
      <c r="AA269" s="118"/>
      <c r="AC269" s="118"/>
      <c r="AE269" s="118"/>
      <c r="AF269" s="119"/>
    </row>
    <row r="270" spans="1:32" x14ac:dyDescent="0.3">
      <c r="A270" s="118"/>
      <c r="C270" s="118"/>
      <c r="E270" s="118"/>
      <c r="G270" s="118"/>
      <c r="I270" s="118"/>
      <c r="J270" s="119"/>
      <c r="M270" s="118"/>
      <c r="O270" s="118"/>
      <c r="Q270" s="118"/>
      <c r="S270" s="118"/>
      <c r="U270" s="118"/>
      <c r="W270" s="118"/>
      <c r="Y270" s="118"/>
      <c r="AA270" s="118"/>
      <c r="AC270" s="118"/>
      <c r="AE270" s="118"/>
      <c r="AF270" s="119"/>
    </row>
    <row r="271" spans="1:32" x14ac:dyDescent="0.3">
      <c r="A271" s="118"/>
      <c r="C271" s="118"/>
      <c r="E271" s="118"/>
      <c r="G271" s="118"/>
      <c r="I271" s="118"/>
      <c r="J271" s="119"/>
      <c r="M271" s="118"/>
      <c r="O271" s="118"/>
      <c r="Q271" s="118"/>
      <c r="S271" s="118"/>
      <c r="U271" s="118"/>
      <c r="W271" s="118"/>
      <c r="Y271" s="118"/>
      <c r="AA271" s="118"/>
      <c r="AC271" s="118"/>
      <c r="AE271" s="118"/>
      <c r="AF271" s="119"/>
    </row>
    <row r="272" spans="1:32" x14ac:dyDescent="0.3">
      <c r="A272" s="118"/>
      <c r="C272" s="118"/>
      <c r="E272" s="118"/>
      <c r="G272" s="118"/>
      <c r="I272" s="118"/>
      <c r="J272" s="119"/>
      <c r="M272" s="118"/>
      <c r="O272" s="118"/>
      <c r="Q272" s="118"/>
      <c r="S272" s="118"/>
      <c r="U272" s="118"/>
      <c r="W272" s="118"/>
      <c r="Y272" s="118"/>
      <c r="AA272" s="118"/>
      <c r="AC272" s="118"/>
      <c r="AE272" s="118"/>
      <c r="AF272" s="119"/>
    </row>
    <row r="273" spans="1:32" x14ac:dyDescent="0.3">
      <c r="A273" s="118"/>
      <c r="C273" s="118"/>
      <c r="E273" s="118"/>
      <c r="G273" s="118"/>
      <c r="I273" s="118"/>
      <c r="J273" s="119"/>
      <c r="M273" s="118"/>
      <c r="O273" s="118"/>
      <c r="Q273" s="118"/>
      <c r="S273" s="118"/>
      <c r="U273" s="118"/>
      <c r="W273" s="118"/>
      <c r="Y273" s="118"/>
      <c r="AA273" s="118"/>
      <c r="AC273" s="118"/>
      <c r="AE273" s="118"/>
      <c r="AF273" s="119"/>
    </row>
    <row r="274" spans="1:32" x14ac:dyDescent="0.3">
      <c r="A274" s="118"/>
      <c r="C274" s="118"/>
      <c r="E274" s="118"/>
      <c r="G274" s="118"/>
      <c r="I274" s="118"/>
      <c r="J274" s="119"/>
      <c r="M274" s="118"/>
      <c r="O274" s="118"/>
      <c r="Q274" s="118"/>
      <c r="S274" s="118"/>
      <c r="U274" s="118"/>
      <c r="W274" s="118"/>
      <c r="Y274" s="118"/>
      <c r="AA274" s="118"/>
      <c r="AC274" s="118"/>
      <c r="AE274" s="118"/>
      <c r="AF274" s="119"/>
    </row>
    <row r="275" spans="1:32" x14ac:dyDescent="0.3">
      <c r="A275" s="118"/>
      <c r="C275" s="118"/>
      <c r="E275" s="118"/>
      <c r="G275" s="118"/>
      <c r="I275" s="118"/>
      <c r="J275" s="119"/>
      <c r="M275" s="118"/>
      <c r="O275" s="118"/>
      <c r="Q275" s="118"/>
      <c r="S275" s="118"/>
      <c r="U275" s="118"/>
      <c r="W275" s="118"/>
      <c r="Y275" s="118"/>
      <c r="AA275" s="118"/>
      <c r="AC275" s="118"/>
      <c r="AE275" s="118"/>
      <c r="AF275" s="119"/>
    </row>
    <row r="276" spans="1:32" x14ac:dyDescent="0.3">
      <c r="A276" s="118"/>
      <c r="C276" s="118"/>
      <c r="E276" s="118"/>
      <c r="G276" s="118"/>
      <c r="I276" s="118"/>
      <c r="J276" s="119"/>
      <c r="M276" s="118"/>
      <c r="O276" s="118"/>
      <c r="Q276" s="118"/>
      <c r="S276" s="118"/>
      <c r="U276" s="118"/>
      <c r="W276" s="118"/>
      <c r="Y276" s="118"/>
      <c r="AA276" s="118"/>
      <c r="AC276" s="118"/>
      <c r="AE276" s="118"/>
      <c r="AF276" s="119"/>
    </row>
    <row r="277" spans="1:32" x14ac:dyDescent="0.3">
      <c r="A277" s="118"/>
      <c r="C277" s="118"/>
      <c r="E277" s="118"/>
      <c r="G277" s="118"/>
      <c r="I277" s="118"/>
      <c r="J277" s="119"/>
      <c r="M277" s="118"/>
      <c r="O277" s="118"/>
      <c r="Q277" s="118"/>
      <c r="S277" s="118"/>
      <c r="U277" s="118"/>
      <c r="W277" s="118"/>
      <c r="Y277" s="118"/>
      <c r="AA277" s="118"/>
      <c r="AC277" s="118"/>
      <c r="AE277" s="118"/>
      <c r="AF277" s="119"/>
    </row>
    <row r="278" spans="1:32" x14ac:dyDescent="0.3">
      <c r="A278" s="118"/>
      <c r="C278" s="118"/>
      <c r="E278" s="118"/>
      <c r="G278" s="118"/>
      <c r="I278" s="118"/>
      <c r="J278" s="119"/>
      <c r="M278" s="118"/>
      <c r="O278" s="118"/>
      <c r="Q278" s="118"/>
      <c r="S278" s="118"/>
      <c r="U278" s="118"/>
      <c r="W278" s="118"/>
      <c r="Y278" s="118"/>
      <c r="AA278" s="118"/>
      <c r="AC278" s="118"/>
      <c r="AE278" s="118"/>
      <c r="AF278" s="119"/>
    </row>
    <row r="279" spans="1:32" x14ac:dyDescent="0.3">
      <c r="A279" s="118"/>
      <c r="C279" s="118"/>
      <c r="E279" s="118"/>
      <c r="G279" s="118"/>
      <c r="I279" s="118"/>
      <c r="J279" s="119"/>
      <c r="M279" s="118"/>
      <c r="O279" s="118"/>
      <c r="Q279" s="118"/>
      <c r="S279" s="118"/>
      <c r="U279" s="118"/>
      <c r="W279" s="118"/>
      <c r="Y279" s="118"/>
      <c r="AA279" s="118"/>
      <c r="AC279" s="118"/>
      <c r="AE279" s="118"/>
      <c r="AF279" s="119"/>
    </row>
    <row r="280" spans="1:32" x14ac:dyDescent="0.3">
      <c r="A280" s="118"/>
      <c r="C280" s="118"/>
      <c r="E280" s="118"/>
      <c r="G280" s="118"/>
      <c r="I280" s="118"/>
      <c r="J280" s="119"/>
      <c r="M280" s="118"/>
      <c r="O280" s="118"/>
      <c r="Q280" s="118"/>
      <c r="S280" s="118"/>
      <c r="U280" s="118"/>
      <c r="W280" s="118"/>
      <c r="Y280" s="118"/>
      <c r="AA280" s="118"/>
      <c r="AC280" s="118"/>
      <c r="AE280" s="118"/>
      <c r="AF280" s="119"/>
    </row>
    <row r="281" spans="1:32" x14ac:dyDescent="0.3">
      <c r="A281" s="118"/>
      <c r="C281" s="118"/>
      <c r="E281" s="118"/>
      <c r="G281" s="118"/>
      <c r="I281" s="118"/>
      <c r="J281" s="119"/>
      <c r="M281" s="118"/>
      <c r="O281" s="118"/>
      <c r="Q281" s="118"/>
      <c r="S281" s="118"/>
      <c r="U281" s="118"/>
      <c r="W281" s="118"/>
      <c r="Y281" s="118"/>
      <c r="AA281" s="118"/>
      <c r="AC281" s="118"/>
      <c r="AE281" s="118"/>
      <c r="AF281" s="119"/>
    </row>
    <row r="282" spans="1:32" x14ac:dyDescent="0.3">
      <c r="A282" s="118"/>
      <c r="C282" s="118"/>
      <c r="E282" s="118"/>
      <c r="G282" s="118"/>
      <c r="I282" s="118"/>
      <c r="J282" s="119"/>
      <c r="M282" s="118"/>
      <c r="O282" s="118"/>
      <c r="Q282" s="118"/>
      <c r="S282" s="118"/>
      <c r="U282" s="118"/>
      <c r="W282" s="118"/>
      <c r="Y282" s="118"/>
      <c r="AA282" s="118"/>
      <c r="AC282" s="118"/>
      <c r="AE282" s="118"/>
      <c r="AF282" s="119"/>
    </row>
    <row r="283" spans="1:32" x14ac:dyDescent="0.3">
      <c r="A283" s="118"/>
      <c r="C283" s="118"/>
      <c r="E283" s="118"/>
      <c r="G283" s="118"/>
      <c r="I283" s="118"/>
      <c r="J283" s="119"/>
      <c r="M283" s="118"/>
      <c r="O283" s="118"/>
      <c r="Q283" s="118"/>
      <c r="S283" s="118"/>
      <c r="U283" s="118"/>
      <c r="W283" s="118"/>
      <c r="Y283" s="118"/>
      <c r="AA283" s="118"/>
      <c r="AC283" s="118"/>
      <c r="AE283" s="118"/>
      <c r="AF283" s="119"/>
    </row>
    <row r="284" spans="1:32" x14ac:dyDescent="0.3">
      <c r="A284" s="118"/>
      <c r="C284" s="118"/>
      <c r="E284" s="118"/>
      <c r="G284" s="118"/>
      <c r="I284" s="118"/>
      <c r="J284" s="119"/>
      <c r="M284" s="118"/>
      <c r="O284" s="118"/>
      <c r="Q284" s="118"/>
      <c r="S284" s="118"/>
      <c r="U284" s="118"/>
      <c r="W284" s="118"/>
      <c r="Y284" s="118"/>
      <c r="AA284" s="118"/>
      <c r="AC284" s="118"/>
      <c r="AE284" s="118"/>
      <c r="AF284" s="119"/>
    </row>
    <row r="285" spans="1:32" x14ac:dyDescent="0.3">
      <c r="A285" s="118"/>
      <c r="C285" s="118"/>
      <c r="E285" s="118"/>
      <c r="G285" s="118"/>
      <c r="I285" s="118"/>
      <c r="J285" s="119"/>
      <c r="M285" s="118"/>
      <c r="O285" s="118"/>
      <c r="Q285" s="118"/>
      <c r="S285" s="118"/>
      <c r="U285" s="118"/>
      <c r="W285" s="118"/>
      <c r="Y285" s="118"/>
      <c r="AA285" s="118"/>
      <c r="AC285" s="118"/>
      <c r="AE285" s="118"/>
      <c r="AF285" s="119"/>
    </row>
    <row r="286" spans="1:32" x14ac:dyDescent="0.3">
      <c r="A286" s="118"/>
      <c r="C286" s="118"/>
      <c r="E286" s="118"/>
      <c r="G286" s="118"/>
      <c r="I286" s="118"/>
      <c r="J286" s="119"/>
      <c r="M286" s="118"/>
      <c r="O286" s="118"/>
      <c r="Q286" s="118"/>
      <c r="S286" s="118"/>
      <c r="U286" s="118"/>
      <c r="W286" s="118"/>
      <c r="Y286" s="118"/>
      <c r="AA286" s="118"/>
      <c r="AC286" s="118"/>
      <c r="AE286" s="118"/>
      <c r="AF286" s="119"/>
    </row>
    <row r="287" spans="1:32" x14ac:dyDescent="0.3">
      <c r="A287" s="118"/>
      <c r="C287" s="118"/>
      <c r="E287" s="118"/>
      <c r="G287" s="118"/>
      <c r="I287" s="118"/>
      <c r="J287" s="119"/>
      <c r="M287" s="118"/>
      <c r="O287" s="118"/>
      <c r="Q287" s="118"/>
      <c r="S287" s="118"/>
      <c r="U287" s="118"/>
      <c r="W287" s="118"/>
      <c r="Y287" s="118"/>
      <c r="AA287" s="118"/>
      <c r="AC287" s="118"/>
      <c r="AE287" s="118"/>
      <c r="AF287" s="119"/>
    </row>
    <row r="288" spans="1:32" x14ac:dyDescent="0.3">
      <c r="A288" s="118"/>
      <c r="C288" s="118"/>
      <c r="E288" s="118"/>
      <c r="G288" s="118"/>
      <c r="I288" s="118"/>
      <c r="J288" s="119"/>
      <c r="M288" s="118"/>
      <c r="O288" s="118"/>
      <c r="Q288" s="118"/>
      <c r="S288" s="118"/>
      <c r="U288" s="118"/>
      <c r="W288" s="118"/>
      <c r="Y288" s="118"/>
      <c r="AA288" s="118"/>
      <c r="AC288" s="118"/>
      <c r="AE288" s="118"/>
      <c r="AF288" s="119"/>
    </row>
    <row r="289" spans="1:32" x14ac:dyDescent="0.3">
      <c r="A289" s="118"/>
      <c r="C289" s="118"/>
      <c r="E289" s="118"/>
      <c r="G289" s="118"/>
      <c r="I289" s="118"/>
      <c r="J289" s="119"/>
      <c r="M289" s="118"/>
      <c r="O289" s="118"/>
      <c r="Q289" s="118"/>
      <c r="S289" s="118"/>
      <c r="U289" s="118"/>
      <c r="W289" s="118"/>
      <c r="Y289" s="118"/>
      <c r="AA289" s="118"/>
      <c r="AC289" s="118"/>
      <c r="AE289" s="118"/>
      <c r="AF289" s="119"/>
    </row>
    <row r="290" spans="1:32" x14ac:dyDescent="0.3">
      <c r="A290" s="118"/>
      <c r="C290" s="118"/>
      <c r="E290" s="118"/>
      <c r="G290" s="118"/>
      <c r="I290" s="118"/>
      <c r="J290" s="119"/>
      <c r="M290" s="118"/>
      <c r="O290" s="118"/>
      <c r="Q290" s="118"/>
      <c r="S290" s="118"/>
      <c r="U290" s="118"/>
      <c r="W290" s="118"/>
      <c r="Y290" s="118"/>
      <c r="AA290" s="118"/>
      <c r="AC290" s="118"/>
      <c r="AE290" s="118"/>
      <c r="AF290" s="119"/>
    </row>
    <row r="291" spans="1:32" x14ac:dyDescent="0.3">
      <c r="A291" s="118"/>
      <c r="C291" s="118"/>
      <c r="E291" s="118"/>
      <c r="G291" s="118"/>
      <c r="I291" s="118"/>
      <c r="J291" s="119"/>
      <c r="M291" s="118"/>
      <c r="O291" s="118"/>
      <c r="Q291" s="118"/>
      <c r="S291" s="118"/>
      <c r="U291" s="118"/>
      <c r="W291" s="118"/>
      <c r="Y291" s="118"/>
      <c r="AA291" s="118"/>
      <c r="AC291" s="118"/>
      <c r="AE291" s="118"/>
      <c r="AF291" s="119"/>
    </row>
    <row r="292" spans="1:32" x14ac:dyDescent="0.3">
      <c r="A292" s="118"/>
      <c r="C292" s="118"/>
      <c r="E292" s="118"/>
      <c r="G292" s="118"/>
      <c r="I292" s="118"/>
      <c r="J292" s="119"/>
      <c r="M292" s="118"/>
      <c r="O292" s="118"/>
      <c r="Q292" s="118"/>
      <c r="S292" s="118"/>
      <c r="U292" s="118"/>
      <c r="W292" s="118"/>
      <c r="Y292" s="118"/>
      <c r="AA292" s="118"/>
      <c r="AC292" s="118"/>
      <c r="AE292" s="118"/>
      <c r="AF292" s="119"/>
    </row>
    <row r="293" spans="1:32" x14ac:dyDescent="0.3">
      <c r="A293" s="118"/>
      <c r="C293" s="118"/>
      <c r="E293" s="118"/>
      <c r="G293" s="118"/>
      <c r="I293" s="118"/>
      <c r="J293" s="119"/>
      <c r="M293" s="118"/>
      <c r="O293" s="118"/>
      <c r="Q293" s="118"/>
      <c r="S293" s="118"/>
      <c r="U293" s="118"/>
      <c r="W293" s="118"/>
      <c r="Y293" s="118"/>
      <c r="AA293" s="118"/>
      <c r="AC293" s="118"/>
      <c r="AE293" s="118"/>
      <c r="AF293" s="119"/>
    </row>
    <row r="294" spans="1:32" x14ac:dyDescent="0.3">
      <c r="A294" s="118"/>
      <c r="C294" s="118"/>
      <c r="E294" s="118"/>
      <c r="G294" s="118"/>
      <c r="I294" s="118"/>
      <c r="J294" s="119"/>
      <c r="M294" s="118"/>
      <c r="O294" s="118"/>
      <c r="Q294" s="118"/>
      <c r="S294" s="118"/>
      <c r="U294" s="118"/>
      <c r="W294" s="118"/>
      <c r="Y294" s="118"/>
      <c r="AA294" s="118"/>
      <c r="AC294" s="118"/>
      <c r="AE294" s="118"/>
      <c r="AF294" s="119"/>
    </row>
    <row r="295" spans="1:32" x14ac:dyDescent="0.3">
      <c r="A295" s="118"/>
      <c r="C295" s="118"/>
      <c r="E295" s="118"/>
      <c r="G295" s="118"/>
      <c r="I295" s="118"/>
      <c r="J295" s="119"/>
      <c r="M295" s="118"/>
      <c r="O295" s="118"/>
      <c r="Q295" s="118"/>
      <c r="S295" s="118"/>
      <c r="U295" s="118"/>
      <c r="W295" s="118"/>
      <c r="Y295" s="118"/>
      <c r="AA295" s="118"/>
      <c r="AC295" s="118"/>
      <c r="AE295" s="118"/>
      <c r="AF295" s="119"/>
    </row>
    <row r="296" spans="1:32" x14ac:dyDescent="0.3">
      <c r="A296" s="118"/>
      <c r="C296" s="118"/>
      <c r="E296" s="118"/>
      <c r="G296" s="118"/>
      <c r="I296" s="118"/>
      <c r="J296" s="119"/>
      <c r="M296" s="118"/>
      <c r="O296" s="118"/>
      <c r="Q296" s="118"/>
      <c r="S296" s="118"/>
      <c r="U296" s="118"/>
      <c r="W296" s="118"/>
      <c r="Y296" s="118"/>
      <c r="AA296" s="118"/>
      <c r="AC296" s="118"/>
      <c r="AE296" s="118"/>
      <c r="AF296" s="119"/>
    </row>
    <row r="297" spans="1:32" x14ac:dyDescent="0.3">
      <c r="A297" s="118"/>
      <c r="C297" s="118"/>
      <c r="E297" s="118"/>
      <c r="G297" s="118"/>
      <c r="I297" s="118"/>
      <c r="J297" s="119"/>
      <c r="M297" s="118"/>
      <c r="O297" s="118"/>
      <c r="Q297" s="118"/>
      <c r="S297" s="118"/>
      <c r="U297" s="118"/>
      <c r="W297" s="118"/>
      <c r="Y297" s="118"/>
      <c r="AA297" s="118"/>
      <c r="AC297" s="118"/>
      <c r="AE297" s="118"/>
      <c r="AF297" s="119"/>
    </row>
    <row r="298" spans="1:32" x14ac:dyDescent="0.3">
      <c r="A298" s="118"/>
      <c r="C298" s="118"/>
      <c r="E298" s="118"/>
      <c r="G298" s="118"/>
      <c r="I298" s="118"/>
      <c r="J298" s="119"/>
      <c r="M298" s="118"/>
      <c r="O298" s="118"/>
      <c r="Q298" s="118"/>
      <c r="S298" s="118"/>
      <c r="U298" s="118"/>
      <c r="W298" s="118"/>
      <c r="Y298" s="118"/>
      <c r="AA298" s="118"/>
      <c r="AC298" s="118"/>
      <c r="AE298" s="118"/>
      <c r="AF298" s="119"/>
    </row>
    <row r="299" spans="1:32" x14ac:dyDescent="0.3">
      <c r="A299" s="118"/>
      <c r="C299" s="118"/>
      <c r="E299" s="118"/>
      <c r="G299" s="118"/>
      <c r="I299" s="118"/>
      <c r="J299" s="119"/>
      <c r="M299" s="118"/>
      <c r="O299" s="118"/>
      <c r="Q299" s="118"/>
      <c r="S299" s="118"/>
      <c r="U299" s="118"/>
      <c r="W299" s="118"/>
      <c r="Y299" s="118"/>
      <c r="AA299" s="118"/>
      <c r="AC299" s="118"/>
      <c r="AE299" s="118"/>
      <c r="AF299" s="119"/>
    </row>
    <row r="300" spans="1:32" x14ac:dyDescent="0.3">
      <c r="A300" s="118"/>
      <c r="C300" s="118"/>
      <c r="E300" s="118"/>
      <c r="G300" s="118"/>
      <c r="I300" s="118"/>
      <c r="J300" s="119"/>
      <c r="M300" s="118"/>
      <c r="O300" s="118"/>
      <c r="Q300" s="118"/>
      <c r="S300" s="118"/>
      <c r="U300" s="118"/>
      <c r="W300" s="118"/>
      <c r="Y300" s="118"/>
      <c r="AA300" s="118"/>
      <c r="AC300" s="118"/>
      <c r="AE300" s="118"/>
      <c r="AF300" s="119"/>
    </row>
    <row r="301" spans="1:32" x14ac:dyDescent="0.3">
      <c r="A301" s="118"/>
      <c r="C301" s="118"/>
      <c r="E301" s="118"/>
      <c r="G301" s="118"/>
      <c r="I301" s="118"/>
      <c r="J301" s="119"/>
      <c r="M301" s="118"/>
      <c r="O301" s="118"/>
      <c r="Q301" s="118"/>
      <c r="S301" s="118"/>
      <c r="U301" s="118"/>
      <c r="W301" s="118"/>
      <c r="Y301" s="118"/>
      <c r="AA301" s="118"/>
      <c r="AC301" s="118"/>
      <c r="AE301" s="118"/>
      <c r="AF301" s="119"/>
    </row>
    <row r="302" spans="1:32" x14ac:dyDescent="0.3">
      <c r="A302" s="118"/>
      <c r="C302" s="118"/>
      <c r="E302" s="118"/>
      <c r="G302" s="118"/>
      <c r="I302" s="118"/>
      <c r="J302" s="119"/>
      <c r="M302" s="118"/>
      <c r="O302" s="118"/>
      <c r="Q302" s="118"/>
      <c r="S302" s="118"/>
      <c r="U302" s="118"/>
      <c r="W302" s="118"/>
      <c r="Y302" s="118"/>
      <c r="AA302" s="118"/>
      <c r="AC302" s="118"/>
      <c r="AE302" s="118"/>
      <c r="AF302" s="119"/>
    </row>
    <row r="303" spans="1:32" x14ac:dyDescent="0.3">
      <c r="A303" s="118"/>
      <c r="C303" s="118"/>
      <c r="E303" s="118"/>
      <c r="G303" s="118"/>
      <c r="I303" s="118"/>
      <c r="J303" s="119"/>
      <c r="M303" s="118"/>
      <c r="O303" s="118"/>
      <c r="Q303" s="118"/>
      <c r="S303" s="118"/>
      <c r="U303" s="118"/>
      <c r="W303" s="118"/>
      <c r="Y303" s="118"/>
      <c r="AA303" s="118"/>
      <c r="AC303" s="118"/>
      <c r="AE303" s="118"/>
      <c r="AF303" s="119"/>
    </row>
    <row r="304" spans="1:32" x14ac:dyDescent="0.3">
      <c r="A304" s="118"/>
      <c r="C304" s="118"/>
      <c r="E304" s="118"/>
      <c r="G304" s="118"/>
      <c r="I304" s="118"/>
      <c r="J304" s="119"/>
      <c r="M304" s="118"/>
      <c r="O304" s="118"/>
      <c r="Q304" s="118"/>
      <c r="S304" s="118"/>
      <c r="U304" s="118"/>
      <c r="W304" s="118"/>
      <c r="Y304" s="118"/>
      <c r="AA304" s="118"/>
      <c r="AC304" s="118"/>
      <c r="AE304" s="118"/>
      <c r="AF304" s="119"/>
    </row>
    <row r="305" spans="1:32" x14ac:dyDescent="0.3">
      <c r="A305" s="118"/>
      <c r="C305" s="118"/>
      <c r="E305" s="118"/>
      <c r="G305" s="118"/>
      <c r="I305" s="118"/>
      <c r="J305" s="119"/>
      <c r="M305" s="118"/>
      <c r="O305" s="118"/>
      <c r="Q305" s="118"/>
      <c r="S305" s="118"/>
      <c r="U305" s="118"/>
      <c r="W305" s="118"/>
      <c r="Y305" s="118"/>
      <c r="AA305" s="118"/>
      <c r="AC305" s="118"/>
      <c r="AE305" s="118"/>
      <c r="AF305" s="119"/>
    </row>
    <row r="306" spans="1:32" x14ac:dyDescent="0.3">
      <c r="A306" s="118"/>
      <c r="C306" s="118"/>
      <c r="E306" s="118"/>
      <c r="G306" s="118"/>
      <c r="I306" s="118"/>
      <c r="J306" s="119"/>
      <c r="M306" s="118"/>
      <c r="O306" s="118"/>
      <c r="Q306" s="118"/>
      <c r="S306" s="118"/>
      <c r="U306" s="118"/>
      <c r="W306" s="118"/>
      <c r="Y306" s="118"/>
      <c r="AA306" s="118"/>
      <c r="AC306" s="118"/>
      <c r="AE306" s="118"/>
      <c r="AF306" s="119"/>
    </row>
    <row r="307" spans="1:32" x14ac:dyDescent="0.3">
      <c r="A307" s="118"/>
      <c r="C307" s="118"/>
      <c r="E307" s="118"/>
      <c r="G307" s="118"/>
      <c r="I307" s="118"/>
      <c r="J307" s="119"/>
      <c r="M307" s="118"/>
      <c r="O307" s="118"/>
      <c r="Q307" s="118"/>
      <c r="S307" s="118"/>
      <c r="U307" s="118"/>
      <c r="W307" s="118"/>
      <c r="Y307" s="118"/>
      <c r="AA307" s="118"/>
      <c r="AC307" s="118"/>
      <c r="AE307" s="118"/>
      <c r="AF307" s="119"/>
    </row>
    <row r="308" spans="1:32" x14ac:dyDescent="0.3">
      <c r="A308" s="118"/>
      <c r="C308" s="118"/>
      <c r="E308" s="118"/>
      <c r="G308" s="118"/>
      <c r="I308" s="118"/>
      <c r="J308" s="119"/>
      <c r="M308" s="118"/>
      <c r="O308" s="118"/>
      <c r="Q308" s="118"/>
      <c r="S308" s="118"/>
      <c r="U308" s="118"/>
      <c r="W308" s="118"/>
      <c r="Y308" s="118"/>
      <c r="AA308" s="118"/>
      <c r="AC308" s="118"/>
      <c r="AE308" s="118"/>
      <c r="AF308" s="119"/>
    </row>
    <row r="309" spans="1:32" x14ac:dyDescent="0.3">
      <c r="A309" s="118"/>
      <c r="C309" s="118"/>
      <c r="E309" s="118"/>
      <c r="G309" s="118"/>
      <c r="I309" s="118"/>
      <c r="J309" s="119"/>
      <c r="M309" s="118"/>
      <c r="O309" s="118"/>
      <c r="Q309" s="118"/>
      <c r="S309" s="118"/>
      <c r="U309" s="118"/>
      <c r="W309" s="118"/>
      <c r="Y309" s="118"/>
      <c r="AA309" s="118"/>
      <c r="AC309" s="118"/>
      <c r="AE309" s="118"/>
      <c r="AF309" s="119"/>
    </row>
    <row r="310" spans="1:32" x14ac:dyDescent="0.3">
      <c r="A310" s="118"/>
      <c r="C310" s="118"/>
      <c r="E310" s="118"/>
      <c r="G310" s="118"/>
      <c r="I310" s="118"/>
      <c r="J310" s="119"/>
      <c r="M310" s="118"/>
      <c r="O310" s="118"/>
      <c r="Q310" s="118"/>
      <c r="S310" s="118"/>
      <c r="U310" s="118"/>
      <c r="W310" s="118"/>
      <c r="Y310" s="118"/>
      <c r="AA310" s="118"/>
      <c r="AC310" s="118"/>
      <c r="AE310" s="118"/>
      <c r="AF310" s="119"/>
    </row>
    <row r="311" spans="1:32" x14ac:dyDescent="0.3">
      <c r="A311" s="118"/>
      <c r="C311" s="118"/>
      <c r="E311" s="118"/>
      <c r="G311" s="118"/>
      <c r="I311" s="118"/>
      <c r="J311" s="119"/>
      <c r="M311" s="118"/>
      <c r="O311" s="118"/>
      <c r="Q311" s="118"/>
      <c r="S311" s="118"/>
      <c r="U311" s="118"/>
      <c r="W311" s="118"/>
      <c r="Y311" s="118"/>
      <c r="AA311" s="118"/>
      <c r="AC311" s="118"/>
      <c r="AE311" s="118"/>
      <c r="AF311" s="119"/>
    </row>
    <row r="312" spans="1:32" x14ac:dyDescent="0.3">
      <c r="A312" s="118"/>
      <c r="C312" s="118"/>
      <c r="E312" s="118"/>
      <c r="G312" s="118"/>
      <c r="I312" s="118"/>
      <c r="J312" s="119"/>
      <c r="M312" s="118"/>
      <c r="O312" s="118"/>
      <c r="Q312" s="118"/>
      <c r="S312" s="118"/>
      <c r="U312" s="118"/>
      <c r="W312" s="118"/>
      <c r="Y312" s="118"/>
      <c r="AA312" s="118"/>
      <c r="AC312" s="118"/>
      <c r="AE312" s="118"/>
      <c r="AF312" s="119"/>
    </row>
    <row r="313" spans="1:32" x14ac:dyDescent="0.3">
      <c r="A313" s="118"/>
      <c r="C313" s="118"/>
      <c r="E313" s="118"/>
      <c r="G313" s="118"/>
      <c r="I313" s="118"/>
      <c r="J313" s="119"/>
      <c r="M313" s="118"/>
      <c r="O313" s="118"/>
      <c r="Q313" s="118"/>
      <c r="S313" s="118"/>
      <c r="U313" s="118"/>
      <c r="W313" s="118"/>
      <c r="Y313" s="118"/>
      <c r="AA313" s="118"/>
      <c r="AC313" s="118"/>
      <c r="AE313" s="118"/>
      <c r="AF313" s="119"/>
    </row>
    <row r="314" spans="1:32" x14ac:dyDescent="0.3">
      <c r="A314" s="118"/>
      <c r="C314" s="118"/>
      <c r="E314" s="118"/>
      <c r="G314" s="118"/>
      <c r="I314" s="118"/>
      <c r="J314" s="119"/>
      <c r="M314" s="118"/>
      <c r="O314" s="118"/>
      <c r="Q314" s="118"/>
      <c r="S314" s="118"/>
      <c r="U314" s="118"/>
      <c r="W314" s="118"/>
      <c r="Y314" s="118"/>
      <c r="AA314" s="118"/>
      <c r="AC314" s="118"/>
      <c r="AE314" s="118"/>
      <c r="AF314" s="119"/>
    </row>
    <row r="315" spans="1:32" x14ac:dyDescent="0.3">
      <c r="A315" s="118"/>
      <c r="C315" s="118"/>
      <c r="E315" s="118"/>
      <c r="G315" s="118"/>
      <c r="I315" s="118"/>
      <c r="J315" s="119"/>
      <c r="M315" s="118"/>
      <c r="O315" s="118"/>
      <c r="Q315" s="118"/>
      <c r="S315" s="118"/>
      <c r="U315" s="118"/>
      <c r="W315" s="118"/>
      <c r="Y315" s="118"/>
      <c r="AA315" s="118"/>
      <c r="AC315" s="118"/>
      <c r="AE315" s="118"/>
      <c r="AF315" s="119"/>
    </row>
    <row r="316" spans="1:32" x14ac:dyDescent="0.3">
      <c r="A316" s="118"/>
      <c r="C316" s="118"/>
      <c r="E316" s="118"/>
      <c r="G316" s="118"/>
      <c r="I316" s="118"/>
      <c r="J316" s="119"/>
      <c r="M316" s="118"/>
      <c r="O316" s="118"/>
      <c r="Q316" s="118"/>
      <c r="S316" s="118"/>
      <c r="U316" s="118"/>
      <c r="W316" s="118"/>
      <c r="Y316" s="118"/>
      <c r="AA316" s="118"/>
      <c r="AC316" s="118"/>
      <c r="AE316" s="118"/>
      <c r="AF316" s="119"/>
    </row>
    <row r="317" spans="1:32" x14ac:dyDescent="0.3">
      <c r="A317" s="118"/>
      <c r="C317" s="118"/>
      <c r="E317" s="118"/>
      <c r="G317" s="118"/>
      <c r="I317" s="118"/>
      <c r="J317" s="119"/>
      <c r="M317" s="118"/>
      <c r="O317" s="118"/>
      <c r="Q317" s="118"/>
      <c r="S317" s="118"/>
      <c r="U317" s="118"/>
      <c r="W317" s="118"/>
      <c r="Y317" s="118"/>
      <c r="AA317" s="118"/>
      <c r="AC317" s="118"/>
      <c r="AE317" s="118"/>
      <c r="AF317" s="119"/>
    </row>
    <row r="318" spans="1:32" x14ac:dyDescent="0.3">
      <c r="A318" s="118"/>
      <c r="C318" s="118"/>
      <c r="E318" s="118"/>
      <c r="G318" s="118"/>
      <c r="I318" s="118"/>
      <c r="J318" s="119"/>
      <c r="M318" s="118"/>
      <c r="O318" s="118"/>
      <c r="Q318" s="118"/>
      <c r="S318" s="118"/>
      <c r="U318" s="118"/>
      <c r="W318" s="118"/>
      <c r="Y318" s="118"/>
      <c r="AA318" s="118"/>
      <c r="AC318" s="118"/>
      <c r="AE318" s="118"/>
      <c r="AF318" s="119"/>
    </row>
    <row r="319" spans="1:32" x14ac:dyDescent="0.3">
      <c r="A319" s="118"/>
      <c r="C319" s="118"/>
      <c r="E319" s="118"/>
      <c r="G319" s="118"/>
      <c r="I319" s="118"/>
      <c r="J319" s="119"/>
      <c r="M319" s="118"/>
      <c r="O319" s="118"/>
      <c r="Q319" s="118"/>
      <c r="S319" s="118"/>
      <c r="U319" s="118"/>
      <c r="W319" s="118"/>
      <c r="Y319" s="118"/>
      <c r="AA319" s="118"/>
      <c r="AC319" s="118"/>
      <c r="AE319" s="118"/>
      <c r="AF319" s="119"/>
    </row>
    <row r="320" spans="1:32" x14ac:dyDescent="0.3">
      <c r="A320" s="118"/>
      <c r="C320" s="118"/>
      <c r="E320" s="118"/>
      <c r="G320" s="118"/>
      <c r="I320" s="118"/>
      <c r="J320" s="119"/>
      <c r="M320" s="118"/>
      <c r="O320" s="118"/>
      <c r="Q320" s="118"/>
      <c r="S320" s="118"/>
      <c r="U320" s="118"/>
      <c r="W320" s="118"/>
      <c r="Y320" s="118"/>
      <c r="AA320" s="118"/>
      <c r="AC320" s="118"/>
      <c r="AE320" s="118"/>
      <c r="AF320" s="119"/>
    </row>
    <row r="321" spans="1:32" x14ac:dyDescent="0.3">
      <c r="A321" s="118"/>
      <c r="C321" s="118"/>
      <c r="E321" s="118"/>
      <c r="G321" s="118"/>
      <c r="I321" s="118"/>
      <c r="J321" s="119"/>
      <c r="M321" s="118"/>
      <c r="O321" s="118"/>
      <c r="Q321" s="118"/>
      <c r="S321" s="118"/>
      <c r="U321" s="118"/>
      <c r="W321" s="118"/>
      <c r="Y321" s="118"/>
      <c r="AA321" s="118"/>
      <c r="AC321" s="118"/>
      <c r="AE321" s="118"/>
      <c r="AF321" s="119"/>
    </row>
    <row r="322" spans="1:32" x14ac:dyDescent="0.3">
      <c r="A322" s="118"/>
      <c r="C322" s="118"/>
      <c r="E322" s="118"/>
      <c r="G322" s="118"/>
      <c r="I322" s="118"/>
      <c r="J322" s="119"/>
      <c r="M322" s="118"/>
      <c r="O322" s="118"/>
      <c r="Q322" s="118"/>
      <c r="S322" s="118"/>
      <c r="U322" s="118"/>
      <c r="W322" s="118"/>
      <c r="Y322" s="118"/>
      <c r="AA322" s="118"/>
      <c r="AC322" s="118"/>
      <c r="AE322" s="118"/>
      <c r="AF322" s="119"/>
    </row>
    <row r="323" spans="1:32" x14ac:dyDescent="0.3">
      <c r="A323" s="118"/>
      <c r="C323" s="118"/>
      <c r="E323" s="118"/>
      <c r="G323" s="118"/>
      <c r="I323" s="118"/>
      <c r="J323" s="119"/>
      <c r="M323" s="118"/>
      <c r="O323" s="118"/>
      <c r="Q323" s="118"/>
      <c r="S323" s="118"/>
      <c r="U323" s="118"/>
      <c r="W323" s="118"/>
      <c r="Y323" s="118"/>
      <c r="AA323" s="118"/>
      <c r="AC323" s="118"/>
      <c r="AE323" s="118"/>
      <c r="AF323" s="119"/>
    </row>
    <row r="324" spans="1:32" x14ac:dyDescent="0.3">
      <c r="A324" s="118"/>
      <c r="C324" s="118"/>
      <c r="E324" s="118"/>
      <c r="G324" s="118"/>
      <c r="I324" s="118"/>
      <c r="J324" s="119"/>
      <c r="M324" s="118"/>
      <c r="O324" s="118"/>
      <c r="Q324" s="118"/>
      <c r="S324" s="118"/>
      <c r="U324" s="118"/>
      <c r="W324" s="118"/>
      <c r="Y324" s="118"/>
      <c r="AA324" s="118"/>
      <c r="AC324" s="118"/>
      <c r="AE324" s="118"/>
      <c r="AF324" s="119"/>
    </row>
    <row r="325" spans="1:32" x14ac:dyDescent="0.3">
      <c r="A325" s="118"/>
      <c r="C325" s="118"/>
      <c r="E325" s="118"/>
      <c r="G325" s="118"/>
      <c r="I325" s="118"/>
      <c r="J325" s="119"/>
      <c r="M325" s="118"/>
      <c r="O325" s="118"/>
      <c r="Q325" s="118"/>
      <c r="S325" s="118"/>
      <c r="U325" s="118"/>
      <c r="W325" s="118"/>
      <c r="Y325" s="118"/>
      <c r="AA325" s="118"/>
      <c r="AC325" s="118"/>
      <c r="AE325" s="118"/>
      <c r="AF325" s="119"/>
    </row>
    <row r="326" spans="1:32" x14ac:dyDescent="0.3">
      <c r="A326" s="118"/>
      <c r="C326" s="118"/>
      <c r="E326" s="118"/>
      <c r="G326" s="118"/>
      <c r="I326" s="118"/>
      <c r="J326" s="119"/>
      <c r="M326" s="118"/>
      <c r="O326" s="118"/>
      <c r="Q326" s="118"/>
      <c r="S326" s="118"/>
      <c r="U326" s="118"/>
      <c r="W326" s="118"/>
      <c r="Y326" s="118"/>
      <c r="AA326" s="118"/>
      <c r="AC326" s="118"/>
      <c r="AE326" s="118"/>
      <c r="AF326" s="119"/>
    </row>
    <row r="327" spans="1:32" x14ac:dyDescent="0.3">
      <c r="A327" s="118"/>
      <c r="C327" s="118"/>
      <c r="E327" s="118"/>
      <c r="G327" s="118"/>
      <c r="I327" s="118"/>
      <c r="J327" s="119"/>
      <c r="M327" s="118"/>
      <c r="O327" s="118"/>
      <c r="Q327" s="118"/>
      <c r="S327" s="118"/>
      <c r="U327" s="118"/>
      <c r="W327" s="118"/>
      <c r="Y327" s="118"/>
      <c r="AA327" s="118"/>
      <c r="AC327" s="118"/>
      <c r="AE327" s="118"/>
      <c r="AF327" s="119"/>
    </row>
    <row r="328" spans="1:32" x14ac:dyDescent="0.3">
      <c r="A328" s="118"/>
      <c r="C328" s="118"/>
      <c r="E328" s="118"/>
      <c r="G328" s="118"/>
      <c r="I328" s="118"/>
      <c r="J328" s="119"/>
      <c r="M328" s="118"/>
      <c r="O328" s="118"/>
      <c r="Q328" s="118"/>
      <c r="S328" s="118"/>
      <c r="U328" s="118"/>
      <c r="W328" s="118"/>
      <c r="Y328" s="118"/>
      <c r="AA328" s="118"/>
      <c r="AC328" s="118"/>
      <c r="AE328" s="118"/>
      <c r="AF328" s="119"/>
    </row>
    <row r="329" spans="1:32" x14ac:dyDescent="0.3">
      <c r="A329" s="118"/>
      <c r="C329" s="118"/>
      <c r="E329" s="118"/>
      <c r="G329" s="118"/>
      <c r="I329" s="118"/>
      <c r="J329" s="119"/>
      <c r="M329" s="118"/>
      <c r="O329" s="118"/>
      <c r="Q329" s="118"/>
      <c r="S329" s="118"/>
      <c r="U329" s="118"/>
      <c r="W329" s="118"/>
      <c r="Y329" s="118"/>
      <c r="AA329" s="118"/>
      <c r="AC329" s="118"/>
      <c r="AE329" s="118"/>
      <c r="AF329" s="119"/>
    </row>
    <row r="330" spans="1:32" x14ac:dyDescent="0.3">
      <c r="A330" s="118"/>
      <c r="C330" s="118"/>
      <c r="E330" s="118"/>
      <c r="G330" s="118"/>
      <c r="I330" s="118"/>
      <c r="J330" s="119"/>
      <c r="M330" s="118"/>
      <c r="O330" s="118"/>
      <c r="Q330" s="118"/>
      <c r="S330" s="118"/>
      <c r="U330" s="118"/>
      <c r="W330" s="118"/>
      <c r="Y330" s="118"/>
      <c r="AA330" s="118"/>
      <c r="AC330" s="118"/>
      <c r="AE330" s="118"/>
      <c r="AF330" s="119"/>
    </row>
    <row r="331" spans="1:32" x14ac:dyDescent="0.3">
      <c r="A331" s="118"/>
      <c r="C331" s="118"/>
      <c r="E331" s="118"/>
      <c r="G331" s="118"/>
      <c r="I331" s="118"/>
      <c r="J331" s="119"/>
      <c r="M331" s="118"/>
      <c r="O331" s="118"/>
      <c r="Q331" s="118"/>
      <c r="S331" s="118"/>
      <c r="U331" s="118"/>
      <c r="W331" s="118"/>
      <c r="Y331" s="118"/>
      <c r="AA331" s="118"/>
      <c r="AC331" s="118"/>
      <c r="AE331" s="118"/>
      <c r="AF331" s="119"/>
    </row>
    <row r="332" spans="1:32" x14ac:dyDescent="0.3">
      <c r="A332" s="118"/>
      <c r="C332" s="118"/>
      <c r="E332" s="118"/>
      <c r="G332" s="118"/>
      <c r="I332" s="118"/>
      <c r="J332" s="119"/>
      <c r="M332" s="118"/>
      <c r="O332" s="118"/>
      <c r="Q332" s="118"/>
      <c r="S332" s="118"/>
      <c r="U332" s="118"/>
      <c r="W332" s="118"/>
      <c r="Y332" s="118"/>
      <c r="AA332" s="118"/>
      <c r="AC332" s="118"/>
      <c r="AE332" s="118"/>
      <c r="AF332" s="119"/>
    </row>
    <row r="333" spans="1:32" x14ac:dyDescent="0.3">
      <c r="A333" s="118"/>
      <c r="C333" s="118"/>
      <c r="E333" s="118"/>
      <c r="G333" s="118"/>
      <c r="I333" s="118"/>
      <c r="J333" s="119"/>
      <c r="M333" s="118"/>
      <c r="O333" s="118"/>
      <c r="Q333" s="118"/>
      <c r="S333" s="118"/>
      <c r="U333" s="118"/>
      <c r="W333" s="118"/>
      <c r="Y333" s="118"/>
      <c r="AA333" s="118"/>
      <c r="AC333" s="118"/>
      <c r="AE333" s="118"/>
      <c r="AF333" s="119"/>
    </row>
    <row r="334" spans="1:32" x14ac:dyDescent="0.3">
      <c r="A334" s="118"/>
      <c r="C334" s="118"/>
      <c r="E334" s="118"/>
      <c r="G334" s="118"/>
      <c r="I334" s="118"/>
      <c r="J334" s="119"/>
      <c r="M334" s="118"/>
      <c r="O334" s="118"/>
      <c r="Q334" s="118"/>
      <c r="S334" s="118"/>
      <c r="U334" s="118"/>
      <c r="W334" s="118"/>
      <c r="Y334" s="118"/>
      <c r="AA334" s="118"/>
      <c r="AC334" s="118"/>
      <c r="AE334" s="118"/>
      <c r="AF334" s="119"/>
    </row>
    <row r="335" spans="1:32" x14ac:dyDescent="0.3">
      <c r="A335" s="118"/>
      <c r="C335" s="118"/>
      <c r="E335" s="118"/>
      <c r="G335" s="118"/>
      <c r="I335" s="118"/>
      <c r="J335" s="119"/>
      <c r="M335" s="118"/>
      <c r="O335" s="118"/>
      <c r="Q335" s="118"/>
      <c r="S335" s="118"/>
      <c r="U335" s="118"/>
      <c r="W335" s="118"/>
      <c r="Y335" s="118"/>
      <c r="AA335" s="118"/>
      <c r="AC335" s="118"/>
      <c r="AE335" s="118"/>
      <c r="AF335" s="119"/>
    </row>
    <row r="336" spans="1:32" x14ac:dyDescent="0.3">
      <c r="A336" s="118"/>
      <c r="C336" s="118"/>
      <c r="E336" s="118"/>
      <c r="G336" s="118"/>
      <c r="I336" s="118"/>
      <c r="J336" s="119"/>
      <c r="M336" s="118"/>
      <c r="O336" s="118"/>
      <c r="Q336" s="118"/>
      <c r="S336" s="118"/>
      <c r="U336" s="118"/>
      <c r="W336" s="118"/>
      <c r="Y336" s="118"/>
      <c r="AA336" s="118"/>
      <c r="AC336" s="118"/>
      <c r="AE336" s="118"/>
      <c r="AF336" s="119"/>
    </row>
    <row r="337" spans="1:32" x14ac:dyDescent="0.3">
      <c r="A337" s="118"/>
      <c r="C337" s="118"/>
      <c r="E337" s="118"/>
      <c r="G337" s="118"/>
      <c r="I337" s="118"/>
      <c r="J337" s="119"/>
      <c r="M337" s="118"/>
      <c r="O337" s="118"/>
      <c r="Q337" s="118"/>
      <c r="S337" s="118"/>
      <c r="U337" s="118"/>
      <c r="W337" s="118"/>
      <c r="Y337" s="118"/>
      <c r="AA337" s="118"/>
      <c r="AC337" s="118"/>
      <c r="AE337" s="118"/>
      <c r="AF337" s="119"/>
    </row>
    <row r="338" spans="1:32" x14ac:dyDescent="0.3">
      <c r="A338" s="118"/>
      <c r="C338" s="118"/>
      <c r="E338" s="118"/>
      <c r="G338" s="118"/>
      <c r="I338" s="118"/>
      <c r="J338" s="119"/>
      <c r="M338" s="118"/>
      <c r="O338" s="118"/>
      <c r="Q338" s="118"/>
      <c r="S338" s="118"/>
      <c r="U338" s="118"/>
      <c r="W338" s="118"/>
      <c r="Y338" s="118"/>
      <c r="AA338" s="118"/>
      <c r="AC338" s="118"/>
      <c r="AE338" s="118"/>
      <c r="AF338" s="119"/>
    </row>
    <row r="339" spans="1:32" x14ac:dyDescent="0.3">
      <c r="A339" s="118"/>
      <c r="C339" s="118"/>
      <c r="E339" s="118"/>
      <c r="G339" s="118"/>
      <c r="I339" s="118"/>
      <c r="J339" s="119"/>
      <c r="M339" s="118"/>
      <c r="O339" s="118"/>
      <c r="Q339" s="118"/>
      <c r="S339" s="118"/>
      <c r="U339" s="118"/>
      <c r="W339" s="118"/>
      <c r="Y339" s="118"/>
      <c r="AA339" s="118"/>
      <c r="AC339" s="118"/>
      <c r="AE339" s="118"/>
      <c r="AF339" s="119"/>
    </row>
    <row r="340" spans="1:32" x14ac:dyDescent="0.3">
      <c r="A340" s="118"/>
      <c r="C340" s="118"/>
      <c r="E340" s="118"/>
      <c r="G340" s="118"/>
      <c r="I340" s="118"/>
      <c r="J340" s="119"/>
      <c r="M340" s="118"/>
      <c r="O340" s="118"/>
      <c r="Q340" s="118"/>
      <c r="S340" s="118"/>
      <c r="U340" s="118"/>
      <c r="W340" s="118"/>
      <c r="Y340" s="118"/>
      <c r="AA340" s="118"/>
      <c r="AC340" s="118"/>
      <c r="AE340" s="118"/>
      <c r="AF340" s="119"/>
    </row>
    <row r="341" spans="1:32" x14ac:dyDescent="0.3">
      <c r="A341" s="118"/>
      <c r="C341" s="118"/>
      <c r="E341" s="118"/>
      <c r="G341" s="118"/>
      <c r="I341" s="118"/>
      <c r="J341" s="119"/>
      <c r="M341" s="118"/>
      <c r="O341" s="118"/>
      <c r="Q341" s="118"/>
      <c r="S341" s="118"/>
      <c r="U341" s="118"/>
      <c r="W341" s="118"/>
      <c r="Y341" s="118"/>
      <c r="AA341" s="118"/>
      <c r="AC341" s="118"/>
      <c r="AE341" s="118"/>
      <c r="AF341" s="119"/>
    </row>
    <row r="342" spans="1:32" x14ac:dyDescent="0.3">
      <c r="A342" s="118"/>
      <c r="C342" s="118"/>
      <c r="E342" s="118"/>
      <c r="G342" s="118"/>
      <c r="I342" s="118"/>
      <c r="J342" s="119"/>
      <c r="M342" s="118"/>
      <c r="O342" s="118"/>
      <c r="Q342" s="118"/>
      <c r="S342" s="118"/>
      <c r="U342" s="118"/>
      <c r="W342" s="118"/>
      <c r="Y342" s="118"/>
      <c r="AA342" s="118"/>
      <c r="AC342" s="118"/>
      <c r="AE342" s="118"/>
      <c r="AF342" s="119"/>
    </row>
    <row r="343" spans="1:32" x14ac:dyDescent="0.3">
      <c r="A343" s="118"/>
      <c r="C343" s="118"/>
      <c r="E343" s="118"/>
      <c r="G343" s="118"/>
      <c r="I343" s="118"/>
      <c r="J343" s="119"/>
      <c r="M343" s="118"/>
      <c r="O343" s="118"/>
      <c r="Q343" s="118"/>
      <c r="S343" s="118"/>
      <c r="U343" s="118"/>
      <c r="W343" s="118"/>
      <c r="Y343" s="118"/>
      <c r="AA343" s="118"/>
      <c r="AC343" s="118"/>
      <c r="AE343" s="118"/>
      <c r="AF343" s="119"/>
    </row>
    <row r="344" spans="1:32" x14ac:dyDescent="0.3">
      <c r="A344" s="118"/>
      <c r="C344" s="118"/>
      <c r="E344" s="118"/>
      <c r="G344" s="118"/>
      <c r="I344" s="118"/>
      <c r="J344" s="119"/>
      <c r="M344" s="118"/>
      <c r="O344" s="118"/>
      <c r="Q344" s="118"/>
      <c r="S344" s="118"/>
      <c r="U344" s="118"/>
      <c r="W344" s="118"/>
      <c r="Y344" s="118"/>
      <c r="AA344" s="118"/>
      <c r="AC344" s="118"/>
      <c r="AE344" s="118"/>
      <c r="AF344" s="119"/>
    </row>
    <row r="345" spans="1:32" x14ac:dyDescent="0.3">
      <c r="A345" s="118"/>
      <c r="C345" s="118"/>
      <c r="E345" s="118"/>
      <c r="G345" s="118"/>
      <c r="I345" s="118"/>
      <c r="J345" s="119"/>
      <c r="M345" s="118"/>
      <c r="O345" s="118"/>
      <c r="Q345" s="118"/>
      <c r="S345" s="118"/>
      <c r="U345" s="118"/>
      <c r="W345" s="118"/>
      <c r="Y345" s="118"/>
      <c r="AA345" s="118"/>
      <c r="AC345" s="118"/>
      <c r="AE345" s="118"/>
      <c r="AF345" s="119"/>
    </row>
    <row r="346" spans="1:32" x14ac:dyDescent="0.3">
      <c r="A346" s="118"/>
      <c r="C346" s="118"/>
      <c r="E346" s="118"/>
      <c r="G346" s="118"/>
      <c r="I346" s="118"/>
      <c r="J346" s="119"/>
      <c r="M346" s="118"/>
      <c r="O346" s="118"/>
      <c r="Q346" s="118"/>
      <c r="S346" s="118"/>
      <c r="U346" s="118"/>
      <c r="W346" s="118"/>
      <c r="Y346" s="118"/>
      <c r="AA346" s="118"/>
      <c r="AC346" s="118"/>
      <c r="AE346" s="118"/>
      <c r="AF346" s="119"/>
    </row>
    <row r="347" spans="1:32" x14ac:dyDescent="0.3">
      <c r="A347" s="118"/>
      <c r="C347" s="118"/>
      <c r="E347" s="118"/>
      <c r="G347" s="118"/>
      <c r="I347" s="118"/>
      <c r="J347" s="119"/>
      <c r="M347" s="118"/>
      <c r="O347" s="118"/>
      <c r="Q347" s="118"/>
      <c r="S347" s="118"/>
      <c r="U347" s="118"/>
      <c r="W347" s="118"/>
      <c r="Y347" s="118"/>
      <c r="AA347" s="118"/>
      <c r="AC347" s="118"/>
      <c r="AE347" s="118"/>
      <c r="AF347" s="119"/>
    </row>
    <row r="348" spans="1:32" x14ac:dyDescent="0.3">
      <c r="A348" s="118"/>
      <c r="C348" s="118"/>
      <c r="E348" s="118"/>
      <c r="G348" s="118"/>
      <c r="I348" s="118"/>
      <c r="J348" s="119"/>
      <c r="M348" s="118"/>
      <c r="O348" s="118"/>
      <c r="Q348" s="118"/>
      <c r="S348" s="118"/>
      <c r="U348" s="118"/>
      <c r="W348" s="118"/>
      <c r="Y348" s="118"/>
      <c r="AA348" s="118"/>
      <c r="AC348" s="118"/>
      <c r="AE348" s="118"/>
      <c r="AF348" s="119"/>
    </row>
    <row r="349" spans="1:32" x14ac:dyDescent="0.3">
      <c r="A349" s="118"/>
      <c r="C349" s="118"/>
      <c r="E349" s="118"/>
      <c r="G349" s="118"/>
      <c r="I349" s="118"/>
      <c r="J349" s="119"/>
      <c r="M349" s="118"/>
      <c r="O349" s="118"/>
      <c r="Q349" s="118"/>
      <c r="S349" s="118"/>
      <c r="U349" s="118"/>
      <c r="W349" s="118"/>
      <c r="Y349" s="118"/>
      <c r="AA349" s="118"/>
      <c r="AC349" s="118"/>
      <c r="AE349" s="118"/>
      <c r="AF349" s="119"/>
    </row>
    <row r="350" spans="1:32" x14ac:dyDescent="0.3">
      <c r="A350" s="118"/>
      <c r="C350" s="118"/>
      <c r="E350" s="118"/>
      <c r="G350" s="118"/>
      <c r="I350" s="118"/>
      <c r="J350" s="119"/>
      <c r="M350" s="118"/>
      <c r="O350" s="118"/>
      <c r="Q350" s="118"/>
      <c r="S350" s="118"/>
      <c r="U350" s="118"/>
      <c r="W350" s="118"/>
      <c r="Y350" s="118"/>
      <c r="AA350" s="118"/>
      <c r="AC350" s="118"/>
      <c r="AE350" s="118"/>
      <c r="AF350" s="119"/>
    </row>
    <row r="351" spans="1:32" x14ac:dyDescent="0.3">
      <c r="A351" s="118"/>
      <c r="C351" s="118"/>
      <c r="E351" s="118"/>
      <c r="G351" s="118"/>
      <c r="I351" s="118"/>
      <c r="J351" s="119"/>
      <c r="M351" s="118"/>
      <c r="O351" s="118"/>
      <c r="Q351" s="118"/>
      <c r="S351" s="118"/>
      <c r="U351" s="118"/>
      <c r="W351" s="118"/>
      <c r="Y351" s="118"/>
      <c r="AA351" s="118"/>
      <c r="AC351" s="118"/>
      <c r="AE351" s="118"/>
      <c r="AF351" s="119"/>
    </row>
    <row r="352" spans="1:32" x14ac:dyDescent="0.3">
      <c r="A352" s="118"/>
      <c r="C352" s="118"/>
      <c r="E352" s="118"/>
      <c r="G352" s="118"/>
      <c r="I352" s="118"/>
      <c r="J352" s="119"/>
      <c r="M352" s="118"/>
      <c r="O352" s="118"/>
      <c r="Q352" s="118"/>
      <c r="S352" s="118"/>
      <c r="U352" s="118"/>
      <c r="W352" s="118"/>
      <c r="Y352" s="118"/>
      <c r="AA352" s="118"/>
      <c r="AC352" s="118"/>
      <c r="AE352" s="118"/>
      <c r="AF352" s="119"/>
    </row>
    <row r="353" spans="1:32" x14ac:dyDescent="0.3">
      <c r="A353" s="118"/>
      <c r="C353" s="118"/>
      <c r="E353" s="118"/>
      <c r="G353" s="118"/>
      <c r="I353" s="118"/>
      <c r="J353" s="119"/>
      <c r="M353" s="118"/>
      <c r="O353" s="118"/>
      <c r="Q353" s="118"/>
      <c r="S353" s="118"/>
      <c r="U353" s="118"/>
      <c r="W353" s="118"/>
      <c r="Y353" s="118"/>
      <c r="AA353" s="118"/>
      <c r="AC353" s="118"/>
      <c r="AE353" s="118"/>
      <c r="AF353" s="119"/>
    </row>
    <row r="354" spans="1:32" x14ac:dyDescent="0.3">
      <c r="A354" s="118"/>
      <c r="C354" s="118"/>
      <c r="E354" s="118"/>
      <c r="G354" s="118"/>
      <c r="I354" s="118"/>
      <c r="J354" s="119"/>
      <c r="M354" s="118"/>
      <c r="O354" s="118"/>
      <c r="Q354" s="118"/>
      <c r="S354" s="118"/>
      <c r="U354" s="118"/>
      <c r="W354" s="118"/>
      <c r="Y354" s="118"/>
      <c r="AA354" s="118"/>
      <c r="AC354" s="118"/>
      <c r="AE354" s="118"/>
      <c r="AF354" s="119"/>
    </row>
    <row r="355" spans="1:32" x14ac:dyDescent="0.3">
      <c r="A355" s="118"/>
      <c r="C355" s="118"/>
      <c r="E355" s="118"/>
      <c r="G355" s="118"/>
      <c r="I355" s="118"/>
      <c r="J355" s="119"/>
      <c r="M355" s="118"/>
      <c r="O355" s="118"/>
      <c r="Q355" s="118"/>
      <c r="S355" s="118"/>
      <c r="U355" s="118"/>
      <c r="W355" s="118"/>
      <c r="Y355" s="118"/>
      <c r="AA355" s="118"/>
      <c r="AC355" s="118"/>
      <c r="AE355" s="118"/>
      <c r="AF355" s="119"/>
    </row>
    <row r="356" spans="1:32" x14ac:dyDescent="0.3">
      <c r="A356" s="118"/>
      <c r="C356" s="118"/>
      <c r="E356" s="118"/>
      <c r="G356" s="118"/>
      <c r="I356" s="118"/>
      <c r="J356" s="119"/>
      <c r="M356" s="118"/>
      <c r="O356" s="118"/>
      <c r="Q356" s="118"/>
      <c r="S356" s="118"/>
      <c r="U356" s="118"/>
      <c r="W356" s="118"/>
      <c r="Y356" s="118"/>
      <c r="AA356" s="118"/>
      <c r="AC356" s="118"/>
      <c r="AE356" s="118"/>
      <c r="AF356" s="119"/>
    </row>
    <row r="357" spans="1:32" x14ac:dyDescent="0.3">
      <c r="A357" s="118"/>
      <c r="C357" s="118"/>
      <c r="E357" s="118"/>
      <c r="G357" s="118"/>
      <c r="I357" s="118"/>
      <c r="J357" s="119"/>
      <c r="M357" s="118"/>
      <c r="O357" s="118"/>
      <c r="Q357" s="118"/>
      <c r="S357" s="118"/>
      <c r="U357" s="118"/>
      <c r="W357" s="118"/>
      <c r="Y357" s="118"/>
      <c r="AA357" s="118"/>
      <c r="AC357" s="118"/>
      <c r="AE357" s="118"/>
      <c r="AF357" s="119"/>
    </row>
    <row r="358" spans="1:32" x14ac:dyDescent="0.3">
      <c r="A358" s="118"/>
      <c r="C358" s="118"/>
      <c r="E358" s="118"/>
      <c r="G358" s="118"/>
      <c r="I358" s="118"/>
      <c r="J358" s="119"/>
      <c r="M358" s="118"/>
      <c r="O358" s="118"/>
      <c r="Q358" s="118"/>
      <c r="S358" s="118"/>
      <c r="U358" s="118"/>
      <c r="W358" s="118"/>
      <c r="Y358" s="118"/>
      <c r="AA358" s="118"/>
      <c r="AC358" s="118"/>
      <c r="AE358" s="118"/>
      <c r="AF358" s="119"/>
    </row>
    <row r="359" spans="1:32" x14ac:dyDescent="0.3">
      <c r="A359" s="118"/>
      <c r="C359" s="118"/>
      <c r="E359" s="118"/>
      <c r="G359" s="118"/>
      <c r="I359" s="118"/>
      <c r="J359" s="119"/>
      <c r="M359" s="118"/>
      <c r="O359" s="118"/>
      <c r="Q359" s="118"/>
      <c r="S359" s="118"/>
      <c r="U359" s="118"/>
      <c r="W359" s="118"/>
      <c r="Y359" s="118"/>
      <c r="AA359" s="118"/>
      <c r="AC359" s="118"/>
      <c r="AE359" s="118"/>
      <c r="AF359" s="119"/>
    </row>
    <row r="360" spans="1:32" x14ac:dyDescent="0.3">
      <c r="A360" s="118"/>
      <c r="C360" s="118"/>
      <c r="E360" s="118"/>
      <c r="G360" s="118"/>
      <c r="I360" s="118"/>
      <c r="J360" s="119"/>
      <c r="M360" s="118"/>
      <c r="O360" s="118"/>
      <c r="Q360" s="118"/>
      <c r="S360" s="118"/>
      <c r="U360" s="118"/>
      <c r="W360" s="118"/>
      <c r="Y360" s="118"/>
      <c r="AA360" s="118"/>
      <c r="AC360" s="118"/>
      <c r="AE360" s="118"/>
      <c r="AF360" s="119"/>
    </row>
    <row r="361" spans="1:32" x14ac:dyDescent="0.3">
      <c r="A361" s="118"/>
      <c r="C361" s="118"/>
      <c r="E361" s="118"/>
      <c r="G361" s="118"/>
      <c r="I361" s="118"/>
      <c r="J361" s="119"/>
      <c r="M361" s="118"/>
      <c r="O361" s="118"/>
      <c r="Q361" s="118"/>
      <c r="S361" s="118"/>
      <c r="U361" s="118"/>
      <c r="W361" s="118"/>
      <c r="Y361" s="118"/>
      <c r="AA361" s="118"/>
      <c r="AC361" s="118"/>
      <c r="AE361" s="118"/>
      <c r="AF361" s="119"/>
    </row>
    <row r="362" spans="1:32" x14ac:dyDescent="0.3">
      <c r="A362" s="118"/>
      <c r="C362" s="118"/>
      <c r="E362" s="118"/>
      <c r="G362" s="118"/>
      <c r="I362" s="118"/>
      <c r="J362" s="119"/>
      <c r="M362" s="118"/>
      <c r="O362" s="118"/>
      <c r="Q362" s="118"/>
      <c r="S362" s="118"/>
      <c r="U362" s="118"/>
      <c r="W362" s="118"/>
      <c r="Y362" s="118"/>
      <c r="AA362" s="118"/>
      <c r="AC362" s="118"/>
      <c r="AE362" s="118"/>
      <c r="AF362" s="119"/>
    </row>
    <row r="363" spans="1:32" x14ac:dyDescent="0.3">
      <c r="A363" s="118"/>
      <c r="C363" s="118"/>
      <c r="E363" s="118"/>
      <c r="G363" s="118"/>
      <c r="I363" s="118"/>
      <c r="J363" s="119"/>
      <c r="M363" s="118"/>
      <c r="O363" s="118"/>
      <c r="Q363" s="118"/>
      <c r="S363" s="118"/>
      <c r="U363" s="118"/>
      <c r="W363" s="118"/>
      <c r="Y363" s="118"/>
      <c r="AA363" s="118"/>
      <c r="AC363" s="118"/>
      <c r="AE363" s="118"/>
      <c r="AF363" s="119"/>
    </row>
    <row r="364" spans="1:32" x14ac:dyDescent="0.3">
      <c r="A364" s="118"/>
      <c r="C364" s="118"/>
      <c r="E364" s="118"/>
      <c r="G364" s="118"/>
      <c r="I364" s="118"/>
      <c r="J364" s="119"/>
      <c r="M364" s="118"/>
      <c r="O364" s="118"/>
      <c r="Q364" s="118"/>
      <c r="S364" s="118"/>
      <c r="U364" s="118"/>
      <c r="W364" s="118"/>
      <c r="Y364" s="118"/>
      <c r="AA364" s="118"/>
      <c r="AC364" s="118"/>
      <c r="AE364" s="118"/>
      <c r="AF364" s="119"/>
    </row>
    <row r="365" spans="1:32" x14ac:dyDescent="0.3">
      <c r="A365" s="118"/>
      <c r="C365" s="118"/>
      <c r="E365" s="118"/>
      <c r="G365" s="118"/>
      <c r="I365" s="118"/>
      <c r="J365" s="119"/>
      <c r="M365" s="118"/>
      <c r="O365" s="118"/>
      <c r="Q365" s="118"/>
      <c r="S365" s="118"/>
      <c r="U365" s="118"/>
      <c r="W365" s="118"/>
      <c r="Y365" s="118"/>
      <c r="AA365" s="118"/>
      <c r="AC365" s="118"/>
      <c r="AE365" s="118"/>
      <c r="AF365" s="119"/>
    </row>
    <row r="366" spans="1:32" x14ac:dyDescent="0.3">
      <c r="A366" s="118"/>
      <c r="C366" s="118"/>
      <c r="E366" s="118"/>
      <c r="G366" s="118"/>
      <c r="I366" s="118"/>
      <c r="J366" s="119"/>
      <c r="M366" s="118"/>
      <c r="O366" s="118"/>
      <c r="Q366" s="118"/>
      <c r="S366" s="118"/>
      <c r="U366" s="118"/>
      <c r="W366" s="118"/>
      <c r="Y366" s="118"/>
      <c r="AA366" s="118"/>
      <c r="AC366" s="118"/>
      <c r="AE366" s="118"/>
      <c r="AF366" s="119"/>
    </row>
    <row r="367" spans="1:32" x14ac:dyDescent="0.3">
      <c r="A367" s="118"/>
      <c r="C367" s="118"/>
      <c r="E367" s="118"/>
      <c r="G367" s="118"/>
      <c r="I367" s="118"/>
      <c r="J367" s="119"/>
      <c r="M367" s="118"/>
      <c r="O367" s="118"/>
      <c r="Q367" s="118"/>
      <c r="S367" s="118"/>
      <c r="U367" s="118"/>
      <c r="W367" s="118"/>
      <c r="Y367" s="118"/>
      <c r="AA367" s="118"/>
      <c r="AC367" s="118"/>
      <c r="AE367" s="118"/>
      <c r="AF367" s="119"/>
    </row>
    <row r="368" spans="1:32" x14ac:dyDescent="0.3">
      <c r="A368" s="118"/>
      <c r="C368" s="118"/>
      <c r="E368" s="118"/>
      <c r="G368" s="118"/>
      <c r="I368" s="118"/>
      <c r="J368" s="119"/>
      <c r="M368" s="118"/>
      <c r="O368" s="118"/>
      <c r="Q368" s="118"/>
      <c r="S368" s="118"/>
      <c r="U368" s="118"/>
      <c r="W368" s="118"/>
      <c r="Y368" s="118"/>
      <c r="AA368" s="118"/>
      <c r="AC368" s="118"/>
      <c r="AE368" s="118"/>
      <c r="AF368" s="119"/>
    </row>
    <row r="369" spans="1:32" x14ac:dyDescent="0.3">
      <c r="A369" s="118"/>
      <c r="C369" s="118"/>
      <c r="E369" s="118"/>
      <c r="G369" s="118"/>
      <c r="I369" s="118"/>
      <c r="J369" s="119"/>
      <c r="M369" s="118"/>
      <c r="O369" s="118"/>
      <c r="Q369" s="118"/>
      <c r="S369" s="118"/>
      <c r="U369" s="118"/>
      <c r="W369" s="118"/>
      <c r="Y369" s="118"/>
      <c r="AA369" s="118"/>
      <c r="AC369" s="118"/>
      <c r="AE369" s="118"/>
      <c r="AF369" s="119"/>
    </row>
    <row r="370" spans="1:32" x14ac:dyDescent="0.3">
      <c r="A370" s="118"/>
      <c r="C370" s="118"/>
      <c r="E370" s="118"/>
      <c r="G370" s="118"/>
      <c r="I370" s="118"/>
      <c r="J370" s="119"/>
      <c r="M370" s="118"/>
      <c r="O370" s="118"/>
      <c r="Q370" s="118"/>
      <c r="S370" s="118"/>
      <c r="U370" s="118"/>
      <c r="W370" s="118"/>
      <c r="Y370" s="118"/>
      <c r="AA370" s="118"/>
      <c r="AC370" s="118"/>
      <c r="AE370" s="118"/>
      <c r="AF370" s="119"/>
    </row>
    <row r="371" spans="1:32" x14ac:dyDescent="0.3">
      <c r="A371" s="118"/>
      <c r="C371" s="118"/>
      <c r="E371" s="118"/>
      <c r="G371" s="118"/>
      <c r="I371" s="118"/>
      <c r="J371" s="119"/>
      <c r="M371" s="118"/>
      <c r="O371" s="118"/>
      <c r="Q371" s="118"/>
      <c r="S371" s="118"/>
      <c r="U371" s="118"/>
      <c r="W371" s="118"/>
      <c r="Y371" s="118"/>
      <c r="AA371" s="118"/>
      <c r="AC371" s="118"/>
      <c r="AE371" s="118"/>
      <c r="AF371" s="119"/>
    </row>
    <row r="372" spans="1:32" x14ac:dyDescent="0.3">
      <c r="A372" s="118"/>
      <c r="C372" s="118"/>
      <c r="E372" s="118"/>
      <c r="G372" s="118"/>
      <c r="I372" s="118"/>
      <c r="J372" s="119"/>
      <c r="M372" s="118"/>
      <c r="O372" s="118"/>
      <c r="Q372" s="118"/>
      <c r="S372" s="118"/>
      <c r="U372" s="118"/>
      <c r="W372" s="118"/>
      <c r="Y372" s="118"/>
      <c r="AA372" s="118"/>
      <c r="AC372" s="118"/>
      <c r="AE372" s="118"/>
      <c r="AF372" s="119"/>
    </row>
    <row r="373" spans="1:32" x14ac:dyDescent="0.3">
      <c r="A373" s="118"/>
      <c r="C373" s="118"/>
      <c r="E373" s="118"/>
      <c r="G373" s="118"/>
      <c r="I373" s="118"/>
      <c r="J373" s="119"/>
      <c r="M373" s="118"/>
      <c r="O373" s="118"/>
      <c r="Q373" s="118"/>
      <c r="S373" s="118"/>
      <c r="U373" s="118"/>
      <c r="W373" s="118"/>
      <c r="Y373" s="118"/>
      <c r="AA373" s="118"/>
      <c r="AC373" s="118"/>
      <c r="AE373" s="118"/>
      <c r="AF373" s="119"/>
    </row>
    <row r="374" spans="1:32" x14ac:dyDescent="0.3">
      <c r="A374" s="118"/>
      <c r="C374" s="118"/>
      <c r="E374" s="118"/>
      <c r="G374" s="118"/>
      <c r="I374" s="118"/>
      <c r="J374" s="119"/>
      <c r="M374" s="118"/>
      <c r="O374" s="118"/>
      <c r="Q374" s="118"/>
      <c r="S374" s="118"/>
      <c r="U374" s="118"/>
      <c r="W374" s="118"/>
      <c r="Y374" s="118"/>
      <c r="AA374" s="118"/>
      <c r="AC374" s="118"/>
      <c r="AE374" s="118"/>
      <c r="AF374" s="119"/>
    </row>
    <row r="375" spans="1:32" x14ac:dyDescent="0.3">
      <c r="A375" s="118"/>
      <c r="C375" s="118"/>
      <c r="E375" s="118"/>
      <c r="G375" s="118"/>
      <c r="I375" s="118"/>
      <c r="J375" s="119"/>
      <c r="M375" s="118"/>
      <c r="O375" s="118"/>
      <c r="Q375" s="118"/>
      <c r="S375" s="118"/>
      <c r="U375" s="118"/>
      <c r="W375" s="118"/>
      <c r="Y375" s="118"/>
      <c r="AA375" s="118"/>
      <c r="AC375" s="118"/>
      <c r="AE375" s="118"/>
      <c r="AF375" s="119"/>
    </row>
    <row r="376" spans="1:32" x14ac:dyDescent="0.3">
      <c r="A376" s="118"/>
      <c r="C376" s="118"/>
      <c r="E376" s="118"/>
      <c r="G376" s="118"/>
      <c r="I376" s="118"/>
      <c r="J376" s="119"/>
      <c r="M376" s="118"/>
      <c r="O376" s="118"/>
      <c r="Q376" s="118"/>
      <c r="S376" s="118"/>
      <c r="U376" s="118"/>
      <c r="W376" s="118"/>
      <c r="Y376" s="118"/>
      <c r="AA376" s="118"/>
      <c r="AC376" s="118"/>
      <c r="AE376" s="118"/>
      <c r="AF376" s="119"/>
    </row>
    <row r="377" spans="1:32" x14ac:dyDescent="0.3">
      <c r="A377" s="118"/>
      <c r="C377" s="118"/>
      <c r="E377" s="118"/>
      <c r="G377" s="118"/>
      <c r="I377" s="118"/>
      <c r="J377" s="119"/>
      <c r="M377" s="118"/>
      <c r="O377" s="118"/>
      <c r="Q377" s="118"/>
      <c r="S377" s="118"/>
      <c r="U377" s="118"/>
      <c r="W377" s="118"/>
      <c r="Y377" s="118"/>
      <c r="AA377" s="118"/>
      <c r="AC377" s="118"/>
      <c r="AE377" s="118"/>
      <c r="AF377" s="119"/>
    </row>
    <row r="378" spans="1:32" x14ac:dyDescent="0.3">
      <c r="A378" s="118"/>
      <c r="C378" s="118"/>
      <c r="E378" s="118"/>
      <c r="G378" s="118"/>
      <c r="I378" s="118"/>
      <c r="J378" s="119"/>
      <c r="M378" s="118"/>
      <c r="O378" s="118"/>
      <c r="Q378" s="118"/>
      <c r="S378" s="118"/>
      <c r="U378" s="118"/>
      <c r="W378" s="118"/>
      <c r="Y378" s="118"/>
      <c r="AA378" s="118"/>
      <c r="AC378" s="118"/>
      <c r="AE378" s="118"/>
      <c r="AF378" s="119"/>
    </row>
    <row r="379" spans="1:32" x14ac:dyDescent="0.3">
      <c r="A379" s="118"/>
      <c r="C379" s="118"/>
      <c r="E379" s="118"/>
      <c r="G379" s="118"/>
      <c r="I379" s="118"/>
      <c r="J379" s="119"/>
      <c r="M379" s="118"/>
      <c r="O379" s="118"/>
      <c r="Q379" s="118"/>
      <c r="S379" s="118"/>
      <c r="U379" s="118"/>
      <c r="W379" s="118"/>
      <c r="Y379" s="118"/>
      <c r="AA379" s="118"/>
      <c r="AC379" s="118"/>
      <c r="AE379" s="118"/>
      <c r="AF379" s="119"/>
    </row>
    <row r="380" spans="1:32" x14ac:dyDescent="0.3">
      <c r="A380" s="118"/>
      <c r="C380" s="118"/>
      <c r="E380" s="118"/>
      <c r="G380" s="118"/>
      <c r="I380" s="118"/>
      <c r="J380" s="119"/>
      <c r="M380" s="118"/>
      <c r="O380" s="118"/>
      <c r="Q380" s="118"/>
      <c r="S380" s="118"/>
      <c r="U380" s="118"/>
      <c r="W380" s="118"/>
      <c r="Y380" s="118"/>
      <c r="AA380" s="118"/>
      <c r="AC380" s="118"/>
      <c r="AE380" s="118"/>
      <c r="AF380" s="119"/>
    </row>
    <row r="381" spans="1:32" x14ac:dyDescent="0.3">
      <c r="A381" s="118"/>
      <c r="C381" s="118"/>
      <c r="E381" s="118"/>
      <c r="G381" s="118"/>
      <c r="I381" s="118"/>
      <c r="J381" s="119"/>
      <c r="M381" s="118"/>
      <c r="O381" s="118"/>
      <c r="Q381" s="118"/>
      <c r="S381" s="118"/>
      <c r="U381" s="118"/>
      <c r="W381" s="118"/>
      <c r="Y381" s="118"/>
      <c r="AA381" s="118"/>
      <c r="AC381" s="118"/>
      <c r="AE381" s="118"/>
      <c r="AF381" s="119"/>
    </row>
    <row r="382" spans="1:32" x14ac:dyDescent="0.3">
      <c r="A382" s="118"/>
      <c r="C382" s="118"/>
      <c r="E382" s="118"/>
      <c r="G382" s="118"/>
      <c r="I382" s="118"/>
      <c r="J382" s="119"/>
      <c r="M382" s="118"/>
      <c r="O382" s="118"/>
      <c r="Q382" s="118"/>
      <c r="S382" s="118"/>
      <c r="U382" s="118"/>
      <c r="W382" s="118"/>
      <c r="Y382" s="118"/>
      <c r="AA382" s="118"/>
      <c r="AC382" s="118"/>
      <c r="AE382" s="118"/>
      <c r="AF382" s="119"/>
    </row>
    <row r="383" spans="1:32" x14ac:dyDescent="0.3">
      <c r="A383" s="118"/>
      <c r="C383" s="118"/>
      <c r="E383" s="118"/>
      <c r="G383" s="118"/>
      <c r="I383" s="118"/>
      <c r="J383" s="119"/>
      <c r="M383" s="118"/>
      <c r="O383" s="118"/>
      <c r="Q383" s="118"/>
      <c r="S383" s="118"/>
      <c r="U383" s="118"/>
      <c r="W383" s="118"/>
      <c r="Y383" s="118"/>
      <c r="AA383" s="118"/>
      <c r="AC383" s="118"/>
      <c r="AE383" s="118"/>
      <c r="AF383" s="119"/>
    </row>
    <row r="384" spans="1:32" x14ac:dyDescent="0.3">
      <c r="A384" s="118"/>
      <c r="C384" s="118"/>
      <c r="E384" s="118"/>
      <c r="G384" s="118"/>
      <c r="I384" s="118"/>
      <c r="J384" s="119"/>
      <c r="M384" s="118"/>
      <c r="O384" s="118"/>
      <c r="Q384" s="118"/>
      <c r="S384" s="118"/>
      <c r="U384" s="118"/>
      <c r="W384" s="118"/>
      <c r="Y384" s="118"/>
      <c r="AA384" s="118"/>
      <c r="AC384" s="118"/>
      <c r="AE384" s="118"/>
      <c r="AF384" s="119"/>
    </row>
    <row r="385" spans="1:32" x14ac:dyDescent="0.3">
      <c r="A385" s="118"/>
      <c r="C385" s="118"/>
      <c r="E385" s="118"/>
      <c r="G385" s="118"/>
      <c r="I385" s="118"/>
      <c r="J385" s="119"/>
      <c r="M385" s="118"/>
      <c r="O385" s="118"/>
      <c r="Q385" s="118"/>
      <c r="S385" s="118"/>
      <c r="U385" s="118"/>
      <c r="W385" s="118"/>
      <c r="Y385" s="118"/>
      <c r="AA385" s="118"/>
      <c r="AC385" s="118"/>
      <c r="AE385" s="118"/>
      <c r="AF385" s="119"/>
    </row>
    <row r="386" spans="1:32" x14ac:dyDescent="0.3">
      <c r="A386" s="118"/>
      <c r="C386" s="118"/>
      <c r="E386" s="118"/>
      <c r="G386" s="118"/>
      <c r="I386" s="118"/>
      <c r="J386" s="119"/>
      <c r="M386" s="118"/>
      <c r="O386" s="118"/>
      <c r="Q386" s="118"/>
      <c r="S386" s="118"/>
      <c r="U386" s="118"/>
      <c r="W386" s="118"/>
      <c r="Y386" s="118"/>
      <c r="AA386" s="118"/>
      <c r="AC386" s="118"/>
      <c r="AE386" s="118"/>
      <c r="AF386" s="119"/>
    </row>
    <row r="387" spans="1:32" x14ac:dyDescent="0.3">
      <c r="A387" s="118"/>
      <c r="C387" s="118"/>
      <c r="E387" s="118"/>
      <c r="G387" s="118"/>
      <c r="I387" s="118"/>
      <c r="J387" s="119"/>
      <c r="M387" s="118"/>
      <c r="O387" s="118"/>
      <c r="Q387" s="118"/>
      <c r="S387" s="118"/>
      <c r="U387" s="118"/>
      <c r="W387" s="118"/>
      <c r="Y387" s="118"/>
      <c r="AA387" s="118"/>
      <c r="AC387" s="118"/>
      <c r="AE387" s="118"/>
      <c r="AF387" s="119"/>
    </row>
    <row r="388" spans="1:32" x14ac:dyDescent="0.3">
      <c r="A388" s="118"/>
      <c r="C388" s="118"/>
      <c r="E388" s="118"/>
      <c r="G388" s="118"/>
      <c r="I388" s="118"/>
      <c r="J388" s="119"/>
      <c r="M388" s="118"/>
      <c r="O388" s="118"/>
      <c r="Q388" s="118"/>
      <c r="S388" s="118"/>
      <c r="U388" s="118"/>
      <c r="W388" s="118"/>
      <c r="Y388" s="118"/>
      <c r="AA388" s="118"/>
      <c r="AC388" s="118"/>
      <c r="AE388" s="118"/>
      <c r="AF388" s="119"/>
    </row>
    <row r="389" spans="1:32" x14ac:dyDescent="0.3">
      <c r="A389" s="118"/>
      <c r="C389" s="118"/>
      <c r="E389" s="118"/>
      <c r="G389" s="118"/>
      <c r="I389" s="118"/>
      <c r="J389" s="119"/>
      <c r="M389" s="118"/>
      <c r="O389" s="118"/>
      <c r="Q389" s="118"/>
      <c r="S389" s="118"/>
      <c r="U389" s="118"/>
      <c r="W389" s="118"/>
      <c r="Y389" s="118"/>
      <c r="AA389" s="118"/>
      <c r="AC389" s="118"/>
      <c r="AE389" s="118"/>
      <c r="AF389" s="119"/>
    </row>
    <row r="390" spans="1:32" x14ac:dyDescent="0.3">
      <c r="A390" s="118"/>
      <c r="C390" s="118"/>
      <c r="E390" s="118"/>
      <c r="G390" s="118"/>
      <c r="I390" s="118"/>
      <c r="J390" s="119"/>
      <c r="M390" s="118"/>
      <c r="O390" s="118"/>
      <c r="Q390" s="118"/>
      <c r="S390" s="118"/>
      <c r="U390" s="118"/>
      <c r="W390" s="118"/>
      <c r="Y390" s="118"/>
      <c r="AA390" s="118"/>
      <c r="AC390" s="118"/>
      <c r="AE390" s="118"/>
      <c r="AF390" s="119"/>
    </row>
    <row r="391" spans="1:32" x14ac:dyDescent="0.3">
      <c r="A391" s="118"/>
      <c r="C391" s="118"/>
      <c r="E391" s="118"/>
      <c r="G391" s="118"/>
      <c r="I391" s="118"/>
      <c r="J391" s="119"/>
      <c r="M391" s="118"/>
      <c r="O391" s="118"/>
      <c r="Q391" s="118"/>
      <c r="S391" s="118"/>
      <c r="U391" s="118"/>
      <c r="W391" s="118"/>
      <c r="Y391" s="118"/>
      <c r="AA391" s="118"/>
      <c r="AC391" s="118"/>
      <c r="AE391" s="118"/>
      <c r="AF391" s="119"/>
    </row>
    <row r="392" spans="1:32" x14ac:dyDescent="0.3">
      <c r="A392" s="118"/>
      <c r="C392" s="118"/>
      <c r="E392" s="118"/>
      <c r="G392" s="118"/>
      <c r="I392" s="118"/>
      <c r="J392" s="119"/>
      <c r="M392" s="118"/>
      <c r="O392" s="118"/>
      <c r="Q392" s="118"/>
      <c r="S392" s="118"/>
      <c r="U392" s="118"/>
      <c r="W392" s="118"/>
      <c r="Y392" s="118"/>
      <c r="AA392" s="118"/>
      <c r="AC392" s="118"/>
      <c r="AE392" s="118"/>
      <c r="AF392" s="119"/>
    </row>
    <row r="393" spans="1:32" x14ac:dyDescent="0.3">
      <c r="A393" s="118"/>
      <c r="C393" s="118"/>
      <c r="E393" s="118"/>
      <c r="G393" s="118"/>
      <c r="I393" s="118"/>
      <c r="J393" s="119"/>
      <c r="M393" s="118"/>
      <c r="O393" s="118"/>
      <c r="Q393" s="118"/>
      <c r="S393" s="118"/>
      <c r="U393" s="118"/>
      <c r="W393" s="118"/>
      <c r="Y393" s="118"/>
      <c r="AA393" s="118"/>
      <c r="AC393" s="118"/>
      <c r="AE393" s="118"/>
      <c r="AF393" s="119"/>
    </row>
    <row r="394" spans="1:32" x14ac:dyDescent="0.3">
      <c r="A394" s="118"/>
      <c r="C394" s="118"/>
      <c r="E394" s="118"/>
      <c r="G394" s="118"/>
      <c r="I394" s="118"/>
      <c r="J394" s="119"/>
      <c r="M394" s="118"/>
      <c r="O394" s="118"/>
      <c r="Q394" s="118"/>
      <c r="S394" s="118"/>
      <c r="U394" s="118"/>
      <c r="W394" s="118"/>
      <c r="Y394" s="118"/>
      <c r="AA394" s="118"/>
      <c r="AC394" s="118"/>
      <c r="AE394" s="118"/>
      <c r="AF394" s="119"/>
    </row>
    <row r="395" spans="1:32" x14ac:dyDescent="0.3">
      <c r="A395" s="118"/>
      <c r="C395" s="118"/>
      <c r="E395" s="118"/>
      <c r="G395" s="118"/>
      <c r="I395" s="118"/>
      <c r="J395" s="119"/>
      <c r="M395" s="118"/>
      <c r="O395" s="118"/>
      <c r="Q395" s="118"/>
      <c r="S395" s="118"/>
      <c r="U395" s="118"/>
      <c r="W395" s="118"/>
      <c r="Y395" s="118"/>
      <c r="AA395" s="118"/>
      <c r="AC395" s="118"/>
      <c r="AE395" s="118"/>
      <c r="AF395" s="119"/>
    </row>
    <row r="396" spans="1:32" x14ac:dyDescent="0.3">
      <c r="A396" s="118"/>
      <c r="C396" s="118"/>
      <c r="E396" s="118"/>
      <c r="G396" s="118"/>
      <c r="I396" s="118"/>
      <c r="J396" s="119"/>
      <c r="M396" s="118"/>
      <c r="O396" s="118"/>
      <c r="Q396" s="118"/>
      <c r="S396" s="118"/>
      <c r="U396" s="118"/>
      <c r="W396" s="118"/>
      <c r="Y396" s="118"/>
      <c r="AA396" s="118"/>
      <c r="AC396" s="118"/>
      <c r="AE396" s="118"/>
      <c r="AF396" s="119"/>
    </row>
    <row r="397" spans="1:32" x14ac:dyDescent="0.3">
      <c r="A397" s="118"/>
      <c r="C397" s="118"/>
      <c r="E397" s="118"/>
      <c r="G397" s="118"/>
      <c r="I397" s="118"/>
      <c r="J397" s="119"/>
      <c r="M397" s="118"/>
      <c r="O397" s="118"/>
      <c r="Q397" s="118"/>
      <c r="S397" s="118"/>
      <c r="U397" s="118"/>
      <c r="W397" s="118"/>
      <c r="Y397" s="118"/>
      <c r="AA397" s="118"/>
      <c r="AC397" s="118"/>
      <c r="AE397" s="118"/>
      <c r="AF397" s="119"/>
    </row>
    <row r="398" spans="1:32" x14ac:dyDescent="0.3">
      <c r="A398" s="118"/>
      <c r="C398" s="118"/>
      <c r="E398" s="118"/>
      <c r="G398" s="118"/>
      <c r="I398" s="118"/>
      <c r="J398" s="119"/>
      <c r="M398" s="118"/>
      <c r="O398" s="118"/>
      <c r="Q398" s="118"/>
      <c r="S398" s="118"/>
      <c r="U398" s="118"/>
      <c r="W398" s="118"/>
      <c r="Y398" s="118"/>
      <c r="AA398" s="118"/>
      <c r="AC398" s="118"/>
      <c r="AE398" s="118"/>
      <c r="AF398" s="119"/>
    </row>
    <row r="399" spans="1:32" x14ac:dyDescent="0.3">
      <c r="A399" s="118"/>
      <c r="C399" s="118"/>
      <c r="E399" s="118"/>
      <c r="G399" s="118"/>
      <c r="I399" s="118"/>
      <c r="J399" s="119"/>
      <c r="M399" s="118"/>
      <c r="O399" s="118"/>
      <c r="Q399" s="118"/>
      <c r="S399" s="118"/>
      <c r="U399" s="118"/>
      <c r="W399" s="118"/>
      <c r="Y399" s="118"/>
      <c r="AA399" s="118"/>
      <c r="AC399" s="118"/>
      <c r="AE399" s="118"/>
      <c r="AF399" s="119"/>
    </row>
    <row r="400" spans="1:32" x14ac:dyDescent="0.3">
      <c r="A400" s="118"/>
      <c r="C400" s="118"/>
      <c r="E400" s="118"/>
      <c r="G400" s="118"/>
      <c r="I400" s="118"/>
      <c r="J400" s="119"/>
      <c r="M400" s="118"/>
      <c r="O400" s="118"/>
      <c r="Q400" s="118"/>
      <c r="S400" s="118"/>
      <c r="U400" s="118"/>
      <c r="W400" s="118"/>
      <c r="Y400" s="118"/>
      <c r="AA400" s="118"/>
      <c r="AC400" s="118"/>
      <c r="AE400" s="118"/>
      <c r="AF400" s="119"/>
    </row>
    <row r="401" spans="1:32" x14ac:dyDescent="0.3">
      <c r="A401" s="118"/>
      <c r="C401" s="118"/>
      <c r="E401" s="118"/>
      <c r="G401" s="118"/>
      <c r="I401" s="118"/>
      <c r="J401" s="119"/>
      <c r="M401" s="118"/>
      <c r="O401" s="118"/>
      <c r="Q401" s="118"/>
      <c r="S401" s="118"/>
      <c r="U401" s="118"/>
      <c r="W401" s="118"/>
      <c r="Y401" s="118"/>
      <c r="AA401" s="118"/>
      <c r="AC401" s="118"/>
      <c r="AE401" s="118"/>
      <c r="AF401" s="119"/>
    </row>
    <row r="402" spans="1:32" x14ac:dyDescent="0.3">
      <c r="A402" s="118"/>
      <c r="C402" s="118"/>
      <c r="E402" s="118"/>
      <c r="G402" s="118"/>
      <c r="I402" s="118"/>
      <c r="J402" s="119"/>
      <c r="M402" s="118"/>
      <c r="O402" s="118"/>
      <c r="Q402" s="118"/>
      <c r="S402" s="118"/>
      <c r="U402" s="118"/>
      <c r="W402" s="118"/>
      <c r="Y402" s="118"/>
      <c r="AA402" s="118"/>
      <c r="AC402" s="118"/>
      <c r="AE402" s="118"/>
      <c r="AF402" s="119"/>
    </row>
    <row r="403" spans="1:32" x14ac:dyDescent="0.3">
      <c r="A403" s="118"/>
      <c r="C403" s="118"/>
      <c r="E403" s="118"/>
      <c r="G403" s="118"/>
      <c r="I403" s="118"/>
      <c r="J403" s="119"/>
      <c r="M403" s="118"/>
      <c r="O403" s="118"/>
      <c r="Q403" s="118"/>
      <c r="S403" s="118"/>
      <c r="U403" s="118"/>
      <c r="W403" s="118"/>
      <c r="Y403" s="118"/>
      <c r="AA403" s="118"/>
      <c r="AC403" s="118"/>
      <c r="AE403" s="118"/>
      <c r="AF403" s="119"/>
    </row>
    <row r="404" spans="1:32" x14ac:dyDescent="0.3">
      <c r="A404" s="118"/>
      <c r="C404" s="118"/>
      <c r="E404" s="118"/>
      <c r="G404" s="118"/>
      <c r="I404" s="118"/>
      <c r="J404" s="119"/>
      <c r="M404" s="118"/>
      <c r="O404" s="118"/>
      <c r="Q404" s="118"/>
      <c r="S404" s="118"/>
      <c r="U404" s="118"/>
      <c r="W404" s="118"/>
      <c r="Y404" s="118"/>
      <c r="AA404" s="118"/>
      <c r="AC404" s="118"/>
      <c r="AE404" s="118"/>
      <c r="AF404" s="119"/>
    </row>
    <row r="405" spans="1:32" x14ac:dyDescent="0.3">
      <c r="A405" s="118"/>
      <c r="C405" s="118"/>
      <c r="E405" s="118"/>
      <c r="G405" s="118"/>
      <c r="I405" s="118"/>
      <c r="J405" s="119"/>
      <c r="M405" s="118"/>
      <c r="O405" s="118"/>
      <c r="Q405" s="118"/>
      <c r="S405" s="118"/>
      <c r="U405" s="118"/>
      <c r="W405" s="118"/>
      <c r="Y405" s="118"/>
      <c r="AA405" s="118"/>
      <c r="AC405" s="118"/>
      <c r="AE405" s="118"/>
      <c r="AF405" s="119"/>
    </row>
    <row r="406" spans="1:32" x14ac:dyDescent="0.3">
      <c r="A406" s="118"/>
      <c r="C406" s="118"/>
      <c r="E406" s="118"/>
      <c r="G406" s="118"/>
      <c r="I406" s="118"/>
      <c r="J406" s="119"/>
      <c r="M406" s="118"/>
      <c r="O406" s="118"/>
      <c r="Q406" s="118"/>
      <c r="S406" s="118"/>
      <c r="U406" s="118"/>
      <c r="W406" s="118"/>
      <c r="Y406" s="118"/>
      <c r="AA406" s="118"/>
      <c r="AC406" s="118"/>
      <c r="AE406" s="118"/>
      <c r="AF406" s="119"/>
    </row>
    <row r="407" spans="1:32" x14ac:dyDescent="0.3">
      <c r="A407" s="118"/>
      <c r="C407" s="118"/>
      <c r="E407" s="118"/>
      <c r="G407" s="118"/>
      <c r="I407" s="118"/>
      <c r="J407" s="119"/>
      <c r="M407" s="118"/>
      <c r="O407" s="118"/>
      <c r="Q407" s="118"/>
      <c r="S407" s="118"/>
      <c r="U407" s="118"/>
      <c r="W407" s="118"/>
      <c r="Y407" s="118"/>
      <c r="AA407" s="118"/>
      <c r="AC407" s="118"/>
      <c r="AE407" s="118"/>
      <c r="AF407" s="119"/>
    </row>
    <row r="408" spans="1:32" x14ac:dyDescent="0.3">
      <c r="A408" s="118"/>
      <c r="C408" s="118"/>
      <c r="E408" s="118"/>
      <c r="G408" s="118"/>
      <c r="I408" s="118"/>
      <c r="J408" s="119"/>
      <c r="M408" s="118"/>
      <c r="O408" s="118"/>
      <c r="Q408" s="118"/>
      <c r="S408" s="118"/>
      <c r="U408" s="118"/>
      <c r="W408" s="118"/>
      <c r="Y408" s="118"/>
      <c r="AA408" s="118"/>
      <c r="AC408" s="118"/>
      <c r="AE408" s="118"/>
      <c r="AF408" s="119"/>
    </row>
    <row r="409" spans="1:32" x14ac:dyDescent="0.3">
      <c r="A409" s="118"/>
      <c r="C409" s="118"/>
      <c r="E409" s="118"/>
      <c r="G409" s="118"/>
      <c r="I409" s="118"/>
      <c r="J409" s="119"/>
      <c r="M409" s="118"/>
      <c r="O409" s="118"/>
      <c r="Q409" s="118"/>
      <c r="S409" s="118"/>
      <c r="U409" s="118"/>
      <c r="W409" s="118"/>
      <c r="Y409" s="118"/>
      <c r="AA409" s="118"/>
      <c r="AC409" s="118"/>
      <c r="AE409" s="118"/>
      <c r="AF409" s="119"/>
    </row>
    <row r="410" spans="1:32" x14ac:dyDescent="0.3">
      <c r="A410" s="118"/>
      <c r="C410" s="118"/>
      <c r="E410" s="118"/>
      <c r="G410" s="118"/>
      <c r="I410" s="118"/>
      <c r="J410" s="119"/>
      <c r="M410" s="118"/>
      <c r="O410" s="118"/>
      <c r="Q410" s="118"/>
      <c r="S410" s="118"/>
      <c r="U410" s="118"/>
      <c r="W410" s="118"/>
      <c r="Y410" s="118"/>
      <c r="AA410" s="118"/>
      <c r="AC410" s="118"/>
      <c r="AE410" s="118"/>
      <c r="AF410" s="119"/>
    </row>
    <row r="411" spans="1:32" x14ac:dyDescent="0.3">
      <c r="A411" s="118"/>
      <c r="C411" s="118"/>
      <c r="E411" s="118"/>
      <c r="G411" s="118"/>
      <c r="I411" s="118"/>
      <c r="J411" s="119"/>
      <c r="M411" s="118"/>
      <c r="O411" s="118"/>
      <c r="Q411" s="118"/>
      <c r="S411" s="118"/>
      <c r="U411" s="118"/>
      <c r="W411" s="118"/>
      <c r="Y411" s="118"/>
      <c r="AA411" s="118"/>
      <c r="AC411" s="118"/>
      <c r="AE411" s="118"/>
      <c r="AF411" s="119"/>
    </row>
    <row r="412" spans="1:32" x14ac:dyDescent="0.3">
      <c r="A412" s="118"/>
      <c r="C412" s="118"/>
      <c r="E412" s="118"/>
      <c r="G412" s="118"/>
      <c r="I412" s="118"/>
      <c r="J412" s="119"/>
      <c r="M412" s="118"/>
      <c r="O412" s="118"/>
      <c r="Q412" s="118"/>
      <c r="S412" s="118"/>
      <c r="U412" s="118"/>
      <c r="W412" s="118"/>
      <c r="Y412" s="118"/>
      <c r="AA412" s="118"/>
      <c r="AC412" s="118"/>
      <c r="AE412" s="118"/>
      <c r="AF412" s="119"/>
    </row>
    <row r="413" spans="1:32" x14ac:dyDescent="0.3">
      <c r="A413" s="118"/>
      <c r="C413" s="118"/>
      <c r="E413" s="118"/>
      <c r="G413" s="118"/>
      <c r="I413" s="118"/>
      <c r="J413" s="119"/>
      <c r="M413" s="118"/>
      <c r="O413" s="118"/>
      <c r="Q413" s="118"/>
      <c r="S413" s="118"/>
      <c r="U413" s="118"/>
      <c r="W413" s="118"/>
      <c r="Y413" s="118"/>
      <c r="AA413" s="118"/>
      <c r="AC413" s="118"/>
      <c r="AE413" s="118"/>
      <c r="AF413" s="119"/>
    </row>
    <row r="414" spans="1:32" x14ac:dyDescent="0.3">
      <c r="A414" s="118"/>
      <c r="C414" s="118"/>
      <c r="E414" s="118"/>
      <c r="G414" s="118"/>
      <c r="I414" s="118"/>
      <c r="J414" s="119"/>
      <c r="M414" s="118"/>
      <c r="O414" s="118"/>
      <c r="Q414" s="118"/>
      <c r="S414" s="118"/>
      <c r="U414" s="118"/>
      <c r="W414" s="118"/>
      <c r="Y414" s="118"/>
      <c r="AA414" s="118"/>
      <c r="AC414" s="118"/>
      <c r="AE414" s="118"/>
      <c r="AF414" s="119"/>
    </row>
    <row r="415" spans="1:32" x14ac:dyDescent="0.3">
      <c r="A415" s="118"/>
      <c r="C415" s="118"/>
      <c r="E415" s="118"/>
      <c r="G415" s="118"/>
      <c r="I415" s="118"/>
      <c r="J415" s="119"/>
      <c r="M415" s="118"/>
      <c r="O415" s="118"/>
      <c r="Q415" s="118"/>
      <c r="S415" s="118"/>
      <c r="U415" s="118"/>
      <c r="W415" s="118"/>
      <c r="Y415" s="118"/>
      <c r="AA415" s="118"/>
      <c r="AC415" s="118"/>
      <c r="AE415" s="118"/>
      <c r="AF415" s="119"/>
    </row>
    <row r="416" spans="1:32" x14ac:dyDescent="0.3">
      <c r="A416" s="118"/>
      <c r="C416" s="118"/>
      <c r="E416" s="118"/>
      <c r="G416" s="118"/>
      <c r="I416" s="118"/>
      <c r="J416" s="119"/>
      <c r="M416" s="118"/>
      <c r="O416" s="118"/>
      <c r="Q416" s="118"/>
      <c r="S416" s="118"/>
      <c r="U416" s="118"/>
      <c r="W416" s="118"/>
      <c r="Y416" s="118"/>
      <c r="AA416" s="118"/>
      <c r="AC416" s="118"/>
      <c r="AE416" s="118"/>
      <c r="AF416" s="119"/>
    </row>
    <row r="417" spans="1:32" x14ac:dyDescent="0.3">
      <c r="A417" s="118"/>
      <c r="C417" s="118"/>
      <c r="E417" s="118"/>
      <c r="G417" s="118"/>
      <c r="I417" s="118"/>
      <c r="J417" s="119"/>
      <c r="M417" s="118"/>
      <c r="O417" s="118"/>
      <c r="Q417" s="118"/>
      <c r="S417" s="118"/>
      <c r="U417" s="118"/>
      <c r="W417" s="118"/>
      <c r="Y417" s="118"/>
      <c r="AA417" s="118"/>
      <c r="AC417" s="118"/>
      <c r="AE417" s="118"/>
      <c r="AF417" s="119"/>
    </row>
    <row r="418" spans="1:32" x14ac:dyDescent="0.3">
      <c r="A418" s="118"/>
      <c r="C418" s="118"/>
      <c r="E418" s="118"/>
      <c r="G418" s="118"/>
      <c r="I418" s="118"/>
      <c r="J418" s="119"/>
      <c r="M418" s="118"/>
      <c r="O418" s="118"/>
      <c r="Q418" s="118"/>
      <c r="S418" s="118"/>
      <c r="U418" s="118"/>
      <c r="W418" s="118"/>
      <c r="Y418" s="118"/>
      <c r="AA418" s="118"/>
      <c r="AC418" s="118"/>
      <c r="AE418" s="118"/>
      <c r="AF418" s="119"/>
    </row>
    <row r="419" spans="1:32" x14ac:dyDescent="0.3">
      <c r="A419" s="118"/>
      <c r="C419" s="118"/>
      <c r="E419" s="118"/>
      <c r="G419" s="118"/>
      <c r="I419" s="118"/>
      <c r="J419" s="119"/>
      <c r="M419" s="118"/>
      <c r="O419" s="118"/>
      <c r="Q419" s="118"/>
      <c r="S419" s="118"/>
      <c r="U419" s="118"/>
      <c r="W419" s="118"/>
      <c r="Y419" s="118"/>
      <c r="AA419" s="118"/>
      <c r="AC419" s="118"/>
      <c r="AE419" s="118"/>
      <c r="AF419" s="119"/>
    </row>
    <row r="420" spans="1:32" x14ac:dyDescent="0.3">
      <c r="A420" s="118"/>
      <c r="C420" s="118"/>
      <c r="E420" s="118"/>
      <c r="G420" s="118"/>
      <c r="I420" s="118"/>
      <c r="J420" s="119"/>
      <c r="M420" s="118"/>
      <c r="O420" s="118"/>
      <c r="Q420" s="118"/>
      <c r="S420" s="118"/>
      <c r="U420" s="118"/>
      <c r="W420" s="118"/>
      <c r="Y420" s="118"/>
      <c r="AA420" s="118"/>
      <c r="AC420" s="118"/>
      <c r="AE420" s="118"/>
      <c r="AF420" s="119"/>
    </row>
    <row r="421" spans="1:32" x14ac:dyDescent="0.3">
      <c r="A421" s="118"/>
      <c r="C421" s="118"/>
      <c r="E421" s="118"/>
      <c r="G421" s="118"/>
      <c r="I421" s="118"/>
      <c r="J421" s="119"/>
      <c r="M421" s="118"/>
      <c r="O421" s="118"/>
      <c r="Q421" s="118"/>
      <c r="S421" s="118"/>
      <c r="U421" s="118"/>
      <c r="W421" s="118"/>
      <c r="Y421" s="118"/>
      <c r="AA421" s="118"/>
      <c r="AC421" s="118"/>
      <c r="AE421" s="118"/>
      <c r="AF421" s="119"/>
    </row>
    <row r="422" spans="1:32" x14ac:dyDescent="0.3">
      <c r="A422" s="118"/>
      <c r="C422" s="118"/>
      <c r="E422" s="118"/>
      <c r="G422" s="118"/>
      <c r="I422" s="118"/>
      <c r="J422" s="119"/>
      <c r="M422" s="118"/>
      <c r="O422" s="118"/>
      <c r="Q422" s="118"/>
      <c r="S422" s="118"/>
      <c r="U422" s="118"/>
      <c r="W422" s="118"/>
      <c r="Y422" s="118"/>
      <c r="AA422" s="118"/>
      <c r="AC422" s="118"/>
      <c r="AE422" s="118"/>
      <c r="AF422" s="119"/>
    </row>
    <row r="423" spans="1:32" x14ac:dyDescent="0.3">
      <c r="A423" s="118"/>
      <c r="C423" s="118"/>
      <c r="E423" s="118"/>
      <c r="G423" s="118"/>
      <c r="I423" s="118"/>
      <c r="J423" s="119"/>
      <c r="M423" s="118"/>
      <c r="O423" s="118"/>
      <c r="Q423" s="118"/>
      <c r="S423" s="118"/>
      <c r="U423" s="118"/>
      <c r="W423" s="118"/>
      <c r="Y423" s="118"/>
      <c r="AA423" s="118"/>
      <c r="AC423" s="118"/>
      <c r="AE423" s="118"/>
      <c r="AF423" s="119"/>
    </row>
    <row r="424" spans="1:32" x14ac:dyDescent="0.3">
      <c r="A424" s="118"/>
      <c r="C424" s="118"/>
      <c r="E424" s="118"/>
      <c r="G424" s="118"/>
      <c r="I424" s="118"/>
      <c r="J424" s="119"/>
      <c r="M424" s="118"/>
      <c r="O424" s="118"/>
      <c r="Q424" s="118"/>
      <c r="S424" s="118"/>
      <c r="U424" s="118"/>
      <c r="W424" s="118"/>
      <c r="Y424" s="118"/>
      <c r="AA424" s="118"/>
      <c r="AC424" s="118"/>
      <c r="AE424" s="118"/>
      <c r="AF424" s="119"/>
    </row>
    <row r="425" spans="1:32" x14ac:dyDescent="0.3">
      <c r="A425" s="118"/>
      <c r="C425" s="118"/>
      <c r="E425" s="118"/>
      <c r="G425" s="118"/>
      <c r="I425" s="118"/>
      <c r="J425" s="119"/>
      <c r="M425" s="118"/>
      <c r="O425" s="118"/>
      <c r="Q425" s="118"/>
      <c r="S425" s="118"/>
      <c r="U425" s="118"/>
      <c r="W425" s="118"/>
      <c r="Y425" s="118"/>
      <c r="AA425" s="118"/>
      <c r="AC425" s="118"/>
      <c r="AE425" s="118"/>
      <c r="AF425" s="119"/>
    </row>
    <row r="426" spans="1:32" x14ac:dyDescent="0.3">
      <c r="A426" s="118"/>
      <c r="C426" s="118"/>
      <c r="E426" s="118"/>
      <c r="G426" s="118"/>
      <c r="I426" s="118"/>
      <c r="J426" s="119"/>
      <c r="M426" s="118"/>
      <c r="O426" s="118"/>
      <c r="Q426" s="118"/>
      <c r="S426" s="118"/>
      <c r="U426" s="118"/>
      <c r="W426" s="118"/>
      <c r="Y426" s="118"/>
      <c r="AA426" s="118"/>
      <c r="AC426" s="118"/>
      <c r="AE426" s="118"/>
      <c r="AF426" s="119"/>
    </row>
    <row r="427" spans="1:32" x14ac:dyDescent="0.3">
      <c r="A427" s="118"/>
      <c r="C427" s="118"/>
      <c r="E427" s="118"/>
      <c r="G427" s="118"/>
      <c r="I427" s="118"/>
      <c r="J427" s="119"/>
      <c r="M427" s="118"/>
      <c r="O427" s="118"/>
      <c r="Q427" s="118"/>
      <c r="S427" s="118"/>
      <c r="U427" s="118"/>
      <c r="W427" s="118"/>
      <c r="Y427" s="118"/>
      <c r="AA427" s="118"/>
      <c r="AC427" s="118"/>
      <c r="AE427" s="118"/>
      <c r="AF427" s="119"/>
    </row>
    <row r="428" spans="1:32" x14ac:dyDescent="0.3">
      <c r="A428" s="118"/>
      <c r="C428" s="118"/>
      <c r="E428" s="118"/>
      <c r="G428" s="118"/>
      <c r="I428" s="118"/>
      <c r="J428" s="119"/>
      <c r="M428" s="118"/>
      <c r="O428" s="118"/>
      <c r="Q428" s="118"/>
      <c r="S428" s="118"/>
      <c r="U428" s="118"/>
      <c r="W428" s="118"/>
      <c r="Y428" s="118"/>
      <c r="AA428" s="118"/>
      <c r="AC428" s="118"/>
      <c r="AE428" s="118"/>
      <c r="AF428" s="119"/>
    </row>
    <row r="429" spans="1:32" x14ac:dyDescent="0.3">
      <c r="A429" s="118"/>
      <c r="C429" s="118"/>
      <c r="E429" s="118"/>
      <c r="G429" s="118"/>
      <c r="I429" s="118"/>
      <c r="J429" s="119"/>
      <c r="M429" s="118"/>
      <c r="O429" s="118"/>
      <c r="Q429" s="118"/>
      <c r="S429" s="118"/>
      <c r="U429" s="118"/>
      <c r="W429" s="118"/>
      <c r="Y429" s="118"/>
      <c r="AA429" s="118"/>
      <c r="AC429" s="118"/>
      <c r="AE429" s="118"/>
      <c r="AF429" s="119"/>
    </row>
    <row r="430" spans="1:32" x14ac:dyDescent="0.3">
      <c r="A430" s="118"/>
      <c r="C430" s="118"/>
      <c r="E430" s="118"/>
      <c r="G430" s="118"/>
      <c r="I430" s="118"/>
      <c r="J430" s="119"/>
      <c r="M430" s="118"/>
      <c r="O430" s="118"/>
      <c r="Q430" s="118"/>
      <c r="S430" s="118"/>
      <c r="U430" s="118"/>
      <c r="W430" s="118"/>
      <c r="Y430" s="118"/>
      <c r="AA430" s="118"/>
      <c r="AC430" s="118"/>
      <c r="AE430" s="118"/>
      <c r="AF430" s="119"/>
    </row>
    <row r="431" spans="1:32" x14ac:dyDescent="0.3">
      <c r="A431" s="118"/>
      <c r="C431" s="118"/>
      <c r="E431" s="118"/>
      <c r="G431" s="118"/>
      <c r="I431" s="118"/>
      <c r="J431" s="119"/>
      <c r="M431" s="118"/>
      <c r="O431" s="118"/>
      <c r="Q431" s="118"/>
      <c r="S431" s="118"/>
      <c r="U431" s="118"/>
      <c r="W431" s="118"/>
      <c r="Y431" s="118"/>
      <c r="AA431" s="118"/>
      <c r="AC431" s="118"/>
      <c r="AE431" s="118"/>
      <c r="AF431" s="119"/>
    </row>
    <row r="432" spans="1:32" x14ac:dyDescent="0.3">
      <c r="A432" s="118"/>
      <c r="C432" s="118"/>
      <c r="E432" s="118"/>
      <c r="G432" s="118"/>
      <c r="I432" s="118"/>
      <c r="J432" s="119"/>
      <c r="M432" s="118"/>
      <c r="O432" s="118"/>
      <c r="Q432" s="118"/>
      <c r="S432" s="118"/>
      <c r="U432" s="118"/>
      <c r="W432" s="118"/>
      <c r="Y432" s="118"/>
      <c r="AA432" s="118"/>
      <c r="AC432" s="118"/>
      <c r="AE432" s="118"/>
      <c r="AF432" s="119"/>
    </row>
    <row r="433" spans="1:32" x14ac:dyDescent="0.3">
      <c r="A433" s="118"/>
      <c r="C433" s="118"/>
      <c r="E433" s="118"/>
      <c r="G433" s="118"/>
      <c r="I433" s="118"/>
      <c r="J433" s="119"/>
      <c r="M433" s="118"/>
      <c r="O433" s="118"/>
      <c r="Q433" s="118"/>
      <c r="S433" s="118"/>
      <c r="U433" s="118"/>
      <c r="W433" s="118"/>
      <c r="Y433" s="118"/>
      <c r="AA433" s="118"/>
      <c r="AC433" s="118"/>
      <c r="AE433" s="118"/>
      <c r="AF433" s="119"/>
    </row>
    <row r="434" spans="1:32" x14ac:dyDescent="0.3">
      <c r="A434" s="118"/>
      <c r="C434" s="118"/>
      <c r="E434" s="118"/>
      <c r="G434" s="118"/>
      <c r="I434" s="118"/>
      <c r="J434" s="119"/>
      <c r="M434" s="118"/>
      <c r="O434" s="118"/>
      <c r="Q434" s="118"/>
      <c r="S434" s="118"/>
      <c r="U434" s="118"/>
      <c r="W434" s="118"/>
      <c r="Y434" s="118"/>
      <c r="AA434" s="118"/>
      <c r="AC434" s="118"/>
      <c r="AE434" s="118"/>
      <c r="AF434" s="119"/>
    </row>
    <row r="435" spans="1:32" x14ac:dyDescent="0.3">
      <c r="A435" s="118"/>
      <c r="C435" s="118"/>
      <c r="E435" s="118"/>
      <c r="G435" s="118"/>
      <c r="I435" s="118"/>
      <c r="J435" s="119"/>
      <c r="M435" s="118"/>
      <c r="O435" s="118"/>
      <c r="Q435" s="118"/>
      <c r="S435" s="118"/>
      <c r="U435" s="118"/>
      <c r="W435" s="118"/>
      <c r="Y435" s="118"/>
      <c r="AA435" s="118"/>
      <c r="AC435" s="118"/>
      <c r="AE435" s="118"/>
      <c r="AF435" s="119"/>
    </row>
    <row r="436" spans="1:32" x14ac:dyDescent="0.3">
      <c r="A436" s="118"/>
      <c r="C436" s="118"/>
      <c r="E436" s="118"/>
      <c r="G436" s="118"/>
      <c r="I436" s="118"/>
      <c r="J436" s="119"/>
      <c r="M436" s="118"/>
      <c r="O436" s="118"/>
      <c r="Q436" s="118"/>
      <c r="S436" s="118"/>
      <c r="U436" s="118"/>
      <c r="W436" s="118"/>
      <c r="Y436" s="118"/>
      <c r="AA436" s="118"/>
      <c r="AC436" s="118"/>
      <c r="AE436" s="118"/>
      <c r="AF436" s="119"/>
    </row>
    <row r="437" spans="1:32" x14ac:dyDescent="0.3">
      <c r="A437" s="118"/>
      <c r="C437" s="118"/>
      <c r="E437" s="118"/>
      <c r="G437" s="118"/>
      <c r="I437" s="118"/>
      <c r="J437" s="119"/>
      <c r="M437" s="118"/>
      <c r="O437" s="118"/>
      <c r="Q437" s="118"/>
      <c r="S437" s="118"/>
      <c r="U437" s="118"/>
      <c r="W437" s="118"/>
      <c r="Y437" s="118"/>
      <c r="AA437" s="118"/>
      <c r="AC437" s="118"/>
      <c r="AE437" s="118"/>
      <c r="AF437" s="119"/>
    </row>
    <row r="438" spans="1:32" x14ac:dyDescent="0.3">
      <c r="A438" s="118"/>
      <c r="C438" s="118"/>
      <c r="E438" s="118"/>
      <c r="G438" s="118"/>
      <c r="I438" s="118"/>
      <c r="J438" s="119"/>
      <c r="M438" s="118"/>
      <c r="O438" s="118"/>
      <c r="Q438" s="118"/>
      <c r="S438" s="118"/>
      <c r="U438" s="118"/>
      <c r="W438" s="118"/>
      <c r="Y438" s="118"/>
      <c r="AA438" s="118"/>
      <c r="AC438" s="118"/>
      <c r="AE438" s="118"/>
      <c r="AF438" s="119"/>
    </row>
    <row r="439" spans="1:32" x14ac:dyDescent="0.3">
      <c r="A439" s="118"/>
      <c r="C439" s="118"/>
      <c r="E439" s="118"/>
      <c r="G439" s="118"/>
      <c r="I439" s="118"/>
      <c r="J439" s="119"/>
      <c r="M439" s="118"/>
      <c r="O439" s="118"/>
      <c r="Q439" s="118"/>
      <c r="S439" s="118"/>
      <c r="U439" s="118"/>
      <c r="W439" s="118"/>
      <c r="Y439" s="118"/>
      <c r="AA439" s="118"/>
      <c r="AC439" s="118"/>
      <c r="AE439" s="118"/>
      <c r="AF439" s="119"/>
    </row>
    <row r="440" spans="1:32" x14ac:dyDescent="0.3">
      <c r="A440" s="118"/>
      <c r="C440" s="118"/>
      <c r="E440" s="118"/>
      <c r="G440" s="118"/>
      <c r="I440" s="118"/>
      <c r="J440" s="119"/>
      <c r="M440" s="118"/>
      <c r="O440" s="118"/>
      <c r="Q440" s="118"/>
      <c r="S440" s="118"/>
      <c r="U440" s="118"/>
      <c r="W440" s="118"/>
      <c r="Y440" s="118"/>
      <c r="AA440" s="118"/>
      <c r="AC440" s="118"/>
      <c r="AE440" s="118"/>
      <c r="AF440" s="119"/>
    </row>
    <row r="441" spans="1:32" x14ac:dyDescent="0.3">
      <c r="A441" s="118"/>
      <c r="C441" s="118"/>
      <c r="E441" s="118"/>
      <c r="G441" s="118"/>
      <c r="I441" s="118"/>
      <c r="J441" s="119"/>
      <c r="M441" s="118"/>
      <c r="O441" s="118"/>
      <c r="Q441" s="118"/>
      <c r="S441" s="118"/>
      <c r="U441" s="118"/>
      <c r="W441" s="118"/>
      <c r="Y441" s="118"/>
      <c r="AA441" s="118"/>
      <c r="AC441" s="118"/>
      <c r="AE441" s="118"/>
      <c r="AF441" s="119"/>
    </row>
    <row r="442" spans="1:32" x14ac:dyDescent="0.3">
      <c r="A442" s="118"/>
      <c r="C442" s="118"/>
      <c r="E442" s="118"/>
      <c r="G442" s="118"/>
      <c r="I442" s="118"/>
      <c r="J442" s="119"/>
      <c r="M442" s="118"/>
      <c r="O442" s="118"/>
      <c r="Q442" s="118"/>
      <c r="S442" s="118"/>
      <c r="U442" s="118"/>
      <c r="W442" s="118"/>
      <c r="Y442" s="118"/>
      <c r="AA442" s="118"/>
      <c r="AC442" s="118"/>
      <c r="AE442" s="118"/>
      <c r="AF442" s="119"/>
    </row>
    <row r="443" spans="1:32" x14ac:dyDescent="0.3">
      <c r="A443" s="118"/>
      <c r="C443" s="118"/>
      <c r="E443" s="118"/>
      <c r="G443" s="118"/>
      <c r="I443" s="118"/>
      <c r="J443" s="119"/>
      <c r="M443" s="118"/>
      <c r="O443" s="118"/>
      <c r="Q443" s="118"/>
      <c r="S443" s="118"/>
      <c r="U443" s="118"/>
      <c r="W443" s="118"/>
      <c r="Y443" s="118"/>
      <c r="AA443" s="118"/>
      <c r="AC443" s="118"/>
      <c r="AE443" s="118"/>
      <c r="AF443" s="119"/>
    </row>
    <row r="444" spans="1:32" x14ac:dyDescent="0.3">
      <c r="A444" s="118"/>
      <c r="C444" s="118"/>
      <c r="E444" s="118"/>
      <c r="G444" s="118"/>
      <c r="I444" s="118"/>
      <c r="J444" s="119"/>
      <c r="M444" s="118"/>
      <c r="O444" s="118"/>
      <c r="Q444" s="118"/>
      <c r="S444" s="118"/>
      <c r="U444" s="118"/>
      <c r="W444" s="118"/>
      <c r="Y444" s="118"/>
      <c r="AA444" s="118"/>
      <c r="AC444" s="118"/>
      <c r="AE444" s="118"/>
      <c r="AF444" s="119"/>
    </row>
    <row r="445" spans="1:32" x14ac:dyDescent="0.3">
      <c r="A445" s="118"/>
      <c r="C445" s="118"/>
      <c r="E445" s="118"/>
      <c r="G445" s="118"/>
      <c r="I445" s="118"/>
      <c r="J445" s="119"/>
      <c r="M445" s="118"/>
      <c r="O445" s="118"/>
      <c r="Q445" s="118"/>
      <c r="S445" s="118"/>
      <c r="U445" s="118"/>
      <c r="W445" s="118"/>
      <c r="Y445" s="118"/>
      <c r="AA445" s="118"/>
      <c r="AC445" s="118"/>
      <c r="AE445" s="118"/>
      <c r="AF445" s="119"/>
    </row>
    <row r="446" spans="1:32" x14ac:dyDescent="0.3">
      <c r="A446" s="118"/>
      <c r="C446" s="118"/>
      <c r="E446" s="118"/>
      <c r="G446" s="118"/>
      <c r="I446" s="118"/>
      <c r="J446" s="119"/>
      <c r="M446" s="118"/>
      <c r="O446" s="118"/>
      <c r="Q446" s="118"/>
      <c r="S446" s="118"/>
      <c r="U446" s="118"/>
      <c r="W446" s="118"/>
      <c r="Y446" s="118"/>
      <c r="AA446" s="118"/>
      <c r="AC446" s="118"/>
      <c r="AE446" s="118"/>
      <c r="AF446" s="119"/>
    </row>
    <row r="447" spans="1:32" x14ac:dyDescent="0.3">
      <c r="A447" s="118"/>
      <c r="C447" s="118"/>
      <c r="E447" s="118"/>
      <c r="G447" s="118"/>
      <c r="I447" s="118"/>
      <c r="J447" s="119"/>
      <c r="M447" s="118"/>
      <c r="O447" s="118"/>
      <c r="Q447" s="118"/>
      <c r="S447" s="118"/>
      <c r="U447" s="118"/>
      <c r="W447" s="118"/>
      <c r="Y447" s="118"/>
      <c r="AA447" s="118"/>
      <c r="AC447" s="118"/>
      <c r="AE447" s="118"/>
      <c r="AF447" s="119"/>
    </row>
    <row r="448" spans="1:32" x14ac:dyDescent="0.3">
      <c r="A448" s="118"/>
      <c r="C448" s="118"/>
      <c r="E448" s="118"/>
      <c r="G448" s="118"/>
      <c r="I448" s="118"/>
      <c r="J448" s="119"/>
      <c r="M448" s="118"/>
      <c r="O448" s="118"/>
      <c r="Q448" s="118"/>
      <c r="S448" s="118"/>
      <c r="U448" s="118"/>
      <c r="W448" s="118"/>
      <c r="Y448" s="118"/>
      <c r="AA448" s="118"/>
      <c r="AC448" s="118"/>
      <c r="AE448" s="118"/>
      <c r="AF448" s="119"/>
    </row>
    <row r="449" spans="1:32" x14ac:dyDescent="0.3">
      <c r="A449" s="118"/>
      <c r="C449" s="118"/>
      <c r="E449" s="118"/>
      <c r="G449" s="118"/>
      <c r="I449" s="118"/>
      <c r="J449" s="119"/>
      <c r="M449" s="118"/>
      <c r="O449" s="118"/>
      <c r="Q449" s="118"/>
      <c r="S449" s="118"/>
      <c r="U449" s="118"/>
      <c r="W449" s="118"/>
      <c r="Y449" s="118"/>
      <c r="AA449" s="118"/>
      <c r="AC449" s="118"/>
      <c r="AE449" s="118"/>
      <c r="AF449" s="119"/>
    </row>
    <row r="450" spans="1:32" x14ac:dyDescent="0.3">
      <c r="A450" s="118"/>
      <c r="C450" s="118"/>
      <c r="E450" s="118"/>
      <c r="G450" s="118"/>
      <c r="I450" s="118"/>
      <c r="J450" s="119"/>
      <c r="M450" s="118"/>
      <c r="O450" s="118"/>
      <c r="Q450" s="118"/>
      <c r="S450" s="118"/>
      <c r="U450" s="118"/>
      <c r="W450" s="118"/>
      <c r="Y450" s="118"/>
      <c r="AA450" s="118"/>
      <c r="AC450" s="118"/>
      <c r="AE450" s="118"/>
      <c r="AF450" s="119"/>
    </row>
    <row r="451" spans="1:32" x14ac:dyDescent="0.3">
      <c r="A451" s="118"/>
      <c r="C451" s="118"/>
      <c r="E451" s="118"/>
      <c r="G451" s="118"/>
      <c r="I451" s="118"/>
      <c r="J451" s="119"/>
      <c r="M451" s="118"/>
      <c r="O451" s="118"/>
      <c r="Q451" s="118"/>
      <c r="S451" s="118"/>
      <c r="U451" s="118"/>
      <c r="W451" s="118"/>
      <c r="Y451" s="118"/>
      <c r="AA451" s="118"/>
      <c r="AC451" s="118"/>
      <c r="AE451" s="118"/>
      <c r="AF451" s="119"/>
    </row>
    <row r="452" spans="1:32" x14ac:dyDescent="0.3">
      <c r="A452" s="118"/>
      <c r="C452" s="118"/>
      <c r="E452" s="118"/>
      <c r="G452" s="118"/>
      <c r="I452" s="118"/>
      <c r="J452" s="119"/>
      <c r="M452" s="118"/>
      <c r="O452" s="118"/>
      <c r="Q452" s="118"/>
      <c r="S452" s="118"/>
      <c r="U452" s="118"/>
      <c r="W452" s="118"/>
      <c r="Y452" s="118"/>
      <c r="AA452" s="118"/>
      <c r="AC452" s="118"/>
      <c r="AE452" s="118"/>
      <c r="AF452" s="119"/>
    </row>
    <row r="453" spans="1:32" x14ac:dyDescent="0.3">
      <c r="A453" s="118"/>
      <c r="C453" s="118"/>
      <c r="E453" s="118"/>
      <c r="G453" s="118"/>
      <c r="I453" s="118"/>
      <c r="J453" s="119"/>
      <c r="M453" s="118"/>
      <c r="O453" s="118"/>
      <c r="Q453" s="118"/>
      <c r="S453" s="118"/>
      <c r="U453" s="118"/>
      <c r="W453" s="118"/>
      <c r="Y453" s="118"/>
      <c r="AA453" s="118"/>
      <c r="AC453" s="118"/>
      <c r="AE453" s="118"/>
      <c r="AF453" s="119"/>
    </row>
    <row r="454" spans="1:32" x14ac:dyDescent="0.3">
      <c r="A454" s="118"/>
      <c r="C454" s="118"/>
      <c r="E454" s="118"/>
      <c r="G454" s="118"/>
      <c r="I454" s="118"/>
      <c r="J454" s="119"/>
      <c r="M454" s="118"/>
      <c r="O454" s="118"/>
      <c r="Q454" s="118"/>
      <c r="S454" s="118"/>
      <c r="U454" s="118"/>
      <c r="W454" s="118"/>
      <c r="Y454" s="118"/>
      <c r="AA454" s="118"/>
      <c r="AC454" s="118"/>
      <c r="AE454" s="118"/>
      <c r="AF454" s="119"/>
    </row>
    <row r="455" spans="1:32" x14ac:dyDescent="0.3">
      <c r="A455" s="118"/>
      <c r="C455" s="118"/>
      <c r="E455" s="118"/>
      <c r="G455" s="118"/>
      <c r="I455" s="118"/>
      <c r="J455" s="119"/>
      <c r="M455" s="118"/>
      <c r="O455" s="118"/>
      <c r="Q455" s="118"/>
      <c r="S455" s="118"/>
      <c r="U455" s="118"/>
      <c r="W455" s="118"/>
      <c r="Y455" s="118"/>
      <c r="AA455" s="118"/>
      <c r="AC455" s="118"/>
      <c r="AE455" s="118"/>
      <c r="AF455" s="119"/>
    </row>
    <row r="456" spans="1:32" x14ac:dyDescent="0.3">
      <c r="A456" s="118"/>
      <c r="C456" s="118"/>
      <c r="E456" s="118"/>
      <c r="G456" s="118"/>
      <c r="I456" s="118"/>
      <c r="J456" s="119"/>
      <c r="M456" s="118"/>
      <c r="O456" s="118"/>
      <c r="Q456" s="118"/>
      <c r="S456" s="118"/>
      <c r="U456" s="118"/>
      <c r="W456" s="118"/>
      <c r="Y456" s="118"/>
      <c r="AA456" s="118"/>
      <c r="AC456" s="118"/>
      <c r="AE456" s="118"/>
      <c r="AF456" s="119"/>
    </row>
    <row r="457" spans="1:32" x14ac:dyDescent="0.3">
      <c r="A457" s="118"/>
      <c r="C457" s="118"/>
      <c r="E457" s="118"/>
      <c r="G457" s="118"/>
      <c r="I457" s="118"/>
      <c r="J457" s="119"/>
      <c r="M457" s="118"/>
      <c r="O457" s="118"/>
      <c r="Q457" s="118"/>
      <c r="S457" s="118"/>
      <c r="U457" s="118"/>
      <c r="W457" s="118"/>
      <c r="Y457" s="118"/>
      <c r="AA457" s="118"/>
      <c r="AC457" s="118"/>
      <c r="AE457" s="118"/>
      <c r="AF457" s="119"/>
    </row>
    <row r="458" spans="1:32" x14ac:dyDescent="0.3">
      <c r="A458" s="118"/>
      <c r="C458" s="118"/>
      <c r="E458" s="118"/>
      <c r="G458" s="118"/>
      <c r="I458" s="118"/>
      <c r="J458" s="119"/>
      <c r="M458" s="118"/>
      <c r="O458" s="118"/>
      <c r="Q458" s="118"/>
      <c r="S458" s="118"/>
      <c r="U458" s="118"/>
      <c r="W458" s="118"/>
      <c r="Y458" s="118"/>
      <c r="AA458" s="118"/>
      <c r="AC458" s="118"/>
      <c r="AE458" s="118"/>
      <c r="AF458" s="119"/>
    </row>
    <row r="459" spans="1:32" x14ac:dyDescent="0.3">
      <c r="A459" s="118"/>
      <c r="C459" s="118"/>
      <c r="E459" s="118"/>
      <c r="G459" s="118"/>
      <c r="I459" s="118"/>
      <c r="J459" s="119"/>
      <c r="M459" s="118"/>
      <c r="O459" s="118"/>
      <c r="Q459" s="118"/>
      <c r="S459" s="118"/>
      <c r="U459" s="118"/>
      <c r="W459" s="118"/>
      <c r="Y459" s="118"/>
      <c r="AA459" s="118"/>
      <c r="AC459" s="118"/>
      <c r="AE459" s="118"/>
      <c r="AF459" s="119"/>
    </row>
    <row r="460" spans="1:32" x14ac:dyDescent="0.3">
      <c r="A460" s="118"/>
      <c r="C460" s="118"/>
      <c r="E460" s="118"/>
      <c r="G460" s="118"/>
      <c r="I460" s="118"/>
      <c r="J460" s="119"/>
      <c r="M460" s="118"/>
      <c r="O460" s="118"/>
      <c r="Q460" s="118"/>
      <c r="S460" s="118"/>
      <c r="U460" s="118"/>
      <c r="W460" s="118"/>
      <c r="Y460" s="118"/>
      <c r="AA460" s="118"/>
      <c r="AC460" s="118"/>
      <c r="AE460" s="118"/>
      <c r="AF460" s="119"/>
    </row>
    <row r="461" spans="1:32" x14ac:dyDescent="0.3">
      <c r="A461" s="118"/>
      <c r="C461" s="118"/>
      <c r="E461" s="118"/>
      <c r="G461" s="118"/>
      <c r="I461" s="118"/>
      <c r="J461" s="119"/>
      <c r="M461" s="118"/>
      <c r="O461" s="118"/>
      <c r="Q461" s="118"/>
      <c r="S461" s="118"/>
      <c r="U461" s="118"/>
      <c r="W461" s="118"/>
      <c r="Y461" s="118"/>
      <c r="AA461" s="118"/>
      <c r="AC461" s="118"/>
      <c r="AE461" s="118"/>
      <c r="AF461" s="119"/>
    </row>
    <row r="462" spans="1:32" x14ac:dyDescent="0.3">
      <c r="A462" s="118"/>
      <c r="C462" s="118"/>
      <c r="E462" s="118"/>
      <c r="G462" s="118"/>
      <c r="I462" s="118"/>
      <c r="J462" s="119"/>
      <c r="M462" s="118"/>
      <c r="O462" s="118"/>
      <c r="Q462" s="118"/>
      <c r="S462" s="118"/>
      <c r="U462" s="118"/>
      <c r="W462" s="118"/>
      <c r="Y462" s="118"/>
      <c r="AA462" s="118"/>
      <c r="AC462" s="118"/>
      <c r="AE462" s="118"/>
      <c r="AF462" s="119"/>
    </row>
    <row r="463" spans="1:32" x14ac:dyDescent="0.3">
      <c r="A463" s="118"/>
      <c r="C463" s="118"/>
      <c r="E463" s="118"/>
      <c r="G463" s="118"/>
      <c r="I463" s="118"/>
      <c r="J463" s="119"/>
      <c r="M463" s="118"/>
      <c r="O463" s="118"/>
      <c r="Q463" s="118"/>
      <c r="S463" s="118"/>
      <c r="U463" s="118"/>
      <c r="W463" s="118"/>
      <c r="Y463" s="118"/>
      <c r="AA463" s="118"/>
      <c r="AC463" s="118"/>
      <c r="AE463" s="118"/>
      <c r="AF463" s="119"/>
    </row>
    <row r="464" spans="1:32" x14ac:dyDescent="0.3">
      <c r="A464" s="118"/>
      <c r="C464" s="118"/>
      <c r="E464" s="118"/>
      <c r="G464" s="118"/>
      <c r="I464" s="118"/>
      <c r="J464" s="119"/>
      <c r="M464" s="118"/>
      <c r="O464" s="118"/>
      <c r="Q464" s="118"/>
      <c r="S464" s="118"/>
      <c r="U464" s="118"/>
      <c r="W464" s="118"/>
      <c r="Y464" s="118"/>
      <c r="AA464" s="118"/>
      <c r="AC464" s="118"/>
      <c r="AE464" s="118"/>
      <c r="AF464" s="119"/>
    </row>
    <row r="465" spans="1:32" x14ac:dyDescent="0.3">
      <c r="A465" s="118"/>
      <c r="C465" s="118"/>
      <c r="E465" s="118"/>
      <c r="G465" s="118"/>
      <c r="I465" s="118"/>
      <c r="J465" s="119"/>
      <c r="M465" s="118"/>
      <c r="O465" s="118"/>
      <c r="Q465" s="118"/>
      <c r="S465" s="118"/>
      <c r="U465" s="118"/>
      <c r="W465" s="118"/>
      <c r="Y465" s="118"/>
      <c r="AA465" s="118"/>
      <c r="AC465" s="118"/>
      <c r="AE465" s="118"/>
      <c r="AF465" s="119"/>
    </row>
    <row r="466" spans="1:32" x14ac:dyDescent="0.3">
      <c r="A466" s="118"/>
      <c r="C466" s="118"/>
      <c r="E466" s="118"/>
      <c r="G466" s="118"/>
      <c r="I466" s="118"/>
      <c r="J466" s="119"/>
      <c r="M466" s="118"/>
      <c r="O466" s="118"/>
      <c r="Q466" s="118"/>
      <c r="S466" s="118"/>
      <c r="U466" s="118"/>
      <c r="W466" s="118"/>
      <c r="Y466" s="118"/>
      <c r="AA466" s="118"/>
      <c r="AC466" s="118"/>
      <c r="AE466" s="118"/>
      <c r="AF466" s="119"/>
    </row>
    <row r="467" spans="1:32" x14ac:dyDescent="0.3">
      <c r="A467" s="118"/>
      <c r="C467" s="118"/>
      <c r="E467" s="118"/>
      <c r="G467" s="118"/>
      <c r="I467" s="118"/>
      <c r="J467" s="119"/>
      <c r="M467" s="118"/>
      <c r="O467" s="118"/>
      <c r="Q467" s="118"/>
      <c r="S467" s="118"/>
      <c r="U467" s="118"/>
      <c r="W467" s="118"/>
      <c r="Y467" s="118"/>
      <c r="AA467" s="118"/>
      <c r="AC467" s="118"/>
      <c r="AE467" s="118"/>
      <c r="AF467" s="119"/>
    </row>
    <row r="468" spans="1:32" x14ac:dyDescent="0.3">
      <c r="A468" s="118"/>
      <c r="C468" s="118"/>
      <c r="E468" s="118"/>
      <c r="G468" s="118"/>
      <c r="I468" s="118"/>
      <c r="J468" s="119"/>
      <c r="M468" s="118"/>
      <c r="O468" s="118"/>
      <c r="Q468" s="118"/>
      <c r="S468" s="118"/>
      <c r="U468" s="118"/>
      <c r="W468" s="118"/>
      <c r="Y468" s="118"/>
      <c r="AA468" s="118"/>
      <c r="AC468" s="118"/>
      <c r="AE468" s="118"/>
      <c r="AF468" s="119"/>
    </row>
    <row r="469" spans="1:32" x14ac:dyDescent="0.3">
      <c r="A469" s="118"/>
      <c r="C469" s="118"/>
      <c r="E469" s="118"/>
      <c r="G469" s="118"/>
      <c r="I469" s="118"/>
      <c r="J469" s="119"/>
      <c r="M469" s="118"/>
      <c r="O469" s="118"/>
      <c r="Q469" s="118"/>
      <c r="S469" s="118"/>
      <c r="U469" s="118"/>
      <c r="W469" s="118"/>
      <c r="Y469" s="118"/>
      <c r="AA469" s="118"/>
      <c r="AC469" s="118"/>
      <c r="AE469" s="118"/>
      <c r="AF469" s="119"/>
    </row>
    <row r="470" spans="1:32" x14ac:dyDescent="0.3">
      <c r="A470" s="118"/>
      <c r="C470" s="118"/>
      <c r="E470" s="118"/>
      <c r="G470" s="118"/>
      <c r="I470" s="118"/>
      <c r="J470" s="119"/>
      <c r="M470" s="118"/>
      <c r="O470" s="118"/>
      <c r="Q470" s="118"/>
      <c r="S470" s="118"/>
      <c r="U470" s="118"/>
      <c r="W470" s="118"/>
      <c r="Y470" s="118"/>
      <c r="AA470" s="118"/>
      <c r="AC470" s="118"/>
      <c r="AE470" s="118"/>
      <c r="AF470" s="119"/>
    </row>
    <row r="471" spans="1:32" x14ac:dyDescent="0.3">
      <c r="A471" s="118"/>
      <c r="C471" s="118"/>
      <c r="E471" s="118"/>
      <c r="G471" s="118"/>
      <c r="I471" s="118"/>
      <c r="J471" s="119"/>
      <c r="M471" s="118"/>
      <c r="O471" s="118"/>
      <c r="Q471" s="118"/>
      <c r="S471" s="118"/>
      <c r="U471" s="118"/>
      <c r="W471" s="118"/>
      <c r="Y471" s="118"/>
      <c r="AA471" s="118"/>
      <c r="AC471" s="118"/>
      <c r="AE471" s="118"/>
      <c r="AF471" s="119"/>
    </row>
    <row r="472" spans="1:32" x14ac:dyDescent="0.3">
      <c r="A472" s="118"/>
      <c r="C472" s="118"/>
      <c r="E472" s="118"/>
      <c r="G472" s="118"/>
      <c r="I472" s="118"/>
      <c r="J472" s="119"/>
      <c r="M472" s="118"/>
      <c r="O472" s="118"/>
      <c r="Q472" s="118"/>
      <c r="S472" s="118"/>
      <c r="U472" s="118"/>
      <c r="W472" s="118"/>
      <c r="Y472" s="118"/>
      <c r="AA472" s="118"/>
      <c r="AC472" s="118"/>
      <c r="AE472" s="118"/>
      <c r="AF472" s="119"/>
    </row>
    <row r="473" spans="1:32" x14ac:dyDescent="0.3">
      <c r="A473" s="118"/>
      <c r="C473" s="118"/>
      <c r="E473" s="118"/>
      <c r="G473" s="118"/>
      <c r="I473" s="118"/>
      <c r="J473" s="119"/>
      <c r="M473" s="118"/>
      <c r="O473" s="118"/>
      <c r="Q473" s="118"/>
      <c r="S473" s="118"/>
      <c r="U473" s="118"/>
      <c r="W473" s="118"/>
      <c r="Y473" s="118"/>
      <c r="AA473" s="118"/>
      <c r="AC473" s="118"/>
      <c r="AE473" s="118"/>
      <c r="AF473" s="119"/>
    </row>
    <row r="474" spans="1:32" x14ac:dyDescent="0.3">
      <c r="A474" s="118"/>
      <c r="C474" s="118"/>
      <c r="E474" s="118"/>
      <c r="G474" s="118"/>
      <c r="I474" s="118"/>
      <c r="J474" s="119"/>
      <c r="M474" s="118"/>
      <c r="O474" s="118"/>
      <c r="Q474" s="118"/>
      <c r="S474" s="118"/>
      <c r="U474" s="118"/>
      <c r="W474" s="118"/>
      <c r="Y474" s="118"/>
      <c r="AA474" s="118"/>
      <c r="AC474" s="118"/>
      <c r="AE474" s="118"/>
      <c r="AF474" s="119"/>
    </row>
    <row r="475" spans="1:32" x14ac:dyDescent="0.3">
      <c r="A475" s="118"/>
      <c r="C475" s="118"/>
      <c r="E475" s="118"/>
      <c r="G475" s="118"/>
      <c r="I475" s="118"/>
      <c r="J475" s="119"/>
      <c r="M475" s="118"/>
      <c r="O475" s="118"/>
      <c r="Q475" s="118"/>
      <c r="S475" s="118"/>
      <c r="U475" s="118"/>
      <c r="W475" s="118"/>
      <c r="Y475" s="118"/>
      <c r="AA475" s="118"/>
      <c r="AC475" s="118"/>
      <c r="AE475" s="118"/>
      <c r="AF475" s="119"/>
    </row>
    <row r="476" spans="1:32" x14ac:dyDescent="0.3">
      <c r="A476" s="118"/>
      <c r="C476" s="118"/>
      <c r="E476" s="118"/>
      <c r="G476" s="118"/>
      <c r="I476" s="118"/>
      <c r="J476" s="119"/>
      <c r="M476" s="118"/>
      <c r="O476" s="118"/>
      <c r="Q476" s="118"/>
      <c r="S476" s="118"/>
      <c r="U476" s="118"/>
      <c r="W476" s="118"/>
      <c r="Y476" s="118"/>
      <c r="AA476" s="118"/>
      <c r="AC476" s="118"/>
      <c r="AE476" s="118"/>
      <c r="AF476" s="119"/>
    </row>
    <row r="477" spans="1:32" x14ac:dyDescent="0.3">
      <c r="A477" s="118"/>
      <c r="C477" s="118"/>
      <c r="E477" s="118"/>
      <c r="G477" s="118"/>
      <c r="I477" s="118"/>
      <c r="J477" s="119"/>
      <c r="M477" s="118"/>
      <c r="O477" s="118"/>
      <c r="Q477" s="118"/>
      <c r="S477" s="118"/>
      <c r="U477" s="118"/>
      <c r="W477" s="118"/>
      <c r="Y477" s="118"/>
      <c r="AA477" s="118"/>
      <c r="AC477" s="118"/>
      <c r="AE477" s="118"/>
      <c r="AF477" s="119"/>
    </row>
    <row r="478" spans="1:32" x14ac:dyDescent="0.3">
      <c r="A478" s="118"/>
      <c r="C478" s="118"/>
      <c r="E478" s="118"/>
      <c r="G478" s="118"/>
      <c r="I478" s="118"/>
      <c r="J478" s="119"/>
      <c r="M478" s="118"/>
      <c r="O478" s="118"/>
      <c r="Q478" s="118"/>
      <c r="S478" s="118"/>
      <c r="U478" s="118"/>
      <c r="W478" s="118"/>
      <c r="Y478" s="118"/>
      <c r="AA478" s="118"/>
      <c r="AC478" s="118"/>
      <c r="AE478" s="118"/>
      <c r="AF478" s="119"/>
    </row>
    <row r="479" spans="1:32" x14ac:dyDescent="0.3">
      <c r="A479" s="118"/>
      <c r="C479" s="118"/>
      <c r="E479" s="118"/>
      <c r="G479" s="118"/>
      <c r="I479" s="118"/>
      <c r="J479" s="119"/>
      <c r="M479" s="118"/>
      <c r="O479" s="118"/>
      <c r="Q479" s="118"/>
      <c r="S479" s="118"/>
      <c r="U479" s="118"/>
      <c r="W479" s="118"/>
      <c r="Y479" s="118"/>
      <c r="AA479" s="118"/>
      <c r="AC479" s="118"/>
      <c r="AE479" s="118"/>
      <c r="AF479" s="119"/>
    </row>
    <row r="480" spans="1:32" x14ac:dyDescent="0.3">
      <c r="A480" s="118"/>
      <c r="C480" s="118"/>
      <c r="E480" s="118"/>
      <c r="G480" s="118"/>
      <c r="I480" s="118"/>
      <c r="J480" s="119"/>
      <c r="M480" s="118"/>
      <c r="O480" s="118"/>
      <c r="Q480" s="118"/>
      <c r="S480" s="118"/>
      <c r="U480" s="118"/>
      <c r="W480" s="118"/>
      <c r="Y480" s="118"/>
      <c r="AA480" s="118"/>
      <c r="AC480" s="118"/>
      <c r="AE480" s="118"/>
      <c r="AF480" s="119"/>
    </row>
    <row r="481" spans="1:32" x14ac:dyDescent="0.3">
      <c r="A481" s="118"/>
      <c r="C481" s="118"/>
      <c r="E481" s="118"/>
      <c r="G481" s="118"/>
      <c r="I481" s="118"/>
      <c r="J481" s="119"/>
      <c r="M481" s="118"/>
      <c r="O481" s="118"/>
      <c r="Q481" s="118"/>
      <c r="S481" s="118"/>
      <c r="U481" s="118"/>
      <c r="W481" s="118"/>
      <c r="Y481" s="118"/>
      <c r="AA481" s="118"/>
      <c r="AC481" s="118"/>
      <c r="AE481" s="118"/>
      <c r="AF481" s="119"/>
    </row>
    <row r="482" spans="1:32" x14ac:dyDescent="0.3">
      <c r="A482" s="118"/>
      <c r="C482" s="118"/>
      <c r="E482" s="118"/>
      <c r="G482" s="118"/>
      <c r="I482" s="118"/>
      <c r="J482" s="119"/>
      <c r="M482" s="118"/>
      <c r="O482" s="118"/>
      <c r="Q482" s="118"/>
      <c r="S482" s="118"/>
      <c r="U482" s="118"/>
      <c r="W482" s="118"/>
      <c r="Y482" s="118"/>
      <c r="AA482" s="118"/>
      <c r="AC482" s="118"/>
      <c r="AE482" s="118"/>
      <c r="AF482" s="119"/>
    </row>
    <row r="483" spans="1:32" x14ac:dyDescent="0.3">
      <c r="A483" s="118"/>
      <c r="C483" s="118"/>
      <c r="E483" s="118"/>
      <c r="G483" s="118"/>
      <c r="I483" s="118"/>
      <c r="J483" s="119"/>
      <c r="M483" s="118"/>
      <c r="O483" s="118"/>
      <c r="Q483" s="118"/>
      <c r="S483" s="118"/>
      <c r="U483" s="118"/>
      <c r="W483" s="118"/>
      <c r="Y483" s="118"/>
      <c r="AA483" s="118"/>
      <c r="AC483" s="118"/>
      <c r="AE483" s="118"/>
      <c r="AF483" s="119"/>
    </row>
    <row r="484" spans="1:32" x14ac:dyDescent="0.3">
      <c r="A484" s="118"/>
      <c r="C484" s="118"/>
      <c r="E484" s="118"/>
      <c r="G484" s="118"/>
      <c r="I484" s="118"/>
      <c r="J484" s="119"/>
      <c r="M484" s="118"/>
      <c r="O484" s="118"/>
      <c r="Q484" s="118"/>
      <c r="S484" s="118"/>
      <c r="U484" s="118"/>
      <c r="W484" s="118"/>
      <c r="Y484" s="118"/>
      <c r="AA484" s="118"/>
      <c r="AC484" s="118"/>
      <c r="AE484" s="118"/>
      <c r="AF484" s="119"/>
    </row>
    <row r="485" spans="1:32" x14ac:dyDescent="0.3">
      <c r="A485" s="118"/>
      <c r="C485" s="118"/>
      <c r="E485" s="118"/>
      <c r="G485" s="118"/>
      <c r="I485" s="118"/>
      <c r="J485" s="119"/>
      <c r="M485" s="118"/>
      <c r="O485" s="118"/>
      <c r="Q485" s="118"/>
      <c r="S485" s="118"/>
      <c r="U485" s="118"/>
      <c r="W485" s="118"/>
      <c r="Y485" s="118"/>
      <c r="AA485" s="118"/>
      <c r="AC485" s="118"/>
      <c r="AE485" s="118"/>
      <c r="AF485" s="119"/>
    </row>
    <row r="486" spans="1:32" x14ac:dyDescent="0.3">
      <c r="A486" s="118"/>
      <c r="C486" s="118"/>
      <c r="E486" s="118"/>
      <c r="G486" s="118"/>
      <c r="I486" s="118"/>
      <c r="J486" s="119"/>
      <c r="M486" s="118"/>
      <c r="O486" s="118"/>
      <c r="Q486" s="118"/>
      <c r="S486" s="118"/>
      <c r="U486" s="118"/>
      <c r="W486" s="118"/>
      <c r="Y486" s="118"/>
      <c r="AA486" s="118"/>
      <c r="AC486" s="118"/>
      <c r="AE486" s="118"/>
      <c r="AF486" s="119"/>
    </row>
    <row r="487" spans="1:32" x14ac:dyDescent="0.3">
      <c r="A487" s="118"/>
      <c r="C487" s="118"/>
      <c r="E487" s="118"/>
      <c r="G487" s="118"/>
      <c r="I487" s="118"/>
      <c r="J487" s="119"/>
      <c r="M487" s="118"/>
      <c r="O487" s="118"/>
      <c r="Q487" s="118"/>
      <c r="S487" s="118"/>
      <c r="U487" s="118"/>
      <c r="W487" s="118"/>
      <c r="Y487" s="118"/>
      <c r="AA487" s="118"/>
      <c r="AC487" s="118"/>
      <c r="AE487" s="118"/>
      <c r="AF487" s="119"/>
    </row>
    <row r="488" spans="1:32" x14ac:dyDescent="0.3">
      <c r="A488" s="118"/>
      <c r="C488" s="118"/>
      <c r="E488" s="118"/>
      <c r="G488" s="118"/>
      <c r="I488" s="118"/>
      <c r="J488" s="119"/>
      <c r="M488" s="118"/>
      <c r="O488" s="118"/>
      <c r="Q488" s="118"/>
      <c r="S488" s="118"/>
      <c r="U488" s="118"/>
      <c r="W488" s="118"/>
      <c r="Y488" s="118"/>
      <c r="AA488" s="118"/>
      <c r="AC488" s="118"/>
      <c r="AE488" s="118"/>
      <c r="AF488" s="119"/>
    </row>
    <row r="489" spans="1:32" x14ac:dyDescent="0.3">
      <c r="A489" s="118"/>
      <c r="C489" s="118"/>
      <c r="E489" s="118"/>
      <c r="G489" s="118"/>
      <c r="I489" s="118"/>
      <c r="J489" s="119"/>
      <c r="M489" s="118"/>
      <c r="O489" s="118"/>
      <c r="Q489" s="118"/>
      <c r="S489" s="118"/>
      <c r="U489" s="118"/>
      <c r="W489" s="118"/>
      <c r="Y489" s="118"/>
      <c r="AA489" s="118"/>
      <c r="AC489" s="118"/>
      <c r="AE489" s="118"/>
      <c r="AF489" s="119"/>
    </row>
    <row r="490" spans="1:32" x14ac:dyDescent="0.3">
      <c r="A490" s="118"/>
      <c r="C490" s="118"/>
      <c r="E490" s="118"/>
      <c r="G490" s="118"/>
      <c r="I490" s="118"/>
      <c r="J490" s="119"/>
      <c r="M490" s="118"/>
      <c r="O490" s="118"/>
      <c r="Q490" s="118"/>
      <c r="S490" s="118"/>
      <c r="U490" s="118"/>
      <c r="W490" s="118"/>
      <c r="Y490" s="118"/>
      <c r="AA490" s="118"/>
      <c r="AC490" s="118"/>
      <c r="AE490" s="118"/>
      <c r="AF490" s="119"/>
    </row>
    <row r="491" spans="1:32" x14ac:dyDescent="0.3">
      <c r="A491" s="118"/>
      <c r="C491" s="118"/>
      <c r="E491" s="118"/>
      <c r="G491" s="118"/>
      <c r="I491" s="118"/>
      <c r="J491" s="119"/>
      <c r="M491" s="118"/>
      <c r="O491" s="118"/>
      <c r="Q491" s="118"/>
      <c r="S491" s="118"/>
      <c r="U491" s="118"/>
      <c r="W491" s="118"/>
      <c r="Y491" s="118"/>
      <c r="AA491" s="118"/>
      <c r="AC491" s="118"/>
      <c r="AE491" s="118"/>
      <c r="AF491" s="119"/>
    </row>
    <row r="492" spans="1:32" x14ac:dyDescent="0.3">
      <c r="A492" s="118"/>
      <c r="C492" s="118"/>
      <c r="E492" s="118"/>
      <c r="G492" s="118"/>
      <c r="I492" s="118"/>
      <c r="J492" s="119"/>
      <c r="M492" s="118"/>
      <c r="O492" s="118"/>
      <c r="Q492" s="118"/>
      <c r="S492" s="118"/>
      <c r="U492" s="118"/>
      <c r="W492" s="118"/>
      <c r="Y492" s="118"/>
      <c r="AA492" s="118"/>
      <c r="AC492" s="118"/>
      <c r="AE492" s="118"/>
      <c r="AF492" s="119"/>
    </row>
    <row r="493" spans="1:32" x14ac:dyDescent="0.3">
      <c r="A493" s="118"/>
      <c r="C493" s="118"/>
      <c r="E493" s="118"/>
      <c r="G493" s="118"/>
      <c r="I493" s="118"/>
      <c r="J493" s="119"/>
      <c r="M493" s="118"/>
      <c r="O493" s="118"/>
      <c r="Q493" s="118"/>
      <c r="S493" s="118"/>
      <c r="U493" s="118"/>
      <c r="W493" s="118"/>
      <c r="Y493" s="118"/>
      <c r="AA493" s="118"/>
      <c r="AC493" s="118"/>
      <c r="AE493" s="118"/>
      <c r="AF493" s="119"/>
    </row>
    <row r="494" spans="1:32" x14ac:dyDescent="0.3">
      <c r="A494" s="118"/>
      <c r="C494" s="118"/>
      <c r="E494" s="118"/>
      <c r="G494" s="118"/>
      <c r="I494" s="118"/>
      <c r="J494" s="119"/>
      <c r="M494" s="118"/>
      <c r="O494" s="118"/>
      <c r="Q494" s="118"/>
      <c r="S494" s="118"/>
      <c r="U494" s="118"/>
      <c r="W494" s="118"/>
      <c r="Y494" s="118"/>
      <c r="AA494" s="118"/>
      <c r="AC494" s="118"/>
      <c r="AE494" s="118"/>
      <c r="AF494" s="119"/>
    </row>
    <row r="495" spans="1:32" x14ac:dyDescent="0.3">
      <c r="A495" s="118"/>
      <c r="C495" s="118"/>
      <c r="E495" s="118"/>
      <c r="G495" s="118"/>
      <c r="I495" s="118"/>
      <c r="J495" s="119"/>
      <c r="M495" s="118"/>
      <c r="O495" s="118"/>
      <c r="Q495" s="118"/>
      <c r="S495" s="118"/>
      <c r="U495" s="118"/>
      <c r="W495" s="118"/>
      <c r="Y495" s="118"/>
      <c r="AA495" s="118"/>
      <c r="AC495" s="118"/>
      <c r="AE495" s="118"/>
      <c r="AF495" s="119"/>
    </row>
    <row r="496" spans="1:32" x14ac:dyDescent="0.3">
      <c r="A496" s="118"/>
      <c r="C496" s="118"/>
      <c r="E496" s="118"/>
      <c r="G496" s="118"/>
      <c r="I496" s="118"/>
      <c r="J496" s="119"/>
      <c r="M496" s="118"/>
      <c r="O496" s="118"/>
      <c r="Q496" s="118"/>
      <c r="S496" s="118"/>
      <c r="U496" s="118"/>
      <c r="W496" s="118"/>
      <c r="Y496" s="118"/>
      <c r="AA496" s="118"/>
      <c r="AC496" s="118"/>
      <c r="AE496" s="118"/>
      <c r="AF496" s="119"/>
    </row>
    <row r="497" spans="1:32" x14ac:dyDescent="0.3">
      <c r="A497" s="118"/>
      <c r="C497" s="118"/>
      <c r="E497" s="118"/>
      <c r="G497" s="118"/>
      <c r="I497" s="118"/>
      <c r="J497" s="119"/>
      <c r="M497" s="118"/>
      <c r="O497" s="118"/>
      <c r="Q497" s="118"/>
      <c r="S497" s="118"/>
      <c r="U497" s="118"/>
      <c r="W497" s="118"/>
      <c r="Y497" s="118"/>
      <c r="AA497" s="118"/>
      <c r="AC497" s="118"/>
      <c r="AE497" s="118"/>
      <c r="AF497" s="119"/>
    </row>
    <row r="498" spans="1:32" x14ac:dyDescent="0.3">
      <c r="A498" s="118"/>
      <c r="C498" s="118"/>
      <c r="E498" s="118"/>
      <c r="G498" s="118"/>
      <c r="I498" s="118"/>
      <c r="J498" s="119"/>
      <c r="M498" s="118"/>
      <c r="O498" s="118"/>
      <c r="Q498" s="118"/>
      <c r="S498" s="118"/>
      <c r="U498" s="118"/>
      <c r="W498" s="118"/>
      <c r="Y498" s="118"/>
      <c r="AA498" s="118"/>
      <c r="AC498" s="118"/>
      <c r="AE498" s="118"/>
      <c r="AF498" s="119"/>
    </row>
    <row r="499" spans="1:32" x14ac:dyDescent="0.3">
      <c r="A499" s="118"/>
      <c r="C499" s="118"/>
      <c r="E499" s="118"/>
      <c r="G499" s="118"/>
      <c r="I499" s="118"/>
      <c r="J499" s="119"/>
      <c r="M499" s="118"/>
      <c r="O499" s="118"/>
      <c r="Q499" s="118"/>
      <c r="S499" s="118"/>
      <c r="U499" s="118"/>
      <c r="W499" s="118"/>
      <c r="Y499" s="118"/>
      <c r="AA499" s="118"/>
      <c r="AC499" s="118"/>
      <c r="AE499" s="118"/>
      <c r="AF499" s="119"/>
    </row>
    <row r="500" spans="1:32" x14ac:dyDescent="0.3">
      <c r="A500" s="118"/>
      <c r="C500" s="118"/>
      <c r="E500" s="118"/>
      <c r="G500" s="118"/>
      <c r="I500" s="118"/>
      <c r="J500" s="119"/>
      <c r="M500" s="118"/>
      <c r="O500" s="118"/>
      <c r="Q500" s="118"/>
      <c r="S500" s="118"/>
      <c r="U500" s="118"/>
      <c r="W500" s="118"/>
      <c r="Y500" s="118"/>
      <c r="AA500" s="118"/>
      <c r="AC500" s="118"/>
      <c r="AE500" s="118"/>
      <c r="AF500" s="119"/>
    </row>
    <row r="501" spans="1:32" x14ac:dyDescent="0.3">
      <c r="A501" s="118"/>
      <c r="C501" s="118"/>
      <c r="E501" s="118"/>
      <c r="G501" s="118"/>
      <c r="I501" s="118"/>
      <c r="J501" s="119"/>
      <c r="M501" s="118"/>
      <c r="O501" s="118"/>
      <c r="Q501" s="118"/>
      <c r="S501" s="118"/>
      <c r="U501" s="118"/>
      <c r="W501" s="118"/>
      <c r="Y501" s="118"/>
      <c r="AA501" s="118"/>
      <c r="AC501" s="118"/>
      <c r="AE501" s="118"/>
      <c r="AF501" s="119"/>
    </row>
    <row r="502" spans="1:32" x14ac:dyDescent="0.3">
      <c r="A502" s="118"/>
      <c r="C502" s="118"/>
      <c r="E502" s="118"/>
      <c r="G502" s="118"/>
      <c r="I502" s="118"/>
      <c r="J502" s="119"/>
      <c r="M502" s="118"/>
      <c r="O502" s="118"/>
      <c r="Q502" s="118"/>
      <c r="S502" s="118"/>
      <c r="U502" s="118"/>
      <c r="W502" s="118"/>
      <c r="Y502" s="118"/>
      <c r="AA502" s="118"/>
      <c r="AC502" s="118"/>
      <c r="AE502" s="118"/>
      <c r="AF502" s="119"/>
    </row>
    <row r="503" spans="1:32" x14ac:dyDescent="0.3">
      <c r="A503" s="118"/>
      <c r="C503" s="118"/>
      <c r="E503" s="118"/>
      <c r="G503" s="118"/>
      <c r="I503" s="118"/>
      <c r="J503" s="119"/>
      <c r="M503" s="118"/>
      <c r="O503" s="118"/>
      <c r="Q503" s="118"/>
      <c r="S503" s="118"/>
      <c r="U503" s="118"/>
      <c r="W503" s="118"/>
      <c r="Y503" s="118"/>
      <c r="AA503" s="118"/>
      <c r="AC503" s="118"/>
      <c r="AE503" s="118"/>
      <c r="AF503" s="119"/>
    </row>
    <row r="504" spans="1:32" x14ac:dyDescent="0.3">
      <c r="A504" s="118"/>
      <c r="C504" s="118"/>
      <c r="E504" s="118"/>
      <c r="G504" s="118"/>
      <c r="I504" s="118"/>
      <c r="J504" s="119"/>
      <c r="M504" s="118"/>
      <c r="O504" s="118"/>
      <c r="Q504" s="118"/>
      <c r="S504" s="118"/>
      <c r="U504" s="118"/>
      <c r="W504" s="118"/>
      <c r="Y504" s="118"/>
      <c r="AA504" s="118"/>
      <c r="AC504" s="118"/>
      <c r="AE504" s="118"/>
      <c r="AF504" s="119"/>
    </row>
    <row r="505" spans="1:32" x14ac:dyDescent="0.3">
      <c r="A505" s="118"/>
      <c r="C505" s="118"/>
      <c r="E505" s="118"/>
      <c r="G505" s="118"/>
      <c r="I505" s="118"/>
      <c r="J505" s="119"/>
      <c r="M505" s="118"/>
      <c r="O505" s="118"/>
      <c r="Q505" s="118"/>
      <c r="S505" s="118"/>
      <c r="U505" s="118"/>
      <c r="W505" s="118"/>
      <c r="Y505" s="118"/>
      <c r="AA505" s="118"/>
      <c r="AC505" s="118"/>
      <c r="AE505" s="118"/>
      <c r="AF505" s="119"/>
    </row>
    <row r="506" spans="1:32" x14ac:dyDescent="0.3">
      <c r="A506" s="118"/>
      <c r="C506" s="118"/>
      <c r="E506" s="118"/>
      <c r="G506" s="118"/>
      <c r="I506" s="118"/>
      <c r="J506" s="119"/>
      <c r="M506" s="118"/>
      <c r="O506" s="118"/>
      <c r="Q506" s="118"/>
      <c r="S506" s="118"/>
      <c r="U506" s="118"/>
      <c r="W506" s="118"/>
      <c r="Y506" s="118"/>
      <c r="AA506" s="118"/>
      <c r="AC506" s="118"/>
      <c r="AE506" s="118"/>
      <c r="AF506" s="119"/>
    </row>
    <row r="507" spans="1:32" x14ac:dyDescent="0.3">
      <c r="A507" s="118"/>
      <c r="C507" s="118"/>
      <c r="E507" s="118"/>
      <c r="G507" s="118"/>
      <c r="I507" s="118"/>
      <c r="J507" s="119"/>
      <c r="M507" s="118"/>
      <c r="O507" s="118"/>
      <c r="Q507" s="118"/>
      <c r="S507" s="118"/>
      <c r="U507" s="118"/>
      <c r="W507" s="118"/>
      <c r="Y507" s="118"/>
      <c r="AA507" s="118"/>
      <c r="AC507" s="118"/>
      <c r="AE507" s="118"/>
      <c r="AF507" s="119"/>
    </row>
    <row r="508" spans="1:32" x14ac:dyDescent="0.3">
      <c r="A508" s="118"/>
      <c r="C508" s="118"/>
      <c r="E508" s="118"/>
      <c r="G508" s="118"/>
      <c r="I508" s="118"/>
      <c r="J508" s="119"/>
      <c r="M508" s="118"/>
      <c r="O508" s="118"/>
      <c r="Q508" s="118"/>
      <c r="S508" s="118"/>
      <c r="U508" s="118"/>
      <c r="W508" s="118"/>
      <c r="Y508" s="118"/>
      <c r="AA508" s="118"/>
      <c r="AC508" s="118"/>
      <c r="AE508" s="118"/>
      <c r="AF508" s="119"/>
    </row>
    <row r="509" spans="1:32" x14ac:dyDescent="0.3">
      <c r="A509" s="118"/>
      <c r="C509" s="118"/>
      <c r="E509" s="118"/>
      <c r="G509" s="118"/>
      <c r="I509" s="118"/>
      <c r="J509" s="119"/>
      <c r="M509" s="118"/>
      <c r="O509" s="118"/>
      <c r="Q509" s="118"/>
      <c r="S509" s="118"/>
      <c r="U509" s="118"/>
      <c r="W509" s="118"/>
      <c r="Y509" s="118"/>
      <c r="AA509" s="118"/>
      <c r="AC509" s="118"/>
      <c r="AE509" s="118"/>
      <c r="AF509" s="119"/>
    </row>
    <row r="510" spans="1:32" x14ac:dyDescent="0.3">
      <c r="A510" s="118"/>
      <c r="C510" s="118"/>
      <c r="E510" s="118"/>
      <c r="G510" s="118"/>
      <c r="I510" s="118"/>
      <c r="J510" s="119"/>
      <c r="M510" s="118"/>
      <c r="O510" s="118"/>
      <c r="Q510" s="118"/>
      <c r="S510" s="118"/>
      <c r="U510" s="118"/>
      <c r="W510" s="118"/>
      <c r="Y510" s="118"/>
      <c r="AA510" s="118"/>
      <c r="AC510" s="118"/>
      <c r="AE510" s="118"/>
      <c r="AF510" s="119"/>
    </row>
    <row r="511" spans="1:32" x14ac:dyDescent="0.3">
      <c r="A511" s="118"/>
      <c r="C511" s="118"/>
      <c r="E511" s="118"/>
      <c r="G511" s="118"/>
      <c r="I511" s="118"/>
      <c r="J511" s="119"/>
      <c r="M511" s="118"/>
      <c r="O511" s="118"/>
      <c r="Q511" s="118"/>
      <c r="S511" s="118"/>
      <c r="U511" s="118"/>
      <c r="W511" s="118"/>
      <c r="Y511" s="118"/>
      <c r="AA511" s="118"/>
      <c r="AC511" s="118"/>
      <c r="AE511" s="118"/>
      <c r="AF511" s="119"/>
    </row>
    <row r="512" spans="1:32" x14ac:dyDescent="0.3">
      <c r="A512" s="118"/>
      <c r="C512" s="118"/>
      <c r="E512" s="118"/>
      <c r="G512" s="118"/>
      <c r="I512" s="118"/>
      <c r="J512" s="119"/>
      <c r="M512" s="118"/>
      <c r="O512" s="118"/>
      <c r="Q512" s="118"/>
      <c r="S512" s="118"/>
      <c r="U512" s="118"/>
      <c r="W512" s="118"/>
      <c r="Y512" s="118"/>
      <c r="AA512" s="118"/>
      <c r="AC512" s="118"/>
      <c r="AE512" s="118"/>
      <c r="AF512" s="119"/>
    </row>
    <row r="513" spans="1:32" x14ac:dyDescent="0.3">
      <c r="A513" s="118"/>
      <c r="C513" s="118"/>
      <c r="E513" s="118"/>
      <c r="G513" s="118"/>
      <c r="I513" s="118"/>
      <c r="J513" s="119"/>
      <c r="M513" s="118"/>
      <c r="O513" s="118"/>
      <c r="Q513" s="118"/>
      <c r="S513" s="118"/>
      <c r="U513" s="118"/>
      <c r="W513" s="118"/>
      <c r="Y513" s="118"/>
      <c r="AA513" s="118"/>
      <c r="AC513" s="118"/>
      <c r="AE513" s="118"/>
      <c r="AF513" s="119"/>
    </row>
    <row r="514" spans="1:32" x14ac:dyDescent="0.3">
      <c r="A514" s="118"/>
      <c r="C514" s="118"/>
      <c r="E514" s="118"/>
      <c r="G514" s="118"/>
      <c r="I514" s="118"/>
      <c r="J514" s="119"/>
      <c r="M514" s="118"/>
      <c r="O514" s="118"/>
      <c r="Q514" s="118"/>
      <c r="S514" s="118"/>
      <c r="U514" s="118"/>
      <c r="W514" s="118"/>
      <c r="Y514" s="118"/>
      <c r="AA514" s="118"/>
      <c r="AC514" s="118"/>
      <c r="AE514" s="118"/>
      <c r="AF514" s="119"/>
    </row>
    <row r="515" spans="1:32" x14ac:dyDescent="0.3">
      <c r="A515" s="118"/>
      <c r="C515" s="118"/>
      <c r="E515" s="118"/>
      <c r="G515" s="118"/>
      <c r="I515" s="118"/>
      <c r="J515" s="119"/>
      <c r="M515" s="118"/>
      <c r="O515" s="118"/>
      <c r="Q515" s="118"/>
      <c r="S515" s="118"/>
      <c r="U515" s="118"/>
      <c r="W515" s="118"/>
      <c r="Y515" s="118"/>
      <c r="AA515" s="118"/>
      <c r="AC515" s="118"/>
      <c r="AE515" s="118"/>
      <c r="AF515" s="119"/>
    </row>
    <row r="516" spans="1:32" x14ac:dyDescent="0.3">
      <c r="A516" s="118"/>
      <c r="C516" s="118"/>
      <c r="E516" s="118"/>
      <c r="G516" s="118"/>
      <c r="I516" s="118"/>
      <c r="J516" s="119"/>
      <c r="M516" s="118"/>
      <c r="O516" s="118"/>
      <c r="Q516" s="118"/>
      <c r="S516" s="118"/>
      <c r="U516" s="118"/>
      <c r="W516" s="118"/>
      <c r="Y516" s="118"/>
      <c r="AA516" s="118"/>
      <c r="AC516" s="118"/>
      <c r="AE516" s="118"/>
      <c r="AF516" s="119"/>
    </row>
    <row r="517" spans="1:32" x14ac:dyDescent="0.3">
      <c r="A517" s="118"/>
      <c r="C517" s="118"/>
      <c r="E517" s="118"/>
      <c r="G517" s="118"/>
      <c r="I517" s="118"/>
      <c r="J517" s="119"/>
      <c r="M517" s="118"/>
      <c r="O517" s="118"/>
      <c r="Q517" s="118"/>
      <c r="S517" s="118"/>
      <c r="U517" s="118"/>
      <c r="W517" s="118"/>
      <c r="Y517" s="118"/>
      <c r="AA517" s="118"/>
      <c r="AC517" s="118"/>
      <c r="AE517" s="118"/>
      <c r="AF517" s="119"/>
    </row>
    <row r="518" spans="1:32" x14ac:dyDescent="0.3">
      <c r="A518" s="118"/>
      <c r="C518" s="118"/>
      <c r="E518" s="118"/>
      <c r="G518" s="118"/>
      <c r="I518" s="118"/>
      <c r="J518" s="119"/>
      <c r="M518" s="118"/>
      <c r="O518" s="118"/>
      <c r="Q518" s="118"/>
      <c r="S518" s="118"/>
      <c r="U518" s="118"/>
      <c r="W518" s="118"/>
      <c r="Y518" s="118"/>
      <c r="AA518" s="118"/>
      <c r="AC518" s="118"/>
      <c r="AE518" s="118"/>
      <c r="AF518" s="119"/>
    </row>
    <row r="519" spans="1:32" x14ac:dyDescent="0.3">
      <c r="A519" s="118"/>
      <c r="C519" s="118"/>
      <c r="E519" s="118"/>
      <c r="G519" s="118"/>
      <c r="I519" s="118"/>
      <c r="J519" s="119"/>
      <c r="M519" s="118"/>
      <c r="O519" s="118"/>
      <c r="Q519" s="118"/>
      <c r="S519" s="118"/>
      <c r="U519" s="118"/>
      <c r="W519" s="118"/>
      <c r="Y519" s="118"/>
      <c r="AA519" s="118"/>
      <c r="AC519" s="118"/>
      <c r="AE519" s="118"/>
      <c r="AF519" s="119"/>
    </row>
    <row r="520" spans="1:32" x14ac:dyDescent="0.3">
      <c r="A520" s="118"/>
      <c r="C520" s="118"/>
      <c r="E520" s="118"/>
      <c r="G520" s="118"/>
      <c r="I520" s="118"/>
      <c r="J520" s="119"/>
      <c r="M520" s="118"/>
      <c r="O520" s="118"/>
      <c r="Q520" s="118"/>
      <c r="S520" s="118"/>
      <c r="U520" s="118"/>
      <c r="W520" s="118"/>
      <c r="Y520" s="118"/>
      <c r="AA520" s="118"/>
      <c r="AC520" s="118"/>
      <c r="AE520" s="118"/>
      <c r="AF520" s="119"/>
    </row>
    <row r="521" spans="1:32" x14ac:dyDescent="0.3">
      <c r="A521" s="118"/>
      <c r="C521" s="118"/>
      <c r="E521" s="118"/>
      <c r="G521" s="118"/>
      <c r="I521" s="118"/>
      <c r="J521" s="119"/>
      <c r="M521" s="118"/>
      <c r="O521" s="118"/>
      <c r="Q521" s="118"/>
      <c r="S521" s="118"/>
      <c r="U521" s="118"/>
      <c r="W521" s="118"/>
      <c r="Y521" s="118"/>
      <c r="AA521" s="118"/>
      <c r="AC521" s="118"/>
      <c r="AE521" s="118"/>
      <c r="AF521" s="119"/>
    </row>
    <row r="522" spans="1:32" x14ac:dyDescent="0.3">
      <c r="A522" s="118"/>
      <c r="C522" s="118"/>
      <c r="E522" s="118"/>
      <c r="G522" s="118"/>
      <c r="I522" s="118"/>
      <c r="J522" s="119"/>
      <c r="M522" s="118"/>
      <c r="O522" s="118"/>
      <c r="Q522" s="118"/>
      <c r="S522" s="118"/>
      <c r="U522" s="118"/>
      <c r="W522" s="118"/>
      <c r="Y522" s="118"/>
      <c r="AA522" s="118"/>
      <c r="AC522" s="118"/>
      <c r="AE522" s="118"/>
      <c r="AF522" s="119"/>
    </row>
    <row r="523" spans="1:32" x14ac:dyDescent="0.3">
      <c r="A523" s="118"/>
      <c r="C523" s="118"/>
      <c r="E523" s="118"/>
      <c r="G523" s="118"/>
      <c r="I523" s="118"/>
      <c r="J523" s="119"/>
      <c r="M523" s="118"/>
      <c r="O523" s="118"/>
      <c r="Q523" s="118"/>
      <c r="S523" s="118"/>
      <c r="U523" s="118"/>
      <c r="W523" s="118"/>
      <c r="Y523" s="118"/>
      <c r="AA523" s="118"/>
      <c r="AC523" s="118"/>
      <c r="AE523" s="118"/>
      <c r="AF523" s="119"/>
    </row>
    <row r="524" spans="1:32" x14ac:dyDescent="0.3">
      <c r="A524" s="118"/>
      <c r="C524" s="118"/>
      <c r="E524" s="118"/>
      <c r="G524" s="118"/>
      <c r="I524" s="118"/>
      <c r="J524" s="119"/>
      <c r="M524" s="118"/>
      <c r="O524" s="118"/>
      <c r="Q524" s="118"/>
      <c r="S524" s="118"/>
      <c r="U524" s="118"/>
      <c r="W524" s="118"/>
      <c r="Y524" s="118"/>
      <c r="AA524" s="118"/>
      <c r="AC524" s="118"/>
      <c r="AE524" s="118"/>
      <c r="AF524" s="119"/>
    </row>
    <row r="525" spans="1:32" x14ac:dyDescent="0.3">
      <c r="A525" s="118"/>
      <c r="C525" s="118"/>
      <c r="E525" s="118"/>
      <c r="G525" s="118"/>
      <c r="I525" s="118"/>
      <c r="J525" s="119"/>
      <c r="M525" s="118"/>
      <c r="O525" s="118"/>
      <c r="Q525" s="118"/>
      <c r="S525" s="118"/>
      <c r="U525" s="118"/>
      <c r="W525" s="118"/>
      <c r="Y525" s="118"/>
      <c r="AA525" s="118"/>
      <c r="AC525" s="118"/>
      <c r="AE525" s="118"/>
      <c r="AF525" s="119"/>
    </row>
    <row r="526" spans="1:32" x14ac:dyDescent="0.3">
      <c r="A526" s="118"/>
      <c r="C526" s="118"/>
      <c r="E526" s="118"/>
      <c r="G526" s="118"/>
      <c r="I526" s="118"/>
      <c r="J526" s="119"/>
      <c r="M526" s="118"/>
      <c r="O526" s="118"/>
      <c r="Q526" s="118"/>
      <c r="S526" s="118"/>
      <c r="U526" s="118"/>
      <c r="W526" s="118"/>
      <c r="Y526" s="118"/>
      <c r="AA526" s="118"/>
      <c r="AC526" s="118"/>
      <c r="AE526" s="118"/>
      <c r="AF526" s="119"/>
    </row>
    <row r="527" spans="1:32" x14ac:dyDescent="0.3">
      <c r="A527" s="118"/>
      <c r="C527" s="118"/>
      <c r="E527" s="118"/>
      <c r="G527" s="118"/>
      <c r="I527" s="118"/>
      <c r="J527" s="119"/>
      <c r="M527" s="118"/>
      <c r="O527" s="118"/>
      <c r="Q527" s="118"/>
      <c r="S527" s="118"/>
      <c r="U527" s="118"/>
      <c r="W527" s="118"/>
      <c r="Y527" s="118"/>
      <c r="AA527" s="118"/>
      <c r="AC527" s="118"/>
      <c r="AE527" s="118"/>
      <c r="AF527" s="119"/>
    </row>
    <row r="528" spans="1:32" x14ac:dyDescent="0.3">
      <c r="A528" s="118"/>
      <c r="C528" s="118"/>
      <c r="E528" s="118"/>
      <c r="G528" s="118"/>
      <c r="I528" s="118"/>
      <c r="J528" s="119"/>
      <c r="M528" s="118"/>
      <c r="O528" s="118"/>
      <c r="Q528" s="118"/>
      <c r="S528" s="118"/>
      <c r="U528" s="118"/>
      <c r="W528" s="118"/>
      <c r="Y528" s="118"/>
      <c r="AA528" s="118"/>
      <c r="AC528" s="118"/>
      <c r="AE528" s="118"/>
      <c r="AF528" s="119"/>
    </row>
    <row r="529" spans="1:32" x14ac:dyDescent="0.3">
      <c r="A529" s="118"/>
      <c r="C529" s="118"/>
      <c r="E529" s="118"/>
      <c r="G529" s="118"/>
      <c r="I529" s="118"/>
      <c r="J529" s="119"/>
      <c r="M529" s="118"/>
      <c r="O529" s="118"/>
      <c r="Q529" s="118"/>
      <c r="S529" s="118"/>
      <c r="U529" s="118"/>
      <c r="W529" s="118"/>
      <c r="Y529" s="118"/>
      <c r="AA529" s="118"/>
      <c r="AC529" s="118"/>
      <c r="AE529" s="118"/>
      <c r="AF529" s="119"/>
    </row>
    <row r="530" spans="1:32" x14ac:dyDescent="0.3">
      <c r="A530" s="118"/>
      <c r="C530" s="118"/>
      <c r="E530" s="118"/>
      <c r="G530" s="118"/>
      <c r="I530" s="118"/>
      <c r="J530" s="119"/>
      <c r="M530" s="118"/>
      <c r="O530" s="118"/>
      <c r="Q530" s="118"/>
      <c r="S530" s="118"/>
      <c r="U530" s="118"/>
      <c r="W530" s="118"/>
      <c r="Y530" s="118"/>
      <c r="AA530" s="118"/>
      <c r="AC530" s="118"/>
      <c r="AE530" s="118"/>
      <c r="AF530" s="119"/>
    </row>
    <row r="531" spans="1:32" x14ac:dyDescent="0.3">
      <c r="A531" s="118"/>
      <c r="C531" s="118"/>
      <c r="E531" s="118"/>
      <c r="G531" s="118"/>
      <c r="I531" s="118"/>
      <c r="J531" s="119"/>
      <c r="M531" s="118"/>
      <c r="O531" s="118"/>
      <c r="Q531" s="118"/>
      <c r="S531" s="118"/>
      <c r="U531" s="118"/>
      <c r="W531" s="118"/>
      <c r="Y531" s="118"/>
      <c r="AA531" s="118"/>
      <c r="AC531" s="118"/>
      <c r="AE531" s="118"/>
      <c r="AF531" s="119"/>
    </row>
    <row r="532" spans="1:32" x14ac:dyDescent="0.3">
      <c r="A532" s="118"/>
      <c r="C532" s="118"/>
      <c r="E532" s="118"/>
      <c r="G532" s="118"/>
      <c r="I532" s="118"/>
      <c r="J532" s="119"/>
      <c r="M532" s="118"/>
      <c r="O532" s="118"/>
      <c r="Q532" s="118"/>
      <c r="S532" s="118"/>
      <c r="U532" s="118"/>
      <c r="W532" s="118"/>
      <c r="Y532" s="118"/>
      <c r="AA532" s="118"/>
      <c r="AC532" s="118"/>
      <c r="AE532" s="118"/>
      <c r="AF532" s="119"/>
    </row>
    <row r="533" spans="1:32" x14ac:dyDescent="0.3">
      <c r="A533" s="118"/>
      <c r="C533" s="118"/>
      <c r="E533" s="118"/>
      <c r="G533" s="118"/>
      <c r="I533" s="118"/>
      <c r="J533" s="119"/>
      <c r="M533" s="118"/>
      <c r="O533" s="118"/>
      <c r="Q533" s="118"/>
      <c r="S533" s="118"/>
      <c r="U533" s="118"/>
      <c r="W533" s="118"/>
      <c r="Y533" s="118"/>
      <c r="AA533" s="118"/>
      <c r="AC533" s="118"/>
      <c r="AE533" s="118"/>
      <c r="AF533" s="119"/>
    </row>
    <row r="534" spans="1:32" x14ac:dyDescent="0.3">
      <c r="A534" s="118"/>
      <c r="C534" s="118"/>
      <c r="E534" s="118"/>
      <c r="G534" s="118"/>
      <c r="I534" s="118"/>
      <c r="J534" s="119"/>
      <c r="M534" s="118"/>
      <c r="O534" s="118"/>
      <c r="Q534" s="118"/>
      <c r="S534" s="118"/>
      <c r="U534" s="118"/>
      <c r="W534" s="118"/>
      <c r="Y534" s="118"/>
      <c r="AA534" s="118"/>
      <c r="AC534" s="118"/>
      <c r="AE534" s="118"/>
      <c r="AF534" s="119"/>
    </row>
    <row r="535" spans="1:32" x14ac:dyDescent="0.3">
      <c r="A535" s="118"/>
      <c r="C535" s="118"/>
      <c r="E535" s="118"/>
      <c r="G535" s="118"/>
      <c r="I535" s="118"/>
      <c r="J535" s="119"/>
      <c r="M535" s="118"/>
      <c r="O535" s="118"/>
      <c r="Q535" s="118"/>
      <c r="S535" s="118"/>
      <c r="U535" s="118"/>
      <c r="W535" s="118"/>
      <c r="Y535" s="118"/>
      <c r="AA535" s="118"/>
      <c r="AC535" s="118"/>
      <c r="AE535" s="118"/>
      <c r="AF535" s="119"/>
    </row>
    <row r="536" spans="1:32" x14ac:dyDescent="0.3">
      <c r="A536" s="118"/>
      <c r="C536" s="118"/>
      <c r="E536" s="118"/>
      <c r="G536" s="118"/>
      <c r="I536" s="118"/>
      <c r="J536" s="119"/>
      <c r="M536" s="118"/>
      <c r="O536" s="118"/>
      <c r="Q536" s="118"/>
      <c r="S536" s="118"/>
      <c r="U536" s="118"/>
      <c r="W536" s="118"/>
      <c r="Y536" s="118"/>
      <c r="AA536" s="118"/>
      <c r="AC536" s="118"/>
      <c r="AE536" s="118"/>
      <c r="AF536" s="119"/>
    </row>
    <row r="537" spans="1:32" x14ac:dyDescent="0.3">
      <c r="A537" s="118"/>
      <c r="C537" s="118"/>
      <c r="E537" s="118"/>
      <c r="G537" s="118"/>
      <c r="I537" s="118"/>
      <c r="J537" s="119"/>
      <c r="M537" s="118"/>
      <c r="O537" s="118"/>
      <c r="Q537" s="118"/>
      <c r="S537" s="118"/>
      <c r="U537" s="118"/>
      <c r="W537" s="118"/>
      <c r="Y537" s="118"/>
      <c r="AA537" s="118"/>
      <c r="AC537" s="118"/>
      <c r="AE537" s="118"/>
      <c r="AF537" s="119"/>
    </row>
    <row r="538" spans="1:32" x14ac:dyDescent="0.3">
      <c r="A538" s="118"/>
      <c r="C538" s="118"/>
      <c r="E538" s="118"/>
      <c r="G538" s="118"/>
      <c r="I538" s="118"/>
      <c r="J538" s="119"/>
      <c r="M538" s="118"/>
      <c r="O538" s="118"/>
      <c r="Q538" s="118"/>
      <c r="S538" s="118"/>
      <c r="U538" s="118"/>
      <c r="W538" s="118"/>
      <c r="Y538" s="118"/>
      <c r="AA538" s="118"/>
      <c r="AC538" s="118"/>
      <c r="AE538" s="118"/>
      <c r="AF538" s="119"/>
    </row>
    <row r="539" spans="1:32" x14ac:dyDescent="0.3">
      <c r="A539" s="118"/>
      <c r="C539" s="118"/>
      <c r="E539" s="118"/>
      <c r="G539" s="118"/>
      <c r="I539" s="118"/>
      <c r="J539" s="119"/>
      <c r="M539" s="118"/>
      <c r="O539" s="118"/>
      <c r="Q539" s="118"/>
      <c r="S539" s="118"/>
      <c r="U539" s="118"/>
      <c r="W539" s="118"/>
      <c r="Y539" s="118"/>
      <c r="AA539" s="118"/>
      <c r="AC539" s="118"/>
      <c r="AE539" s="118"/>
      <c r="AF539" s="119"/>
    </row>
    <row r="540" spans="1:32" x14ac:dyDescent="0.3">
      <c r="A540" s="118"/>
      <c r="C540" s="118"/>
      <c r="E540" s="118"/>
      <c r="G540" s="118"/>
      <c r="I540" s="118"/>
      <c r="J540" s="119"/>
      <c r="M540" s="118"/>
      <c r="O540" s="118"/>
      <c r="Q540" s="118"/>
      <c r="S540" s="118"/>
      <c r="U540" s="118"/>
      <c r="W540" s="118"/>
      <c r="Y540" s="118"/>
      <c r="AA540" s="118"/>
      <c r="AC540" s="118"/>
      <c r="AE540" s="118"/>
      <c r="AF540" s="119"/>
    </row>
    <row r="541" spans="1:32" x14ac:dyDescent="0.3">
      <c r="A541" s="118"/>
      <c r="C541" s="118"/>
      <c r="E541" s="118"/>
      <c r="G541" s="118"/>
      <c r="I541" s="118"/>
      <c r="J541" s="119"/>
      <c r="M541" s="118"/>
      <c r="O541" s="118"/>
      <c r="Q541" s="118"/>
      <c r="S541" s="118"/>
      <c r="U541" s="118"/>
      <c r="W541" s="118"/>
      <c r="Y541" s="118"/>
      <c r="AA541" s="118"/>
      <c r="AC541" s="118"/>
      <c r="AE541" s="118"/>
      <c r="AF541" s="119"/>
    </row>
    <row r="542" spans="1:32" x14ac:dyDescent="0.3">
      <c r="A542" s="118"/>
      <c r="C542" s="118"/>
      <c r="E542" s="118"/>
      <c r="G542" s="118"/>
      <c r="I542" s="118"/>
      <c r="J542" s="119"/>
      <c r="M542" s="118"/>
      <c r="O542" s="118"/>
      <c r="Q542" s="118"/>
      <c r="S542" s="118"/>
      <c r="U542" s="118"/>
      <c r="W542" s="118"/>
      <c r="Y542" s="118"/>
      <c r="AA542" s="118"/>
      <c r="AC542" s="118"/>
      <c r="AE542" s="118"/>
      <c r="AF542" s="119"/>
    </row>
    <row r="543" spans="1:32" x14ac:dyDescent="0.3">
      <c r="A543" s="118"/>
      <c r="C543" s="118"/>
      <c r="E543" s="118"/>
      <c r="G543" s="118"/>
      <c r="I543" s="118"/>
      <c r="J543" s="119"/>
      <c r="M543" s="118"/>
      <c r="O543" s="118"/>
      <c r="Q543" s="118"/>
      <c r="S543" s="118"/>
      <c r="U543" s="118"/>
      <c r="W543" s="118"/>
      <c r="Y543" s="118"/>
      <c r="AA543" s="118"/>
      <c r="AC543" s="118"/>
      <c r="AE543" s="118"/>
      <c r="AF543" s="119"/>
    </row>
    <row r="544" spans="1:32" x14ac:dyDescent="0.3">
      <c r="A544" s="118"/>
      <c r="C544" s="118"/>
      <c r="E544" s="118"/>
      <c r="G544" s="118"/>
      <c r="I544" s="118"/>
      <c r="J544" s="119"/>
      <c r="M544" s="118"/>
      <c r="O544" s="118"/>
      <c r="Q544" s="118"/>
      <c r="S544" s="118"/>
      <c r="U544" s="118"/>
      <c r="W544" s="118"/>
      <c r="Y544" s="118"/>
      <c r="AA544" s="118"/>
      <c r="AC544" s="118"/>
      <c r="AE544" s="118"/>
      <c r="AF544" s="119"/>
    </row>
    <row r="545" spans="1:32" x14ac:dyDescent="0.3">
      <c r="A545" s="118"/>
      <c r="C545" s="118"/>
      <c r="E545" s="118"/>
      <c r="G545" s="118"/>
      <c r="I545" s="118"/>
      <c r="J545" s="119"/>
      <c r="M545" s="118"/>
      <c r="O545" s="118"/>
      <c r="Q545" s="118"/>
      <c r="S545" s="118"/>
      <c r="U545" s="118"/>
      <c r="W545" s="118"/>
      <c r="Y545" s="118"/>
      <c r="AA545" s="118"/>
      <c r="AC545" s="118"/>
      <c r="AE545" s="118"/>
      <c r="AF545" s="119"/>
    </row>
    <row r="546" spans="1:32" x14ac:dyDescent="0.3">
      <c r="A546" s="118"/>
      <c r="C546" s="118"/>
      <c r="E546" s="118"/>
      <c r="G546" s="118"/>
      <c r="I546" s="118"/>
      <c r="J546" s="119"/>
      <c r="M546" s="118"/>
      <c r="O546" s="118"/>
      <c r="Q546" s="118"/>
      <c r="S546" s="118"/>
      <c r="U546" s="118"/>
      <c r="W546" s="118"/>
      <c r="Y546" s="118"/>
      <c r="AA546" s="118"/>
      <c r="AC546" s="118"/>
      <c r="AE546" s="118"/>
      <c r="AF546" s="119"/>
    </row>
    <row r="547" spans="1:32" x14ac:dyDescent="0.3">
      <c r="A547" s="118"/>
      <c r="C547" s="118"/>
      <c r="E547" s="118"/>
      <c r="G547" s="118"/>
      <c r="I547" s="118"/>
      <c r="J547" s="119"/>
      <c r="M547" s="118"/>
      <c r="O547" s="118"/>
      <c r="Q547" s="118"/>
      <c r="S547" s="118"/>
      <c r="U547" s="118"/>
      <c r="W547" s="118"/>
      <c r="Y547" s="118"/>
      <c r="AA547" s="118"/>
      <c r="AC547" s="118"/>
      <c r="AE547" s="118"/>
      <c r="AF547" s="119"/>
    </row>
    <row r="548" spans="1:32" x14ac:dyDescent="0.3">
      <c r="A548" s="118"/>
      <c r="C548" s="118"/>
      <c r="E548" s="118"/>
      <c r="G548" s="118"/>
      <c r="I548" s="118"/>
      <c r="J548" s="119"/>
      <c r="M548" s="118"/>
      <c r="O548" s="118"/>
      <c r="Q548" s="118"/>
      <c r="S548" s="118"/>
      <c r="U548" s="118"/>
      <c r="W548" s="118"/>
      <c r="Y548" s="118"/>
      <c r="AA548" s="118"/>
      <c r="AC548" s="118"/>
      <c r="AE548" s="118"/>
      <c r="AF548" s="119"/>
    </row>
    <row r="549" spans="1:32" x14ac:dyDescent="0.3">
      <c r="A549" s="118"/>
      <c r="C549" s="118"/>
      <c r="E549" s="118"/>
      <c r="G549" s="118"/>
      <c r="I549" s="118"/>
      <c r="J549" s="119"/>
      <c r="M549" s="118"/>
      <c r="O549" s="118"/>
      <c r="Q549" s="118"/>
      <c r="S549" s="118"/>
      <c r="U549" s="118"/>
      <c r="W549" s="118"/>
      <c r="Y549" s="118"/>
      <c r="AA549" s="118"/>
      <c r="AC549" s="118"/>
      <c r="AE549" s="118"/>
      <c r="AF549" s="119"/>
    </row>
    <row r="550" spans="1:32" x14ac:dyDescent="0.3">
      <c r="A550" s="118"/>
      <c r="C550" s="118"/>
      <c r="E550" s="118"/>
      <c r="G550" s="118"/>
      <c r="I550" s="118"/>
      <c r="J550" s="119"/>
      <c r="M550" s="118"/>
      <c r="O550" s="118"/>
      <c r="Q550" s="118"/>
      <c r="S550" s="118"/>
      <c r="U550" s="118"/>
      <c r="W550" s="118"/>
      <c r="Y550" s="118"/>
      <c r="AA550" s="118"/>
      <c r="AC550" s="118"/>
      <c r="AE550" s="118"/>
      <c r="AF550" s="119"/>
    </row>
    <row r="551" spans="1:32" x14ac:dyDescent="0.3">
      <c r="A551" s="118"/>
      <c r="C551" s="118"/>
      <c r="E551" s="118"/>
      <c r="G551" s="118"/>
      <c r="I551" s="118"/>
      <c r="J551" s="119"/>
      <c r="M551" s="118"/>
      <c r="O551" s="118"/>
      <c r="Q551" s="118"/>
      <c r="S551" s="118"/>
      <c r="U551" s="118"/>
      <c r="W551" s="118"/>
      <c r="Y551" s="118"/>
      <c r="AA551" s="118"/>
      <c r="AC551" s="118"/>
      <c r="AE551" s="118"/>
      <c r="AF551" s="119"/>
    </row>
    <row r="552" spans="1:32" x14ac:dyDescent="0.3">
      <c r="A552" s="118"/>
      <c r="C552" s="118"/>
      <c r="E552" s="118"/>
      <c r="G552" s="118"/>
      <c r="I552" s="118"/>
      <c r="J552" s="119"/>
      <c r="M552" s="118"/>
      <c r="O552" s="118"/>
      <c r="Q552" s="118"/>
      <c r="S552" s="118"/>
      <c r="U552" s="118"/>
      <c r="W552" s="118"/>
      <c r="Y552" s="118"/>
      <c r="AA552" s="118"/>
      <c r="AC552" s="118"/>
      <c r="AE552" s="118"/>
      <c r="AF552" s="119"/>
    </row>
    <row r="553" spans="1:32" x14ac:dyDescent="0.3">
      <c r="A553" s="118"/>
      <c r="C553" s="118"/>
      <c r="E553" s="118"/>
      <c r="G553" s="118"/>
      <c r="I553" s="118"/>
      <c r="J553" s="119"/>
      <c r="M553" s="118"/>
      <c r="O553" s="118"/>
      <c r="Q553" s="118"/>
      <c r="S553" s="118"/>
      <c r="U553" s="118"/>
      <c r="W553" s="118"/>
      <c r="Y553" s="118"/>
      <c r="AA553" s="118"/>
      <c r="AC553" s="118"/>
      <c r="AE553" s="118"/>
      <c r="AF553" s="119"/>
    </row>
    <row r="554" spans="1:32" x14ac:dyDescent="0.3">
      <c r="A554" s="118"/>
      <c r="C554" s="118"/>
      <c r="E554" s="118"/>
      <c r="G554" s="118"/>
      <c r="I554" s="118"/>
      <c r="J554" s="119"/>
      <c r="M554" s="118"/>
      <c r="O554" s="118"/>
      <c r="Q554" s="118"/>
      <c r="S554" s="118"/>
      <c r="U554" s="118"/>
      <c r="W554" s="118"/>
      <c r="Y554" s="118"/>
      <c r="AA554" s="118"/>
      <c r="AC554" s="118"/>
      <c r="AE554" s="118"/>
      <c r="AF554" s="119"/>
    </row>
    <row r="555" spans="1:32" x14ac:dyDescent="0.3">
      <c r="A555" s="118"/>
      <c r="C555" s="118"/>
      <c r="E555" s="118"/>
      <c r="G555" s="118"/>
      <c r="I555" s="118"/>
      <c r="J555" s="119"/>
      <c r="M555" s="118"/>
      <c r="O555" s="118"/>
      <c r="Q555" s="118"/>
      <c r="S555" s="118"/>
      <c r="U555" s="118"/>
      <c r="W555" s="118"/>
      <c r="Y555" s="118"/>
      <c r="AA555" s="118"/>
      <c r="AC555" s="118"/>
      <c r="AE555" s="118"/>
      <c r="AF555" s="119"/>
    </row>
    <row r="556" spans="1:32" x14ac:dyDescent="0.3">
      <c r="A556" s="118"/>
      <c r="C556" s="118"/>
      <c r="E556" s="118"/>
      <c r="G556" s="118"/>
      <c r="I556" s="118"/>
      <c r="J556" s="119"/>
      <c r="M556" s="118"/>
      <c r="O556" s="118"/>
      <c r="Q556" s="118"/>
      <c r="S556" s="118"/>
      <c r="U556" s="118"/>
      <c r="W556" s="118"/>
      <c r="Y556" s="118"/>
      <c r="AA556" s="118"/>
      <c r="AC556" s="118"/>
      <c r="AE556" s="118"/>
      <c r="AF556" s="119"/>
    </row>
    <row r="557" spans="1:32" x14ac:dyDescent="0.3">
      <c r="A557" s="118"/>
      <c r="C557" s="118"/>
      <c r="E557" s="118"/>
      <c r="G557" s="118"/>
      <c r="I557" s="118"/>
      <c r="J557" s="119"/>
      <c r="M557" s="118"/>
      <c r="O557" s="118"/>
      <c r="Q557" s="118"/>
      <c r="S557" s="118"/>
      <c r="U557" s="118"/>
      <c r="W557" s="118"/>
      <c r="Y557" s="118"/>
      <c r="AA557" s="118"/>
      <c r="AC557" s="118"/>
      <c r="AE557" s="118"/>
      <c r="AF557" s="119"/>
    </row>
    <row r="558" spans="1:32" x14ac:dyDescent="0.3">
      <c r="A558" s="118"/>
      <c r="C558" s="118"/>
      <c r="E558" s="118"/>
      <c r="G558" s="118"/>
      <c r="I558" s="118"/>
      <c r="J558" s="119"/>
      <c r="M558" s="118"/>
      <c r="O558" s="118"/>
      <c r="Q558" s="118"/>
      <c r="S558" s="118"/>
      <c r="U558" s="118"/>
      <c r="W558" s="118"/>
      <c r="Y558" s="118"/>
      <c r="AA558" s="118"/>
      <c r="AC558" s="118"/>
      <c r="AE558" s="118"/>
      <c r="AF558" s="119"/>
    </row>
    <row r="559" spans="1:32" x14ac:dyDescent="0.3">
      <c r="A559" s="118"/>
      <c r="C559" s="118"/>
      <c r="E559" s="118"/>
      <c r="G559" s="118"/>
      <c r="I559" s="118"/>
      <c r="J559" s="119"/>
      <c r="M559" s="118"/>
      <c r="O559" s="118"/>
      <c r="Q559" s="118"/>
      <c r="S559" s="118"/>
      <c r="U559" s="118"/>
      <c r="W559" s="118"/>
      <c r="Y559" s="118"/>
      <c r="AA559" s="118"/>
      <c r="AC559" s="118"/>
      <c r="AE559" s="118"/>
      <c r="AF559" s="119"/>
    </row>
    <row r="560" spans="1:32" x14ac:dyDescent="0.3">
      <c r="A560" s="118"/>
      <c r="C560" s="118"/>
      <c r="E560" s="118"/>
      <c r="G560" s="118"/>
      <c r="I560" s="118"/>
      <c r="J560" s="119"/>
      <c r="M560" s="118"/>
      <c r="O560" s="118"/>
      <c r="Q560" s="118"/>
      <c r="S560" s="118"/>
      <c r="U560" s="118"/>
      <c r="W560" s="118"/>
      <c r="Y560" s="118"/>
      <c r="AA560" s="118"/>
      <c r="AC560" s="118"/>
      <c r="AE560" s="118"/>
      <c r="AF560" s="119"/>
    </row>
    <row r="561" spans="1:32" x14ac:dyDescent="0.3">
      <c r="A561" s="118"/>
      <c r="C561" s="118"/>
      <c r="E561" s="118"/>
      <c r="G561" s="118"/>
      <c r="I561" s="118"/>
      <c r="J561" s="119"/>
      <c r="M561" s="118"/>
      <c r="O561" s="118"/>
      <c r="Q561" s="118"/>
      <c r="S561" s="118"/>
      <c r="U561" s="118"/>
      <c r="W561" s="118"/>
      <c r="Y561" s="118"/>
      <c r="AA561" s="118"/>
      <c r="AC561" s="118"/>
      <c r="AE561" s="118"/>
      <c r="AF561" s="119"/>
    </row>
    <row r="562" spans="1:32" x14ac:dyDescent="0.3">
      <c r="A562" s="118"/>
      <c r="C562" s="118"/>
      <c r="E562" s="118"/>
      <c r="G562" s="118"/>
      <c r="I562" s="118"/>
      <c r="J562" s="119"/>
      <c r="M562" s="118"/>
      <c r="O562" s="118"/>
      <c r="Q562" s="118"/>
      <c r="S562" s="118"/>
      <c r="U562" s="118"/>
      <c r="W562" s="118"/>
      <c r="Y562" s="118"/>
      <c r="AA562" s="118"/>
      <c r="AC562" s="118"/>
      <c r="AE562" s="118"/>
      <c r="AF562" s="119"/>
    </row>
    <row r="563" spans="1:32" x14ac:dyDescent="0.3">
      <c r="A563" s="118"/>
      <c r="C563" s="118"/>
      <c r="E563" s="118"/>
      <c r="G563" s="118"/>
      <c r="I563" s="118"/>
      <c r="J563" s="119"/>
      <c r="M563" s="118"/>
      <c r="O563" s="118"/>
      <c r="Q563" s="118"/>
      <c r="S563" s="118"/>
      <c r="U563" s="118"/>
      <c r="W563" s="118"/>
      <c r="Y563" s="118"/>
      <c r="AA563" s="118"/>
      <c r="AC563" s="118"/>
      <c r="AE563" s="118"/>
      <c r="AF563" s="119"/>
    </row>
    <row r="564" spans="1:32" x14ac:dyDescent="0.3">
      <c r="A564" s="118"/>
      <c r="C564" s="118"/>
      <c r="E564" s="118"/>
      <c r="G564" s="118"/>
      <c r="I564" s="118"/>
      <c r="J564" s="119"/>
      <c r="M564" s="118"/>
      <c r="O564" s="118"/>
      <c r="Q564" s="118"/>
      <c r="S564" s="118"/>
      <c r="U564" s="118"/>
      <c r="W564" s="118"/>
      <c r="Y564" s="118"/>
      <c r="AA564" s="118"/>
      <c r="AC564" s="118"/>
      <c r="AE564" s="118"/>
      <c r="AF564" s="119"/>
    </row>
    <row r="565" spans="1:32" x14ac:dyDescent="0.3">
      <c r="A565" s="118"/>
      <c r="C565" s="118"/>
      <c r="E565" s="118"/>
      <c r="G565" s="118"/>
      <c r="I565" s="118"/>
      <c r="J565" s="119"/>
      <c r="M565" s="118"/>
      <c r="O565" s="118"/>
      <c r="Q565" s="118"/>
      <c r="S565" s="118"/>
      <c r="U565" s="118"/>
      <c r="W565" s="118"/>
      <c r="Y565" s="118"/>
      <c r="AA565" s="118"/>
      <c r="AC565" s="118"/>
      <c r="AE565" s="118"/>
      <c r="AF565" s="119"/>
    </row>
    <row r="566" spans="1:32" x14ac:dyDescent="0.3">
      <c r="A566" s="118"/>
      <c r="C566" s="118"/>
      <c r="E566" s="118"/>
      <c r="G566" s="118"/>
      <c r="I566" s="118"/>
      <c r="J566" s="119"/>
      <c r="M566" s="118"/>
      <c r="O566" s="118"/>
      <c r="Q566" s="118"/>
      <c r="S566" s="118"/>
      <c r="U566" s="118"/>
      <c r="W566" s="118"/>
      <c r="Y566" s="118"/>
      <c r="AA566" s="118"/>
      <c r="AC566" s="118"/>
      <c r="AE566" s="118"/>
      <c r="AF566" s="119"/>
    </row>
    <row r="567" spans="1:32" x14ac:dyDescent="0.3">
      <c r="A567" s="118"/>
      <c r="C567" s="118"/>
      <c r="E567" s="118"/>
      <c r="G567" s="118"/>
      <c r="I567" s="118"/>
      <c r="J567" s="119"/>
      <c r="M567" s="118"/>
      <c r="O567" s="118"/>
      <c r="Q567" s="118"/>
      <c r="S567" s="118"/>
      <c r="U567" s="118"/>
      <c r="W567" s="118"/>
      <c r="Y567" s="118"/>
      <c r="AA567" s="118"/>
      <c r="AC567" s="118"/>
      <c r="AE567" s="118"/>
      <c r="AF567" s="119"/>
    </row>
    <row r="568" spans="1:32" x14ac:dyDescent="0.3">
      <c r="A568" s="118"/>
      <c r="C568" s="118"/>
      <c r="E568" s="118"/>
      <c r="G568" s="118"/>
      <c r="I568" s="118"/>
      <c r="J568" s="119"/>
      <c r="M568" s="118"/>
      <c r="O568" s="118"/>
      <c r="Q568" s="118"/>
      <c r="S568" s="118"/>
      <c r="U568" s="118"/>
      <c r="W568" s="118"/>
      <c r="Y568" s="118"/>
      <c r="AA568" s="118"/>
      <c r="AC568" s="118"/>
      <c r="AE568" s="118"/>
      <c r="AF568" s="119"/>
    </row>
    <row r="569" spans="1:32" x14ac:dyDescent="0.3">
      <c r="A569" s="118"/>
      <c r="C569" s="118"/>
      <c r="E569" s="118"/>
      <c r="G569" s="118"/>
      <c r="I569" s="118"/>
      <c r="J569" s="119"/>
      <c r="M569" s="118"/>
      <c r="O569" s="118"/>
      <c r="Q569" s="118"/>
      <c r="S569" s="118"/>
      <c r="U569" s="118"/>
      <c r="W569" s="118"/>
      <c r="Y569" s="118"/>
      <c r="AA569" s="118"/>
      <c r="AC569" s="118"/>
      <c r="AE569" s="118"/>
      <c r="AF569" s="119"/>
    </row>
    <row r="570" spans="1:32" x14ac:dyDescent="0.3">
      <c r="A570" s="118"/>
      <c r="C570" s="118"/>
      <c r="E570" s="118"/>
      <c r="G570" s="118"/>
      <c r="I570" s="118"/>
      <c r="J570" s="119"/>
      <c r="M570" s="118"/>
      <c r="O570" s="118"/>
      <c r="Q570" s="118"/>
      <c r="S570" s="118"/>
      <c r="U570" s="118"/>
      <c r="W570" s="118"/>
      <c r="Y570" s="118"/>
      <c r="AA570" s="118"/>
      <c r="AC570" s="118"/>
      <c r="AE570" s="118"/>
      <c r="AF570" s="119"/>
    </row>
    <row r="571" spans="1:32" x14ac:dyDescent="0.3">
      <c r="A571" s="118"/>
      <c r="C571" s="118"/>
      <c r="E571" s="118"/>
      <c r="G571" s="118"/>
      <c r="I571" s="118"/>
      <c r="J571" s="119"/>
      <c r="M571" s="118"/>
      <c r="O571" s="118"/>
      <c r="Q571" s="118"/>
      <c r="S571" s="118"/>
      <c r="U571" s="118"/>
      <c r="W571" s="118"/>
      <c r="Y571" s="118"/>
      <c r="AA571" s="118"/>
      <c r="AC571" s="118"/>
      <c r="AE571" s="118"/>
      <c r="AF571" s="119"/>
    </row>
    <row r="572" spans="1:32" x14ac:dyDescent="0.3">
      <c r="A572" s="118"/>
      <c r="C572" s="118"/>
      <c r="E572" s="118"/>
      <c r="G572" s="118"/>
      <c r="I572" s="118"/>
      <c r="J572" s="119"/>
      <c r="M572" s="118"/>
      <c r="O572" s="118"/>
      <c r="Q572" s="118"/>
      <c r="S572" s="118"/>
      <c r="U572" s="118"/>
      <c r="W572" s="118"/>
      <c r="Y572" s="118"/>
      <c r="AA572" s="118"/>
      <c r="AC572" s="118"/>
      <c r="AE572" s="118"/>
      <c r="AF572" s="119"/>
    </row>
    <row r="573" spans="1:32" x14ac:dyDescent="0.3">
      <c r="A573" s="118"/>
      <c r="C573" s="118"/>
      <c r="E573" s="118"/>
      <c r="G573" s="118"/>
      <c r="I573" s="118"/>
      <c r="J573" s="119"/>
      <c r="M573" s="118"/>
      <c r="O573" s="118"/>
      <c r="Q573" s="118"/>
      <c r="S573" s="118"/>
      <c r="U573" s="118"/>
      <c r="W573" s="118"/>
      <c r="Y573" s="118"/>
      <c r="AA573" s="118"/>
      <c r="AC573" s="118"/>
      <c r="AE573" s="118"/>
      <c r="AF573" s="119"/>
    </row>
    <row r="574" spans="1:32" x14ac:dyDescent="0.3">
      <c r="A574" s="118"/>
      <c r="C574" s="118"/>
      <c r="E574" s="118"/>
      <c r="G574" s="118"/>
      <c r="I574" s="118"/>
      <c r="J574" s="119"/>
      <c r="M574" s="118"/>
      <c r="O574" s="118"/>
      <c r="Q574" s="118"/>
      <c r="S574" s="118"/>
      <c r="U574" s="118"/>
      <c r="W574" s="118"/>
      <c r="Y574" s="118"/>
      <c r="AA574" s="118"/>
      <c r="AC574" s="118"/>
      <c r="AE574" s="118"/>
      <c r="AF574" s="119"/>
    </row>
    <row r="575" spans="1:32" x14ac:dyDescent="0.3">
      <c r="A575" s="118"/>
      <c r="C575" s="118"/>
      <c r="E575" s="118"/>
      <c r="G575" s="118"/>
      <c r="I575" s="118"/>
      <c r="J575" s="119"/>
      <c r="M575" s="118"/>
      <c r="O575" s="118"/>
      <c r="Q575" s="118"/>
      <c r="S575" s="118"/>
      <c r="U575" s="118"/>
      <c r="W575" s="118"/>
      <c r="Y575" s="118"/>
      <c r="AA575" s="118"/>
      <c r="AC575" s="118"/>
      <c r="AE575" s="118"/>
      <c r="AF575" s="119"/>
    </row>
    <row r="576" spans="1:32" x14ac:dyDescent="0.3">
      <c r="A576" s="118"/>
      <c r="C576" s="118"/>
      <c r="E576" s="118"/>
      <c r="G576" s="118"/>
      <c r="I576" s="118"/>
      <c r="J576" s="119"/>
      <c r="M576" s="118"/>
      <c r="O576" s="118"/>
      <c r="Q576" s="118"/>
      <c r="S576" s="118"/>
      <c r="U576" s="118"/>
      <c r="W576" s="118"/>
      <c r="Y576" s="118"/>
      <c r="AA576" s="118"/>
      <c r="AC576" s="118"/>
      <c r="AE576" s="118"/>
      <c r="AF576" s="119"/>
    </row>
    <row r="577" spans="1:32" x14ac:dyDescent="0.3">
      <c r="A577" s="118"/>
      <c r="C577" s="118"/>
      <c r="E577" s="118"/>
      <c r="G577" s="118"/>
      <c r="I577" s="118"/>
      <c r="J577" s="119"/>
      <c r="M577" s="118"/>
      <c r="O577" s="118"/>
      <c r="Q577" s="118"/>
      <c r="S577" s="118"/>
      <c r="U577" s="118"/>
      <c r="W577" s="118"/>
      <c r="Y577" s="118"/>
      <c r="AA577" s="118"/>
      <c r="AC577" s="118"/>
      <c r="AE577" s="118"/>
      <c r="AF577" s="119"/>
    </row>
    <row r="578" spans="1:32" x14ac:dyDescent="0.3">
      <c r="A578" s="118"/>
      <c r="C578" s="118"/>
      <c r="E578" s="118"/>
      <c r="G578" s="118"/>
      <c r="I578" s="118"/>
      <c r="J578" s="119"/>
      <c r="M578" s="118"/>
      <c r="O578" s="118"/>
      <c r="Q578" s="118"/>
      <c r="S578" s="118"/>
      <c r="U578" s="118"/>
      <c r="W578" s="118"/>
      <c r="Y578" s="118"/>
      <c r="AA578" s="118"/>
      <c r="AC578" s="118"/>
      <c r="AE578" s="118"/>
      <c r="AF578" s="119"/>
    </row>
    <row r="579" spans="1:32" x14ac:dyDescent="0.3">
      <c r="A579" s="118"/>
      <c r="C579" s="118"/>
      <c r="E579" s="118"/>
      <c r="G579" s="118"/>
      <c r="I579" s="118"/>
      <c r="J579" s="119"/>
      <c r="M579" s="118"/>
      <c r="O579" s="118"/>
      <c r="Q579" s="118"/>
      <c r="S579" s="118"/>
      <c r="U579" s="118"/>
      <c r="W579" s="118"/>
      <c r="Y579" s="118"/>
      <c r="AA579" s="118"/>
      <c r="AC579" s="118"/>
      <c r="AE579" s="118"/>
      <c r="AF579" s="119"/>
    </row>
    <row r="580" spans="1:32" x14ac:dyDescent="0.3">
      <c r="A580" s="118"/>
      <c r="C580" s="118"/>
      <c r="E580" s="118"/>
      <c r="G580" s="118"/>
      <c r="I580" s="118"/>
      <c r="J580" s="119"/>
      <c r="M580" s="118"/>
      <c r="O580" s="118"/>
      <c r="Q580" s="118"/>
      <c r="S580" s="118"/>
      <c r="U580" s="118"/>
      <c r="W580" s="118"/>
      <c r="Y580" s="118"/>
      <c r="AA580" s="118"/>
      <c r="AC580" s="118"/>
      <c r="AE580" s="118"/>
      <c r="AF580" s="119"/>
    </row>
    <row r="581" spans="1:32" x14ac:dyDescent="0.3">
      <c r="A581" s="118"/>
      <c r="C581" s="118"/>
      <c r="E581" s="118"/>
      <c r="G581" s="118"/>
      <c r="I581" s="118"/>
      <c r="J581" s="119"/>
      <c r="M581" s="118"/>
      <c r="O581" s="118"/>
      <c r="Q581" s="118"/>
      <c r="S581" s="118"/>
      <c r="U581" s="118"/>
      <c r="W581" s="118"/>
      <c r="Y581" s="118"/>
      <c r="AA581" s="118"/>
      <c r="AC581" s="118"/>
      <c r="AE581" s="118"/>
      <c r="AF581" s="119"/>
    </row>
    <row r="582" spans="1:32" x14ac:dyDescent="0.3">
      <c r="A582" s="118"/>
      <c r="C582" s="118"/>
      <c r="E582" s="118"/>
      <c r="G582" s="118"/>
      <c r="I582" s="118"/>
      <c r="J582" s="119"/>
      <c r="M582" s="118"/>
      <c r="O582" s="118"/>
      <c r="Q582" s="118"/>
      <c r="S582" s="118"/>
      <c r="U582" s="118"/>
      <c r="W582" s="118"/>
      <c r="Y582" s="118"/>
      <c r="AA582" s="118"/>
      <c r="AC582" s="118"/>
      <c r="AE582" s="118"/>
      <c r="AF582" s="119"/>
    </row>
    <row r="583" spans="1:32" x14ac:dyDescent="0.3">
      <c r="A583" s="118"/>
      <c r="C583" s="118"/>
      <c r="E583" s="118"/>
      <c r="G583" s="118"/>
      <c r="I583" s="118"/>
      <c r="J583" s="119"/>
      <c r="M583" s="118"/>
      <c r="O583" s="118"/>
      <c r="Q583" s="118"/>
      <c r="S583" s="118"/>
      <c r="U583" s="118"/>
      <c r="W583" s="118"/>
      <c r="Y583" s="118"/>
      <c r="AA583" s="118"/>
      <c r="AC583" s="118"/>
      <c r="AE583" s="118"/>
      <c r="AF583" s="119"/>
    </row>
    <row r="584" spans="1:32" x14ac:dyDescent="0.3">
      <c r="A584" s="118"/>
      <c r="C584" s="118"/>
      <c r="E584" s="118"/>
      <c r="G584" s="118"/>
      <c r="I584" s="118"/>
      <c r="J584" s="119"/>
      <c r="M584" s="118"/>
      <c r="O584" s="118"/>
      <c r="Q584" s="118"/>
      <c r="S584" s="118"/>
      <c r="U584" s="118"/>
      <c r="W584" s="118"/>
      <c r="Y584" s="118"/>
      <c r="AA584" s="118"/>
      <c r="AC584" s="118"/>
      <c r="AE584" s="118"/>
      <c r="AF584" s="119"/>
    </row>
    <row r="585" spans="1:32" x14ac:dyDescent="0.3">
      <c r="A585" s="118"/>
      <c r="C585" s="118"/>
      <c r="E585" s="118"/>
      <c r="G585" s="118"/>
      <c r="I585" s="118"/>
      <c r="J585" s="119"/>
      <c r="M585" s="118"/>
      <c r="O585" s="118"/>
      <c r="Q585" s="118"/>
      <c r="S585" s="118"/>
      <c r="U585" s="118"/>
      <c r="W585" s="118"/>
      <c r="Y585" s="118"/>
      <c r="AA585" s="118"/>
      <c r="AC585" s="118"/>
      <c r="AE585" s="118"/>
      <c r="AF585" s="119"/>
    </row>
    <row r="586" spans="1:32" x14ac:dyDescent="0.3">
      <c r="A586" s="118"/>
      <c r="C586" s="118"/>
      <c r="E586" s="118"/>
      <c r="G586" s="118"/>
      <c r="I586" s="118"/>
      <c r="J586" s="119"/>
      <c r="M586" s="118"/>
      <c r="O586" s="118"/>
      <c r="Q586" s="118"/>
      <c r="S586" s="118"/>
      <c r="U586" s="118"/>
      <c r="W586" s="118"/>
      <c r="Y586" s="118"/>
      <c r="AA586" s="118"/>
      <c r="AC586" s="118"/>
      <c r="AE586" s="118"/>
      <c r="AF586" s="119"/>
    </row>
    <row r="587" spans="1:32" x14ac:dyDescent="0.3">
      <c r="A587" s="118"/>
      <c r="C587" s="118"/>
      <c r="E587" s="118"/>
      <c r="G587" s="118"/>
      <c r="I587" s="118"/>
      <c r="J587" s="119"/>
      <c r="M587" s="118"/>
      <c r="O587" s="118"/>
      <c r="Q587" s="118"/>
      <c r="S587" s="118"/>
      <c r="U587" s="118"/>
      <c r="W587" s="118"/>
      <c r="Y587" s="118"/>
      <c r="AA587" s="118"/>
      <c r="AC587" s="118"/>
      <c r="AE587" s="118"/>
      <c r="AF587" s="119"/>
    </row>
    <row r="588" spans="1:32" x14ac:dyDescent="0.3">
      <c r="A588" s="118"/>
      <c r="C588" s="118"/>
      <c r="E588" s="118"/>
      <c r="G588" s="118"/>
      <c r="I588" s="118"/>
      <c r="J588" s="119"/>
      <c r="M588" s="118"/>
      <c r="O588" s="118"/>
      <c r="Q588" s="118"/>
      <c r="S588" s="118"/>
      <c r="U588" s="118"/>
      <c r="W588" s="118"/>
      <c r="Y588" s="118"/>
      <c r="AA588" s="118"/>
      <c r="AC588" s="118"/>
      <c r="AE588" s="118"/>
      <c r="AF588" s="119"/>
    </row>
    <row r="589" spans="1:32" x14ac:dyDescent="0.3">
      <c r="A589" s="118"/>
      <c r="C589" s="118"/>
      <c r="E589" s="118"/>
      <c r="G589" s="118"/>
      <c r="I589" s="118"/>
      <c r="J589" s="119"/>
      <c r="M589" s="118"/>
      <c r="O589" s="118"/>
      <c r="Q589" s="118"/>
      <c r="S589" s="118"/>
      <c r="U589" s="118"/>
      <c r="W589" s="118"/>
      <c r="Y589" s="118"/>
      <c r="AA589" s="118"/>
      <c r="AC589" s="118"/>
      <c r="AE589" s="118"/>
      <c r="AF589" s="119"/>
    </row>
    <row r="590" spans="1:32" x14ac:dyDescent="0.3">
      <c r="A590" s="118"/>
      <c r="C590" s="118"/>
      <c r="E590" s="118"/>
      <c r="G590" s="118"/>
      <c r="I590" s="118"/>
      <c r="J590" s="119"/>
      <c r="M590" s="118"/>
      <c r="O590" s="118"/>
      <c r="Q590" s="118"/>
      <c r="S590" s="118"/>
      <c r="U590" s="118"/>
      <c r="W590" s="118"/>
      <c r="Y590" s="118"/>
      <c r="AA590" s="118"/>
      <c r="AC590" s="118"/>
      <c r="AE590" s="118"/>
      <c r="AF590" s="119"/>
    </row>
    <row r="591" spans="1:32" x14ac:dyDescent="0.3">
      <c r="A591" s="118"/>
      <c r="C591" s="118"/>
      <c r="E591" s="118"/>
      <c r="G591" s="118"/>
      <c r="I591" s="118"/>
      <c r="J591" s="119"/>
      <c r="M591" s="118"/>
      <c r="O591" s="118"/>
      <c r="Q591" s="118"/>
      <c r="S591" s="118"/>
      <c r="U591" s="118"/>
      <c r="W591" s="118"/>
      <c r="Y591" s="118"/>
      <c r="AA591" s="118"/>
      <c r="AC591" s="118"/>
      <c r="AE591" s="118"/>
      <c r="AF591" s="119"/>
    </row>
    <row r="592" spans="1:32" x14ac:dyDescent="0.3">
      <c r="A592" s="118"/>
      <c r="C592" s="118"/>
      <c r="E592" s="118"/>
      <c r="G592" s="118"/>
      <c r="I592" s="118"/>
      <c r="J592" s="119"/>
      <c r="M592" s="118"/>
      <c r="O592" s="118"/>
      <c r="Q592" s="118"/>
      <c r="S592" s="118"/>
      <c r="U592" s="118"/>
      <c r="W592" s="118"/>
      <c r="Y592" s="118"/>
      <c r="AA592" s="118"/>
      <c r="AC592" s="118"/>
      <c r="AE592" s="118"/>
      <c r="AF592" s="119"/>
    </row>
    <row r="593" spans="1:32" x14ac:dyDescent="0.3">
      <c r="A593" s="118"/>
      <c r="C593" s="118"/>
      <c r="E593" s="118"/>
      <c r="G593" s="118"/>
      <c r="I593" s="118"/>
      <c r="J593" s="119"/>
      <c r="M593" s="118"/>
      <c r="O593" s="118"/>
      <c r="Q593" s="118"/>
      <c r="S593" s="118"/>
      <c r="U593" s="118"/>
      <c r="W593" s="118"/>
      <c r="Y593" s="118"/>
      <c r="AA593" s="118"/>
      <c r="AC593" s="118"/>
      <c r="AE593" s="118"/>
      <c r="AF593" s="119"/>
    </row>
    <row r="594" spans="1:32" x14ac:dyDescent="0.3">
      <c r="A594" s="118"/>
      <c r="C594" s="118"/>
      <c r="E594" s="118"/>
      <c r="G594" s="118"/>
      <c r="I594" s="118"/>
      <c r="J594" s="119"/>
      <c r="M594" s="118"/>
      <c r="O594" s="118"/>
      <c r="Q594" s="118"/>
      <c r="S594" s="118"/>
      <c r="U594" s="118"/>
      <c r="W594" s="118"/>
      <c r="Y594" s="118"/>
      <c r="AA594" s="118"/>
      <c r="AC594" s="118"/>
      <c r="AE594" s="118"/>
      <c r="AF594" s="119"/>
    </row>
    <row r="595" spans="1:32" x14ac:dyDescent="0.3">
      <c r="A595" s="118"/>
      <c r="C595" s="118"/>
      <c r="E595" s="118"/>
      <c r="G595" s="118"/>
      <c r="I595" s="118"/>
      <c r="J595" s="119"/>
      <c r="M595" s="118"/>
      <c r="O595" s="118"/>
      <c r="Q595" s="118"/>
      <c r="S595" s="118"/>
      <c r="U595" s="118"/>
      <c r="W595" s="118"/>
      <c r="Y595" s="118"/>
      <c r="AA595" s="118"/>
      <c r="AC595" s="118"/>
      <c r="AE595" s="118"/>
      <c r="AF595" s="119"/>
    </row>
    <row r="596" spans="1:32" x14ac:dyDescent="0.3">
      <c r="A596" s="118"/>
      <c r="C596" s="118"/>
      <c r="E596" s="118"/>
      <c r="G596" s="118"/>
      <c r="I596" s="118"/>
      <c r="J596" s="119"/>
      <c r="M596" s="118"/>
      <c r="O596" s="118"/>
      <c r="Q596" s="118"/>
      <c r="S596" s="118"/>
      <c r="U596" s="118"/>
      <c r="W596" s="118"/>
      <c r="Y596" s="118"/>
      <c r="AA596" s="118"/>
      <c r="AC596" s="118"/>
      <c r="AE596" s="118"/>
      <c r="AF596" s="119"/>
    </row>
    <row r="597" spans="1:32" x14ac:dyDescent="0.3">
      <c r="A597" s="118"/>
      <c r="C597" s="118"/>
      <c r="E597" s="118"/>
      <c r="G597" s="118"/>
      <c r="I597" s="118"/>
      <c r="J597" s="119"/>
      <c r="M597" s="118"/>
      <c r="O597" s="118"/>
      <c r="Q597" s="118"/>
      <c r="S597" s="118"/>
      <c r="U597" s="118"/>
      <c r="W597" s="118"/>
      <c r="Y597" s="118"/>
      <c r="AA597" s="118"/>
      <c r="AC597" s="118"/>
      <c r="AE597" s="118"/>
      <c r="AF597" s="119"/>
    </row>
    <row r="598" spans="1:32" x14ac:dyDescent="0.3">
      <c r="A598" s="118"/>
      <c r="C598" s="118"/>
      <c r="E598" s="118"/>
      <c r="G598" s="118"/>
      <c r="I598" s="118"/>
      <c r="J598" s="119"/>
      <c r="M598" s="118"/>
      <c r="O598" s="118"/>
      <c r="Q598" s="118"/>
      <c r="S598" s="118"/>
      <c r="U598" s="118"/>
      <c r="W598" s="118"/>
      <c r="Y598" s="118"/>
      <c r="AA598" s="118"/>
      <c r="AC598" s="118"/>
      <c r="AE598" s="118"/>
      <c r="AF598" s="119"/>
    </row>
    <row r="599" spans="1:32" x14ac:dyDescent="0.3">
      <c r="A599" s="118"/>
      <c r="C599" s="118"/>
      <c r="E599" s="118"/>
      <c r="G599" s="118"/>
      <c r="I599" s="118"/>
      <c r="J599" s="119"/>
      <c r="M599" s="118"/>
      <c r="O599" s="118"/>
      <c r="Q599" s="118"/>
      <c r="S599" s="118"/>
      <c r="U599" s="118"/>
      <c r="W599" s="118"/>
      <c r="Y599" s="118"/>
      <c r="AA599" s="118"/>
      <c r="AC599" s="118"/>
      <c r="AE599" s="118"/>
      <c r="AF599" s="119"/>
    </row>
    <row r="600" spans="1:32" x14ac:dyDescent="0.3">
      <c r="A600" s="118"/>
      <c r="C600" s="118"/>
      <c r="E600" s="118"/>
      <c r="G600" s="118"/>
      <c r="I600" s="118"/>
      <c r="J600" s="119"/>
      <c r="M600" s="118"/>
      <c r="O600" s="118"/>
      <c r="Q600" s="118"/>
      <c r="S600" s="118"/>
      <c r="U600" s="118"/>
      <c r="W600" s="118"/>
      <c r="Y600" s="118"/>
      <c r="AA600" s="118"/>
      <c r="AC600" s="118"/>
      <c r="AE600" s="118"/>
      <c r="AF600" s="119"/>
    </row>
    <row r="601" spans="1:32" x14ac:dyDescent="0.3">
      <c r="A601" s="118"/>
      <c r="C601" s="118"/>
      <c r="E601" s="118"/>
      <c r="G601" s="118"/>
      <c r="I601" s="118"/>
      <c r="J601" s="119"/>
      <c r="M601" s="118"/>
      <c r="O601" s="118"/>
      <c r="Q601" s="118"/>
      <c r="S601" s="118"/>
      <c r="U601" s="118"/>
      <c r="W601" s="118"/>
      <c r="Y601" s="118"/>
      <c r="AA601" s="118"/>
      <c r="AC601" s="118"/>
      <c r="AE601" s="118"/>
      <c r="AF601" s="119"/>
    </row>
    <row r="602" spans="1:32" x14ac:dyDescent="0.3">
      <c r="A602" s="118"/>
      <c r="C602" s="118"/>
      <c r="E602" s="118"/>
      <c r="G602" s="118"/>
      <c r="I602" s="118"/>
      <c r="J602" s="119"/>
      <c r="M602" s="118"/>
      <c r="O602" s="118"/>
      <c r="Q602" s="118"/>
      <c r="S602" s="118"/>
      <c r="U602" s="118"/>
      <c r="W602" s="118"/>
      <c r="Y602" s="118"/>
      <c r="AA602" s="118"/>
      <c r="AC602" s="118"/>
      <c r="AE602" s="118"/>
      <c r="AF602" s="119"/>
    </row>
    <row r="603" spans="1:32" x14ac:dyDescent="0.3">
      <c r="A603" s="118"/>
      <c r="C603" s="118"/>
      <c r="E603" s="118"/>
      <c r="G603" s="118"/>
      <c r="I603" s="118"/>
      <c r="J603" s="119"/>
      <c r="M603" s="118"/>
      <c r="O603" s="118"/>
      <c r="Q603" s="118"/>
      <c r="S603" s="118"/>
      <c r="U603" s="118"/>
      <c r="W603" s="118"/>
      <c r="Y603" s="118"/>
      <c r="AA603" s="118"/>
      <c r="AC603" s="118"/>
      <c r="AE603" s="118"/>
      <c r="AF603" s="119"/>
    </row>
    <row r="604" spans="1:32" x14ac:dyDescent="0.3">
      <c r="A604" s="118"/>
      <c r="C604" s="118"/>
      <c r="E604" s="118"/>
      <c r="G604" s="118"/>
      <c r="I604" s="118"/>
      <c r="J604" s="119"/>
      <c r="M604" s="118"/>
      <c r="O604" s="118"/>
      <c r="Q604" s="118"/>
      <c r="S604" s="118"/>
      <c r="U604" s="118"/>
      <c r="W604" s="118"/>
      <c r="Y604" s="118"/>
      <c r="AA604" s="118"/>
      <c r="AC604" s="118"/>
      <c r="AE604" s="118"/>
      <c r="AF604" s="119"/>
    </row>
    <row r="605" spans="1:32" x14ac:dyDescent="0.3">
      <c r="A605" s="118"/>
      <c r="C605" s="118"/>
      <c r="E605" s="118"/>
      <c r="G605" s="118"/>
      <c r="I605" s="118"/>
      <c r="J605" s="119"/>
      <c r="M605" s="118"/>
      <c r="O605" s="118"/>
      <c r="Q605" s="118"/>
      <c r="S605" s="118"/>
      <c r="U605" s="118"/>
      <c r="W605" s="118"/>
      <c r="Y605" s="118"/>
      <c r="AA605" s="118"/>
      <c r="AC605" s="118"/>
      <c r="AE605" s="118"/>
      <c r="AF605" s="119"/>
    </row>
    <row r="606" spans="1:32" x14ac:dyDescent="0.3">
      <c r="A606" s="118"/>
      <c r="C606" s="118"/>
      <c r="E606" s="118"/>
      <c r="G606" s="118"/>
      <c r="I606" s="118"/>
      <c r="J606" s="119"/>
      <c r="M606" s="118"/>
      <c r="O606" s="118"/>
      <c r="Q606" s="118"/>
      <c r="S606" s="118"/>
      <c r="U606" s="118"/>
      <c r="W606" s="118"/>
      <c r="Y606" s="118"/>
      <c r="AA606" s="118"/>
      <c r="AC606" s="118"/>
      <c r="AE606" s="118"/>
      <c r="AF606" s="119"/>
    </row>
    <row r="607" spans="1:32" x14ac:dyDescent="0.3">
      <c r="A607" s="118"/>
      <c r="C607" s="118"/>
      <c r="E607" s="118"/>
      <c r="G607" s="118"/>
      <c r="I607" s="118"/>
      <c r="J607" s="119"/>
      <c r="M607" s="118"/>
      <c r="O607" s="118"/>
      <c r="Q607" s="118"/>
      <c r="S607" s="118"/>
      <c r="U607" s="118"/>
      <c r="W607" s="118"/>
      <c r="Y607" s="118"/>
      <c r="AA607" s="118"/>
      <c r="AC607" s="118"/>
      <c r="AE607" s="118"/>
      <c r="AF607" s="119"/>
    </row>
    <row r="608" spans="1:32" x14ac:dyDescent="0.3">
      <c r="A608" s="118"/>
      <c r="C608" s="118"/>
      <c r="E608" s="118"/>
      <c r="G608" s="118"/>
      <c r="I608" s="118"/>
      <c r="J608" s="119"/>
      <c r="M608" s="118"/>
      <c r="O608" s="118"/>
      <c r="Q608" s="118"/>
      <c r="S608" s="118"/>
      <c r="U608" s="118"/>
      <c r="W608" s="118"/>
      <c r="Y608" s="118"/>
      <c r="AA608" s="118"/>
      <c r="AC608" s="118"/>
      <c r="AE608" s="118"/>
      <c r="AF608" s="119"/>
    </row>
    <row r="609" spans="1:32" x14ac:dyDescent="0.3">
      <c r="A609" s="118"/>
      <c r="C609" s="118"/>
      <c r="E609" s="118"/>
      <c r="G609" s="118"/>
      <c r="I609" s="118"/>
      <c r="J609" s="119"/>
      <c r="M609" s="118"/>
      <c r="O609" s="118"/>
      <c r="Q609" s="118"/>
      <c r="S609" s="118"/>
      <c r="U609" s="118"/>
      <c r="W609" s="118"/>
      <c r="Y609" s="118"/>
      <c r="AA609" s="118"/>
      <c r="AC609" s="118"/>
      <c r="AE609" s="118"/>
      <c r="AF609" s="119"/>
    </row>
    <row r="610" spans="1:32" x14ac:dyDescent="0.3">
      <c r="A610" s="118"/>
      <c r="C610" s="118"/>
      <c r="E610" s="118"/>
      <c r="G610" s="118"/>
      <c r="I610" s="118"/>
      <c r="J610" s="119"/>
      <c r="M610" s="118"/>
      <c r="O610" s="118"/>
      <c r="Q610" s="118"/>
      <c r="S610" s="118"/>
      <c r="U610" s="118"/>
      <c r="W610" s="118"/>
      <c r="Y610" s="118"/>
      <c r="AA610" s="118"/>
      <c r="AC610" s="118"/>
      <c r="AE610" s="118"/>
      <c r="AF610" s="119"/>
    </row>
    <row r="611" spans="1:32" x14ac:dyDescent="0.3">
      <c r="A611" s="118"/>
      <c r="C611" s="118"/>
      <c r="E611" s="118"/>
      <c r="G611" s="118"/>
      <c r="I611" s="118"/>
      <c r="J611" s="119"/>
      <c r="M611" s="118"/>
      <c r="O611" s="118"/>
      <c r="Q611" s="118"/>
      <c r="S611" s="118"/>
      <c r="U611" s="118"/>
      <c r="W611" s="118"/>
      <c r="Y611" s="118"/>
      <c r="AA611" s="118"/>
      <c r="AC611" s="118"/>
      <c r="AE611" s="118"/>
      <c r="AF611" s="119"/>
    </row>
    <row r="612" spans="1:32" x14ac:dyDescent="0.3">
      <c r="A612" s="118"/>
      <c r="C612" s="118"/>
      <c r="E612" s="118"/>
      <c r="G612" s="118"/>
      <c r="I612" s="118"/>
      <c r="J612" s="119"/>
      <c r="M612" s="118"/>
      <c r="O612" s="118"/>
      <c r="Q612" s="118"/>
      <c r="S612" s="118"/>
      <c r="U612" s="118"/>
      <c r="W612" s="118"/>
      <c r="Y612" s="118"/>
      <c r="AA612" s="118"/>
      <c r="AC612" s="118"/>
      <c r="AE612" s="118"/>
      <c r="AF612" s="119"/>
    </row>
    <row r="613" spans="1:32" x14ac:dyDescent="0.3">
      <c r="A613" s="118"/>
      <c r="C613" s="118"/>
      <c r="E613" s="118"/>
      <c r="G613" s="118"/>
      <c r="I613" s="118"/>
      <c r="J613" s="119"/>
      <c r="M613" s="118"/>
      <c r="O613" s="118"/>
      <c r="Q613" s="118"/>
      <c r="S613" s="118"/>
      <c r="U613" s="118"/>
      <c r="W613" s="118"/>
      <c r="Y613" s="118"/>
      <c r="AA613" s="118"/>
      <c r="AC613" s="118"/>
      <c r="AE613" s="118"/>
      <c r="AF613" s="119"/>
    </row>
    <row r="614" spans="1:32" x14ac:dyDescent="0.3">
      <c r="A614" s="118"/>
      <c r="C614" s="118"/>
      <c r="E614" s="118"/>
      <c r="G614" s="118"/>
      <c r="I614" s="118"/>
      <c r="J614" s="119"/>
      <c r="M614" s="118"/>
      <c r="O614" s="118"/>
      <c r="Q614" s="118"/>
      <c r="S614" s="118"/>
      <c r="U614" s="118"/>
      <c r="W614" s="118"/>
      <c r="Y614" s="118"/>
      <c r="AA614" s="118"/>
      <c r="AC614" s="118"/>
      <c r="AE614" s="118"/>
      <c r="AF614" s="119"/>
    </row>
    <row r="615" spans="1:32" x14ac:dyDescent="0.3">
      <c r="A615" s="118"/>
      <c r="C615" s="118"/>
      <c r="E615" s="118"/>
      <c r="G615" s="118"/>
      <c r="I615" s="118"/>
      <c r="J615" s="119"/>
      <c r="M615" s="118"/>
      <c r="O615" s="118"/>
      <c r="Q615" s="118"/>
      <c r="S615" s="118"/>
      <c r="U615" s="118"/>
      <c r="W615" s="118"/>
      <c r="Y615" s="118"/>
      <c r="AA615" s="118"/>
      <c r="AC615" s="118"/>
      <c r="AE615" s="118"/>
      <c r="AF615" s="119"/>
    </row>
    <row r="616" spans="1:32" x14ac:dyDescent="0.3">
      <c r="A616" s="118"/>
      <c r="C616" s="118"/>
      <c r="E616" s="118"/>
      <c r="G616" s="118"/>
      <c r="I616" s="118"/>
      <c r="J616" s="119"/>
      <c r="M616" s="118"/>
      <c r="O616" s="118"/>
      <c r="Q616" s="118"/>
      <c r="S616" s="118"/>
      <c r="U616" s="118"/>
      <c r="W616" s="118"/>
      <c r="Y616" s="118"/>
      <c r="AA616" s="118"/>
      <c r="AC616" s="118"/>
      <c r="AE616" s="118"/>
      <c r="AF616" s="119"/>
    </row>
    <row r="617" spans="1:32" x14ac:dyDescent="0.3">
      <c r="A617" s="118"/>
      <c r="C617" s="118"/>
      <c r="E617" s="118"/>
      <c r="G617" s="118"/>
      <c r="I617" s="118"/>
      <c r="J617" s="119"/>
      <c r="M617" s="118"/>
      <c r="O617" s="118"/>
      <c r="Q617" s="118"/>
      <c r="S617" s="118"/>
      <c r="U617" s="118"/>
      <c r="W617" s="118"/>
      <c r="Y617" s="118"/>
      <c r="AA617" s="118"/>
      <c r="AC617" s="118"/>
      <c r="AE617" s="118"/>
      <c r="AF617" s="119"/>
    </row>
    <row r="618" spans="1:32" x14ac:dyDescent="0.3">
      <c r="A618" s="118"/>
      <c r="C618" s="118"/>
      <c r="E618" s="118"/>
      <c r="G618" s="118"/>
      <c r="I618" s="118"/>
      <c r="J618" s="119"/>
      <c r="M618" s="118"/>
      <c r="O618" s="118"/>
      <c r="Q618" s="118"/>
      <c r="S618" s="118"/>
      <c r="U618" s="118"/>
      <c r="W618" s="118"/>
      <c r="Y618" s="118"/>
      <c r="AA618" s="118"/>
      <c r="AC618" s="118"/>
      <c r="AE618" s="118"/>
      <c r="AF618" s="119"/>
    </row>
    <row r="619" spans="1:32" x14ac:dyDescent="0.3">
      <c r="A619" s="118"/>
      <c r="C619" s="118"/>
      <c r="E619" s="118"/>
      <c r="G619" s="118"/>
      <c r="I619" s="118"/>
      <c r="J619" s="119"/>
      <c r="M619" s="118"/>
      <c r="O619" s="118"/>
      <c r="Q619" s="118"/>
      <c r="S619" s="118"/>
      <c r="U619" s="118"/>
      <c r="W619" s="118"/>
      <c r="Y619" s="118"/>
      <c r="AA619" s="118"/>
      <c r="AC619" s="118"/>
      <c r="AE619" s="118"/>
      <c r="AF619" s="119"/>
    </row>
    <row r="620" spans="1:32" x14ac:dyDescent="0.3">
      <c r="A620" s="118"/>
      <c r="C620" s="118"/>
      <c r="E620" s="118"/>
      <c r="G620" s="118"/>
      <c r="I620" s="118"/>
      <c r="J620" s="119"/>
      <c r="M620" s="118"/>
      <c r="O620" s="118"/>
      <c r="Q620" s="118"/>
      <c r="S620" s="118"/>
      <c r="U620" s="118"/>
      <c r="W620" s="118"/>
      <c r="Y620" s="118"/>
      <c r="AA620" s="118"/>
      <c r="AC620" s="118"/>
      <c r="AE620" s="118"/>
      <c r="AF620" s="119"/>
    </row>
    <row r="621" spans="1:32" x14ac:dyDescent="0.3">
      <c r="A621" s="118"/>
      <c r="C621" s="118"/>
      <c r="E621" s="118"/>
      <c r="G621" s="118"/>
      <c r="I621" s="118"/>
      <c r="J621" s="119"/>
      <c r="M621" s="118"/>
      <c r="O621" s="118"/>
      <c r="Q621" s="118"/>
      <c r="S621" s="118"/>
      <c r="U621" s="118"/>
      <c r="W621" s="118"/>
      <c r="Y621" s="118"/>
      <c r="AA621" s="118"/>
      <c r="AC621" s="118"/>
      <c r="AE621" s="118"/>
      <c r="AF621" s="119"/>
    </row>
    <row r="622" spans="1:32" x14ac:dyDescent="0.3">
      <c r="A622" s="118"/>
      <c r="C622" s="118"/>
      <c r="E622" s="118"/>
      <c r="G622" s="118"/>
      <c r="I622" s="118"/>
      <c r="J622" s="119"/>
      <c r="M622" s="118"/>
      <c r="O622" s="118"/>
      <c r="Q622" s="118"/>
      <c r="S622" s="118"/>
      <c r="U622" s="118"/>
      <c r="W622" s="118"/>
      <c r="Y622" s="118"/>
      <c r="AA622" s="118"/>
      <c r="AC622" s="118"/>
      <c r="AE622" s="118"/>
      <c r="AF622" s="119"/>
    </row>
    <row r="623" spans="1:32" x14ac:dyDescent="0.3">
      <c r="A623" s="118"/>
      <c r="C623" s="118"/>
      <c r="E623" s="118"/>
      <c r="G623" s="118"/>
      <c r="I623" s="118"/>
      <c r="J623" s="119"/>
      <c r="M623" s="118"/>
      <c r="O623" s="118"/>
      <c r="Q623" s="118"/>
      <c r="S623" s="118"/>
      <c r="U623" s="118"/>
      <c r="W623" s="118"/>
      <c r="Y623" s="118"/>
      <c r="AA623" s="118"/>
      <c r="AC623" s="118"/>
      <c r="AE623" s="118"/>
      <c r="AF623" s="119"/>
    </row>
    <row r="624" spans="1:32" x14ac:dyDescent="0.3">
      <c r="A624" s="118"/>
      <c r="C624" s="118"/>
      <c r="E624" s="118"/>
      <c r="G624" s="118"/>
      <c r="I624" s="118"/>
      <c r="J624" s="119"/>
      <c r="M624" s="118"/>
      <c r="O624" s="118"/>
      <c r="Q624" s="118"/>
      <c r="S624" s="118"/>
      <c r="U624" s="118"/>
      <c r="W624" s="118"/>
      <c r="Y624" s="118"/>
      <c r="AA624" s="118"/>
      <c r="AC624" s="118"/>
      <c r="AE624" s="118"/>
      <c r="AF624" s="119"/>
    </row>
    <row r="625" spans="1:32" x14ac:dyDescent="0.3">
      <c r="A625" s="118"/>
      <c r="C625" s="118"/>
      <c r="E625" s="118"/>
      <c r="G625" s="118"/>
      <c r="I625" s="118"/>
      <c r="J625" s="119"/>
      <c r="M625" s="118"/>
      <c r="O625" s="118"/>
      <c r="Q625" s="118"/>
      <c r="S625" s="118"/>
      <c r="U625" s="118"/>
      <c r="W625" s="118"/>
      <c r="Y625" s="118"/>
      <c r="AA625" s="118"/>
      <c r="AC625" s="118"/>
      <c r="AE625" s="118"/>
      <c r="AF625" s="119"/>
    </row>
    <row r="626" spans="1:32" x14ac:dyDescent="0.3">
      <c r="A626" s="118"/>
      <c r="C626" s="118"/>
      <c r="E626" s="118"/>
      <c r="G626" s="118"/>
      <c r="I626" s="118"/>
      <c r="J626" s="119"/>
      <c r="M626" s="118"/>
      <c r="O626" s="118"/>
      <c r="Q626" s="118"/>
      <c r="S626" s="118"/>
      <c r="U626" s="118"/>
      <c r="W626" s="118"/>
      <c r="Y626" s="118"/>
      <c r="AA626" s="118"/>
      <c r="AC626" s="118"/>
      <c r="AE626" s="118"/>
      <c r="AF626" s="119"/>
    </row>
    <row r="627" spans="1:32" x14ac:dyDescent="0.3">
      <c r="A627" s="118"/>
      <c r="C627" s="118"/>
      <c r="E627" s="118"/>
      <c r="G627" s="118"/>
      <c r="I627" s="118"/>
      <c r="J627" s="119"/>
      <c r="M627" s="118"/>
      <c r="O627" s="118"/>
      <c r="Q627" s="118"/>
      <c r="S627" s="118"/>
      <c r="U627" s="118"/>
      <c r="W627" s="118"/>
      <c r="Y627" s="118"/>
      <c r="AA627" s="118"/>
      <c r="AC627" s="118"/>
      <c r="AE627" s="118"/>
      <c r="AF627" s="119"/>
    </row>
    <row r="628" spans="1:32" x14ac:dyDescent="0.3">
      <c r="A628" s="118"/>
      <c r="C628" s="118"/>
      <c r="E628" s="118"/>
      <c r="G628" s="118"/>
      <c r="I628" s="118"/>
      <c r="J628" s="119"/>
      <c r="M628" s="118"/>
      <c r="O628" s="118"/>
      <c r="Q628" s="118"/>
      <c r="S628" s="118"/>
      <c r="U628" s="118"/>
      <c r="W628" s="118"/>
      <c r="Y628" s="118"/>
      <c r="AA628" s="118"/>
      <c r="AC628" s="118"/>
      <c r="AE628" s="118"/>
      <c r="AF628" s="119"/>
    </row>
    <row r="629" spans="1:32" x14ac:dyDescent="0.3">
      <c r="A629" s="118"/>
      <c r="C629" s="118"/>
      <c r="E629" s="118"/>
      <c r="G629" s="118"/>
      <c r="I629" s="118"/>
      <c r="J629" s="119"/>
      <c r="M629" s="118"/>
      <c r="O629" s="118"/>
      <c r="Q629" s="118"/>
      <c r="S629" s="118"/>
      <c r="U629" s="118"/>
      <c r="W629" s="118"/>
      <c r="Y629" s="118"/>
      <c r="AA629" s="118"/>
      <c r="AC629" s="118"/>
      <c r="AE629" s="118"/>
      <c r="AF629" s="119"/>
    </row>
    <row r="630" spans="1:32" x14ac:dyDescent="0.3">
      <c r="A630" s="118"/>
      <c r="C630" s="118"/>
      <c r="E630" s="118"/>
      <c r="G630" s="118"/>
      <c r="I630" s="118"/>
      <c r="J630" s="119"/>
      <c r="M630" s="118"/>
      <c r="O630" s="118"/>
      <c r="Q630" s="118"/>
      <c r="S630" s="118"/>
      <c r="U630" s="118"/>
      <c r="W630" s="118"/>
      <c r="Y630" s="118"/>
      <c r="AA630" s="118"/>
      <c r="AC630" s="118"/>
      <c r="AE630" s="118"/>
      <c r="AF630" s="119"/>
    </row>
    <row r="631" spans="1:32" x14ac:dyDescent="0.3">
      <c r="A631" s="118"/>
      <c r="C631" s="118"/>
      <c r="E631" s="118"/>
      <c r="G631" s="118"/>
      <c r="I631" s="118"/>
      <c r="J631" s="119"/>
      <c r="M631" s="118"/>
      <c r="O631" s="118"/>
      <c r="Q631" s="118"/>
      <c r="S631" s="118"/>
      <c r="U631" s="118"/>
      <c r="W631" s="118"/>
      <c r="Y631" s="118"/>
      <c r="AA631" s="118"/>
      <c r="AC631" s="118"/>
      <c r="AE631" s="118"/>
      <c r="AF631" s="119"/>
    </row>
    <row r="632" spans="1:32" x14ac:dyDescent="0.3">
      <c r="A632" s="118"/>
      <c r="C632" s="118"/>
      <c r="E632" s="118"/>
      <c r="G632" s="118"/>
      <c r="I632" s="118"/>
      <c r="J632" s="119"/>
      <c r="M632" s="118"/>
      <c r="O632" s="118"/>
      <c r="Q632" s="118"/>
      <c r="S632" s="118"/>
      <c r="U632" s="118"/>
      <c r="W632" s="118"/>
      <c r="Y632" s="118"/>
      <c r="AA632" s="118"/>
      <c r="AC632" s="118"/>
      <c r="AE632" s="118"/>
      <c r="AF632" s="119"/>
    </row>
    <row r="633" spans="1:32" x14ac:dyDescent="0.3">
      <c r="A633" s="118"/>
      <c r="C633" s="118"/>
      <c r="E633" s="118"/>
      <c r="G633" s="118"/>
      <c r="I633" s="118"/>
      <c r="J633" s="119"/>
      <c r="M633" s="118"/>
      <c r="O633" s="118"/>
      <c r="Q633" s="118"/>
      <c r="S633" s="118"/>
      <c r="U633" s="118"/>
      <c r="W633" s="118"/>
      <c r="Y633" s="118"/>
      <c r="AA633" s="118"/>
      <c r="AC633" s="118"/>
      <c r="AE633" s="118"/>
      <c r="AF633" s="119"/>
    </row>
    <row r="634" spans="1:32" x14ac:dyDescent="0.3">
      <c r="A634" s="118"/>
      <c r="C634" s="118"/>
      <c r="E634" s="118"/>
      <c r="G634" s="118"/>
      <c r="I634" s="118"/>
      <c r="J634" s="119"/>
      <c r="M634" s="118"/>
      <c r="O634" s="118"/>
      <c r="Q634" s="118"/>
      <c r="S634" s="118"/>
      <c r="U634" s="118"/>
      <c r="W634" s="118"/>
      <c r="Y634" s="118"/>
      <c r="AA634" s="118"/>
      <c r="AC634" s="118"/>
      <c r="AE634" s="118"/>
      <c r="AF634" s="119"/>
    </row>
    <row r="635" spans="1:32" x14ac:dyDescent="0.3">
      <c r="A635" s="118"/>
      <c r="C635" s="118"/>
      <c r="E635" s="118"/>
      <c r="G635" s="118"/>
      <c r="I635" s="118"/>
      <c r="J635" s="119"/>
      <c r="M635" s="118"/>
      <c r="O635" s="118"/>
      <c r="Q635" s="118"/>
      <c r="S635" s="118"/>
      <c r="U635" s="118"/>
      <c r="W635" s="118"/>
      <c r="Y635" s="118"/>
      <c r="AA635" s="118"/>
      <c r="AC635" s="118"/>
      <c r="AE635" s="118"/>
      <c r="AF635" s="119"/>
    </row>
    <row r="636" spans="1:32" x14ac:dyDescent="0.3">
      <c r="A636" s="118"/>
      <c r="C636" s="118"/>
      <c r="E636" s="118"/>
      <c r="G636" s="118"/>
      <c r="I636" s="118"/>
      <c r="J636" s="119"/>
      <c r="M636" s="118"/>
      <c r="O636" s="118"/>
      <c r="Q636" s="118"/>
      <c r="S636" s="118"/>
      <c r="U636" s="118"/>
      <c r="W636" s="118"/>
      <c r="Y636" s="118"/>
      <c r="AA636" s="118"/>
      <c r="AC636" s="118"/>
      <c r="AE636" s="118"/>
      <c r="AF636" s="119"/>
    </row>
    <row r="637" spans="1:32" x14ac:dyDescent="0.3">
      <c r="A637" s="118"/>
      <c r="C637" s="118"/>
      <c r="E637" s="118"/>
      <c r="G637" s="118"/>
      <c r="I637" s="118"/>
      <c r="J637" s="119"/>
      <c r="M637" s="118"/>
      <c r="O637" s="118"/>
      <c r="Q637" s="118"/>
      <c r="S637" s="118"/>
      <c r="U637" s="118"/>
      <c r="W637" s="118"/>
      <c r="Y637" s="118"/>
      <c r="AA637" s="118"/>
      <c r="AC637" s="118"/>
      <c r="AE637" s="118"/>
      <c r="AF637" s="119"/>
    </row>
    <row r="638" spans="1:32" x14ac:dyDescent="0.3">
      <c r="A638" s="118"/>
      <c r="C638" s="118"/>
      <c r="E638" s="118"/>
      <c r="G638" s="118"/>
      <c r="I638" s="118"/>
      <c r="J638" s="119"/>
      <c r="M638" s="118"/>
      <c r="O638" s="118"/>
      <c r="Q638" s="118"/>
      <c r="S638" s="118"/>
      <c r="U638" s="118"/>
      <c r="W638" s="118"/>
      <c r="Y638" s="118"/>
      <c r="AA638" s="118"/>
      <c r="AC638" s="118"/>
      <c r="AE638" s="118"/>
      <c r="AF638" s="119"/>
    </row>
    <row r="639" spans="1:32" x14ac:dyDescent="0.3">
      <c r="A639" s="118"/>
      <c r="C639" s="118"/>
      <c r="E639" s="118"/>
      <c r="G639" s="118"/>
      <c r="I639" s="118"/>
      <c r="J639" s="119"/>
      <c r="M639" s="118"/>
      <c r="O639" s="118"/>
      <c r="Q639" s="118"/>
      <c r="S639" s="118"/>
      <c r="U639" s="118"/>
      <c r="W639" s="118"/>
      <c r="Y639" s="118"/>
      <c r="AA639" s="118"/>
      <c r="AC639" s="118"/>
      <c r="AE639" s="118"/>
      <c r="AF639" s="119"/>
    </row>
    <row r="640" spans="1:32" x14ac:dyDescent="0.3">
      <c r="A640" s="118"/>
      <c r="C640" s="118"/>
      <c r="E640" s="118"/>
      <c r="G640" s="118"/>
      <c r="I640" s="118"/>
      <c r="J640" s="119"/>
      <c r="M640" s="118"/>
      <c r="O640" s="118"/>
      <c r="Q640" s="118"/>
      <c r="S640" s="118"/>
      <c r="U640" s="118"/>
      <c r="W640" s="118"/>
      <c r="Y640" s="118"/>
      <c r="AA640" s="118"/>
      <c r="AC640" s="118"/>
      <c r="AE640" s="118"/>
      <c r="AF640" s="119"/>
    </row>
    <row r="641" spans="1:32" x14ac:dyDescent="0.3">
      <c r="A641" s="118"/>
      <c r="C641" s="118"/>
      <c r="E641" s="118"/>
      <c r="G641" s="118"/>
      <c r="I641" s="118"/>
      <c r="J641" s="119"/>
      <c r="M641" s="118"/>
      <c r="O641" s="118"/>
      <c r="Q641" s="118"/>
      <c r="S641" s="118"/>
      <c r="U641" s="118"/>
      <c r="W641" s="118"/>
      <c r="Y641" s="118"/>
      <c r="AA641" s="118"/>
      <c r="AC641" s="118"/>
      <c r="AE641" s="118"/>
      <c r="AF641" s="119"/>
    </row>
    <row r="642" spans="1:32" x14ac:dyDescent="0.3">
      <c r="A642" s="118"/>
      <c r="C642" s="118"/>
      <c r="E642" s="118"/>
      <c r="G642" s="118"/>
      <c r="I642" s="118"/>
      <c r="J642" s="119"/>
      <c r="M642" s="118"/>
      <c r="O642" s="118"/>
      <c r="Q642" s="118"/>
      <c r="S642" s="118"/>
      <c r="U642" s="118"/>
      <c r="W642" s="118"/>
      <c r="Y642" s="118"/>
      <c r="AA642" s="118"/>
      <c r="AC642" s="118"/>
      <c r="AE642" s="118"/>
      <c r="AF642" s="119"/>
    </row>
    <row r="643" spans="1:32" x14ac:dyDescent="0.3">
      <c r="A643" s="118"/>
      <c r="C643" s="118"/>
      <c r="E643" s="118"/>
      <c r="G643" s="118"/>
      <c r="I643" s="118"/>
      <c r="J643" s="119"/>
      <c r="M643" s="118"/>
      <c r="O643" s="118"/>
      <c r="Q643" s="118"/>
      <c r="S643" s="118"/>
      <c r="U643" s="118"/>
      <c r="W643" s="118"/>
      <c r="Y643" s="118"/>
      <c r="AA643" s="118"/>
      <c r="AC643" s="118"/>
      <c r="AE643" s="118"/>
      <c r="AF643" s="119"/>
    </row>
    <row r="644" spans="1:32" x14ac:dyDescent="0.3">
      <c r="A644" s="118"/>
      <c r="C644" s="118"/>
      <c r="E644" s="118"/>
      <c r="G644" s="118"/>
      <c r="I644" s="118"/>
      <c r="J644" s="119"/>
      <c r="M644" s="118"/>
      <c r="O644" s="118"/>
      <c r="Q644" s="118"/>
      <c r="S644" s="118"/>
      <c r="U644" s="118"/>
      <c r="W644" s="118"/>
      <c r="Y644" s="118"/>
      <c r="AA644" s="118"/>
      <c r="AC644" s="118"/>
      <c r="AE644" s="118"/>
      <c r="AF644" s="119"/>
    </row>
    <row r="645" spans="1:32" x14ac:dyDescent="0.3">
      <c r="A645" s="118"/>
      <c r="C645" s="118"/>
      <c r="E645" s="118"/>
      <c r="G645" s="118"/>
      <c r="I645" s="118"/>
      <c r="J645" s="119"/>
      <c r="M645" s="118"/>
      <c r="O645" s="118"/>
      <c r="Q645" s="118"/>
      <c r="S645" s="118"/>
      <c r="U645" s="118"/>
      <c r="W645" s="118"/>
      <c r="Y645" s="118"/>
      <c r="AA645" s="118"/>
      <c r="AC645" s="118"/>
      <c r="AE645" s="118"/>
      <c r="AF645" s="119"/>
    </row>
    <row r="646" spans="1:32" x14ac:dyDescent="0.3">
      <c r="A646" s="118"/>
      <c r="C646" s="118"/>
      <c r="E646" s="118"/>
      <c r="G646" s="118"/>
      <c r="I646" s="118"/>
      <c r="J646" s="119"/>
      <c r="M646" s="118"/>
      <c r="O646" s="118"/>
      <c r="Q646" s="118"/>
      <c r="S646" s="118"/>
      <c r="U646" s="118"/>
      <c r="W646" s="118"/>
      <c r="Y646" s="118"/>
      <c r="AA646" s="118"/>
      <c r="AC646" s="118"/>
      <c r="AE646" s="118"/>
      <c r="AF646" s="119"/>
    </row>
    <row r="647" spans="1:32" x14ac:dyDescent="0.3">
      <c r="A647" s="118"/>
      <c r="C647" s="118"/>
      <c r="E647" s="118"/>
      <c r="G647" s="118"/>
      <c r="I647" s="118"/>
      <c r="J647" s="119"/>
      <c r="M647" s="118"/>
      <c r="O647" s="118"/>
      <c r="Q647" s="118"/>
      <c r="S647" s="118"/>
      <c r="U647" s="118"/>
      <c r="W647" s="118"/>
      <c r="Y647" s="118"/>
      <c r="AA647" s="118"/>
      <c r="AC647" s="118"/>
      <c r="AE647" s="118"/>
      <c r="AF647" s="119"/>
    </row>
    <row r="648" spans="1:32" x14ac:dyDescent="0.3">
      <c r="A648" s="118"/>
      <c r="C648" s="118"/>
      <c r="E648" s="118"/>
      <c r="G648" s="118"/>
      <c r="I648" s="118"/>
      <c r="J648" s="119"/>
      <c r="M648" s="118"/>
      <c r="O648" s="118"/>
      <c r="Q648" s="118"/>
      <c r="S648" s="118"/>
      <c r="U648" s="118"/>
      <c r="W648" s="118"/>
      <c r="Y648" s="118"/>
      <c r="AA648" s="118"/>
      <c r="AC648" s="118"/>
      <c r="AE648" s="118"/>
      <c r="AF648" s="119"/>
    </row>
    <row r="649" spans="1:32" x14ac:dyDescent="0.3">
      <c r="A649" s="118"/>
      <c r="C649" s="118"/>
      <c r="E649" s="118"/>
      <c r="G649" s="118"/>
      <c r="I649" s="118"/>
      <c r="J649" s="119"/>
      <c r="M649" s="118"/>
      <c r="O649" s="118"/>
      <c r="Q649" s="118"/>
      <c r="S649" s="118"/>
      <c r="U649" s="118"/>
      <c r="W649" s="118"/>
      <c r="Y649" s="118"/>
      <c r="AA649" s="118"/>
      <c r="AC649" s="118"/>
      <c r="AE649" s="118"/>
      <c r="AF649" s="119"/>
    </row>
    <row r="650" spans="1:32" x14ac:dyDescent="0.3">
      <c r="A650" s="118"/>
      <c r="C650" s="118"/>
      <c r="E650" s="118"/>
      <c r="G650" s="118"/>
      <c r="I650" s="118"/>
      <c r="J650" s="119"/>
      <c r="M650" s="118"/>
      <c r="O650" s="118"/>
      <c r="Q650" s="118"/>
      <c r="S650" s="118"/>
      <c r="U650" s="118"/>
      <c r="W650" s="118"/>
      <c r="Y650" s="118"/>
      <c r="AA650" s="118"/>
      <c r="AC650" s="118"/>
      <c r="AE650" s="118"/>
      <c r="AF650" s="119"/>
    </row>
    <row r="651" spans="1:32" x14ac:dyDescent="0.3">
      <c r="A651" s="118"/>
      <c r="C651" s="118"/>
      <c r="E651" s="118"/>
      <c r="G651" s="118"/>
      <c r="I651" s="118"/>
      <c r="J651" s="119"/>
      <c r="M651" s="118"/>
      <c r="O651" s="118"/>
      <c r="Q651" s="118"/>
      <c r="S651" s="118"/>
      <c r="U651" s="118"/>
      <c r="W651" s="118"/>
      <c r="Y651" s="118"/>
      <c r="AA651" s="118"/>
      <c r="AC651" s="118"/>
      <c r="AE651" s="118"/>
      <c r="AF651" s="119"/>
    </row>
    <row r="652" spans="1:32" x14ac:dyDescent="0.3">
      <c r="A652" s="118"/>
      <c r="C652" s="118"/>
      <c r="E652" s="118"/>
      <c r="G652" s="118"/>
      <c r="I652" s="118"/>
      <c r="J652" s="119"/>
      <c r="M652" s="118"/>
      <c r="O652" s="118"/>
      <c r="Q652" s="118"/>
      <c r="S652" s="118"/>
      <c r="U652" s="118"/>
      <c r="W652" s="118"/>
      <c r="Y652" s="118"/>
      <c r="AA652" s="118"/>
      <c r="AC652" s="118"/>
      <c r="AE652" s="118"/>
      <c r="AF652" s="119"/>
    </row>
    <row r="653" spans="1:32" x14ac:dyDescent="0.3">
      <c r="A653" s="118"/>
      <c r="C653" s="118"/>
      <c r="E653" s="118"/>
      <c r="G653" s="118"/>
      <c r="I653" s="118"/>
      <c r="J653" s="119"/>
      <c r="M653" s="118"/>
      <c r="O653" s="118"/>
      <c r="Q653" s="118"/>
      <c r="S653" s="118"/>
      <c r="U653" s="118"/>
      <c r="W653" s="118"/>
      <c r="Y653" s="118"/>
      <c r="AA653" s="118"/>
      <c r="AC653" s="118"/>
      <c r="AE653" s="118"/>
      <c r="AF653" s="119"/>
    </row>
    <row r="654" spans="1:32" x14ac:dyDescent="0.3">
      <c r="A654" s="118"/>
      <c r="C654" s="118"/>
      <c r="E654" s="118"/>
      <c r="G654" s="118"/>
      <c r="I654" s="118"/>
      <c r="J654" s="119"/>
      <c r="M654" s="118"/>
      <c r="O654" s="118"/>
      <c r="Q654" s="118"/>
      <c r="S654" s="118"/>
      <c r="U654" s="118"/>
      <c r="W654" s="118"/>
      <c r="Y654" s="118"/>
      <c r="AA654" s="118"/>
      <c r="AC654" s="118"/>
      <c r="AE654" s="118"/>
      <c r="AF654" s="119"/>
    </row>
    <row r="655" spans="1:32" x14ac:dyDescent="0.3">
      <c r="A655" s="118"/>
      <c r="C655" s="118"/>
      <c r="E655" s="118"/>
      <c r="G655" s="118"/>
      <c r="I655" s="118"/>
      <c r="J655" s="119"/>
      <c r="M655" s="118"/>
      <c r="O655" s="118"/>
      <c r="Q655" s="118"/>
      <c r="S655" s="118"/>
      <c r="U655" s="118"/>
      <c r="W655" s="118"/>
      <c r="Y655" s="118"/>
      <c r="AA655" s="118"/>
      <c r="AC655" s="118"/>
      <c r="AE655" s="118"/>
      <c r="AF655" s="119"/>
    </row>
    <row r="656" spans="1:32" x14ac:dyDescent="0.3">
      <c r="A656" s="118"/>
      <c r="C656" s="118"/>
      <c r="E656" s="118"/>
      <c r="G656" s="118"/>
      <c r="I656" s="118"/>
      <c r="J656" s="119"/>
      <c r="M656" s="118"/>
      <c r="O656" s="118"/>
      <c r="Q656" s="118"/>
      <c r="S656" s="118"/>
      <c r="U656" s="118"/>
      <c r="W656" s="118"/>
      <c r="Y656" s="118"/>
      <c r="AA656" s="118"/>
      <c r="AC656" s="118"/>
      <c r="AE656" s="118"/>
      <c r="AF656" s="119"/>
    </row>
    <row r="657" spans="1:32" x14ac:dyDescent="0.3">
      <c r="A657" s="118"/>
      <c r="C657" s="118"/>
      <c r="E657" s="118"/>
      <c r="G657" s="118"/>
      <c r="I657" s="118"/>
      <c r="J657" s="119"/>
      <c r="M657" s="118"/>
      <c r="O657" s="118"/>
      <c r="Q657" s="118"/>
      <c r="S657" s="118"/>
      <c r="U657" s="118"/>
      <c r="W657" s="118"/>
      <c r="Y657" s="118"/>
      <c r="AA657" s="118"/>
      <c r="AC657" s="118"/>
      <c r="AE657" s="118"/>
      <c r="AF657" s="119"/>
    </row>
    <row r="658" spans="1:32" x14ac:dyDescent="0.3">
      <c r="A658" s="118"/>
      <c r="C658" s="118"/>
      <c r="E658" s="118"/>
      <c r="G658" s="118"/>
      <c r="I658" s="118"/>
      <c r="J658" s="119"/>
      <c r="M658" s="118"/>
      <c r="O658" s="118"/>
      <c r="Q658" s="118"/>
      <c r="S658" s="118"/>
      <c r="U658" s="118"/>
      <c r="W658" s="118"/>
      <c r="Y658" s="118"/>
      <c r="AA658" s="118"/>
      <c r="AC658" s="118"/>
      <c r="AE658" s="118"/>
      <c r="AF658" s="119"/>
    </row>
    <row r="659" spans="1:32" x14ac:dyDescent="0.3">
      <c r="A659" s="118"/>
      <c r="C659" s="118"/>
      <c r="E659" s="118"/>
      <c r="G659" s="118"/>
      <c r="I659" s="118"/>
      <c r="J659" s="119"/>
      <c r="M659" s="118"/>
      <c r="O659" s="118"/>
      <c r="Q659" s="118"/>
      <c r="S659" s="118"/>
      <c r="U659" s="118"/>
      <c r="W659" s="118"/>
      <c r="Y659" s="118"/>
      <c r="AA659" s="118"/>
      <c r="AC659" s="118"/>
      <c r="AE659" s="118"/>
      <c r="AF659" s="119"/>
    </row>
    <row r="660" spans="1:32" x14ac:dyDescent="0.3">
      <c r="A660" s="118"/>
      <c r="C660" s="118"/>
      <c r="E660" s="118"/>
      <c r="G660" s="118"/>
      <c r="I660" s="118"/>
      <c r="J660" s="119"/>
      <c r="M660" s="118"/>
      <c r="O660" s="118"/>
      <c r="Q660" s="118"/>
      <c r="S660" s="118"/>
      <c r="U660" s="118"/>
      <c r="W660" s="118"/>
      <c r="Y660" s="118"/>
      <c r="AA660" s="118"/>
      <c r="AC660" s="118"/>
      <c r="AE660" s="118"/>
      <c r="AF660" s="119"/>
    </row>
    <row r="661" spans="1:32" x14ac:dyDescent="0.3">
      <c r="A661" s="118"/>
      <c r="C661" s="118"/>
      <c r="E661" s="118"/>
      <c r="G661" s="118"/>
      <c r="I661" s="118"/>
      <c r="J661" s="119"/>
      <c r="M661" s="118"/>
      <c r="O661" s="118"/>
      <c r="Q661" s="118"/>
      <c r="S661" s="118"/>
      <c r="U661" s="118"/>
      <c r="W661" s="118"/>
      <c r="Y661" s="118"/>
      <c r="AA661" s="118"/>
      <c r="AC661" s="118"/>
      <c r="AE661" s="118"/>
      <c r="AF661" s="119"/>
    </row>
    <row r="662" spans="1:32" x14ac:dyDescent="0.3">
      <c r="A662" s="118"/>
      <c r="C662" s="118"/>
      <c r="E662" s="118"/>
      <c r="G662" s="118"/>
      <c r="I662" s="118"/>
      <c r="J662" s="119"/>
      <c r="M662" s="118"/>
      <c r="O662" s="118"/>
      <c r="Q662" s="118"/>
      <c r="S662" s="118"/>
      <c r="U662" s="118"/>
      <c r="W662" s="118"/>
      <c r="Y662" s="118"/>
      <c r="AA662" s="118"/>
      <c r="AC662" s="118"/>
      <c r="AE662" s="118"/>
      <c r="AF662" s="119"/>
    </row>
    <row r="663" spans="1:32" x14ac:dyDescent="0.3">
      <c r="A663" s="118"/>
      <c r="C663" s="118"/>
      <c r="E663" s="118"/>
      <c r="G663" s="118"/>
      <c r="I663" s="118"/>
      <c r="J663" s="119"/>
      <c r="M663" s="118"/>
      <c r="O663" s="118"/>
      <c r="Q663" s="118"/>
      <c r="S663" s="118"/>
      <c r="U663" s="118"/>
      <c r="W663" s="118"/>
      <c r="Y663" s="118"/>
      <c r="AA663" s="118"/>
      <c r="AC663" s="118"/>
      <c r="AE663" s="118"/>
      <c r="AF663" s="119"/>
    </row>
    <row r="664" spans="1:32" x14ac:dyDescent="0.3">
      <c r="A664" s="118"/>
      <c r="C664" s="118"/>
      <c r="E664" s="118"/>
      <c r="G664" s="118"/>
      <c r="I664" s="118"/>
      <c r="J664" s="119"/>
      <c r="M664" s="118"/>
      <c r="O664" s="118"/>
      <c r="Q664" s="118"/>
      <c r="S664" s="118"/>
      <c r="U664" s="118"/>
      <c r="W664" s="118"/>
      <c r="Y664" s="118"/>
      <c r="AA664" s="118"/>
      <c r="AC664" s="118"/>
      <c r="AE664" s="118"/>
      <c r="AF664" s="119"/>
    </row>
    <row r="665" spans="1:32" x14ac:dyDescent="0.3">
      <c r="A665" s="118"/>
      <c r="C665" s="118"/>
      <c r="E665" s="118"/>
      <c r="G665" s="118"/>
      <c r="I665" s="118"/>
      <c r="J665" s="119"/>
      <c r="M665" s="118"/>
      <c r="O665" s="118"/>
      <c r="Q665" s="118"/>
      <c r="S665" s="118"/>
      <c r="U665" s="118"/>
      <c r="W665" s="118"/>
      <c r="Y665" s="118"/>
      <c r="AA665" s="118"/>
      <c r="AC665" s="118"/>
      <c r="AE665" s="118"/>
      <c r="AF665" s="119"/>
    </row>
    <row r="666" spans="1:32" x14ac:dyDescent="0.3">
      <c r="A666" s="118"/>
      <c r="C666" s="118"/>
      <c r="E666" s="118"/>
      <c r="G666" s="118"/>
      <c r="I666" s="118"/>
      <c r="J666" s="119"/>
      <c r="M666" s="118"/>
      <c r="O666" s="118"/>
      <c r="Q666" s="118"/>
      <c r="S666" s="118"/>
      <c r="U666" s="118"/>
      <c r="W666" s="118"/>
      <c r="Y666" s="118"/>
      <c r="AA666" s="118"/>
      <c r="AC666" s="118"/>
      <c r="AE666" s="118"/>
      <c r="AF666" s="119"/>
    </row>
    <row r="667" spans="1:32" x14ac:dyDescent="0.3">
      <c r="A667" s="118"/>
      <c r="C667" s="118"/>
      <c r="E667" s="118"/>
      <c r="G667" s="118"/>
      <c r="I667" s="118"/>
      <c r="J667" s="119"/>
      <c r="M667" s="118"/>
      <c r="O667" s="118"/>
      <c r="Q667" s="118"/>
      <c r="S667" s="118"/>
      <c r="U667" s="118"/>
      <c r="W667" s="118"/>
      <c r="Y667" s="118"/>
      <c r="AA667" s="118"/>
      <c r="AC667" s="118"/>
      <c r="AE667" s="118"/>
      <c r="AF667" s="119"/>
    </row>
    <row r="668" spans="1:32" x14ac:dyDescent="0.3">
      <c r="A668" s="118"/>
      <c r="C668" s="118"/>
      <c r="E668" s="118"/>
      <c r="G668" s="118"/>
      <c r="I668" s="118"/>
      <c r="J668" s="119"/>
      <c r="M668" s="118"/>
      <c r="O668" s="118"/>
      <c r="Q668" s="118"/>
      <c r="S668" s="118"/>
      <c r="U668" s="118"/>
      <c r="W668" s="118"/>
      <c r="Y668" s="118"/>
      <c r="AA668" s="118"/>
      <c r="AC668" s="118"/>
      <c r="AE668" s="118"/>
      <c r="AF668" s="119"/>
    </row>
    <row r="669" spans="1:32" x14ac:dyDescent="0.3">
      <c r="A669" s="118"/>
      <c r="C669" s="118"/>
      <c r="E669" s="118"/>
      <c r="G669" s="118"/>
      <c r="I669" s="118"/>
      <c r="J669" s="119"/>
      <c r="M669" s="118"/>
      <c r="O669" s="118"/>
      <c r="Q669" s="118"/>
      <c r="S669" s="118"/>
      <c r="U669" s="118"/>
      <c r="W669" s="118"/>
      <c r="Y669" s="118"/>
      <c r="AA669" s="118"/>
      <c r="AC669" s="118"/>
      <c r="AE669" s="118"/>
      <c r="AF669" s="119"/>
    </row>
    <row r="670" spans="1:32" x14ac:dyDescent="0.3">
      <c r="A670" s="118"/>
      <c r="C670" s="118"/>
      <c r="E670" s="118"/>
      <c r="G670" s="118"/>
      <c r="I670" s="118"/>
      <c r="J670" s="119"/>
      <c r="M670" s="118"/>
      <c r="O670" s="118"/>
      <c r="Q670" s="118"/>
      <c r="S670" s="118"/>
      <c r="U670" s="118"/>
      <c r="W670" s="118"/>
      <c r="Y670" s="118"/>
      <c r="AA670" s="118"/>
      <c r="AC670" s="118"/>
      <c r="AE670" s="118"/>
      <c r="AF670" s="119"/>
    </row>
    <row r="671" spans="1:32" x14ac:dyDescent="0.3">
      <c r="A671" s="118"/>
      <c r="C671" s="118"/>
      <c r="E671" s="118"/>
      <c r="G671" s="118"/>
      <c r="I671" s="118"/>
      <c r="J671" s="119"/>
      <c r="M671" s="118"/>
      <c r="O671" s="118"/>
      <c r="Q671" s="118"/>
      <c r="S671" s="118"/>
      <c r="U671" s="118"/>
      <c r="W671" s="118"/>
      <c r="Y671" s="118"/>
      <c r="AA671" s="118"/>
      <c r="AC671" s="118"/>
      <c r="AE671" s="118"/>
      <c r="AF671" s="119"/>
    </row>
    <row r="672" spans="1:32" x14ac:dyDescent="0.3">
      <c r="A672" s="118"/>
      <c r="C672" s="118"/>
      <c r="E672" s="118"/>
      <c r="G672" s="118"/>
      <c r="I672" s="118"/>
      <c r="J672" s="119"/>
      <c r="M672" s="118"/>
      <c r="O672" s="118"/>
      <c r="Q672" s="118"/>
      <c r="S672" s="118"/>
      <c r="U672" s="118"/>
      <c r="W672" s="118"/>
      <c r="Y672" s="118"/>
      <c r="AA672" s="118"/>
      <c r="AC672" s="118"/>
      <c r="AE672" s="118"/>
      <c r="AF672" s="119"/>
    </row>
    <row r="673" spans="1:32" x14ac:dyDescent="0.3">
      <c r="A673" s="118"/>
      <c r="C673" s="118"/>
      <c r="E673" s="118"/>
      <c r="G673" s="118"/>
      <c r="I673" s="118"/>
      <c r="J673" s="119"/>
      <c r="M673" s="118"/>
      <c r="O673" s="118"/>
      <c r="Q673" s="118"/>
      <c r="S673" s="118"/>
      <c r="U673" s="118"/>
      <c r="W673" s="118"/>
      <c r="Y673" s="118"/>
      <c r="AA673" s="118"/>
      <c r="AC673" s="118"/>
      <c r="AE673" s="118"/>
      <c r="AF673" s="119"/>
    </row>
    <row r="674" spans="1:32" x14ac:dyDescent="0.3">
      <c r="A674" s="118"/>
      <c r="C674" s="118"/>
      <c r="E674" s="118"/>
      <c r="G674" s="118"/>
      <c r="I674" s="118"/>
      <c r="J674" s="119"/>
      <c r="M674" s="118"/>
      <c r="O674" s="118"/>
      <c r="Q674" s="118"/>
      <c r="S674" s="118"/>
      <c r="U674" s="118"/>
      <c r="W674" s="118"/>
      <c r="Y674" s="118"/>
      <c r="AA674" s="118"/>
      <c r="AC674" s="118"/>
      <c r="AE674" s="118"/>
      <c r="AF674" s="119"/>
    </row>
    <row r="675" spans="1:32" x14ac:dyDescent="0.3">
      <c r="A675" s="118"/>
      <c r="C675" s="118"/>
      <c r="E675" s="118"/>
      <c r="G675" s="118"/>
      <c r="I675" s="118"/>
      <c r="J675" s="119"/>
      <c r="M675" s="118"/>
      <c r="O675" s="118"/>
      <c r="Q675" s="118"/>
      <c r="S675" s="118"/>
      <c r="U675" s="118"/>
      <c r="W675" s="118"/>
      <c r="Y675" s="118"/>
      <c r="AA675" s="118"/>
      <c r="AC675" s="118"/>
      <c r="AE675" s="118"/>
      <c r="AF675" s="119"/>
    </row>
    <row r="676" spans="1:32" x14ac:dyDescent="0.3">
      <c r="A676" s="118"/>
      <c r="C676" s="118"/>
      <c r="E676" s="118"/>
      <c r="G676" s="118"/>
      <c r="I676" s="118"/>
      <c r="J676" s="119"/>
      <c r="M676" s="118"/>
      <c r="O676" s="118"/>
      <c r="Q676" s="118"/>
      <c r="S676" s="118"/>
      <c r="U676" s="118"/>
      <c r="W676" s="118"/>
      <c r="Y676" s="118"/>
      <c r="AA676" s="118"/>
      <c r="AC676" s="118"/>
      <c r="AE676" s="118"/>
      <c r="AF676" s="119"/>
    </row>
    <row r="677" spans="1:32" x14ac:dyDescent="0.3">
      <c r="A677" s="118"/>
      <c r="C677" s="118"/>
      <c r="E677" s="118"/>
      <c r="G677" s="118"/>
      <c r="I677" s="118"/>
      <c r="J677" s="119"/>
      <c r="M677" s="118"/>
      <c r="O677" s="118"/>
      <c r="Q677" s="118"/>
      <c r="S677" s="118"/>
      <c r="U677" s="118"/>
      <c r="W677" s="118"/>
      <c r="Y677" s="118"/>
      <c r="AA677" s="118"/>
      <c r="AC677" s="118"/>
      <c r="AE677" s="118"/>
      <c r="AF677" s="119"/>
    </row>
    <row r="678" spans="1:32" x14ac:dyDescent="0.3">
      <c r="A678" s="118"/>
      <c r="C678" s="118"/>
      <c r="E678" s="118"/>
      <c r="G678" s="118"/>
      <c r="I678" s="118"/>
      <c r="J678" s="119"/>
      <c r="M678" s="118"/>
      <c r="O678" s="118"/>
      <c r="Q678" s="118"/>
      <c r="S678" s="118"/>
      <c r="U678" s="118"/>
      <c r="W678" s="118"/>
      <c r="Y678" s="118"/>
      <c r="AA678" s="118"/>
      <c r="AC678" s="118"/>
      <c r="AE678" s="118"/>
      <c r="AF678" s="119"/>
    </row>
    <row r="679" spans="1:32" x14ac:dyDescent="0.3">
      <c r="A679" s="118"/>
      <c r="C679" s="118"/>
      <c r="E679" s="118"/>
      <c r="G679" s="118"/>
      <c r="I679" s="118"/>
      <c r="J679" s="119"/>
      <c r="M679" s="118"/>
      <c r="O679" s="118"/>
      <c r="Q679" s="118"/>
      <c r="S679" s="118"/>
      <c r="U679" s="118"/>
      <c r="W679" s="118"/>
      <c r="Y679" s="118"/>
      <c r="AA679" s="118"/>
      <c r="AC679" s="118"/>
      <c r="AE679" s="118"/>
      <c r="AF679" s="119"/>
    </row>
    <row r="680" spans="1:32" x14ac:dyDescent="0.3">
      <c r="A680" s="118"/>
      <c r="C680" s="118"/>
      <c r="E680" s="118"/>
      <c r="G680" s="118"/>
      <c r="I680" s="118"/>
      <c r="J680" s="119"/>
      <c r="M680" s="118"/>
      <c r="O680" s="118"/>
      <c r="Q680" s="118"/>
      <c r="S680" s="118"/>
      <c r="U680" s="118"/>
      <c r="W680" s="118"/>
      <c r="Y680" s="118"/>
      <c r="AA680" s="118"/>
      <c r="AC680" s="118"/>
      <c r="AE680" s="118"/>
      <c r="AF680" s="119"/>
    </row>
    <row r="681" spans="1:32" x14ac:dyDescent="0.3">
      <c r="A681" s="118"/>
      <c r="C681" s="118"/>
      <c r="E681" s="118"/>
      <c r="G681" s="118"/>
      <c r="I681" s="118"/>
      <c r="J681" s="119"/>
      <c r="M681" s="118"/>
      <c r="O681" s="118"/>
      <c r="Q681" s="118"/>
      <c r="S681" s="118"/>
      <c r="U681" s="118"/>
      <c r="W681" s="118"/>
      <c r="Y681" s="118"/>
      <c r="AA681" s="118"/>
      <c r="AC681" s="118"/>
      <c r="AE681" s="118"/>
      <c r="AF681" s="119"/>
    </row>
    <row r="682" spans="1:32" x14ac:dyDescent="0.3">
      <c r="A682" s="118"/>
      <c r="C682" s="118"/>
      <c r="E682" s="118"/>
      <c r="G682" s="118"/>
      <c r="I682" s="118"/>
      <c r="J682" s="119"/>
      <c r="M682" s="118"/>
      <c r="O682" s="118"/>
      <c r="Q682" s="118"/>
      <c r="S682" s="118"/>
      <c r="U682" s="118"/>
      <c r="W682" s="118"/>
      <c r="Y682" s="118"/>
      <c r="AA682" s="118"/>
      <c r="AC682" s="118"/>
      <c r="AE682" s="118"/>
      <c r="AF682" s="119"/>
    </row>
    <row r="683" spans="1:32" x14ac:dyDescent="0.3">
      <c r="A683" s="118"/>
      <c r="C683" s="118"/>
      <c r="E683" s="118"/>
      <c r="G683" s="118"/>
      <c r="I683" s="118"/>
      <c r="J683" s="119"/>
      <c r="M683" s="118"/>
      <c r="O683" s="118"/>
      <c r="Q683" s="118"/>
      <c r="S683" s="118"/>
      <c r="U683" s="118"/>
      <c r="W683" s="118"/>
      <c r="Y683" s="118"/>
      <c r="AA683" s="118"/>
      <c r="AC683" s="118"/>
      <c r="AE683" s="118"/>
      <c r="AF683" s="119"/>
    </row>
    <row r="684" spans="1:32" x14ac:dyDescent="0.3">
      <c r="A684" s="118"/>
      <c r="C684" s="118"/>
      <c r="E684" s="118"/>
      <c r="G684" s="118"/>
      <c r="I684" s="118"/>
      <c r="J684" s="119"/>
      <c r="M684" s="118"/>
      <c r="O684" s="118"/>
      <c r="Q684" s="118"/>
      <c r="S684" s="118"/>
      <c r="U684" s="118"/>
      <c r="W684" s="118"/>
      <c r="Y684" s="118"/>
      <c r="AA684" s="118"/>
      <c r="AC684" s="118"/>
      <c r="AE684" s="118"/>
      <c r="AF684" s="119"/>
    </row>
    <row r="685" spans="1:32" x14ac:dyDescent="0.3">
      <c r="A685" s="118"/>
      <c r="C685" s="118"/>
      <c r="E685" s="118"/>
      <c r="G685" s="118"/>
      <c r="I685" s="118"/>
      <c r="J685" s="119"/>
      <c r="M685" s="118"/>
      <c r="O685" s="118"/>
      <c r="Q685" s="118"/>
      <c r="S685" s="118"/>
      <c r="U685" s="118"/>
      <c r="W685" s="118"/>
      <c r="Y685" s="118"/>
      <c r="AA685" s="118"/>
      <c r="AC685" s="118"/>
      <c r="AE685" s="118"/>
      <c r="AF685" s="119"/>
    </row>
    <row r="686" spans="1:32" x14ac:dyDescent="0.3">
      <c r="A686" s="118"/>
      <c r="C686" s="118"/>
      <c r="E686" s="118"/>
      <c r="G686" s="118"/>
      <c r="I686" s="118"/>
      <c r="J686" s="119"/>
      <c r="M686" s="118"/>
      <c r="O686" s="118"/>
      <c r="Q686" s="118"/>
      <c r="S686" s="118"/>
      <c r="U686" s="118"/>
      <c r="W686" s="118"/>
      <c r="Y686" s="118"/>
      <c r="AA686" s="118"/>
      <c r="AC686" s="118"/>
      <c r="AE686" s="118"/>
      <c r="AF686" s="119"/>
    </row>
    <row r="687" spans="1:32" x14ac:dyDescent="0.3">
      <c r="A687" s="118"/>
      <c r="C687" s="118"/>
      <c r="E687" s="118"/>
      <c r="G687" s="118"/>
      <c r="I687" s="118"/>
      <c r="J687" s="119"/>
      <c r="M687" s="118"/>
      <c r="O687" s="118"/>
      <c r="Q687" s="118"/>
      <c r="S687" s="118"/>
      <c r="U687" s="118"/>
      <c r="W687" s="118"/>
      <c r="Y687" s="118"/>
      <c r="AA687" s="118"/>
      <c r="AC687" s="118"/>
      <c r="AE687" s="118"/>
      <c r="AF687" s="119"/>
    </row>
    <row r="688" spans="1:32" x14ac:dyDescent="0.3">
      <c r="A688" s="118"/>
      <c r="C688" s="118"/>
      <c r="E688" s="118"/>
      <c r="G688" s="118"/>
      <c r="I688" s="118"/>
      <c r="J688" s="119"/>
      <c r="M688" s="118"/>
      <c r="O688" s="118"/>
      <c r="Q688" s="118"/>
      <c r="S688" s="118"/>
      <c r="U688" s="118"/>
      <c r="W688" s="118"/>
      <c r="Y688" s="118"/>
      <c r="AA688" s="118"/>
      <c r="AC688" s="118"/>
      <c r="AE688" s="118"/>
      <c r="AF688" s="119"/>
    </row>
    <row r="689" spans="1:32" x14ac:dyDescent="0.3">
      <c r="A689" s="118"/>
      <c r="C689" s="118"/>
      <c r="E689" s="118"/>
      <c r="G689" s="118"/>
      <c r="I689" s="118"/>
      <c r="J689" s="119"/>
      <c r="M689" s="118"/>
      <c r="O689" s="118"/>
      <c r="Q689" s="118"/>
      <c r="S689" s="118"/>
      <c r="U689" s="118"/>
      <c r="W689" s="118"/>
      <c r="Y689" s="118"/>
      <c r="AA689" s="118"/>
      <c r="AC689" s="118"/>
      <c r="AE689" s="118"/>
      <c r="AF689" s="119"/>
    </row>
    <row r="690" spans="1:32" x14ac:dyDescent="0.3">
      <c r="A690" s="118"/>
      <c r="C690" s="118"/>
      <c r="E690" s="118"/>
      <c r="G690" s="118"/>
      <c r="I690" s="118"/>
      <c r="J690" s="119"/>
      <c r="M690" s="118"/>
      <c r="O690" s="118"/>
      <c r="Q690" s="118"/>
      <c r="S690" s="118"/>
      <c r="U690" s="118"/>
      <c r="W690" s="118"/>
      <c r="Y690" s="118"/>
      <c r="AA690" s="118"/>
      <c r="AC690" s="118"/>
      <c r="AE690" s="118"/>
      <c r="AF690" s="119"/>
    </row>
    <row r="691" spans="1:32" x14ac:dyDescent="0.3">
      <c r="A691" s="118"/>
      <c r="C691" s="118"/>
      <c r="E691" s="118"/>
      <c r="G691" s="118"/>
      <c r="I691" s="118"/>
      <c r="J691" s="119"/>
      <c r="M691" s="118"/>
      <c r="O691" s="118"/>
      <c r="Q691" s="118"/>
      <c r="S691" s="118"/>
      <c r="U691" s="118"/>
      <c r="W691" s="118"/>
      <c r="Y691" s="118"/>
      <c r="AA691" s="118"/>
      <c r="AC691" s="118"/>
      <c r="AE691" s="118"/>
      <c r="AF691" s="119"/>
    </row>
    <row r="692" spans="1:32" x14ac:dyDescent="0.3">
      <c r="A692" s="118"/>
      <c r="C692" s="118"/>
      <c r="E692" s="118"/>
      <c r="G692" s="118"/>
      <c r="I692" s="118"/>
      <c r="J692" s="119"/>
      <c r="M692" s="118"/>
      <c r="O692" s="118"/>
      <c r="Q692" s="118"/>
      <c r="S692" s="118"/>
      <c r="U692" s="118"/>
      <c r="W692" s="118"/>
      <c r="Y692" s="118"/>
      <c r="AA692" s="118"/>
      <c r="AC692" s="118"/>
      <c r="AE692" s="118"/>
      <c r="AF692" s="119"/>
    </row>
    <row r="693" spans="1:32" x14ac:dyDescent="0.3">
      <c r="A693" s="118"/>
      <c r="C693" s="118"/>
      <c r="E693" s="118"/>
      <c r="G693" s="118"/>
      <c r="I693" s="118"/>
      <c r="J693" s="119"/>
      <c r="M693" s="118"/>
      <c r="O693" s="118"/>
      <c r="Q693" s="118"/>
      <c r="S693" s="118"/>
      <c r="U693" s="118"/>
      <c r="W693" s="118"/>
      <c r="Y693" s="118"/>
      <c r="AA693" s="118"/>
      <c r="AC693" s="118"/>
      <c r="AE693" s="118"/>
      <c r="AF693" s="119"/>
    </row>
    <row r="694" spans="1:32" x14ac:dyDescent="0.3">
      <c r="A694" s="118"/>
      <c r="C694" s="118"/>
      <c r="E694" s="118"/>
      <c r="G694" s="118"/>
      <c r="I694" s="118"/>
      <c r="J694" s="119"/>
      <c r="M694" s="118"/>
      <c r="O694" s="118"/>
      <c r="Q694" s="118"/>
      <c r="S694" s="118"/>
      <c r="U694" s="118"/>
      <c r="W694" s="118"/>
      <c r="Y694" s="118"/>
      <c r="AA694" s="118"/>
      <c r="AC694" s="118"/>
      <c r="AE694" s="118"/>
      <c r="AF694" s="119"/>
    </row>
    <row r="695" spans="1:32" x14ac:dyDescent="0.3">
      <c r="A695" s="118"/>
      <c r="C695" s="118"/>
      <c r="E695" s="118"/>
      <c r="G695" s="118"/>
      <c r="I695" s="118"/>
      <c r="J695" s="119"/>
      <c r="M695" s="118"/>
      <c r="O695" s="118"/>
      <c r="Q695" s="118"/>
      <c r="S695" s="118"/>
      <c r="U695" s="118"/>
      <c r="W695" s="118"/>
      <c r="Y695" s="118"/>
      <c r="AA695" s="118"/>
      <c r="AC695" s="118"/>
      <c r="AE695" s="118"/>
      <c r="AF695" s="119"/>
    </row>
    <row r="696" spans="1:32" x14ac:dyDescent="0.3">
      <c r="A696" s="118"/>
      <c r="C696" s="118"/>
      <c r="E696" s="118"/>
      <c r="G696" s="118"/>
      <c r="I696" s="118"/>
      <c r="J696" s="119"/>
      <c r="M696" s="118"/>
      <c r="O696" s="118"/>
      <c r="Q696" s="118"/>
      <c r="S696" s="118"/>
      <c r="U696" s="118"/>
      <c r="W696" s="118"/>
      <c r="Y696" s="118"/>
      <c r="AA696" s="118"/>
      <c r="AC696" s="118"/>
      <c r="AE696" s="118"/>
      <c r="AF696" s="119"/>
    </row>
    <row r="697" spans="1:32" x14ac:dyDescent="0.3">
      <c r="A697" s="118"/>
      <c r="C697" s="118"/>
      <c r="E697" s="118"/>
      <c r="G697" s="118"/>
      <c r="I697" s="118"/>
      <c r="J697" s="119"/>
      <c r="M697" s="118"/>
      <c r="O697" s="118"/>
      <c r="Q697" s="118"/>
      <c r="S697" s="118"/>
      <c r="U697" s="118"/>
      <c r="W697" s="118"/>
      <c r="Y697" s="118"/>
      <c r="AA697" s="118"/>
      <c r="AC697" s="118"/>
      <c r="AE697" s="118"/>
      <c r="AF697" s="119"/>
    </row>
    <row r="698" spans="1:32" x14ac:dyDescent="0.3">
      <c r="A698" s="118"/>
      <c r="C698" s="118"/>
      <c r="E698" s="118"/>
      <c r="G698" s="118"/>
      <c r="I698" s="118"/>
      <c r="J698" s="119"/>
      <c r="M698" s="118"/>
      <c r="O698" s="118"/>
      <c r="Q698" s="118"/>
      <c r="S698" s="118"/>
      <c r="U698" s="118"/>
      <c r="W698" s="118"/>
      <c r="Y698" s="118"/>
      <c r="AA698" s="118"/>
      <c r="AC698" s="118"/>
      <c r="AE698" s="118"/>
      <c r="AF698" s="119"/>
    </row>
    <row r="699" spans="1:32" x14ac:dyDescent="0.3">
      <c r="A699" s="118"/>
      <c r="C699" s="118"/>
      <c r="E699" s="118"/>
      <c r="G699" s="118"/>
      <c r="I699" s="118"/>
      <c r="J699" s="119"/>
      <c r="M699" s="118"/>
      <c r="O699" s="118"/>
      <c r="Q699" s="118"/>
      <c r="S699" s="118"/>
      <c r="U699" s="118"/>
      <c r="W699" s="118"/>
      <c r="Y699" s="118"/>
      <c r="AA699" s="118"/>
      <c r="AC699" s="118"/>
      <c r="AE699" s="118"/>
      <c r="AF699" s="119"/>
    </row>
    <row r="700" spans="1:32" x14ac:dyDescent="0.3">
      <c r="A700" s="118"/>
      <c r="C700" s="118"/>
      <c r="E700" s="118"/>
      <c r="G700" s="118"/>
      <c r="I700" s="118"/>
      <c r="J700" s="119"/>
      <c r="M700" s="118"/>
      <c r="O700" s="118"/>
      <c r="Q700" s="118"/>
      <c r="S700" s="118"/>
      <c r="U700" s="118"/>
      <c r="W700" s="118"/>
      <c r="Y700" s="118"/>
      <c r="AA700" s="118"/>
      <c r="AC700" s="118"/>
      <c r="AE700" s="118"/>
      <c r="AF700" s="119"/>
    </row>
    <row r="701" spans="1:32" x14ac:dyDescent="0.3">
      <c r="A701" s="118"/>
      <c r="C701" s="118"/>
      <c r="E701" s="118"/>
      <c r="G701" s="118"/>
      <c r="I701" s="118"/>
      <c r="J701" s="119"/>
      <c r="M701" s="118"/>
      <c r="O701" s="118"/>
      <c r="Q701" s="118"/>
      <c r="S701" s="118"/>
      <c r="U701" s="118"/>
      <c r="W701" s="118"/>
      <c r="Y701" s="118"/>
      <c r="AA701" s="118"/>
      <c r="AC701" s="118"/>
      <c r="AE701" s="118"/>
      <c r="AF701" s="119"/>
    </row>
    <row r="702" spans="1:32" x14ac:dyDescent="0.3">
      <c r="A702" s="118"/>
      <c r="C702" s="118"/>
      <c r="E702" s="118"/>
      <c r="G702" s="118"/>
      <c r="I702" s="118"/>
      <c r="J702" s="119"/>
      <c r="M702" s="118"/>
      <c r="O702" s="118"/>
      <c r="Q702" s="118"/>
      <c r="S702" s="118"/>
      <c r="U702" s="118"/>
      <c r="W702" s="118"/>
      <c r="Y702" s="118"/>
      <c r="AA702" s="118"/>
      <c r="AC702" s="118"/>
      <c r="AE702" s="118"/>
      <c r="AF702" s="119"/>
    </row>
    <row r="703" spans="1:32" x14ac:dyDescent="0.3">
      <c r="A703" s="118"/>
      <c r="C703" s="118"/>
      <c r="E703" s="118"/>
      <c r="G703" s="118"/>
      <c r="I703" s="118"/>
      <c r="J703" s="119"/>
      <c r="M703" s="118"/>
      <c r="O703" s="118"/>
      <c r="Q703" s="118"/>
      <c r="S703" s="118"/>
      <c r="U703" s="118"/>
      <c r="W703" s="118"/>
      <c r="Y703" s="118"/>
      <c r="AA703" s="118"/>
      <c r="AC703" s="118"/>
      <c r="AE703" s="118"/>
      <c r="AF703" s="119"/>
    </row>
    <row r="704" spans="1:32" x14ac:dyDescent="0.3">
      <c r="A704" s="118"/>
      <c r="C704" s="118"/>
      <c r="E704" s="118"/>
      <c r="G704" s="118"/>
      <c r="I704" s="118"/>
      <c r="J704" s="119"/>
      <c r="M704" s="118"/>
      <c r="O704" s="118"/>
      <c r="Q704" s="118"/>
      <c r="S704" s="118"/>
      <c r="U704" s="118"/>
      <c r="W704" s="118"/>
      <c r="Y704" s="118"/>
      <c r="AA704" s="118"/>
      <c r="AC704" s="118"/>
      <c r="AE704" s="118"/>
      <c r="AF704" s="119"/>
    </row>
    <row r="705" spans="1:32" x14ac:dyDescent="0.3">
      <c r="A705" s="118"/>
      <c r="C705" s="118"/>
      <c r="E705" s="118"/>
      <c r="G705" s="118"/>
      <c r="I705" s="118"/>
      <c r="J705" s="119"/>
      <c r="M705" s="118"/>
      <c r="O705" s="118"/>
      <c r="Q705" s="118"/>
      <c r="S705" s="118"/>
      <c r="U705" s="118"/>
      <c r="W705" s="118"/>
      <c r="Y705" s="118"/>
      <c r="AA705" s="118"/>
      <c r="AC705" s="118"/>
      <c r="AE705" s="118"/>
      <c r="AF705" s="119"/>
    </row>
    <row r="706" spans="1:32" x14ac:dyDescent="0.3">
      <c r="A706" s="118"/>
      <c r="C706" s="118"/>
      <c r="E706" s="118"/>
      <c r="G706" s="118"/>
      <c r="I706" s="118"/>
      <c r="J706" s="119"/>
      <c r="M706" s="118"/>
      <c r="O706" s="118"/>
      <c r="Q706" s="118"/>
      <c r="S706" s="118"/>
      <c r="U706" s="118"/>
      <c r="W706" s="118"/>
      <c r="Y706" s="118"/>
      <c r="AA706" s="118"/>
      <c r="AC706" s="118"/>
      <c r="AE706" s="118"/>
      <c r="AF706" s="119"/>
    </row>
    <row r="707" spans="1:32" x14ac:dyDescent="0.3">
      <c r="A707" s="118"/>
      <c r="C707" s="118"/>
      <c r="E707" s="118"/>
      <c r="G707" s="118"/>
      <c r="I707" s="118"/>
      <c r="J707" s="119"/>
      <c r="M707" s="118"/>
      <c r="O707" s="118"/>
      <c r="Q707" s="118"/>
      <c r="S707" s="118"/>
      <c r="U707" s="118"/>
      <c r="W707" s="118"/>
      <c r="Y707" s="118"/>
      <c r="AA707" s="118"/>
      <c r="AC707" s="118"/>
      <c r="AE707" s="118"/>
      <c r="AF707" s="119"/>
    </row>
    <row r="708" spans="1:32" x14ac:dyDescent="0.3">
      <c r="A708" s="118"/>
      <c r="C708" s="118"/>
      <c r="E708" s="118"/>
      <c r="G708" s="118"/>
      <c r="I708" s="118"/>
      <c r="J708" s="119"/>
      <c r="M708" s="118"/>
      <c r="O708" s="118"/>
      <c r="Q708" s="118"/>
      <c r="S708" s="118"/>
      <c r="U708" s="118"/>
      <c r="W708" s="118"/>
      <c r="Y708" s="118"/>
      <c r="AA708" s="118"/>
      <c r="AC708" s="118"/>
      <c r="AE708" s="118"/>
      <c r="AF708" s="119"/>
    </row>
    <row r="709" spans="1:32" x14ac:dyDescent="0.3">
      <c r="A709" s="118"/>
      <c r="C709" s="118"/>
      <c r="E709" s="118"/>
      <c r="G709" s="118"/>
      <c r="I709" s="118"/>
      <c r="J709" s="119"/>
      <c r="M709" s="118"/>
      <c r="O709" s="118"/>
      <c r="Q709" s="118"/>
      <c r="S709" s="118"/>
      <c r="U709" s="118"/>
      <c r="W709" s="118"/>
      <c r="Y709" s="118"/>
      <c r="AA709" s="118"/>
      <c r="AC709" s="118"/>
      <c r="AE709" s="118"/>
      <c r="AF709" s="119"/>
    </row>
    <row r="710" spans="1:32" x14ac:dyDescent="0.3">
      <c r="A710" s="118"/>
      <c r="C710" s="118"/>
      <c r="E710" s="118"/>
      <c r="G710" s="118"/>
      <c r="I710" s="118"/>
      <c r="J710" s="119"/>
      <c r="M710" s="118"/>
      <c r="O710" s="118"/>
      <c r="Q710" s="118"/>
      <c r="S710" s="118"/>
      <c r="U710" s="118"/>
      <c r="W710" s="118"/>
      <c r="Y710" s="118"/>
      <c r="AA710" s="118"/>
      <c r="AC710" s="118"/>
      <c r="AE710" s="118"/>
      <c r="AF710" s="119"/>
    </row>
    <row r="711" spans="1:32" x14ac:dyDescent="0.3">
      <c r="A711" s="118"/>
      <c r="C711" s="118"/>
      <c r="E711" s="118"/>
      <c r="G711" s="118"/>
      <c r="I711" s="118"/>
      <c r="J711" s="119"/>
      <c r="M711" s="118"/>
      <c r="O711" s="118"/>
      <c r="Q711" s="118"/>
      <c r="S711" s="118"/>
      <c r="U711" s="118"/>
      <c r="W711" s="118"/>
      <c r="Y711" s="118"/>
      <c r="AA711" s="118"/>
      <c r="AC711" s="118"/>
      <c r="AE711" s="118"/>
      <c r="AF711" s="119"/>
    </row>
    <row r="712" spans="1:32" x14ac:dyDescent="0.3">
      <c r="A712" s="118"/>
      <c r="C712" s="118"/>
      <c r="E712" s="118"/>
      <c r="G712" s="118"/>
      <c r="I712" s="118"/>
      <c r="J712" s="119"/>
      <c r="M712" s="118"/>
      <c r="O712" s="118"/>
      <c r="Q712" s="118"/>
      <c r="S712" s="118"/>
      <c r="U712" s="118"/>
      <c r="W712" s="118"/>
      <c r="Y712" s="118"/>
      <c r="AA712" s="118"/>
      <c r="AC712" s="118"/>
      <c r="AE712" s="118"/>
      <c r="AF712" s="119"/>
    </row>
    <row r="713" spans="1:32" x14ac:dyDescent="0.3">
      <c r="A713" s="118"/>
      <c r="C713" s="118"/>
      <c r="E713" s="118"/>
      <c r="G713" s="118"/>
      <c r="I713" s="118"/>
      <c r="J713" s="119"/>
      <c r="M713" s="118"/>
      <c r="O713" s="118"/>
      <c r="Q713" s="118"/>
      <c r="S713" s="118"/>
      <c r="U713" s="118"/>
      <c r="W713" s="118"/>
      <c r="Y713" s="118"/>
      <c r="AA713" s="118"/>
      <c r="AC713" s="118"/>
      <c r="AE713" s="118"/>
      <c r="AF713" s="119"/>
    </row>
    <row r="714" spans="1:32" x14ac:dyDescent="0.3">
      <c r="A714" s="118"/>
      <c r="C714" s="118"/>
      <c r="E714" s="118"/>
      <c r="G714" s="118"/>
      <c r="I714" s="118"/>
      <c r="J714" s="119"/>
      <c r="M714" s="118"/>
      <c r="O714" s="118"/>
      <c r="Q714" s="118"/>
      <c r="S714" s="118"/>
      <c r="U714" s="118"/>
      <c r="W714" s="118"/>
      <c r="Y714" s="118"/>
      <c r="AA714" s="118"/>
      <c r="AC714" s="118"/>
      <c r="AE714" s="118"/>
      <c r="AF714" s="119"/>
    </row>
    <row r="715" spans="1:32" x14ac:dyDescent="0.3">
      <c r="A715" s="118"/>
      <c r="C715" s="118"/>
      <c r="E715" s="118"/>
      <c r="G715" s="118"/>
      <c r="I715" s="118"/>
      <c r="J715" s="119"/>
      <c r="M715" s="118"/>
      <c r="O715" s="118"/>
      <c r="Q715" s="118"/>
      <c r="S715" s="118"/>
      <c r="U715" s="118"/>
      <c r="W715" s="118"/>
      <c r="Y715" s="118"/>
      <c r="AA715" s="118"/>
      <c r="AC715" s="118"/>
      <c r="AE715" s="118"/>
      <c r="AF715" s="119"/>
    </row>
    <row r="716" spans="1:32" x14ac:dyDescent="0.3">
      <c r="A716" s="118"/>
      <c r="C716" s="118"/>
      <c r="E716" s="118"/>
      <c r="G716" s="118"/>
      <c r="I716" s="118"/>
      <c r="J716" s="119"/>
      <c r="M716" s="118"/>
      <c r="O716" s="118"/>
      <c r="Q716" s="118"/>
      <c r="S716" s="118"/>
      <c r="U716" s="118"/>
      <c r="W716" s="118"/>
      <c r="Y716" s="118"/>
      <c r="AA716" s="118"/>
      <c r="AC716" s="118"/>
      <c r="AE716" s="118"/>
      <c r="AF716" s="119"/>
    </row>
    <row r="717" spans="1:32" x14ac:dyDescent="0.3">
      <c r="A717" s="118"/>
      <c r="C717" s="118"/>
      <c r="E717" s="118"/>
      <c r="G717" s="118"/>
      <c r="I717" s="118"/>
      <c r="J717" s="119"/>
      <c r="M717" s="118"/>
      <c r="O717" s="118"/>
      <c r="Q717" s="118"/>
      <c r="S717" s="118"/>
      <c r="U717" s="118"/>
      <c r="W717" s="118"/>
      <c r="Y717" s="118"/>
      <c r="AA717" s="118"/>
      <c r="AC717" s="118"/>
      <c r="AE717" s="118"/>
      <c r="AF717" s="119"/>
    </row>
    <row r="718" spans="1:32" x14ac:dyDescent="0.3">
      <c r="A718" s="118"/>
      <c r="C718" s="118"/>
      <c r="E718" s="118"/>
      <c r="G718" s="118"/>
      <c r="I718" s="118"/>
      <c r="J718" s="119"/>
      <c r="M718" s="118"/>
      <c r="O718" s="118"/>
      <c r="Q718" s="118"/>
      <c r="S718" s="118"/>
      <c r="U718" s="118"/>
      <c r="W718" s="118"/>
      <c r="Y718" s="118"/>
      <c r="AA718" s="118"/>
      <c r="AC718" s="118"/>
      <c r="AE718" s="118"/>
      <c r="AF718" s="119"/>
    </row>
    <row r="719" spans="1:32" x14ac:dyDescent="0.3">
      <c r="A719" s="118"/>
      <c r="C719" s="118"/>
      <c r="E719" s="118"/>
      <c r="G719" s="118"/>
      <c r="I719" s="118"/>
      <c r="J719" s="119"/>
      <c r="M719" s="118"/>
      <c r="O719" s="118"/>
      <c r="Q719" s="118"/>
      <c r="S719" s="118"/>
      <c r="U719" s="118"/>
      <c r="W719" s="118"/>
      <c r="Y719" s="118"/>
      <c r="AA719" s="118"/>
      <c r="AC719" s="118"/>
      <c r="AE719" s="118"/>
      <c r="AF719" s="119"/>
    </row>
    <row r="720" spans="1:32" x14ac:dyDescent="0.3">
      <c r="A720" s="118"/>
      <c r="C720" s="118"/>
      <c r="E720" s="118"/>
      <c r="G720" s="118"/>
      <c r="I720" s="118"/>
      <c r="J720" s="119"/>
      <c r="M720" s="118"/>
      <c r="O720" s="118"/>
      <c r="Q720" s="118"/>
      <c r="S720" s="118"/>
      <c r="U720" s="118"/>
      <c r="W720" s="118"/>
      <c r="Y720" s="118"/>
      <c r="AA720" s="118"/>
      <c r="AC720" s="118"/>
      <c r="AE720" s="118"/>
      <c r="AF720" s="119"/>
    </row>
    <row r="721" spans="1:32" x14ac:dyDescent="0.3">
      <c r="A721" s="118"/>
      <c r="C721" s="118"/>
      <c r="E721" s="118"/>
      <c r="G721" s="118"/>
      <c r="I721" s="118"/>
      <c r="J721" s="119"/>
      <c r="M721" s="118"/>
      <c r="O721" s="118"/>
      <c r="Q721" s="118"/>
      <c r="S721" s="118"/>
      <c r="U721" s="118"/>
      <c r="W721" s="118"/>
      <c r="Y721" s="118"/>
      <c r="AA721" s="118"/>
      <c r="AC721" s="118"/>
      <c r="AE721" s="118"/>
      <c r="AF721" s="119"/>
    </row>
    <row r="722" spans="1:32" x14ac:dyDescent="0.3">
      <c r="A722" s="118"/>
      <c r="C722" s="118"/>
      <c r="E722" s="118"/>
      <c r="G722" s="118"/>
      <c r="I722" s="118"/>
      <c r="J722" s="119"/>
      <c r="M722" s="118"/>
      <c r="O722" s="118"/>
      <c r="Q722" s="118"/>
      <c r="S722" s="118"/>
      <c r="U722" s="118"/>
      <c r="W722" s="118"/>
      <c r="Y722" s="118"/>
      <c r="AA722" s="118"/>
      <c r="AC722" s="118"/>
      <c r="AE722" s="118"/>
      <c r="AF722" s="119"/>
    </row>
    <row r="723" spans="1:32" x14ac:dyDescent="0.3">
      <c r="A723" s="118"/>
      <c r="C723" s="118"/>
      <c r="E723" s="118"/>
      <c r="G723" s="118"/>
      <c r="I723" s="118"/>
      <c r="J723" s="119"/>
      <c r="M723" s="118"/>
      <c r="O723" s="118"/>
      <c r="Q723" s="118"/>
      <c r="S723" s="118"/>
      <c r="U723" s="118"/>
      <c r="W723" s="118"/>
      <c r="Y723" s="118"/>
      <c r="AA723" s="118"/>
      <c r="AC723" s="118"/>
      <c r="AE723" s="118"/>
      <c r="AF723" s="119"/>
    </row>
    <row r="724" spans="1:32" x14ac:dyDescent="0.3">
      <c r="A724" s="118"/>
      <c r="C724" s="118"/>
      <c r="E724" s="118"/>
      <c r="G724" s="118"/>
      <c r="I724" s="118"/>
      <c r="J724" s="119"/>
      <c r="M724" s="118"/>
      <c r="O724" s="118"/>
      <c r="Q724" s="118"/>
      <c r="S724" s="118"/>
      <c r="U724" s="118"/>
      <c r="W724" s="118"/>
      <c r="Y724" s="118"/>
      <c r="AA724" s="118"/>
      <c r="AC724" s="118"/>
      <c r="AE724" s="118"/>
      <c r="AF724" s="119"/>
    </row>
    <row r="725" spans="1:32" x14ac:dyDescent="0.3">
      <c r="A725" s="118"/>
      <c r="C725" s="118"/>
      <c r="E725" s="118"/>
      <c r="G725" s="118"/>
      <c r="I725" s="118"/>
      <c r="J725" s="119"/>
      <c r="M725" s="118"/>
      <c r="O725" s="118"/>
      <c r="Q725" s="118"/>
      <c r="S725" s="118"/>
      <c r="U725" s="118"/>
      <c r="W725" s="118"/>
      <c r="Y725" s="118"/>
      <c r="AA725" s="118"/>
      <c r="AC725" s="118"/>
      <c r="AE725" s="118"/>
      <c r="AF725" s="119"/>
    </row>
    <row r="726" spans="1:32" x14ac:dyDescent="0.3">
      <c r="A726" s="118"/>
      <c r="C726" s="118"/>
      <c r="E726" s="118"/>
      <c r="G726" s="118"/>
      <c r="I726" s="118"/>
      <c r="J726" s="119"/>
      <c r="M726" s="118"/>
      <c r="O726" s="118"/>
      <c r="Q726" s="118"/>
      <c r="S726" s="118"/>
      <c r="U726" s="118"/>
      <c r="W726" s="118"/>
      <c r="Y726" s="118"/>
      <c r="AA726" s="118"/>
      <c r="AC726" s="118"/>
      <c r="AE726" s="118"/>
      <c r="AF726" s="119"/>
    </row>
    <row r="727" spans="1:32" x14ac:dyDescent="0.3">
      <c r="A727" s="118"/>
      <c r="C727" s="118"/>
      <c r="E727" s="118"/>
      <c r="G727" s="118"/>
      <c r="I727" s="118"/>
      <c r="J727" s="119"/>
      <c r="M727" s="118"/>
      <c r="O727" s="118"/>
      <c r="Q727" s="118"/>
      <c r="S727" s="118"/>
      <c r="U727" s="118"/>
      <c r="W727" s="118"/>
      <c r="Y727" s="118"/>
      <c r="AA727" s="118"/>
      <c r="AC727" s="118"/>
      <c r="AE727" s="118"/>
      <c r="AF727" s="119"/>
    </row>
    <row r="728" spans="1:32" x14ac:dyDescent="0.3">
      <c r="A728" s="118"/>
      <c r="C728" s="118"/>
      <c r="E728" s="118"/>
      <c r="G728" s="118"/>
      <c r="I728" s="118"/>
      <c r="J728" s="119"/>
      <c r="M728" s="118"/>
      <c r="O728" s="118"/>
      <c r="Q728" s="118"/>
      <c r="S728" s="118"/>
      <c r="U728" s="118"/>
      <c r="W728" s="118"/>
      <c r="Y728" s="118"/>
      <c r="AA728" s="118"/>
      <c r="AC728" s="118"/>
      <c r="AE728" s="118"/>
      <c r="AF728" s="119"/>
    </row>
    <row r="729" spans="1:32" x14ac:dyDescent="0.3">
      <c r="A729" s="118"/>
      <c r="C729" s="118"/>
      <c r="E729" s="118"/>
      <c r="G729" s="118"/>
      <c r="I729" s="118"/>
      <c r="J729" s="119"/>
      <c r="M729" s="118"/>
      <c r="O729" s="118"/>
      <c r="Q729" s="118"/>
      <c r="S729" s="118"/>
      <c r="U729" s="118"/>
      <c r="W729" s="118"/>
      <c r="Y729" s="118"/>
      <c r="AA729" s="118"/>
      <c r="AC729" s="118"/>
      <c r="AE729" s="118"/>
      <c r="AF729" s="119"/>
    </row>
    <row r="730" spans="1:32" x14ac:dyDescent="0.3">
      <c r="A730" s="118"/>
      <c r="C730" s="118"/>
      <c r="E730" s="118"/>
      <c r="G730" s="118"/>
      <c r="I730" s="118"/>
      <c r="J730" s="119"/>
      <c r="M730" s="118"/>
      <c r="O730" s="118"/>
      <c r="Q730" s="118"/>
      <c r="S730" s="118"/>
      <c r="U730" s="118"/>
      <c r="W730" s="118"/>
      <c r="Y730" s="118"/>
      <c r="AA730" s="118"/>
      <c r="AC730" s="118"/>
      <c r="AE730" s="118"/>
      <c r="AF730" s="119"/>
    </row>
    <row r="731" spans="1:32" x14ac:dyDescent="0.3">
      <c r="A731" s="118"/>
      <c r="C731" s="118"/>
      <c r="E731" s="118"/>
      <c r="G731" s="118"/>
      <c r="I731" s="118"/>
      <c r="J731" s="119"/>
      <c r="M731" s="118"/>
      <c r="O731" s="118"/>
      <c r="Q731" s="118"/>
      <c r="S731" s="118"/>
      <c r="U731" s="118"/>
      <c r="W731" s="118"/>
      <c r="Y731" s="118"/>
      <c r="AA731" s="118"/>
      <c r="AC731" s="118"/>
      <c r="AE731" s="118"/>
      <c r="AF731" s="119"/>
    </row>
    <row r="732" spans="1:32" x14ac:dyDescent="0.3">
      <c r="A732" s="118"/>
      <c r="C732" s="118"/>
      <c r="E732" s="118"/>
      <c r="G732" s="118"/>
      <c r="I732" s="118"/>
      <c r="J732" s="119"/>
      <c r="M732" s="118"/>
      <c r="O732" s="118"/>
      <c r="Q732" s="118"/>
      <c r="S732" s="118"/>
      <c r="U732" s="118"/>
      <c r="W732" s="118"/>
      <c r="Y732" s="118"/>
      <c r="AA732" s="118"/>
      <c r="AC732" s="118"/>
      <c r="AE732" s="118"/>
      <c r="AF732" s="119"/>
    </row>
    <row r="733" spans="1:32" x14ac:dyDescent="0.3">
      <c r="A733" s="118"/>
      <c r="C733" s="118"/>
      <c r="E733" s="118"/>
      <c r="G733" s="118"/>
      <c r="I733" s="118"/>
      <c r="J733" s="119"/>
      <c r="M733" s="118"/>
      <c r="O733" s="118"/>
      <c r="Q733" s="118"/>
      <c r="S733" s="118"/>
      <c r="U733" s="118"/>
      <c r="W733" s="118"/>
      <c r="Y733" s="118"/>
      <c r="AA733" s="118"/>
      <c r="AC733" s="118"/>
      <c r="AE733" s="118"/>
      <c r="AF733" s="119"/>
    </row>
    <row r="734" spans="1:32" x14ac:dyDescent="0.3">
      <c r="A734" s="118"/>
      <c r="C734" s="118"/>
      <c r="E734" s="118"/>
      <c r="G734" s="118"/>
      <c r="I734" s="118"/>
      <c r="J734" s="119"/>
      <c r="M734" s="118"/>
      <c r="O734" s="118"/>
      <c r="Q734" s="118"/>
      <c r="S734" s="118"/>
      <c r="U734" s="118"/>
      <c r="W734" s="118"/>
      <c r="Y734" s="118"/>
      <c r="AA734" s="118"/>
      <c r="AC734" s="118"/>
      <c r="AE734" s="118"/>
      <c r="AF734" s="119"/>
    </row>
    <row r="735" spans="1:32" x14ac:dyDescent="0.3">
      <c r="A735" s="118"/>
      <c r="C735" s="118"/>
      <c r="E735" s="118"/>
      <c r="G735" s="118"/>
      <c r="I735" s="118"/>
      <c r="J735" s="119"/>
      <c r="M735" s="118"/>
      <c r="O735" s="118"/>
      <c r="Q735" s="118"/>
      <c r="S735" s="118"/>
      <c r="U735" s="118"/>
      <c r="W735" s="118"/>
      <c r="Y735" s="118"/>
      <c r="AA735" s="118"/>
      <c r="AC735" s="118"/>
      <c r="AE735" s="118"/>
      <c r="AF735" s="119"/>
    </row>
    <row r="736" spans="1:32" x14ac:dyDescent="0.3">
      <c r="A736" s="118"/>
      <c r="C736" s="118"/>
      <c r="E736" s="118"/>
      <c r="G736" s="118"/>
      <c r="I736" s="118"/>
      <c r="J736" s="119"/>
      <c r="M736" s="118"/>
      <c r="O736" s="118"/>
      <c r="Q736" s="118"/>
      <c r="S736" s="118"/>
      <c r="U736" s="118"/>
      <c r="W736" s="118"/>
      <c r="Y736" s="118"/>
      <c r="AA736" s="118"/>
      <c r="AC736" s="118"/>
      <c r="AE736" s="118"/>
      <c r="AF736" s="119"/>
    </row>
    <row r="737" spans="1:32" x14ac:dyDescent="0.3">
      <c r="A737" s="118"/>
      <c r="C737" s="118"/>
      <c r="E737" s="118"/>
      <c r="G737" s="118"/>
      <c r="I737" s="118"/>
      <c r="J737" s="119"/>
      <c r="M737" s="118"/>
      <c r="O737" s="118"/>
      <c r="Q737" s="118"/>
      <c r="S737" s="118"/>
      <c r="U737" s="118"/>
      <c r="W737" s="118"/>
      <c r="Y737" s="118"/>
      <c r="AA737" s="118"/>
      <c r="AC737" s="118"/>
      <c r="AE737" s="118"/>
      <c r="AF737" s="119"/>
    </row>
    <row r="738" spans="1:32" x14ac:dyDescent="0.3">
      <c r="A738" s="118"/>
      <c r="C738" s="118"/>
      <c r="E738" s="118"/>
      <c r="G738" s="118"/>
      <c r="I738" s="118"/>
      <c r="J738" s="119"/>
      <c r="M738" s="118"/>
      <c r="O738" s="118"/>
      <c r="Q738" s="118"/>
      <c r="S738" s="118"/>
      <c r="U738" s="118"/>
      <c r="W738" s="118"/>
      <c r="Y738" s="118"/>
      <c r="AA738" s="118"/>
      <c r="AC738" s="118"/>
      <c r="AE738" s="118"/>
      <c r="AF738" s="119"/>
    </row>
    <row r="739" spans="1:32" x14ac:dyDescent="0.3">
      <c r="A739" s="118"/>
      <c r="C739" s="118"/>
      <c r="E739" s="118"/>
      <c r="G739" s="118"/>
      <c r="I739" s="118"/>
      <c r="J739" s="119"/>
      <c r="M739" s="118"/>
      <c r="O739" s="118"/>
      <c r="Q739" s="118"/>
      <c r="S739" s="118"/>
      <c r="U739" s="118"/>
      <c r="W739" s="118"/>
      <c r="Y739" s="118"/>
      <c r="AA739" s="118"/>
      <c r="AC739" s="118"/>
      <c r="AE739" s="118"/>
      <c r="AF739" s="119"/>
    </row>
    <row r="740" spans="1:32" x14ac:dyDescent="0.3">
      <c r="A740" s="118"/>
      <c r="C740" s="118"/>
      <c r="E740" s="118"/>
      <c r="G740" s="118"/>
      <c r="I740" s="118"/>
      <c r="J740" s="119"/>
      <c r="M740" s="118"/>
      <c r="O740" s="118"/>
      <c r="Q740" s="118"/>
      <c r="S740" s="118"/>
      <c r="U740" s="118"/>
      <c r="W740" s="118"/>
      <c r="Y740" s="118"/>
      <c r="AA740" s="118"/>
      <c r="AC740" s="118"/>
      <c r="AE740" s="118"/>
      <c r="AF740" s="119"/>
    </row>
    <row r="741" spans="1:32" x14ac:dyDescent="0.3">
      <c r="A741" s="118"/>
      <c r="C741" s="118"/>
      <c r="E741" s="118"/>
      <c r="G741" s="118"/>
      <c r="I741" s="118"/>
      <c r="J741" s="119"/>
      <c r="M741" s="118"/>
      <c r="O741" s="118"/>
      <c r="Q741" s="118"/>
      <c r="S741" s="118"/>
      <c r="U741" s="118"/>
      <c r="W741" s="118"/>
      <c r="Y741" s="118"/>
      <c r="AA741" s="118"/>
      <c r="AC741" s="118"/>
      <c r="AE741" s="118"/>
      <c r="AF741" s="119"/>
    </row>
    <row r="742" spans="1:32" x14ac:dyDescent="0.3">
      <c r="A742" s="118"/>
      <c r="C742" s="118"/>
      <c r="E742" s="118"/>
      <c r="G742" s="118"/>
      <c r="I742" s="118"/>
      <c r="J742" s="119"/>
      <c r="M742" s="118"/>
      <c r="O742" s="118"/>
      <c r="Q742" s="118"/>
      <c r="S742" s="118"/>
      <c r="U742" s="118"/>
      <c r="W742" s="118"/>
      <c r="Y742" s="118"/>
      <c r="AA742" s="118"/>
      <c r="AC742" s="118"/>
      <c r="AE742" s="118"/>
      <c r="AF742" s="119"/>
    </row>
    <row r="743" spans="1:32" x14ac:dyDescent="0.3">
      <c r="A743" s="118"/>
      <c r="C743" s="118"/>
      <c r="E743" s="118"/>
      <c r="G743" s="118"/>
      <c r="I743" s="118"/>
      <c r="J743" s="119"/>
      <c r="M743" s="118"/>
      <c r="O743" s="118"/>
      <c r="Q743" s="118"/>
      <c r="S743" s="118"/>
      <c r="U743" s="118"/>
      <c r="W743" s="118"/>
      <c r="Y743" s="118"/>
      <c r="AA743" s="118"/>
      <c r="AC743" s="118"/>
      <c r="AE743" s="118"/>
      <c r="AF743" s="119"/>
    </row>
    <row r="744" spans="1:32" x14ac:dyDescent="0.3">
      <c r="A744" s="118"/>
      <c r="C744" s="118"/>
      <c r="E744" s="118"/>
      <c r="G744" s="118"/>
      <c r="I744" s="118"/>
      <c r="J744" s="119"/>
      <c r="M744" s="118"/>
      <c r="O744" s="118"/>
      <c r="Q744" s="118"/>
      <c r="S744" s="118"/>
      <c r="U744" s="118"/>
      <c r="W744" s="118"/>
      <c r="Y744" s="118"/>
      <c r="AA744" s="118"/>
      <c r="AC744" s="118"/>
      <c r="AE744" s="118"/>
      <c r="AF744" s="119"/>
    </row>
    <row r="745" spans="1:32" x14ac:dyDescent="0.3">
      <c r="A745" s="118"/>
      <c r="C745" s="118"/>
      <c r="E745" s="118"/>
      <c r="G745" s="118"/>
      <c r="I745" s="118"/>
      <c r="J745" s="119"/>
      <c r="M745" s="118"/>
      <c r="O745" s="118"/>
      <c r="Q745" s="118"/>
      <c r="S745" s="118"/>
      <c r="U745" s="118"/>
      <c r="W745" s="118"/>
      <c r="Y745" s="118"/>
      <c r="AA745" s="118"/>
      <c r="AC745" s="118"/>
      <c r="AE745" s="118"/>
      <c r="AF745" s="119"/>
    </row>
    <row r="746" spans="1:32" x14ac:dyDescent="0.3">
      <c r="A746" s="118"/>
      <c r="C746" s="118"/>
      <c r="E746" s="118"/>
      <c r="G746" s="118"/>
      <c r="I746" s="118"/>
      <c r="J746" s="119"/>
      <c r="M746" s="118"/>
      <c r="O746" s="118"/>
      <c r="Q746" s="118"/>
      <c r="S746" s="118"/>
      <c r="U746" s="118"/>
      <c r="W746" s="118"/>
      <c r="Y746" s="118"/>
      <c r="AA746" s="118"/>
      <c r="AC746" s="118"/>
      <c r="AE746" s="118"/>
      <c r="AF746" s="119"/>
    </row>
    <row r="747" spans="1:32" x14ac:dyDescent="0.3">
      <c r="A747" s="118"/>
      <c r="C747" s="118"/>
      <c r="E747" s="118"/>
      <c r="G747" s="118"/>
      <c r="I747" s="118"/>
      <c r="J747" s="119"/>
      <c r="M747" s="118"/>
      <c r="O747" s="118"/>
      <c r="Q747" s="118"/>
      <c r="S747" s="118"/>
      <c r="U747" s="118"/>
      <c r="W747" s="118"/>
      <c r="Y747" s="118"/>
      <c r="AA747" s="118"/>
      <c r="AC747" s="118"/>
      <c r="AE747" s="118"/>
      <c r="AF747" s="119"/>
    </row>
    <row r="748" spans="1:32" x14ac:dyDescent="0.3">
      <c r="A748" s="118"/>
      <c r="C748" s="118"/>
      <c r="E748" s="118"/>
      <c r="G748" s="118"/>
      <c r="I748" s="118"/>
      <c r="J748" s="119"/>
      <c r="M748" s="118"/>
      <c r="O748" s="118"/>
      <c r="Q748" s="118"/>
      <c r="S748" s="118"/>
      <c r="U748" s="118"/>
      <c r="W748" s="118"/>
      <c r="Y748" s="118"/>
      <c r="AA748" s="118"/>
      <c r="AC748" s="118"/>
      <c r="AE748" s="118"/>
      <c r="AF748" s="119"/>
    </row>
    <row r="749" spans="1:32" x14ac:dyDescent="0.3">
      <c r="A749" s="118"/>
      <c r="C749" s="118"/>
      <c r="E749" s="118"/>
      <c r="G749" s="118"/>
      <c r="I749" s="118"/>
      <c r="J749" s="119"/>
      <c r="M749" s="118"/>
      <c r="O749" s="118"/>
      <c r="Q749" s="118"/>
      <c r="S749" s="118"/>
      <c r="U749" s="118"/>
      <c r="W749" s="118"/>
      <c r="Y749" s="118"/>
      <c r="AA749" s="118"/>
      <c r="AC749" s="118"/>
      <c r="AE749" s="118"/>
      <c r="AF749" s="119"/>
    </row>
    <row r="750" spans="1:32" x14ac:dyDescent="0.3">
      <c r="A750" s="118"/>
      <c r="C750" s="118"/>
      <c r="E750" s="118"/>
      <c r="G750" s="118"/>
      <c r="I750" s="118"/>
      <c r="J750" s="119"/>
      <c r="M750" s="118"/>
      <c r="O750" s="118"/>
      <c r="Q750" s="118"/>
      <c r="S750" s="118"/>
      <c r="U750" s="118"/>
      <c r="W750" s="118"/>
      <c r="Y750" s="118"/>
      <c r="AA750" s="118"/>
      <c r="AC750" s="118"/>
      <c r="AE750" s="118"/>
      <c r="AF750" s="119"/>
    </row>
    <row r="751" spans="1:32" x14ac:dyDescent="0.3">
      <c r="A751" s="118"/>
      <c r="C751" s="118"/>
      <c r="E751" s="118"/>
      <c r="G751" s="118"/>
      <c r="I751" s="118"/>
      <c r="J751" s="119"/>
      <c r="M751" s="118"/>
      <c r="O751" s="118"/>
      <c r="Q751" s="118"/>
      <c r="S751" s="118"/>
      <c r="U751" s="118"/>
      <c r="W751" s="118"/>
      <c r="Y751" s="118"/>
      <c r="AA751" s="118"/>
      <c r="AC751" s="118"/>
      <c r="AE751" s="118"/>
      <c r="AF751" s="119"/>
    </row>
    <row r="752" spans="1:32" x14ac:dyDescent="0.3">
      <c r="A752" s="118"/>
      <c r="C752" s="118"/>
      <c r="E752" s="118"/>
      <c r="G752" s="118"/>
      <c r="I752" s="118"/>
      <c r="J752" s="119"/>
      <c r="M752" s="118"/>
      <c r="O752" s="118"/>
      <c r="Q752" s="118"/>
      <c r="S752" s="118"/>
      <c r="U752" s="118"/>
      <c r="W752" s="118"/>
      <c r="Y752" s="118"/>
      <c r="AA752" s="118"/>
      <c r="AC752" s="118"/>
      <c r="AE752" s="118"/>
      <c r="AF752" s="119"/>
    </row>
    <row r="753" spans="1:32" x14ac:dyDescent="0.3">
      <c r="A753" s="118"/>
      <c r="C753" s="118"/>
      <c r="E753" s="118"/>
      <c r="G753" s="118"/>
      <c r="I753" s="118"/>
      <c r="J753" s="119"/>
      <c r="M753" s="118"/>
      <c r="O753" s="118"/>
      <c r="Q753" s="118"/>
      <c r="S753" s="118"/>
      <c r="U753" s="118"/>
      <c r="W753" s="118"/>
      <c r="Y753" s="118"/>
      <c r="AA753" s="118"/>
      <c r="AC753" s="118"/>
      <c r="AE753" s="118"/>
      <c r="AF753" s="119"/>
    </row>
    <row r="754" spans="1:32" x14ac:dyDescent="0.3">
      <c r="A754" s="118"/>
      <c r="C754" s="118"/>
      <c r="E754" s="118"/>
      <c r="G754" s="118"/>
      <c r="I754" s="118"/>
      <c r="J754" s="119"/>
      <c r="M754" s="118"/>
      <c r="O754" s="118"/>
      <c r="Q754" s="118"/>
      <c r="S754" s="118"/>
      <c r="U754" s="118"/>
      <c r="W754" s="118"/>
      <c r="Y754" s="118"/>
      <c r="AA754" s="118"/>
      <c r="AC754" s="118"/>
      <c r="AE754" s="118"/>
      <c r="AF754" s="119"/>
    </row>
    <row r="755" spans="1:32" x14ac:dyDescent="0.3">
      <c r="A755" s="118"/>
      <c r="C755" s="118"/>
      <c r="E755" s="118"/>
      <c r="G755" s="118"/>
      <c r="I755" s="118"/>
      <c r="J755" s="119"/>
      <c r="M755" s="118"/>
      <c r="O755" s="118"/>
      <c r="Q755" s="118"/>
      <c r="S755" s="118"/>
      <c r="U755" s="118"/>
      <c r="W755" s="118"/>
      <c r="Y755" s="118"/>
      <c r="AA755" s="118"/>
      <c r="AC755" s="118"/>
      <c r="AE755" s="118"/>
      <c r="AF755" s="119"/>
    </row>
    <row r="756" spans="1:32" x14ac:dyDescent="0.3">
      <c r="A756" s="118"/>
      <c r="C756" s="118"/>
      <c r="E756" s="118"/>
      <c r="G756" s="118"/>
      <c r="I756" s="118"/>
      <c r="J756" s="119"/>
      <c r="M756" s="118"/>
      <c r="O756" s="118"/>
      <c r="Q756" s="118"/>
      <c r="S756" s="118"/>
      <c r="U756" s="118"/>
      <c r="W756" s="118"/>
      <c r="Y756" s="118"/>
      <c r="AA756" s="118"/>
      <c r="AC756" s="118"/>
      <c r="AE756" s="118"/>
      <c r="AF756" s="119"/>
    </row>
    <row r="757" spans="1:32" x14ac:dyDescent="0.3">
      <c r="A757" s="118"/>
      <c r="C757" s="118"/>
      <c r="E757" s="118"/>
      <c r="G757" s="118"/>
      <c r="I757" s="118"/>
      <c r="J757" s="119"/>
      <c r="M757" s="118"/>
      <c r="O757" s="118"/>
      <c r="Q757" s="118"/>
      <c r="S757" s="118"/>
      <c r="U757" s="118"/>
      <c r="W757" s="118"/>
      <c r="Y757" s="118"/>
      <c r="AA757" s="118"/>
      <c r="AC757" s="118"/>
      <c r="AE757" s="118"/>
      <c r="AF757" s="119"/>
    </row>
    <row r="758" spans="1:32" x14ac:dyDescent="0.3">
      <c r="A758" s="118"/>
      <c r="C758" s="118"/>
      <c r="E758" s="118"/>
      <c r="G758" s="118"/>
      <c r="I758" s="118"/>
      <c r="J758" s="119"/>
      <c r="M758" s="118"/>
      <c r="O758" s="118"/>
      <c r="Q758" s="118"/>
      <c r="S758" s="118"/>
      <c r="U758" s="118"/>
      <c r="W758" s="118"/>
      <c r="Y758" s="118"/>
      <c r="AA758" s="118"/>
      <c r="AC758" s="118"/>
      <c r="AE758" s="118"/>
      <c r="AF758" s="119"/>
    </row>
    <row r="759" spans="1:32" x14ac:dyDescent="0.3">
      <c r="A759" s="118"/>
      <c r="C759" s="118"/>
      <c r="E759" s="118"/>
      <c r="G759" s="118"/>
      <c r="I759" s="118"/>
      <c r="J759" s="119"/>
      <c r="M759" s="118"/>
      <c r="O759" s="118"/>
      <c r="Q759" s="118"/>
      <c r="S759" s="118"/>
      <c r="U759" s="118"/>
      <c r="W759" s="118"/>
      <c r="Y759" s="118"/>
      <c r="AA759" s="118"/>
      <c r="AC759" s="118"/>
      <c r="AE759" s="118"/>
      <c r="AF759" s="119"/>
    </row>
    <row r="760" spans="1:32" x14ac:dyDescent="0.3">
      <c r="A760" s="118"/>
      <c r="C760" s="118"/>
      <c r="E760" s="118"/>
      <c r="G760" s="118"/>
      <c r="I760" s="118"/>
      <c r="J760" s="119"/>
      <c r="M760" s="118"/>
      <c r="O760" s="118"/>
      <c r="Q760" s="118"/>
      <c r="S760" s="118"/>
      <c r="U760" s="118"/>
      <c r="W760" s="118"/>
      <c r="Y760" s="118"/>
      <c r="AA760" s="118"/>
      <c r="AC760" s="118"/>
      <c r="AE760" s="118"/>
      <c r="AF760" s="119"/>
    </row>
    <row r="761" spans="1:32" x14ac:dyDescent="0.3">
      <c r="A761" s="118"/>
      <c r="C761" s="118"/>
      <c r="E761" s="118"/>
      <c r="G761" s="118"/>
      <c r="I761" s="118"/>
      <c r="J761" s="119"/>
      <c r="M761" s="118"/>
      <c r="O761" s="118"/>
      <c r="Q761" s="118"/>
      <c r="S761" s="118"/>
      <c r="U761" s="118"/>
      <c r="W761" s="118"/>
      <c r="Y761" s="118"/>
      <c r="AA761" s="118"/>
      <c r="AC761" s="118"/>
      <c r="AE761" s="118"/>
      <c r="AF761" s="119"/>
    </row>
    <row r="762" spans="1:32" x14ac:dyDescent="0.3">
      <c r="A762" s="118"/>
      <c r="C762" s="118"/>
      <c r="E762" s="118"/>
      <c r="G762" s="118"/>
      <c r="I762" s="118"/>
      <c r="J762" s="119"/>
      <c r="M762" s="118"/>
      <c r="O762" s="118"/>
      <c r="Q762" s="118"/>
      <c r="S762" s="118"/>
      <c r="U762" s="118"/>
      <c r="W762" s="118"/>
      <c r="Y762" s="118"/>
      <c r="AA762" s="118"/>
      <c r="AC762" s="118"/>
      <c r="AE762" s="118"/>
      <c r="AF762" s="119"/>
    </row>
    <row r="763" spans="1:32" x14ac:dyDescent="0.3">
      <c r="A763" s="118"/>
      <c r="C763" s="118"/>
      <c r="E763" s="118"/>
      <c r="G763" s="118"/>
      <c r="I763" s="118"/>
      <c r="J763" s="119"/>
      <c r="M763" s="118"/>
      <c r="O763" s="118"/>
      <c r="Q763" s="118"/>
      <c r="S763" s="118"/>
      <c r="U763" s="118"/>
      <c r="W763" s="118"/>
      <c r="Y763" s="118"/>
      <c r="AA763" s="118"/>
      <c r="AC763" s="118"/>
      <c r="AE763" s="118"/>
      <c r="AF763" s="119"/>
    </row>
    <row r="764" spans="1:32" x14ac:dyDescent="0.3">
      <c r="A764" s="118"/>
      <c r="C764" s="118"/>
      <c r="E764" s="118"/>
      <c r="G764" s="118"/>
      <c r="I764" s="118"/>
      <c r="J764" s="119"/>
      <c r="M764" s="118"/>
      <c r="O764" s="118"/>
      <c r="Q764" s="118"/>
      <c r="S764" s="118"/>
      <c r="U764" s="118"/>
      <c r="W764" s="118"/>
      <c r="Y764" s="118"/>
      <c r="AA764" s="118"/>
      <c r="AC764" s="118"/>
      <c r="AE764" s="118"/>
      <c r="AF764" s="119"/>
    </row>
    <row r="765" spans="1:32" x14ac:dyDescent="0.3">
      <c r="A765" s="118"/>
      <c r="C765" s="118"/>
      <c r="E765" s="118"/>
      <c r="G765" s="118"/>
      <c r="I765" s="118"/>
      <c r="J765" s="119"/>
      <c r="M765" s="118"/>
      <c r="O765" s="118"/>
      <c r="Q765" s="118"/>
      <c r="S765" s="118"/>
      <c r="U765" s="118"/>
      <c r="W765" s="118"/>
      <c r="Y765" s="118"/>
      <c r="AA765" s="118"/>
      <c r="AC765" s="118"/>
      <c r="AE765" s="118"/>
      <c r="AF765" s="119"/>
    </row>
    <row r="766" spans="1:32" x14ac:dyDescent="0.3">
      <c r="A766" s="118"/>
      <c r="C766" s="118"/>
      <c r="E766" s="118"/>
      <c r="G766" s="118"/>
      <c r="I766" s="118"/>
      <c r="J766" s="119"/>
      <c r="M766" s="118"/>
      <c r="O766" s="118"/>
      <c r="Q766" s="118"/>
      <c r="S766" s="118"/>
      <c r="U766" s="118"/>
      <c r="W766" s="118"/>
      <c r="Y766" s="118"/>
      <c r="AA766" s="118"/>
      <c r="AC766" s="118"/>
      <c r="AE766" s="118"/>
      <c r="AF766" s="119"/>
    </row>
    <row r="767" spans="1:32" x14ac:dyDescent="0.3">
      <c r="A767" s="118"/>
      <c r="C767" s="118"/>
      <c r="E767" s="118"/>
      <c r="G767" s="118"/>
      <c r="I767" s="118"/>
      <c r="J767" s="119"/>
      <c r="M767" s="118"/>
      <c r="O767" s="118"/>
      <c r="Q767" s="118"/>
      <c r="S767" s="118"/>
      <c r="U767" s="118"/>
      <c r="W767" s="118"/>
      <c r="Y767" s="118"/>
      <c r="AA767" s="118"/>
      <c r="AC767" s="118"/>
      <c r="AE767" s="118"/>
      <c r="AF767" s="119"/>
    </row>
    <row r="768" spans="1:32" x14ac:dyDescent="0.3">
      <c r="A768" s="118"/>
      <c r="C768" s="118"/>
      <c r="E768" s="118"/>
      <c r="G768" s="118"/>
      <c r="I768" s="118"/>
      <c r="J768" s="119"/>
      <c r="M768" s="118"/>
      <c r="O768" s="118"/>
      <c r="Q768" s="118"/>
      <c r="S768" s="118"/>
      <c r="U768" s="118"/>
      <c r="W768" s="118"/>
      <c r="Y768" s="118"/>
      <c r="AA768" s="118"/>
      <c r="AC768" s="118"/>
      <c r="AE768" s="118"/>
      <c r="AF768" s="119"/>
    </row>
    <row r="769" spans="1:32" x14ac:dyDescent="0.3">
      <c r="A769" s="118"/>
      <c r="C769" s="118"/>
      <c r="E769" s="118"/>
      <c r="G769" s="118"/>
      <c r="I769" s="118"/>
      <c r="J769" s="119"/>
      <c r="M769" s="118"/>
      <c r="O769" s="118"/>
      <c r="Q769" s="118"/>
      <c r="S769" s="118"/>
      <c r="U769" s="118"/>
      <c r="W769" s="118"/>
      <c r="Y769" s="118"/>
      <c r="AA769" s="118"/>
      <c r="AC769" s="118"/>
      <c r="AE769" s="118"/>
      <c r="AF769" s="119"/>
    </row>
    <row r="770" spans="1:32" x14ac:dyDescent="0.3">
      <c r="A770" s="118"/>
      <c r="C770" s="118"/>
      <c r="E770" s="118"/>
      <c r="G770" s="118"/>
      <c r="I770" s="118"/>
      <c r="J770" s="119"/>
      <c r="M770" s="118"/>
      <c r="O770" s="118"/>
      <c r="Q770" s="118"/>
      <c r="S770" s="118"/>
      <c r="U770" s="118"/>
      <c r="W770" s="118"/>
      <c r="Y770" s="118"/>
      <c r="AA770" s="118"/>
      <c r="AC770" s="118"/>
      <c r="AE770" s="118"/>
      <c r="AF770" s="119"/>
    </row>
    <row r="771" spans="1:32" x14ac:dyDescent="0.3">
      <c r="A771" s="118"/>
      <c r="C771" s="118"/>
      <c r="E771" s="118"/>
      <c r="G771" s="118"/>
      <c r="I771" s="118"/>
      <c r="J771" s="119"/>
      <c r="M771" s="118"/>
      <c r="O771" s="118"/>
      <c r="Q771" s="118"/>
      <c r="S771" s="118"/>
      <c r="U771" s="118"/>
      <c r="W771" s="118"/>
      <c r="Y771" s="118"/>
      <c r="AA771" s="118"/>
      <c r="AC771" s="118"/>
      <c r="AE771" s="118"/>
      <c r="AF771" s="119"/>
    </row>
    <row r="772" spans="1:32" x14ac:dyDescent="0.3">
      <c r="A772" s="118"/>
      <c r="C772" s="118"/>
      <c r="E772" s="118"/>
      <c r="G772" s="118"/>
      <c r="I772" s="118"/>
      <c r="J772" s="119"/>
      <c r="M772" s="118"/>
      <c r="O772" s="118"/>
      <c r="Q772" s="118"/>
      <c r="S772" s="118"/>
      <c r="U772" s="118"/>
      <c r="W772" s="118"/>
      <c r="Y772" s="118"/>
      <c r="AA772" s="118"/>
      <c r="AC772" s="118"/>
      <c r="AE772" s="118"/>
      <c r="AF772" s="119"/>
    </row>
    <row r="773" spans="1:32" x14ac:dyDescent="0.3">
      <c r="A773" s="118"/>
      <c r="C773" s="118"/>
      <c r="E773" s="118"/>
      <c r="G773" s="118"/>
      <c r="I773" s="118"/>
      <c r="J773" s="119"/>
      <c r="M773" s="118"/>
      <c r="O773" s="118"/>
      <c r="Q773" s="118"/>
      <c r="S773" s="118"/>
      <c r="U773" s="118"/>
      <c r="W773" s="118"/>
      <c r="Y773" s="118"/>
      <c r="AA773" s="118"/>
      <c r="AC773" s="118"/>
      <c r="AE773" s="118"/>
      <c r="AF773" s="119"/>
    </row>
    <row r="774" spans="1:32" x14ac:dyDescent="0.3">
      <c r="A774" s="118"/>
      <c r="C774" s="118"/>
      <c r="E774" s="118"/>
      <c r="G774" s="118"/>
      <c r="I774" s="118"/>
      <c r="J774" s="119"/>
      <c r="M774" s="118"/>
      <c r="O774" s="118"/>
      <c r="Q774" s="118"/>
      <c r="S774" s="118"/>
      <c r="U774" s="118"/>
      <c r="W774" s="118"/>
      <c r="Y774" s="118"/>
      <c r="AA774" s="118"/>
      <c r="AC774" s="118"/>
      <c r="AE774" s="118"/>
      <c r="AF774" s="119"/>
    </row>
    <row r="775" spans="1:32" x14ac:dyDescent="0.3">
      <c r="A775" s="118"/>
      <c r="C775" s="118"/>
      <c r="E775" s="118"/>
      <c r="G775" s="118"/>
      <c r="I775" s="118"/>
      <c r="J775" s="119"/>
      <c r="M775" s="118"/>
      <c r="O775" s="118"/>
      <c r="Q775" s="118"/>
      <c r="S775" s="118"/>
      <c r="U775" s="118"/>
      <c r="W775" s="118"/>
      <c r="Y775" s="118"/>
      <c r="AA775" s="118"/>
      <c r="AC775" s="118"/>
      <c r="AE775" s="118"/>
      <c r="AF775" s="119"/>
    </row>
    <row r="776" spans="1:32" x14ac:dyDescent="0.3">
      <c r="A776" s="118"/>
      <c r="C776" s="118"/>
      <c r="E776" s="118"/>
      <c r="G776" s="118"/>
      <c r="I776" s="118"/>
      <c r="J776" s="119"/>
      <c r="M776" s="118"/>
      <c r="O776" s="118"/>
      <c r="Q776" s="118"/>
      <c r="S776" s="118"/>
      <c r="U776" s="118"/>
      <c r="W776" s="118"/>
      <c r="Y776" s="118"/>
      <c r="AA776" s="118"/>
      <c r="AC776" s="118"/>
      <c r="AE776" s="118"/>
      <c r="AF776" s="119"/>
    </row>
    <row r="777" spans="1:32" x14ac:dyDescent="0.3">
      <c r="A777" s="118"/>
      <c r="C777" s="118"/>
      <c r="E777" s="118"/>
      <c r="G777" s="118"/>
      <c r="I777" s="118"/>
      <c r="J777" s="119"/>
      <c r="M777" s="118"/>
      <c r="O777" s="118"/>
      <c r="Q777" s="118"/>
      <c r="S777" s="118"/>
      <c r="U777" s="118"/>
      <c r="W777" s="118"/>
      <c r="Y777" s="118"/>
      <c r="AA777" s="118"/>
      <c r="AC777" s="118"/>
      <c r="AE777" s="118"/>
      <c r="AF777" s="119"/>
    </row>
    <row r="778" spans="1:32" x14ac:dyDescent="0.3">
      <c r="A778" s="118"/>
      <c r="C778" s="118"/>
      <c r="E778" s="118"/>
      <c r="G778" s="118"/>
      <c r="I778" s="118"/>
      <c r="J778" s="119"/>
      <c r="M778" s="118"/>
      <c r="O778" s="118"/>
      <c r="Q778" s="118"/>
      <c r="S778" s="118"/>
      <c r="U778" s="118"/>
      <c r="W778" s="118"/>
      <c r="Y778" s="118"/>
      <c r="AA778" s="118"/>
      <c r="AC778" s="118"/>
      <c r="AE778" s="118"/>
      <c r="AF778" s="119"/>
    </row>
    <row r="779" spans="1:32" x14ac:dyDescent="0.3">
      <c r="A779" s="118"/>
      <c r="C779" s="118"/>
      <c r="E779" s="118"/>
      <c r="G779" s="118"/>
      <c r="I779" s="118"/>
      <c r="J779" s="119"/>
      <c r="M779" s="118"/>
      <c r="O779" s="118"/>
      <c r="Q779" s="118"/>
      <c r="S779" s="118"/>
      <c r="U779" s="118"/>
      <c r="W779" s="118"/>
      <c r="Y779" s="118"/>
      <c r="AA779" s="118"/>
      <c r="AC779" s="118"/>
      <c r="AE779" s="118"/>
      <c r="AF779" s="119"/>
    </row>
    <row r="780" spans="1:32" x14ac:dyDescent="0.3">
      <c r="A780" s="118"/>
      <c r="C780" s="118"/>
      <c r="E780" s="118"/>
      <c r="G780" s="118"/>
      <c r="I780" s="118"/>
      <c r="J780" s="119"/>
      <c r="M780" s="118"/>
      <c r="O780" s="118"/>
      <c r="Q780" s="118"/>
      <c r="S780" s="118"/>
      <c r="U780" s="118"/>
      <c r="W780" s="118"/>
      <c r="Y780" s="118"/>
      <c r="AA780" s="118"/>
      <c r="AC780" s="118"/>
      <c r="AE780" s="118"/>
      <c r="AF780" s="119"/>
    </row>
    <row r="781" spans="1:32" x14ac:dyDescent="0.3">
      <c r="A781" s="118"/>
      <c r="C781" s="118"/>
      <c r="E781" s="118"/>
      <c r="G781" s="118"/>
      <c r="I781" s="118"/>
      <c r="J781" s="119"/>
      <c r="M781" s="118"/>
      <c r="O781" s="118"/>
      <c r="Q781" s="118"/>
      <c r="S781" s="118"/>
      <c r="U781" s="118"/>
      <c r="W781" s="118"/>
      <c r="Y781" s="118"/>
      <c r="AA781" s="118"/>
      <c r="AC781" s="118"/>
      <c r="AE781" s="118"/>
      <c r="AF781" s="119"/>
    </row>
    <row r="782" spans="1:32" x14ac:dyDescent="0.3">
      <c r="A782" s="118"/>
      <c r="C782" s="118"/>
      <c r="E782" s="118"/>
      <c r="G782" s="118"/>
      <c r="I782" s="118"/>
      <c r="J782" s="119"/>
      <c r="M782" s="118"/>
      <c r="O782" s="118"/>
      <c r="Q782" s="118"/>
      <c r="S782" s="118"/>
      <c r="U782" s="118"/>
      <c r="W782" s="118"/>
      <c r="Y782" s="118"/>
      <c r="AA782" s="118"/>
      <c r="AC782" s="118"/>
      <c r="AE782" s="118"/>
      <c r="AF782" s="119"/>
    </row>
    <row r="783" spans="1:32" x14ac:dyDescent="0.3">
      <c r="A783" s="118"/>
      <c r="C783" s="118"/>
      <c r="E783" s="118"/>
      <c r="G783" s="118"/>
      <c r="I783" s="118"/>
      <c r="J783" s="119"/>
      <c r="M783" s="118"/>
      <c r="O783" s="118"/>
      <c r="Q783" s="118"/>
      <c r="S783" s="118"/>
      <c r="U783" s="118"/>
      <c r="W783" s="118"/>
      <c r="Y783" s="118"/>
      <c r="AA783" s="118"/>
      <c r="AC783" s="118"/>
      <c r="AE783" s="118"/>
      <c r="AF783" s="119"/>
    </row>
    <row r="784" spans="1:32" x14ac:dyDescent="0.3">
      <c r="A784" s="118"/>
      <c r="C784" s="118"/>
      <c r="E784" s="118"/>
      <c r="G784" s="118"/>
      <c r="I784" s="118"/>
      <c r="J784" s="119"/>
      <c r="M784" s="118"/>
      <c r="O784" s="118"/>
      <c r="Q784" s="118"/>
      <c r="S784" s="118"/>
      <c r="U784" s="118"/>
      <c r="W784" s="118"/>
      <c r="Y784" s="118"/>
      <c r="AA784" s="118"/>
      <c r="AC784" s="118"/>
      <c r="AE784" s="118"/>
      <c r="AF784" s="119"/>
    </row>
    <row r="785" spans="1:32" x14ac:dyDescent="0.3">
      <c r="A785" s="118"/>
      <c r="C785" s="118"/>
      <c r="E785" s="118"/>
      <c r="G785" s="118"/>
      <c r="I785" s="118"/>
      <c r="J785" s="119"/>
      <c r="M785" s="118"/>
      <c r="O785" s="118"/>
      <c r="Q785" s="118"/>
      <c r="S785" s="118"/>
      <c r="U785" s="118"/>
      <c r="W785" s="118"/>
      <c r="Y785" s="118"/>
      <c r="AA785" s="118"/>
      <c r="AC785" s="118"/>
      <c r="AE785" s="118"/>
      <c r="AF785" s="119"/>
    </row>
    <row r="786" spans="1:32" x14ac:dyDescent="0.3">
      <c r="A786" s="118"/>
      <c r="C786" s="118"/>
      <c r="E786" s="118"/>
      <c r="G786" s="118"/>
      <c r="I786" s="118"/>
      <c r="J786" s="119"/>
      <c r="M786" s="118"/>
      <c r="O786" s="118"/>
      <c r="Q786" s="118"/>
      <c r="S786" s="118"/>
      <c r="U786" s="118"/>
      <c r="W786" s="118"/>
      <c r="Y786" s="118"/>
      <c r="AA786" s="118"/>
      <c r="AC786" s="118"/>
      <c r="AE786" s="118"/>
      <c r="AF786" s="119"/>
    </row>
    <row r="787" spans="1:32" x14ac:dyDescent="0.3">
      <c r="A787" s="118"/>
      <c r="C787" s="118"/>
      <c r="E787" s="118"/>
      <c r="G787" s="118"/>
      <c r="I787" s="118"/>
      <c r="J787" s="119"/>
      <c r="M787" s="118"/>
      <c r="O787" s="118"/>
      <c r="Q787" s="118"/>
      <c r="S787" s="118"/>
      <c r="U787" s="118"/>
      <c r="W787" s="118"/>
      <c r="Y787" s="118"/>
      <c r="AA787" s="118"/>
      <c r="AC787" s="118"/>
      <c r="AE787" s="118"/>
      <c r="AF787" s="119"/>
    </row>
    <row r="788" spans="1:32" x14ac:dyDescent="0.3">
      <c r="A788" s="118"/>
      <c r="C788" s="118"/>
      <c r="E788" s="118"/>
      <c r="G788" s="118"/>
      <c r="I788" s="118"/>
      <c r="J788" s="119"/>
      <c r="M788" s="118"/>
      <c r="O788" s="118"/>
      <c r="Q788" s="118"/>
      <c r="S788" s="118"/>
      <c r="U788" s="118"/>
      <c r="W788" s="118"/>
      <c r="Y788" s="118"/>
      <c r="AA788" s="118"/>
      <c r="AC788" s="118"/>
      <c r="AE788" s="118"/>
      <c r="AF788" s="119"/>
    </row>
    <row r="789" spans="1:32" x14ac:dyDescent="0.3">
      <c r="A789" s="118"/>
      <c r="C789" s="118"/>
      <c r="E789" s="118"/>
      <c r="G789" s="118"/>
      <c r="I789" s="118"/>
      <c r="J789" s="119"/>
      <c r="M789" s="118"/>
      <c r="O789" s="118"/>
      <c r="Q789" s="118"/>
      <c r="S789" s="118"/>
      <c r="U789" s="118"/>
      <c r="W789" s="118"/>
      <c r="Y789" s="118"/>
      <c r="AA789" s="118"/>
      <c r="AC789" s="118"/>
      <c r="AE789" s="118"/>
      <c r="AF789" s="119"/>
    </row>
    <row r="790" spans="1:32" x14ac:dyDescent="0.3">
      <c r="A790" s="118"/>
      <c r="C790" s="118"/>
      <c r="E790" s="118"/>
      <c r="G790" s="118"/>
      <c r="I790" s="118"/>
      <c r="J790" s="119"/>
      <c r="M790" s="118"/>
      <c r="O790" s="118"/>
      <c r="Q790" s="118"/>
      <c r="S790" s="118"/>
      <c r="U790" s="118"/>
      <c r="W790" s="118"/>
      <c r="Y790" s="118"/>
      <c r="AA790" s="118"/>
      <c r="AC790" s="118"/>
      <c r="AE790" s="118"/>
      <c r="AF790" s="119"/>
    </row>
    <row r="791" spans="1:32" x14ac:dyDescent="0.3">
      <c r="A791" s="118"/>
      <c r="C791" s="118"/>
      <c r="E791" s="118"/>
      <c r="G791" s="118"/>
      <c r="I791" s="118"/>
      <c r="J791" s="119"/>
      <c r="M791" s="118"/>
      <c r="O791" s="118"/>
      <c r="Q791" s="118"/>
      <c r="S791" s="118"/>
      <c r="U791" s="118"/>
      <c r="W791" s="118"/>
      <c r="Y791" s="118"/>
      <c r="AA791" s="118"/>
      <c r="AC791" s="118"/>
      <c r="AE791" s="118"/>
      <c r="AF791" s="119"/>
    </row>
    <row r="792" spans="1:32" x14ac:dyDescent="0.3">
      <c r="A792" s="118"/>
      <c r="C792" s="118"/>
      <c r="E792" s="118"/>
      <c r="G792" s="118"/>
      <c r="I792" s="118"/>
      <c r="J792" s="119"/>
      <c r="M792" s="118"/>
      <c r="O792" s="118"/>
      <c r="Q792" s="118"/>
      <c r="S792" s="118"/>
      <c r="U792" s="118"/>
      <c r="W792" s="118"/>
      <c r="Y792" s="118"/>
      <c r="AA792" s="118"/>
      <c r="AC792" s="118"/>
      <c r="AE792" s="118"/>
      <c r="AF792" s="119"/>
    </row>
    <row r="793" spans="1:32" x14ac:dyDescent="0.3">
      <c r="A793" s="118"/>
      <c r="C793" s="118"/>
      <c r="E793" s="118"/>
      <c r="G793" s="118"/>
      <c r="I793" s="118"/>
      <c r="J793" s="119"/>
      <c r="M793" s="118"/>
      <c r="O793" s="118"/>
      <c r="Q793" s="118"/>
      <c r="S793" s="118"/>
      <c r="U793" s="118"/>
      <c r="W793" s="118"/>
      <c r="Y793" s="118"/>
      <c r="AA793" s="118"/>
      <c r="AC793" s="118"/>
      <c r="AE793" s="118"/>
      <c r="AF793" s="119"/>
    </row>
    <row r="794" spans="1:32" x14ac:dyDescent="0.3">
      <c r="A794" s="118"/>
      <c r="C794" s="118"/>
      <c r="E794" s="118"/>
      <c r="G794" s="118"/>
      <c r="I794" s="118"/>
      <c r="J794" s="119"/>
      <c r="M794" s="118"/>
      <c r="O794" s="118"/>
      <c r="Q794" s="118"/>
      <c r="S794" s="118"/>
      <c r="U794" s="118"/>
      <c r="W794" s="118"/>
      <c r="Y794" s="118"/>
      <c r="AA794" s="118"/>
      <c r="AC794" s="118"/>
      <c r="AE794" s="118"/>
      <c r="AF794" s="119"/>
    </row>
    <row r="795" spans="1:32" x14ac:dyDescent="0.3">
      <c r="A795" s="118"/>
      <c r="C795" s="118"/>
      <c r="E795" s="118"/>
      <c r="G795" s="118"/>
      <c r="I795" s="118"/>
      <c r="J795" s="119"/>
      <c r="M795" s="118"/>
      <c r="O795" s="118"/>
      <c r="Q795" s="118"/>
      <c r="S795" s="118"/>
      <c r="U795" s="118"/>
      <c r="W795" s="118"/>
      <c r="Y795" s="118"/>
      <c r="AA795" s="118"/>
      <c r="AC795" s="118"/>
      <c r="AE795" s="118"/>
      <c r="AF795" s="119"/>
    </row>
    <row r="796" spans="1:32" x14ac:dyDescent="0.3">
      <c r="A796" s="118"/>
      <c r="C796" s="118"/>
      <c r="E796" s="118"/>
      <c r="G796" s="118"/>
      <c r="I796" s="118"/>
      <c r="J796" s="119"/>
      <c r="M796" s="118"/>
      <c r="O796" s="118"/>
      <c r="Q796" s="118"/>
      <c r="S796" s="118"/>
      <c r="U796" s="118"/>
      <c r="W796" s="118"/>
      <c r="Y796" s="118"/>
      <c r="AA796" s="118"/>
      <c r="AC796" s="118"/>
      <c r="AE796" s="118"/>
      <c r="AF796" s="119"/>
    </row>
    <row r="797" spans="1:32" x14ac:dyDescent="0.3">
      <c r="A797" s="118"/>
      <c r="C797" s="118"/>
      <c r="E797" s="118"/>
      <c r="G797" s="118"/>
      <c r="I797" s="118"/>
      <c r="J797" s="119"/>
      <c r="M797" s="118"/>
      <c r="O797" s="118"/>
      <c r="Q797" s="118"/>
      <c r="S797" s="118"/>
      <c r="U797" s="118"/>
      <c r="W797" s="118"/>
      <c r="Y797" s="118"/>
      <c r="AA797" s="118"/>
      <c r="AC797" s="118"/>
      <c r="AE797" s="118"/>
      <c r="AF797" s="119"/>
    </row>
    <row r="798" spans="1:32" x14ac:dyDescent="0.3">
      <c r="A798" s="118"/>
      <c r="C798" s="118"/>
      <c r="E798" s="118"/>
      <c r="G798" s="118"/>
      <c r="I798" s="118"/>
      <c r="J798" s="119"/>
      <c r="M798" s="118"/>
      <c r="O798" s="118"/>
      <c r="Q798" s="118"/>
      <c r="S798" s="118"/>
      <c r="U798" s="118"/>
      <c r="W798" s="118"/>
      <c r="Y798" s="118"/>
      <c r="AA798" s="118"/>
      <c r="AC798" s="118"/>
      <c r="AE798" s="118"/>
      <c r="AF798" s="119"/>
    </row>
    <row r="799" spans="1:32" x14ac:dyDescent="0.3">
      <c r="A799" s="118"/>
      <c r="C799" s="118"/>
      <c r="E799" s="118"/>
      <c r="G799" s="118"/>
      <c r="I799" s="118"/>
      <c r="J799" s="119"/>
      <c r="M799" s="118"/>
      <c r="O799" s="118"/>
      <c r="Q799" s="118"/>
      <c r="S799" s="118"/>
      <c r="U799" s="118"/>
      <c r="W799" s="118"/>
      <c r="Y799" s="118"/>
      <c r="AA799" s="118"/>
      <c r="AC799" s="118"/>
      <c r="AE799" s="118"/>
      <c r="AF799" s="119"/>
    </row>
    <row r="800" spans="1:32" x14ac:dyDescent="0.3">
      <c r="A800" s="118"/>
      <c r="C800" s="118"/>
      <c r="E800" s="118"/>
      <c r="G800" s="118"/>
      <c r="I800" s="118"/>
      <c r="J800" s="119"/>
      <c r="M800" s="118"/>
      <c r="O800" s="118"/>
      <c r="Q800" s="118"/>
      <c r="S800" s="118"/>
      <c r="U800" s="118"/>
      <c r="W800" s="118"/>
      <c r="Y800" s="118"/>
      <c r="AA800" s="118"/>
      <c r="AC800" s="118"/>
      <c r="AE800" s="118"/>
      <c r="AF800" s="119"/>
    </row>
    <row r="801" spans="1:32" x14ac:dyDescent="0.3">
      <c r="A801" s="118"/>
      <c r="C801" s="118"/>
      <c r="E801" s="118"/>
      <c r="G801" s="118"/>
      <c r="I801" s="118"/>
      <c r="J801" s="119"/>
      <c r="M801" s="118"/>
      <c r="O801" s="118"/>
      <c r="Q801" s="118"/>
      <c r="S801" s="118"/>
      <c r="U801" s="118"/>
      <c r="W801" s="118"/>
      <c r="Y801" s="118"/>
      <c r="AA801" s="118"/>
      <c r="AC801" s="118"/>
      <c r="AE801" s="118"/>
      <c r="AF801" s="119"/>
    </row>
    <row r="802" spans="1:32" x14ac:dyDescent="0.3">
      <c r="A802" s="118"/>
      <c r="C802" s="118"/>
      <c r="E802" s="118"/>
      <c r="G802" s="118"/>
      <c r="I802" s="118"/>
      <c r="J802" s="119"/>
      <c r="M802" s="118"/>
      <c r="O802" s="118"/>
      <c r="Q802" s="118"/>
      <c r="S802" s="118"/>
      <c r="U802" s="118"/>
      <c r="W802" s="118"/>
      <c r="Y802" s="118"/>
      <c r="AA802" s="118"/>
      <c r="AC802" s="118"/>
      <c r="AE802" s="118"/>
      <c r="AF802" s="119"/>
    </row>
    <row r="803" spans="1:32" x14ac:dyDescent="0.3">
      <c r="A803" s="118"/>
      <c r="C803" s="118"/>
      <c r="E803" s="118"/>
      <c r="G803" s="118"/>
      <c r="I803" s="118"/>
      <c r="J803" s="119"/>
      <c r="M803" s="118"/>
      <c r="O803" s="118"/>
      <c r="Q803" s="118"/>
      <c r="S803" s="118"/>
      <c r="U803" s="118"/>
      <c r="W803" s="118"/>
      <c r="Y803" s="118"/>
      <c r="AA803" s="118"/>
      <c r="AC803" s="118"/>
      <c r="AE803" s="118"/>
      <c r="AF803" s="119"/>
    </row>
    <row r="804" spans="1:32" x14ac:dyDescent="0.3">
      <c r="A804" s="118"/>
      <c r="C804" s="118"/>
      <c r="E804" s="118"/>
      <c r="G804" s="118"/>
      <c r="I804" s="118"/>
      <c r="J804" s="119"/>
      <c r="M804" s="118"/>
      <c r="O804" s="118"/>
      <c r="Q804" s="118"/>
      <c r="S804" s="118"/>
      <c r="U804" s="118"/>
      <c r="W804" s="118"/>
      <c r="Y804" s="118"/>
      <c r="AA804" s="118"/>
      <c r="AC804" s="118"/>
      <c r="AE804" s="118"/>
      <c r="AF804" s="119"/>
    </row>
    <row r="805" spans="1:32" x14ac:dyDescent="0.3">
      <c r="A805" s="118"/>
      <c r="C805" s="118"/>
      <c r="E805" s="118"/>
      <c r="G805" s="118"/>
      <c r="I805" s="118"/>
      <c r="J805" s="119"/>
      <c r="M805" s="118"/>
      <c r="O805" s="118"/>
      <c r="Q805" s="118"/>
      <c r="S805" s="118"/>
      <c r="U805" s="118"/>
      <c r="W805" s="118"/>
      <c r="Y805" s="118"/>
      <c r="AA805" s="118"/>
      <c r="AC805" s="118"/>
      <c r="AE805" s="118"/>
      <c r="AF805" s="119"/>
    </row>
    <row r="806" spans="1:32" x14ac:dyDescent="0.3">
      <c r="A806" s="118"/>
      <c r="C806" s="118"/>
      <c r="E806" s="118"/>
      <c r="G806" s="118"/>
      <c r="I806" s="118"/>
      <c r="J806" s="119"/>
      <c r="M806" s="118"/>
      <c r="O806" s="118"/>
      <c r="Q806" s="118"/>
      <c r="S806" s="118"/>
      <c r="U806" s="118"/>
      <c r="W806" s="118"/>
      <c r="Y806" s="118"/>
      <c r="AA806" s="118"/>
      <c r="AC806" s="118"/>
      <c r="AE806" s="118"/>
      <c r="AF806" s="119"/>
    </row>
    <row r="807" spans="1:32" x14ac:dyDescent="0.3">
      <c r="A807" s="118"/>
      <c r="C807" s="118"/>
      <c r="E807" s="118"/>
      <c r="G807" s="118"/>
      <c r="I807" s="118"/>
      <c r="J807" s="119"/>
      <c r="M807" s="118"/>
      <c r="O807" s="118"/>
      <c r="Q807" s="118"/>
      <c r="S807" s="118"/>
      <c r="U807" s="118"/>
      <c r="W807" s="118"/>
      <c r="Y807" s="118"/>
      <c r="AA807" s="118"/>
      <c r="AC807" s="118"/>
      <c r="AE807" s="118"/>
      <c r="AF807" s="119"/>
    </row>
    <row r="808" spans="1:32" x14ac:dyDescent="0.3">
      <c r="A808" s="118"/>
      <c r="C808" s="118"/>
      <c r="E808" s="118"/>
      <c r="G808" s="118"/>
      <c r="I808" s="118"/>
      <c r="J808" s="119"/>
      <c r="M808" s="118"/>
      <c r="O808" s="118"/>
      <c r="Q808" s="118"/>
      <c r="S808" s="118"/>
      <c r="U808" s="118"/>
      <c r="W808" s="118"/>
      <c r="Y808" s="118"/>
      <c r="AA808" s="118"/>
      <c r="AC808" s="118"/>
      <c r="AE808" s="118"/>
      <c r="AF808" s="119"/>
    </row>
    <row r="809" spans="1:32" x14ac:dyDescent="0.3">
      <c r="A809" s="118"/>
      <c r="C809" s="118"/>
      <c r="E809" s="118"/>
      <c r="G809" s="118"/>
      <c r="I809" s="118"/>
      <c r="J809" s="119"/>
      <c r="M809" s="118"/>
      <c r="O809" s="118"/>
      <c r="Q809" s="118"/>
      <c r="S809" s="118"/>
      <c r="U809" s="118"/>
      <c r="W809" s="118"/>
      <c r="Y809" s="118"/>
      <c r="AA809" s="118"/>
      <c r="AC809" s="118"/>
      <c r="AE809" s="118"/>
      <c r="AF809" s="119"/>
    </row>
    <row r="810" spans="1:32" x14ac:dyDescent="0.3">
      <c r="A810" s="118"/>
      <c r="C810" s="118"/>
      <c r="E810" s="118"/>
      <c r="G810" s="118"/>
      <c r="I810" s="118"/>
      <c r="J810" s="119"/>
      <c r="M810" s="118"/>
      <c r="O810" s="118"/>
      <c r="Q810" s="118"/>
      <c r="S810" s="118"/>
      <c r="U810" s="118"/>
      <c r="W810" s="118"/>
      <c r="Y810" s="118"/>
      <c r="AA810" s="118"/>
      <c r="AC810" s="118"/>
      <c r="AE810" s="118"/>
      <c r="AF810" s="119"/>
    </row>
    <row r="811" spans="1:32" x14ac:dyDescent="0.3">
      <c r="A811" s="118"/>
      <c r="C811" s="118"/>
      <c r="E811" s="118"/>
      <c r="G811" s="118"/>
      <c r="I811" s="118"/>
      <c r="J811" s="119"/>
      <c r="M811" s="118"/>
      <c r="O811" s="118"/>
      <c r="Q811" s="118"/>
      <c r="S811" s="118"/>
      <c r="U811" s="118"/>
      <c r="W811" s="118"/>
      <c r="Y811" s="118"/>
      <c r="AA811" s="118"/>
      <c r="AC811" s="118"/>
      <c r="AE811" s="118"/>
      <c r="AF811" s="119"/>
    </row>
    <row r="812" spans="1:32" x14ac:dyDescent="0.3">
      <c r="A812" s="118"/>
      <c r="C812" s="118"/>
      <c r="E812" s="118"/>
      <c r="G812" s="118"/>
      <c r="I812" s="118"/>
      <c r="J812" s="119"/>
      <c r="M812" s="118"/>
      <c r="O812" s="118"/>
      <c r="Q812" s="118"/>
      <c r="S812" s="118"/>
      <c r="U812" s="118"/>
      <c r="W812" s="118"/>
      <c r="Y812" s="118"/>
      <c r="AA812" s="118"/>
      <c r="AC812" s="118"/>
      <c r="AE812" s="118"/>
      <c r="AF812" s="119"/>
    </row>
    <row r="813" spans="1:32" x14ac:dyDescent="0.3">
      <c r="A813" s="118"/>
      <c r="C813" s="118"/>
      <c r="E813" s="118"/>
      <c r="G813" s="118"/>
      <c r="I813" s="118"/>
      <c r="J813" s="119"/>
      <c r="M813" s="118"/>
      <c r="O813" s="118"/>
      <c r="Q813" s="118"/>
      <c r="S813" s="118"/>
      <c r="U813" s="118"/>
      <c r="W813" s="118"/>
      <c r="Y813" s="118"/>
      <c r="AA813" s="118"/>
      <c r="AC813" s="118"/>
      <c r="AE813" s="118"/>
      <c r="AF813" s="119"/>
    </row>
    <row r="814" spans="1:32" x14ac:dyDescent="0.3">
      <c r="A814" s="118"/>
      <c r="C814" s="118"/>
      <c r="E814" s="118"/>
      <c r="G814" s="118"/>
      <c r="I814" s="118"/>
      <c r="J814" s="119"/>
      <c r="M814" s="118"/>
      <c r="O814" s="118"/>
      <c r="Q814" s="118"/>
      <c r="S814" s="118"/>
      <c r="U814" s="118"/>
      <c r="W814" s="118"/>
      <c r="Y814" s="118"/>
      <c r="AA814" s="118"/>
      <c r="AC814" s="118"/>
      <c r="AE814" s="118"/>
      <c r="AF814" s="119"/>
    </row>
    <row r="815" spans="1:32" x14ac:dyDescent="0.3">
      <c r="A815" s="118"/>
      <c r="C815" s="118"/>
      <c r="E815" s="118"/>
      <c r="G815" s="118"/>
      <c r="I815" s="118"/>
      <c r="J815" s="119"/>
      <c r="M815" s="118"/>
      <c r="O815" s="118"/>
      <c r="Q815" s="118"/>
      <c r="S815" s="118"/>
      <c r="U815" s="118"/>
      <c r="W815" s="118"/>
      <c r="Y815" s="118"/>
      <c r="AA815" s="118"/>
      <c r="AC815" s="118"/>
      <c r="AE815" s="118"/>
      <c r="AF815" s="119"/>
    </row>
    <row r="816" spans="1:32" x14ac:dyDescent="0.3">
      <c r="A816" s="118"/>
      <c r="C816" s="118"/>
      <c r="E816" s="118"/>
      <c r="G816" s="118"/>
      <c r="I816" s="118"/>
      <c r="J816" s="119"/>
      <c r="M816" s="118"/>
      <c r="O816" s="118"/>
      <c r="Q816" s="118"/>
      <c r="S816" s="118"/>
      <c r="U816" s="118"/>
      <c r="W816" s="118"/>
      <c r="Y816" s="118"/>
      <c r="AA816" s="118"/>
      <c r="AC816" s="118"/>
      <c r="AE816" s="118"/>
      <c r="AF816" s="119"/>
    </row>
    <row r="817" spans="1:32" x14ac:dyDescent="0.3">
      <c r="A817" s="118"/>
      <c r="C817" s="118"/>
      <c r="E817" s="118"/>
      <c r="G817" s="118"/>
      <c r="I817" s="118"/>
      <c r="J817" s="119"/>
      <c r="M817" s="118"/>
      <c r="O817" s="118"/>
      <c r="Q817" s="118"/>
      <c r="S817" s="118"/>
      <c r="U817" s="118"/>
      <c r="W817" s="118"/>
      <c r="Y817" s="118"/>
      <c r="AA817" s="118"/>
      <c r="AC817" s="118"/>
      <c r="AE817" s="118"/>
      <c r="AF817" s="119"/>
    </row>
    <row r="818" spans="1:32" x14ac:dyDescent="0.3">
      <c r="A818" s="118"/>
      <c r="C818" s="118"/>
      <c r="E818" s="118"/>
      <c r="G818" s="118"/>
      <c r="I818" s="118"/>
      <c r="J818" s="119"/>
      <c r="M818" s="118"/>
      <c r="O818" s="118"/>
      <c r="Q818" s="118"/>
      <c r="S818" s="118"/>
      <c r="U818" s="118"/>
      <c r="W818" s="118"/>
      <c r="Y818" s="118"/>
      <c r="AA818" s="118"/>
      <c r="AC818" s="118"/>
      <c r="AE818" s="118"/>
      <c r="AF818" s="119"/>
    </row>
    <row r="819" spans="1:32" x14ac:dyDescent="0.3">
      <c r="A819" s="118"/>
      <c r="C819" s="118"/>
      <c r="E819" s="118"/>
      <c r="G819" s="118"/>
      <c r="I819" s="118"/>
      <c r="J819" s="119"/>
      <c r="M819" s="118"/>
      <c r="O819" s="118"/>
      <c r="Q819" s="118"/>
      <c r="S819" s="118"/>
      <c r="U819" s="118"/>
      <c r="W819" s="118"/>
      <c r="Y819" s="118"/>
      <c r="AA819" s="118"/>
      <c r="AC819" s="118"/>
      <c r="AE819" s="118"/>
      <c r="AF819" s="119"/>
    </row>
    <row r="820" spans="1:32" x14ac:dyDescent="0.3">
      <c r="A820" s="118"/>
      <c r="C820" s="118"/>
      <c r="E820" s="118"/>
      <c r="G820" s="118"/>
      <c r="I820" s="118"/>
      <c r="J820" s="119"/>
      <c r="M820" s="118"/>
      <c r="O820" s="118"/>
      <c r="Q820" s="118"/>
      <c r="S820" s="118"/>
      <c r="U820" s="118"/>
      <c r="W820" s="118"/>
      <c r="Y820" s="118"/>
      <c r="AA820" s="118"/>
      <c r="AC820" s="118"/>
      <c r="AE820" s="118"/>
      <c r="AF820" s="119"/>
    </row>
    <row r="821" spans="1:32" x14ac:dyDescent="0.3">
      <c r="A821" s="118"/>
      <c r="C821" s="118"/>
      <c r="E821" s="118"/>
      <c r="G821" s="118"/>
      <c r="I821" s="118"/>
      <c r="J821" s="119"/>
      <c r="M821" s="118"/>
      <c r="O821" s="118"/>
      <c r="Q821" s="118"/>
      <c r="S821" s="118"/>
      <c r="U821" s="118"/>
      <c r="W821" s="118"/>
      <c r="Y821" s="118"/>
      <c r="AA821" s="118"/>
      <c r="AC821" s="118"/>
      <c r="AE821" s="118"/>
      <c r="AF821" s="119"/>
    </row>
    <row r="822" spans="1:32" x14ac:dyDescent="0.3">
      <c r="A822" s="118"/>
      <c r="C822" s="118"/>
      <c r="E822" s="118"/>
      <c r="G822" s="118"/>
      <c r="I822" s="118"/>
      <c r="J822" s="119"/>
      <c r="M822" s="118"/>
      <c r="O822" s="118"/>
      <c r="Q822" s="118"/>
      <c r="S822" s="118"/>
      <c r="U822" s="118"/>
      <c r="W822" s="118"/>
      <c r="Y822" s="118"/>
      <c r="AA822" s="118"/>
      <c r="AC822" s="118"/>
      <c r="AE822" s="118"/>
      <c r="AF822" s="119"/>
    </row>
    <row r="823" spans="1:32" x14ac:dyDescent="0.3">
      <c r="A823" s="118"/>
      <c r="C823" s="118"/>
      <c r="E823" s="118"/>
      <c r="G823" s="118"/>
      <c r="I823" s="118"/>
      <c r="J823" s="119"/>
      <c r="M823" s="118"/>
      <c r="O823" s="118"/>
      <c r="Q823" s="118"/>
      <c r="S823" s="118"/>
      <c r="U823" s="118"/>
      <c r="W823" s="118"/>
      <c r="Y823" s="118"/>
      <c r="AA823" s="118"/>
      <c r="AC823" s="118"/>
      <c r="AE823" s="118"/>
      <c r="AF823" s="119"/>
    </row>
    <row r="824" spans="1:32" x14ac:dyDescent="0.3">
      <c r="A824" s="118"/>
      <c r="C824" s="118"/>
      <c r="E824" s="118"/>
      <c r="G824" s="118"/>
      <c r="I824" s="118"/>
      <c r="J824" s="119"/>
      <c r="M824" s="118"/>
      <c r="O824" s="118"/>
      <c r="Q824" s="118"/>
      <c r="S824" s="118"/>
      <c r="U824" s="118"/>
      <c r="W824" s="118"/>
      <c r="Y824" s="118"/>
      <c r="AA824" s="118"/>
      <c r="AC824" s="118"/>
      <c r="AE824" s="118"/>
      <c r="AF824" s="119"/>
    </row>
    <row r="825" spans="1:32" x14ac:dyDescent="0.3">
      <c r="A825" s="118"/>
      <c r="C825" s="118"/>
      <c r="E825" s="118"/>
      <c r="G825" s="118"/>
      <c r="I825" s="118"/>
      <c r="J825" s="119"/>
      <c r="M825" s="118"/>
      <c r="O825" s="118"/>
      <c r="Q825" s="118"/>
      <c r="S825" s="118"/>
      <c r="U825" s="118"/>
      <c r="W825" s="118"/>
      <c r="Y825" s="118"/>
      <c r="AA825" s="118"/>
      <c r="AC825" s="118"/>
      <c r="AE825" s="118"/>
      <c r="AF825" s="119"/>
    </row>
    <row r="826" spans="1:32" x14ac:dyDescent="0.3">
      <c r="A826" s="118"/>
      <c r="C826" s="118"/>
      <c r="E826" s="118"/>
      <c r="G826" s="118"/>
      <c r="I826" s="118"/>
      <c r="J826" s="119"/>
      <c r="M826" s="118"/>
      <c r="O826" s="118"/>
      <c r="Q826" s="118"/>
      <c r="S826" s="118"/>
      <c r="U826" s="118"/>
      <c r="W826" s="118"/>
      <c r="Y826" s="118"/>
      <c r="AA826" s="118"/>
      <c r="AC826" s="118"/>
      <c r="AE826" s="118"/>
      <c r="AF826" s="119"/>
    </row>
    <row r="827" spans="1:32" x14ac:dyDescent="0.3">
      <c r="A827" s="118"/>
      <c r="C827" s="118"/>
      <c r="E827" s="118"/>
      <c r="G827" s="118"/>
      <c r="I827" s="118"/>
      <c r="J827" s="119"/>
      <c r="M827" s="118"/>
      <c r="O827" s="118"/>
      <c r="Q827" s="118"/>
      <c r="S827" s="118"/>
      <c r="U827" s="118"/>
      <c r="W827" s="118"/>
      <c r="Y827" s="118"/>
      <c r="AA827" s="118"/>
      <c r="AC827" s="118"/>
      <c r="AE827" s="118"/>
      <c r="AF827" s="119"/>
    </row>
    <row r="828" spans="1:32" x14ac:dyDescent="0.3">
      <c r="A828" s="118"/>
      <c r="C828" s="118"/>
      <c r="E828" s="118"/>
      <c r="G828" s="118"/>
      <c r="I828" s="118"/>
      <c r="J828" s="119"/>
      <c r="M828" s="118"/>
      <c r="O828" s="118"/>
      <c r="Q828" s="118"/>
      <c r="S828" s="118"/>
      <c r="U828" s="118"/>
      <c r="W828" s="118"/>
      <c r="Y828" s="118"/>
      <c r="AA828" s="118"/>
      <c r="AC828" s="118"/>
      <c r="AE828" s="118"/>
      <c r="AF828" s="119"/>
    </row>
    <row r="829" spans="1:32" x14ac:dyDescent="0.3">
      <c r="A829" s="118"/>
      <c r="C829" s="118"/>
      <c r="E829" s="118"/>
      <c r="G829" s="118"/>
      <c r="I829" s="118"/>
      <c r="J829" s="119"/>
      <c r="M829" s="118"/>
      <c r="O829" s="118"/>
      <c r="Q829" s="118"/>
      <c r="S829" s="118"/>
      <c r="U829" s="118"/>
      <c r="W829" s="118"/>
      <c r="Y829" s="118"/>
      <c r="AA829" s="118"/>
      <c r="AC829" s="118"/>
      <c r="AE829" s="118"/>
      <c r="AF829" s="119"/>
    </row>
    <row r="830" spans="1:32" x14ac:dyDescent="0.3">
      <c r="A830" s="118"/>
      <c r="C830" s="118"/>
      <c r="E830" s="118"/>
      <c r="G830" s="118"/>
      <c r="I830" s="118"/>
      <c r="J830" s="119"/>
      <c r="M830" s="118"/>
      <c r="O830" s="118"/>
      <c r="Q830" s="118"/>
      <c r="S830" s="118"/>
      <c r="U830" s="118"/>
      <c r="W830" s="118"/>
      <c r="Y830" s="118"/>
      <c r="AA830" s="118"/>
      <c r="AC830" s="118"/>
      <c r="AE830" s="118"/>
      <c r="AF830" s="119"/>
    </row>
    <row r="831" spans="1:32" x14ac:dyDescent="0.3">
      <c r="A831" s="118"/>
      <c r="C831" s="118"/>
      <c r="E831" s="118"/>
      <c r="G831" s="118"/>
      <c r="I831" s="118"/>
      <c r="J831" s="119"/>
      <c r="M831" s="118"/>
      <c r="O831" s="118"/>
      <c r="Q831" s="118"/>
      <c r="S831" s="118"/>
      <c r="U831" s="118"/>
      <c r="W831" s="118"/>
      <c r="Y831" s="118"/>
      <c r="AA831" s="118"/>
      <c r="AC831" s="118"/>
      <c r="AE831" s="118"/>
      <c r="AF831" s="119"/>
    </row>
    <row r="832" spans="1:32" x14ac:dyDescent="0.3">
      <c r="A832" s="118"/>
      <c r="C832" s="118"/>
      <c r="E832" s="118"/>
      <c r="G832" s="118"/>
      <c r="I832" s="118"/>
      <c r="J832" s="119"/>
      <c r="M832" s="118"/>
      <c r="O832" s="118"/>
      <c r="Q832" s="118"/>
      <c r="S832" s="118"/>
      <c r="U832" s="118"/>
      <c r="W832" s="118"/>
      <c r="Y832" s="118"/>
      <c r="AA832" s="118"/>
      <c r="AC832" s="118"/>
      <c r="AE832" s="118"/>
      <c r="AF832" s="119"/>
    </row>
    <row r="833" spans="1:32" x14ac:dyDescent="0.3">
      <c r="A833" s="118"/>
      <c r="C833" s="118"/>
      <c r="E833" s="118"/>
      <c r="G833" s="118"/>
      <c r="I833" s="118"/>
      <c r="J833" s="119"/>
      <c r="M833" s="118"/>
      <c r="O833" s="118"/>
      <c r="Q833" s="118"/>
      <c r="S833" s="118"/>
      <c r="U833" s="118"/>
      <c r="W833" s="118"/>
      <c r="Y833" s="118"/>
      <c r="AA833" s="118"/>
      <c r="AC833" s="118"/>
      <c r="AE833" s="118"/>
      <c r="AF833" s="119"/>
    </row>
    <row r="834" spans="1:32" x14ac:dyDescent="0.3">
      <c r="A834" s="118"/>
      <c r="C834" s="118"/>
      <c r="E834" s="118"/>
      <c r="G834" s="118"/>
      <c r="I834" s="118"/>
      <c r="J834" s="119"/>
      <c r="M834" s="118"/>
      <c r="O834" s="118"/>
      <c r="Q834" s="118"/>
      <c r="S834" s="118"/>
      <c r="U834" s="118"/>
      <c r="W834" s="118"/>
      <c r="Y834" s="118"/>
      <c r="AA834" s="118"/>
      <c r="AC834" s="118"/>
      <c r="AE834" s="118"/>
      <c r="AF834" s="119"/>
    </row>
    <row r="835" spans="1:32" x14ac:dyDescent="0.3">
      <c r="A835" s="118"/>
      <c r="C835" s="118"/>
      <c r="E835" s="118"/>
      <c r="G835" s="118"/>
      <c r="I835" s="118"/>
      <c r="J835" s="119"/>
      <c r="M835" s="118"/>
      <c r="O835" s="118"/>
      <c r="Q835" s="118"/>
      <c r="S835" s="118"/>
      <c r="U835" s="118"/>
      <c r="W835" s="118"/>
      <c r="Y835" s="118"/>
      <c r="AA835" s="118"/>
      <c r="AC835" s="118"/>
      <c r="AE835" s="118"/>
      <c r="AF835" s="119"/>
    </row>
    <row r="836" spans="1:32" x14ac:dyDescent="0.3">
      <c r="A836" s="118"/>
      <c r="C836" s="118"/>
      <c r="E836" s="118"/>
      <c r="G836" s="118"/>
      <c r="I836" s="118"/>
      <c r="J836" s="119"/>
      <c r="M836" s="118"/>
      <c r="O836" s="118"/>
      <c r="Q836" s="118"/>
      <c r="S836" s="118"/>
      <c r="U836" s="118"/>
      <c r="W836" s="118"/>
      <c r="Y836" s="118"/>
      <c r="AA836" s="118"/>
      <c r="AC836" s="118"/>
      <c r="AE836" s="118"/>
      <c r="AF836" s="119"/>
    </row>
    <row r="837" spans="1:32" x14ac:dyDescent="0.3">
      <c r="A837" s="118"/>
      <c r="C837" s="118"/>
      <c r="E837" s="118"/>
      <c r="G837" s="118"/>
      <c r="I837" s="118"/>
      <c r="J837" s="119"/>
      <c r="M837" s="118"/>
      <c r="O837" s="118"/>
      <c r="Q837" s="118"/>
      <c r="S837" s="118"/>
      <c r="U837" s="118"/>
      <c r="W837" s="118"/>
      <c r="Y837" s="118"/>
      <c r="AA837" s="118"/>
      <c r="AC837" s="118"/>
      <c r="AE837" s="118"/>
      <c r="AF837" s="119"/>
    </row>
    <row r="838" spans="1:32" x14ac:dyDescent="0.3">
      <c r="A838" s="118"/>
      <c r="C838" s="118"/>
      <c r="E838" s="118"/>
      <c r="G838" s="118"/>
      <c r="I838" s="118"/>
      <c r="J838" s="119"/>
      <c r="M838" s="118"/>
      <c r="O838" s="118"/>
      <c r="Q838" s="118"/>
      <c r="S838" s="118"/>
      <c r="U838" s="118"/>
      <c r="W838" s="118"/>
      <c r="Y838" s="118"/>
      <c r="AA838" s="118"/>
      <c r="AC838" s="118"/>
      <c r="AE838" s="118"/>
      <c r="AF838" s="119"/>
    </row>
    <row r="839" spans="1:32" x14ac:dyDescent="0.3">
      <c r="A839" s="118"/>
      <c r="C839" s="118"/>
      <c r="E839" s="118"/>
      <c r="G839" s="118"/>
      <c r="I839" s="118"/>
      <c r="J839" s="119"/>
      <c r="M839" s="118"/>
      <c r="O839" s="118"/>
      <c r="Q839" s="118"/>
      <c r="S839" s="118"/>
      <c r="U839" s="118"/>
      <c r="W839" s="118"/>
      <c r="Y839" s="118"/>
      <c r="AA839" s="118"/>
      <c r="AC839" s="118"/>
      <c r="AE839" s="118"/>
      <c r="AF839" s="119"/>
    </row>
    <row r="840" spans="1:32" x14ac:dyDescent="0.3">
      <c r="A840" s="118"/>
      <c r="C840" s="118"/>
      <c r="E840" s="118"/>
      <c r="G840" s="118"/>
      <c r="I840" s="118"/>
      <c r="J840" s="119"/>
      <c r="M840" s="118"/>
      <c r="O840" s="118"/>
      <c r="Q840" s="118"/>
      <c r="S840" s="118"/>
      <c r="U840" s="118"/>
      <c r="W840" s="118"/>
      <c r="Y840" s="118"/>
      <c r="AA840" s="118"/>
      <c r="AC840" s="118"/>
      <c r="AE840" s="118"/>
      <c r="AF840" s="119"/>
    </row>
    <row r="841" spans="1:32" x14ac:dyDescent="0.3">
      <c r="A841" s="118"/>
      <c r="C841" s="118"/>
      <c r="E841" s="118"/>
      <c r="G841" s="118"/>
      <c r="I841" s="118"/>
      <c r="J841" s="119"/>
      <c r="M841" s="118"/>
      <c r="O841" s="118"/>
      <c r="Q841" s="118"/>
      <c r="S841" s="118"/>
      <c r="U841" s="118"/>
      <c r="W841" s="118"/>
      <c r="Y841" s="118"/>
      <c r="AA841" s="118"/>
      <c r="AC841" s="118"/>
      <c r="AE841" s="118"/>
      <c r="AF841" s="119"/>
    </row>
    <row r="842" spans="1:32" x14ac:dyDescent="0.3">
      <c r="A842" s="118"/>
      <c r="C842" s="118"/>
      <c r="E842" s="118"/>
      <c r="G842" s="118"/>
      <c r="I842" s="118"/>
      <c r="J842" s="119"/>
      <c r="M842" s="118"/>
      <c r="O842" s="118"/>
      <c r="Q842" s="118"/>
      <c r="S842" s="118"/>
      <c r="U842" s="118"/>
      <c r="W842" s="118"/>
      <c r="Y842" s="118"/>
      <c r="AA842" s="118"/>
      <c r="AC842" s="118"/>
      <c r="AE842" s="118"/>
      <c r="AF842" s="119"/>
    </row>
    <row r="843" spans="1:32" x14ac:dyDescent="0.3">
      <c r="A843" s="118"/>
      <c r="C843" s="118"/>
      <c r="E843" s="118"/>
      <c r="G843" s="118"/>
      <c r="I843" s="118"/>
      <c r="J843" s="119"/>
      <c r="M843" s="118"/>
      <c r="O843" s="118"/>
      <c r="Q843" s="118"/>
      <c r="S843" s="118"/>
      <c r="U843" s="118"/>
      <c r="W843" s="118"/>
      <c r="Y843" s="118"/>
      <c r="AA843" s="118"/>
      <c r="AC843" s="118"/>
      <c r="AE843" s="118"/>
      <c r="AF843" s="119"/>
    </row>
    <row r="844" spans="1:32" x14ac:dyDescent="0.3">
      <c r="A844" s="118"/>
      <c r="C844" s="118"/>
      <c r="E844" s="118"/>
      <c r="G844" s="118"/>
      <c r="I844" s="118"/>
      <c r="J844" s="119"/>
      <c r="M844" s="118"/>
      <c r="O844" s="118"/>
      <c r="Q844" s="118"/>
      <c r="S844" s="118"/>
      <c r="U844" s="118"/>
      <c r="W844" s="118"/>
      <c r="Y844" s="118"/>
      <c r="AA844" s="118"/>
      <c r="AC844" s="118"/>
      <c r="AE844" s="118"/>
      <c r="AF844" s="119"/>
    </row>
    <row r="845" spans="1:32" x14ac:dyDescent="0.3">
      <c r="A845" s="118"/>
      <c r="C845" s="118"/>
      <c r="E845" s="118"/>
      <c r="G845" s="118"/>
      <c r="I845" s="118"/>
      <c r="J845" s="119"/>
      <c r="M845" s="118"/>
      <c r="O845" s="118"/>
      <c r="Q845" s="118"/>
      <c r="S845" s="118"/>
      <c r="U845" s="118"/>
      <c r="W845" s="118"/>
      <c r="Y845" s="118"/>
      <c r="AA845" s="118"/>
      <c r="AC845" s="118"/>
      <c r="AE845" s="118"/>
      <c r="AF845" s="119"/>
    </row>
    <row r="846" spans="1:32" x14ac:dyDescent="0.3">
      <c r="A846" s="118"/>
      <c r="C846" s="118"/>
      <c r="E846" s="118"/>
      <c r="G846" s="118"/>
      <c r="I846" s="118"/>
      <c r="J846" s="119"/>
      <c r="M846" s="118"/>
      <c r="O846" s="118"/>
      <c r="Q846" s="118"/>
      <c r="S846" s="118"/>
      <c r="U846" s="118"/>
      <c r="W846" s="118"/>
      <c r="Y846" s="118"/>
      <c r="AA846" s="118"/>
      <c r="AC846" s="118"/>
      <c r="AE846" s="118"/>
      <c r="AF846" s="119"/>
    </row>
    <row r="847" spans="1:32" x14ac:dyDescent="0.3">
      <c r="A847" s="118"/>
      <c r="C847" s="118"/>
      <c r="E847" s="118"/>
      <c r="G847" s="118"/>
      <c r="I847" s="118"/>
      <c r="J847" s="119"/>
      <c r="M847" s="118"/>
      <c r="O847" s="118"/>
      <c r="Q847" s="118"/>
      <c r="S847" s="118"/>
      <c r="U847" s="118"/>
      <c r="W847" s="118"/>
      <c r="Y847" s="118"/>
      <c r="AA847" s="118"/>
      <c r="AC847" s="118"/>
      <c r="AE847" s="118"/>
      <c r="AF847" s="119"/>
    </row>
    <row r="848" spans="1:32" x14ac:dyDescent="0.3">
      <c r="A848" s="118"/>
      <c r="C848" s="118"/>
      <c r="E848" s="118"/>
      <c r="G848" s="118"/>
      <c r="I848" s="118"/>
      <c r="J848" s="119"/>
      <c r="M848" s="118"/>
      <c r="O848" s="118"/>
      <c r="Q848" s="118"/>
      <c r="S848" s="118"/>
      <c r="U848" s="118"/>
      <c r="W848" s="118"/>
      <c r="Y848" s="118"/>
      <c r="AA848" s="118"/>
      <c r="AC848" s="118"/>
      <c r="AE848" s="118"/>
      <c r="AF848" s="119"/>
    </row>
    <row r="849" spans="1:32" x14ac:dyDescent="0.3">
      <c r="A849" s="118"/>
      <c r="C849" s="118"/>
      <c r="E849" s="118"/>
      <c r="G849" s="118"/>
      <c r="I849" s="118"/>
      <c r="J849" s="119"/>
      <c r="M849" s="118"/>
      <c r="O849" s="118"/>
      <c r="Q849" s="118"/>
      <c r="S849" s="118"/>
      <c r="U849" s="118"/>
      <c r="W849" s="118"/>
      <c r="Y849" s="118"/>
      <c r="AA849" s="118"/>
      <c r="AC849" s="118"/>
      <c r="AE849" s="118"/>
      <c r="AF849" s="119"/>
    </row>
    <row r="850" spans="1:32" x14ac:dyDescent="0.3">
      <c r="A850" s="118"/>
      <c r="C850" s="118"/>
      <c r="E850" s="118"/>
      <c r="G850" s="118"/>
      <c r="I850" s="118"/>
      <c r="J850" s="119"/>
      <c r="M850" s="118"/>
      <c r="O850" s="118"/>
      <c r="Q850" s="118"/>
      <c r="S850" s="118"/>
      <c r="U850" s="118"/>
      <c r="W850" s="118"/>
      <c r="Y850" s="118"/>
      <c r="AA850" s="118"/>
      <c r="AC850" s="118"/>
      <c r="AE850" s="118"/>
      <c r="AF850" s="119"/>
    </row>
    <row r="851" spans="1:32" x14ac:dyDescent="0.3">
      <c r="A851" s="118"/>
      <c r="C851" s="118"/>
      <c r="E851" s="118"/>
      <c r="G851" s="118"/>
      <c r="I851" s="118"/>
      <c r="J851" s="119"/>
      <c r="M851" s="118"/>
      <c r="O851" s="118"/>
      <c r="Q851" s="118"/>
      <c r="S851" s="118"/>
      <c r="U851" s="118"/>
      <c r="W851" s="118"/>
      <c r="Y851" s="118"/>
      <c r="AA851" s="118"/>
      <c r="AC851" s="118"/>
      <c r="AE851" s="118"/>
      <c r="AF851" s="119"/>
    </row>
    <row r="852" spans="1:32" x14ac:dyDescent="0.3">
      <c r="A852" s="118"/>
      <c r="C852" s="118"/>
      <c r="E852" s="118"/>
      <c r="G852" s="118"/>
      <c r="I852" s="118"/>
      <c r="J852" s="119"/>
      <c r="M852" s="118"/>
      <c r="O852" s="118"/>
      <c r="Q852" s="118"/>
      <c r="S852" s="118"/>
      <c r="U852" s="118"/>
      <c r="W852" s="118"/>
      <c r="Y852" s="118"/>
      <c r="AA852" s="118"/>
      <c r="AC852" s="118"/>
      <c r="AE852" s="118"/>
      <c r="AF852" s="119"/>
    </row>
    <row r="853" spans="1:32" x14ac:dyDescent="0.3">
      <c r="A853" s="118"/>
      <c r="C853" s="118"/>
      <c r="E853" s="118"/>
      <c r="G853" s="118"/>
      <c r="I853" s="118"/>
      <c r="J853" s="119"/>
      <c r="M853" s="118"/>
      <c r="O853" s="118"/>
      <c r="Q853" s="118"/>
      <c r="S853" s="118"/>
      <c r="U853" s="118"/>
      <c r="W853" s="118"/>
      <c r="Y853" s="118"/>
      <c r="AA853" s="118"/>
      <c r="AC853" s="118"/>
      <c r="AE853" s="118"/>
      <c r="AF853" s="119"/>
    </row>
    <row r="854" spans="1:32" x14ac:dyDescent="0.3">
      <c r="A854" s="118"/>
      <c r="C854" s="118"/>
      <c r="E854" s="118"/>
      <c r="G854" s="118"/>
      <c r="I854" s="118"/>
      <c r="J854" s="119"/>
      <c r="M854" s="118"/>
      <c r="O854" s="118"/>
      <c r="Q854" s="118"/>
      <c r="S854" s="118"/>
      <c r="U854" s="118"/>
      <c r="W854" s="118"/>
      <c r="Y854" s="118"/>
      <c r="AA854" s="118"/>
      <c r="AC854" s="118"/>
      <c r="AE854" s="118"/>
      <c r="AF854" s="119"/>
    </row>
    <row r="855" spans="1:32" x14ac:dyDescent="0.3">
      <c r="A855" s="118"/>
      <c r="C855" s="118"/>
      <c r="E855" s="118"/>
      <c r="G855" s="118"/>
      <c r="I855" s="118"/>
      <c r="J855" s="119"/>
      <c r="M855" s="118"/>
      <c r="O855" s="118"/>
      <c r="Q855" s="118"/>
      <c r="S855" s="118"/>
      <c r="U855" s="118"/>
      <c r="W855" s="118"/>
      <c r="Y855" s="118"/>
      <c r="AA855" s="118"/>
      <c r="AC855" s="118"/>
      <c r="AE855" s="118"/>
      <c r="AF855" s="119"/>
    </row>
    <row r="856" spans="1:32" x14ac:dyDescent="0.3">
      <c r="A856" s="118"/>
      <c r="C856" s="118"/>
      <c r="E856" s="118"/>
      <c r="G856" s="118"/>
      <c r="I856" s="118"/>
      <c r="J856" s="119"/>
      <c r="M856" s="118"/>
      <c r="O856" s="118"/>
      <c r="Q856" s="118"/>
      <c r="S856" s="118"/>
      <c r="U856" s="118"/>
      <c r="W856" s="118"/>
      <c r="Y856" s="118"/>
      <c r="AA856" s="118"/>
      <c r="AC856" s="118"/>
      <c r="AE856" s="118"/>
      <c r="AF856" s="119"/>
    </row>
    <row r="857" spans="1:32" x14ac:dyDescent="0.3">
      <c r="A857" s="118"/>
      <c r="C857" s="118"/>
      <c r="E857" s="118"/>
      <c r="G857" s="118"/>
      <c r="I857" s="118"/>
      <c r="J857" s="119"/>
      <c r="M857" s="118"/>
      <c r="O857" s="118"/>
      <c r="Q857" s="118"/>
      <c r="S857" s="118"/>
      <c r="U857" s="118"/>
      <c r="W857" s="118"/>
      <c r="Y857" s="118"/>
      <c r="AA857" s="118"/>
      <c r="AC857" s="118"/>
      <c r="AE857" s="118"/>
      <c r="AF857" s="119"/>
    </row>
    <row r="858" spans="1:32" x14ac:dyDescent="0.3">
      <c r="A858" s="118"/>
      <c r="C858" s="118"/>
      <c r="E858" s="118"/>
      <c r="G858" s="118"/>
      <c r="I858" s="118"/>
      <c r="J858" s="119"/>
      <c r="M858" s="118"/>
      <c r="O858" s="118"/>
      <c r="Q858" s="118"/>
      <c r="S858" s="118"/>
      <c r="U858" s="118"/>
      <c r="W858" s="118"/>
      <c r="Y858" s="118"/>
      <c r="AA858" s="118"/>
      <c r="AC858" s="118"/>
      <c r="AE858" s="118"/>
      <c r="AF858" s="119"/>
    </row>
    <row r="859" spans="1:32" x14ac:dyDescent="0.3">
      <c r="A859" s="118"/>
      <c r="C859" s="118"/>
      <c r="E859" s="118"/>
      <c r="G859" s="118"/>
      <c r="I859" s="118"/>
      <c r="J859" s="119"/>
      <c r="M859" s="118"/>
      <c r="O859" s="118"/>
      <c r="Q859" s="118"/>
      <c r="S859" s="118"/>
      <c r="U859" s="118"/>
      <c r="W859" s="118"/>
      <c r="Y859" s="118"/>
      <c r="AA859" s="118"/>
      <c r="AC859" s="118"/>
      <c r="AE859" s="118"/>
      <c r="AF859" s="119"/>
    </row>
    <row r="860" spans="1:32" x14ac:dyDescent="0.3">
      <c r="A860" s="118"/>
      <c r="C860" s="118"/>
      <c r="E860" s="118"/>
      <c r="G860" s="118"/>
      <c r="I860" s="118"/>
      <c r="J860" s="119"/>
      <c r="M860" s="118"/>
      <c r="O860" s="118"/>
      <c r="Q860" s="118"/>
      <c r="S860" s="118"/>
      <c r="U860" s="118"/>
      <c r="W860" s="118"/>
      <c r="Y860" s="118"/>
      <c r="AA860" s="118"/>
      <c r="AC860" s="118"/>
      <c r="AE860" s="118"/>
      <c r="AF860" s="119"/>
    </row>
    <row r="861" spans="1:32" x14ac:dyDescent="0.3">
      <c r="A861" s="118"/>
      <c r="C861" s="118"/>
      <c r="E861" s="118"/>
      <c r="G861" s="118"/>
      <c r="I861" s="118"/>
      <c r="J861" s="119"/>
      <c r="M861" s="118"/>
      <c r="O861" s="118"/>
      <c r="Q861" s="118"/>
      <c r="S861" s="118"/>
      <c r="U861" s="118"/>
      <c r="W861" s="118"/>
      <c r="Y861" s="118"/>
      <c r="AA861" s="118"/>
      <c r="AC861" s="118"/>
      <c r="AE861" s="118"/>
      <c r="AF861" s="119"/>
    </row>
    <row r="862" spans="1:32" x14ac:dyDescent="0.3">
      <c r="A862" s="118"/>
      <c r="C862" s="118"/>
      <c r="E862" s="118"/>
      <c r="G862" s="118"/>
      <c r="I862" s="118"/>
      <c r="J862" s="119"/>
      <c r="M862" s="118"/>
      <c r="O862" s="118"/>
      <c r="Q862" s="118"/>
      <c r="S862" s="118"/>
      <c r="U862" s="118"/>
      <c r="W862" s="118"/>
      <c r="Y862" s="118"/>
      <c r="AA862" s="118"/>
      <c r="AC862" s="118"/>
      <c r="AE862" s="118"/>
      <c r="AF862" s="119"/>
    </row>
    <row r="863" spans="1:32" x14ac:dyDescent="0.3">
      <c r="A863" s="118"/>
      <c r="C863" s="118"/>
      <c r="E863" s="118"/>
      <c r="G863" s="118"/>
      <c r="I863" s="118"/>
      <c r="J863" s="119"/>
      <c r="M863" s="118"/>
      <c r="O863" s="118"/>
      <c r="Q863" s="118"/>
      <c r="S863" s="118"/>
      <c r="U863" s="118"/>
      <c r="W863" s="118"/>
      <c r="Y863" s="118"/>
      <c r="AA863" s="118"/>
      <c r="AC863" s="118"/>
      <c r="AE863" s="118"/>
      <c r="AF863" s="119"/>
    </row>
    <row r="864" spans="1:32" x14ac:dyDescent="0.3">
      <c r="A864" s="118"/>
      <c r="C864" s="118"/>
      <c r="E864" s="118"/>
      <c r="G864" s="118"/>
      <c r="I864" s="118"/>
      <c r="J864" s="119"/>
      <c r="M864" s="118"/>
      <c r="O864" s="118"/>
      <c r="Q864" s="118"/>
      <c r="S864" s="118"/>
      <c r="U864" s="118"/>
      <c r="W864" s="118"/>
      <c r="Y864" s="118"/>
      <c r="AA864" s="118"/>
      <c r="AC864" s="118"/>
      <c r="AE864" s="118"/>
      <c r="AF864" s="119"/>
    </row>
    <row r="865" spans="1:32" x14ac:dyDescent="0.3">
      <c r="A865" s="118"/>
      <c r="C865" s="118"/>
      <c r="E865" s="118"/>
      <c r="G865" s="118"/>
      <c r="I865" s="118"/>
      <c r="J865" s="119"/>
      <c r="M865" s="118"/>
      <c r="O865" s="118"/>
      <c r="Q865" s="118"/>
      <c r="S865" s="118"/>
      <c r="U865" s="118"/>
      <c r="W865" s="118"/>
      <c r="Y865" s="118"/>
      <c r="AA865" s="118"/>
      <c r="AC865" s="118"/>
      <c r="AE865" s="118"/>
      <c r="AF865" s="119"/>
    </row>
    <row r="866" spans="1:32" x14ac:dyDescent="0.3">
      <c r="A866" s="118"/>
      <c r="C866" s="118"/>
      <c r="E866" s="118"/>
      <c r="G866" s="118"/>
      <c r="I866" s="118"/>
      <c r="J866" s="119"/>
      <c r="M866" s="118"/>
      <c r="O866" s="118"/>
      <c r="Q866" s="118"/>
      <c r="S866" s="118"/>
      <c r="U866" s="118"/>
      <c r="W866" s="118"/>
      <c r="Y866" s="118"/>
      <c r="AA866" s="118"/>
      <c r="AC866" s="118"/>
      <c r="AE866" s="118"/>
      <c r="AF866" s="119"/>
    </row>
    <row r="867" spans="1:32" x14ac:dyDescent="0.3">
      <c r="A867" s="118"/>
      <c r="C867" s="118"/>
      <c r="E867" s="118"/>
      <c r="G867" s="118"/>
      <c r="I867" s="118"/>
      <c r="J867" s="119"/>
      <c r="M867" s="118"/>
      <c r="O867" s="118"/>
      <c r="Q867" s="118"/>
      <c r="S867" s="118"/>
      <c r="U867" s="118"/>
      <c r="W867" s="118"/>
      <c r="Y867" s="118"/>
      <c r="AA867" s="118"/>
      <c r="AC867" s="118"/>
      <c r="AE867" s="118"/>
      <c r="AF867" s="119"/>
    </row>
    <row r="868" spans="1:32" x14ac:dyDescent="0.3">
      <c r="A868" s="118"/>
      <c r="C868" s="118"/>
      <c r="E868" s="118"/>
      <c r="G868" s="118"/>
      <c r="I868" s="118"/>
      <c r="J868" s="119"/>
      <c r="M868" s="118"/>
      <c r="O868" s="118"/>
      <c r="Q868" s="118"/>
      <c r="S868" s="118"/>
      <c r="U868" s="118"/>
      <c r="W868" s="118"/>
      <c r="Y868" s="118"/>
      <c r="AA868" s="118"/>
      <c r="AC868" s="118"/>
      <c r="AE868" s="118"/>
      <c r="AF868" s="119"/>
    </row>
    <row r="869" spans="1:32" x14ac:dyDescent="0.3">
      <c r="A869" s="118"/>
      <c r="C869" s="118"/>
      <c r="E869" s="118"/>
      <c r="G869" s="118"/>
      <c r="I869" s="118"/>
      <c r="J869" s="119"/>
      <c r="M869" s="118"/>
      <c r="O869" s="118"/>
      <c r="Q869" s="118"/>
      <c r="S869" s="118"/>
      <c r="U869" s="118"/>
      <c r="W869" s="118"/>
      <c r="Y869" s="118"/>
      <c r="AA869" s="118"/>
      <c r="AC869" s="118"/>
      <c r="AE869" s="118"/>
      <c r="AF869" s="119"/>
    </row>
    <row r="870" spans="1:32" x14ac:dyDescent="0.3">
      <c r="A870" s="118"/>
      <c r="C870" s="118"/>
      <c r="E870" s="118"/>
      <c r="G870" s="118"/>
      <c r="I870" s="118"/>
      <c r="J870" s="119"/>
      <c r="M870" s="118"/>
      <c r="O870" s="118"/>
      <c r="Q870" s="118"/>
      <c r="S870" s="118"/>
      <c r="U870" s="118"/>
      <c r="W870" s="118"/>
      <c r="Y870" s="118"/>
      <c r="AA870" s="118"/>
      <c r="AC870" s="118"/>
      <c r="AE870" s="118"/>
      <c r="AF870" s="119"/>
    </row>
    <row r="871" spans="1:32" x14ac:dyDescent="0.3">
      <c r="A871" s="118"/>
      <c r="C871" s="118"/>
      <c r="E871" s="118"/>
      <c r="G871" s="118"/>
      <c r="I871" s="118"/>
      <c r="J871" s="119"/>
      <c r="M871" s="118"/>
      <c r="O871" s="118"/>
      <c r="Q871" s="118"/>
      <c r="S871" s="118"/>
      <c r="U871" s="118"/>
      <c r="W871" s="118"/>
      <c r="Y871" s="118"/>
      <c r="AA871" s="118"/>
      <c r="AC871" s="118"/>
      <c r="AE871" s="118"/>
      <c r="AF871" s="119"/>
    </row>
    <row r="872" spans="1:32" x14ac:dyDescent="0.3">
      <c r="A872" s="118"/>
      <c r="C872" s="118"/>
      <c r="E872" s="118"/>
      <c r="G872" s="118"/>
      <c r="I872" s="118"/>
      <c r="J872" s="119"/>
      <c r="M872" s="118"/>
      <c r="O872" s="118"/>
      <c r="Q872" s="118"/>
      <c r="S872" s="118"/>
      <c r="U872" s="118"/>
      <c r="W872" s="118"/>
      <c r="Y872" s="118"/>
      <c r="AA872" s="118"/>
      <c r="AC872" s="118"/>
      <c r="AE872" s="118"/>
      <c r="AF872" s="119"/>
    </row>
    <row r="873" spans="1:32" x14ac:dyDescent="0.3">
      <c r="A873" s="118"/>
      <c r="C873" s="118"/>
      <c r="E873" s="118"/>
      <c r="G873" s="118"/>
      <c r="I873" s="118"/>
      <c r="J873" s="119"/>
      <c r="M873" s="118"/>
      <c r="O873" s="118"/>
      <c r="Q873" s="118"/>
      <c r="S873" s="118"/>
      <c r="U873" s="118"/>
      <c r="W873" s="118"/>
      <c r="Y873" s="118"/>
      <c r="AA873" s="118"/>
      <c r="AC873" s="118"/>
      <c r="AE873" s="118"/>
      <c r="AF873" s="119"/>
    </row>
    <row r="874" spans="1:32" x14ac:dyDescent="0.3">
      <c r="A874" s="118"/>
      <c r="C874" s="118"/>
      <c r="E874" s="118"/>
      <c r="G874" s="118"/>
      <c r="I874" s="118"/>
      <c r="J874" s="119"/>
      <c r="M874" s="118"/>
      <c r="O874" s="118"/>
      <c r="Q874" s="118"/>
      <c r="S874" s="118"/>
      <c r="U874" s="118"/>
      <c r="W874" s="118"/>
      <c r="Y874" s="118"/>
      <c r="AA874" s="118"/>
      <c r="AC874" s="118"/>
      <c r="AE874" s="118"/>
      <c r="AF874" s="119"/>
    </row>
    <row r="875" spans="1:32" x14ac:dyDescent="0.3">
      <c r="A875" s="118"/>
      <c r="C875" s="118"/>
      <c r="E875" s="118"/>
      <c r="G875" s="118"/>
      <c r="I875" s="118"/>
      <c r="J875" s="119"/>
      <c r="M875" s="118"/>
      <c r="O875" s="118"/>
      <c r="Q875" s="118"/>
      <c r="S875" s="118"/>
      <c r="U875" s="118"/>
      <c r="W875" s="118"/>
      <c r="Y875" s="118"/>
      <c r="AA875" s="118"/>
      <c r="AC875" s="118"/>
      <c r="AE875" s="118"/>
      <c r="AF875" s="119"/>
    </row>
    <row r="876" spans="1:32" x14ac:dyDescent="0.3">
      <c r="A876" s="118"/>
      <c r="C876" s="118"/>
      <c r="E876" s="118"/>
      <c r="G876" s="118"/>
      <c r="I876" s="118"/>
      <c r="J876" s="119"/>
      <c r="M876" s="118"/>
      <c r="O876" s="118"/>
      <c r="Q876" s="118"/>
      <c r="S876" s="118"/>
      <c r="U876" s="118"/>
      <c r="W876" s="118"/>
      <c r="Y876" s="118"/>
      <c r="AA876" s="118"/>
      <c r="AC876" s="118"/>
      <c r="AE876" s="118"/>
      <c r="AF876" s="119"/>
    </row>
    <row r="877" spans="1:32" x14ac:dyDescent="0.3">
      <c r="A877" s="118"/>
      <c r="C877" s="118"/>
      <c r="E877" s="118"/>
      <c r="G877" s="118"/>
      <c r="I877" s="118"/>
      <c r="J877" s="119"/>
      <c r="M877" s="118"/>
      <c r="O877" s="118"/>
      <c r="Q877" s="118"/>
      <c r="S877" s="118"/>
      <c r="U877" s="118"/>
      <c r="W877" s="118"/>
      <c r="Y877" s="118"/>
      <c r="AA877" s="118"/>
      <c r="AC877" s="118"/>
      <c r="AE877" s="118"/>
      <c r="AF877" s="119"/>
    </row>
    <row r="878" spans="1:32" x14ac:dyDescent="0.3">
      <c r="A878" s="118"/>
      <c r="C878" s="118"/>
      <c r="E878" s="118"/>
      <c r="G878" s="118"/>
      <c r="I878" s="118"/>
      <c r="J878" s="119"/>
      <c r="M878" s="118"/>
      <c r="O878" s="118"/>
      <c r="Q878" s="118"/>
      <c r="S878" s="118"/>
      <c r="U878" s="118"/>
      <c r="W878" s="118"/>
      <c r="Y878" s="118"/>
      <c r="AA878" s="118"/>
      <c r="AC878" s="118"/>
      <c r="AE878" s="118"/>
      <c r="AF878" s="119"/>
    </row>
    <row r="879" spans="1:32" x14ac:dyDescent="0.3">
      <c r="A879" s="118"/>
      <c r="C879" s="118"/>
      <c r="E879" s="118"/>
      <c r="G879" s="118"/>
      <c r="I879" s="118"/>
      <c r="J879" s="119"/>
      <c r="M879" s="118"/>
      <c r="O879" s="118"/>
      <c r="Q879" s="118"/>
      <c r="S879" s="118"/>
      <c r="U879" s="118"/>
      <c r="W879" s="118"/>
      <c r="Y879" s="118"/>
      <c r="AA879" s="118"/>
      <c r="AC879" s="118"/>
      <c r="AE879" s="118"/>
      <c r="AF879" s="119"/>
    </row>
    <row r="880" spans="1:32" x14ac:dyDescent="0.3">
      <c r="A880" s="118"/>
      <c r="C880" s="118"/>
      <c r="E880" s="118"/>
      <c r="G880" s="118"/>
      <c r="I880" s="118"/>
      <c r="J880" s="119"/>
      <c r="M880" s="118"/>
      <c r="O880" s="118"/>
      <c r="Q880" s="118"/>
      <c r="S880" s="118"/>
      <c r="U880" s="118"/>
      <c r="W880" s="118"/>
      <c r="Y880" s="118"/>
      <c r="AA880" s="118"/>
      <c r="AC880" s="118"/>
      <c r="AE880" s="118"/>
      <c r="AF880" s="119"/>
    </row>
    <row r="881" spans="1:32" x14ac:dyDescent="0.3">
      <c r="A881" s="118"/>
      <c r="C881" s="118"/>
      <c r="E881" s="118"/>
      <c r="G881" s="118"/>
      <c r="I881" s="118"/>
      <c r="J881" s="119"/>
      <c r="M881" s="118"/>
      <c r="O881" s="118"/>
      <c r="Q881" s="118"/>
      <c r="S881" s="118"/>
      <c r="U881" s="118"/>
      <c r="W881" s="118"/>
      <c r="Y881" s="118"/>
      <c r="AA881" s="118"/>
      <c r="AC881" s="118"/>
      <c r="AE881" s="118"/>
      <c r="AF881" s="119"/>
    </row>
    <row r="882" spans="1:32" x14ac:dyDescent="0.3">
      <c r="A882" s="118"/>
      <c r="C882" s="118"/>
      <c r="E882" s="118"/>
      <c r="G882" s="118"/>
      <c r="I882" s="118"/>
      <c r="J882" s="119"/>
      <c r="M882" s="118"/>
      <c r="O882" s="118"/>
      <c r="Q882" s="118"/>
      <c r="S882" s="118"/>
      <c r="U882" s="118"/>
      <c r="W882" s="118"/>
      <c r="Y882" s="118"/>
      <c r="AA882" s="118"/>
      <c r="AC882" s="118"/>
      <c r="AE882" s="118"/>
      <c r="AF882" s="119"/>
    </row>
    <row r="883" spans="1:32" x14ac:dyDescent="0.3">
      <c r="A883" s="118"/>
      <c r="C883" s="118"/>
      <c r="E883" s="118"/>
      <c r="G883" s="118"/>
      <c r="I883" s="118"/>
      <c r="J883" s="119"/>
      <c r="M883" s="118"/>
      <c r="O883" s="118"/>
      <c r="Q883" s="118"/>
      <c r="S883" s="118"/>
      <c r="U883" s="118"/>
      <c r="W883" s="118"/>
      <c r="Y883" s="118"/>
      <c r="AA883" s="118"/>
      <c r="AC883" s="118"/>
      <c r="AE883" s="118"/>
      <c r="AF883" s="119"/>
    </row>
    <row r="884" spans="1:32" x14ac:dyDescent="0.3">
      <c r="A884" s="118"/>
      <c r="C884" s="118"/>
      <c r="E884" s="118"/>
      <c r="G884" s="118"/>
      <c r="I884" s="118"/>
      <c r="J884" s="119"/>
      <c r="M884" s="118"/>
      <c r="O884" s="118"/>
      <c r="Q884" s="118"/>
      <c r="S884" s="118"/>
      <c r="U884" s="118"/>
      <c r="W884" s="118"/>
      <c r="Y884" s="118"/>
      <c r="AA884" s="118"/>
      <c r="AC884" s="118"/>
      <c r="AE884" s="118"/>
      <c r="AF884" s="119"/>
    </row>
    <row r="885" spans="1:32" x14ac:dyDescent="0.3">
      <c r="A885" s="118"/>
      <c r="C885" s="118"/>
      <c r="E885" s="118"/>
      <c r="G885" s="118"/>
      <c r="I885" s="118"/>
      <c r="J885" s="119"/>
      <c r="M885" s="118"/>
      <c r="O885" s="118"/>
      <c r="Q885" s="118"/>
      <c r="S885" s="118"/>
      <c r="U885" s="118"/>
      <c r="W885" s="118"/>
      <c r="Y885" s="118"/>
      <c r="AA885" s="118"/>
      <c r="AC885" s="118"/>
      <c r="AE885" s="118"/>
      <c r="AF885" s="119"/>
    </row>
    <row r="886" spans="1:32" x14ac:dyDescent="0.3">
      <c r="A886" s="118"/>
      <c r="C886" s="118"/>
      <c r="E886" s="118"/>
      <c r="G886" s="118"/>
      <c r="I886" s="118"/>
      <c r="J886" s="119"/>
      <c r="M886" s="118"/>
      <c r="O886" s="118"/>
      <c r="Q886" s="118"/>
      <c r="S886" s="118"/>
      <c r="U886" s="118"/>
      <c r="W886" s="118"/>
      <c r="Y886" s="118"/>
      <c r="AA886" s="118"/>
      <c r="AC886" s="118"/>
      <c r="AE886" s="118"/>
      <c r="AF886" s="119"/>
    </row>
    <row r="887" spans="1:32" x14ac:dyDescent="0.3">
      <c r="A887" s="118"/>
      <c r="C887" s="118"/>
      <c r="E887" s="118"/>
      <c r="G887" s="118"/>
      <c r="I887" s="118"/>
      <c r="J887" s="119"/>
      <c r="M887" s="118"/>
      <c r="O887" s="118"/>
      <c r="Q887" s="118"/>
      <c r="S887" s="118"/>
      <c r="U887" s="118"/>
      <c r="W887" s="118"/>
      <c r="Y887" s="118"/>
      <c r="AA887" s="118"/>
      <c r="AC887" s="118"/>
      <c r="AE887" s="118"/>
      <c r="AF887" s="119"/>
    </row>
    <row r="888" spans="1:32" x14ac:dyDescent="0.3">
      <c r="A888" s="118"/>
      <c r="C888" s="118"/>
      <c r="E888" s="118"/>
      <c r="G888" s="118"/>
      <c r="I888" s="118"/>
      <c r="J888" s="119"/>
      <c r="M888" s="118"/>
      <c r="O888" s="118"/>
      <c r="Q888" s="118"/>
      <c r="S888" s="118"/>
      <c r="U888" s="118"/>
      <c r="W888" s="118"/>
      <c r="Y888" s="118"/>
      <c r="AA888" s="118"/>
      <c r="AC888" s="118"/>
      <c r="AE888" s="118"/>
      <c r="AF888" s="119"/>
    </row>
    <row r="889" spans="1:32" x14ac:dyDescent="0.3">
      <c r="A889" s="118"/>
      <c r="C889" s="118"/>
      <c r="E889" s="118"/>
      <c r="G889" s="118"/>
      <c r="I889" s="118"/>
      <c r="J889" s="119"/>
      <c r="M889" s="118"/>
      <c r="O889" s="118"/>
      <c r="Q889" s="118"/>
      <c r="S889" s="118"/>
      <c r="U889" s="118"/>
      <c r="W889" s="118"/>
      <c r="Y889" s="118"/>
      <c r="AA889" s="118"/>
      <c r="AC889" s="118"/>
      <c r="AE889" s="118"/>
      <c r="AF889" s="119"/>
    </row>
    <row r="890" spans="1:32" x14ac:dyDescent="0.3">
      <c r="A890" s="118"/>
      <c r="C890" s="118"/>
      <c r="E890" s="118"/>
      <c r="G890" s="118"/>
      <c r="I890" s="118"/>
      <c r="J890" s="119"/>
      <c r="M890" s="118"/>
      <c r="O890" s="118"/>
      <c r="Q890" s="118"/>
      <c r="S890" s="118"/>
      <c r="U890" s="118"/>
      <c r="W890" s="118"/>
      <c r="Y890" s="118"/>
      <c r="AA890" s="118"/>
      <c r="AC890" s="118"/>
      <c r="AE890" s="118"/>
      <c r="AF890" s="119"/>
    </row>
    <row r="891" spans="1:32" x14ac:dyDescent="0.3">
      <c r="A891" s="118"/>
      <c r="C891" s="118"/>
      <c r="E891" s="118"/>
      <c r="G891" s="118"/>
      <c r="I891" s="118"/>
      <c r="J891" s="119"/>
      <c r="M891" s="118"/>
      <c r="O891" s="118"/>
      <c r="Q891" s="118"/>
      <c r="S891" s="118"/>
      <c r="U891" s="118"/>
      <c r="W891" s="118"/>
      <c r="Y891" s="118"/>
      <c r="AA891" s="118"/>
      <c r="AC891" s="118"/>
      <c r="AE891" s="118"/>
      <c r="AF891" s="119"/>
    </row>
    <row r="892" spans="1:32" x14ac:dyDescent="0.3">
      <c r="A892" s="118"/>
      <c r="C892" s="118"/>
      <c r="E892" s="118"/>
      <c r="G892" s="118"/>
      <c r="I892" s="118"/>
      <c r="J892" s="119"/>
      <c r="M892" s="118"/>
      <c r="O892" s="118"/>
      <c r="Q892" s="118"/>
      <c r="S892" s="118"/>
      <c r="U892" s="118"/>
      <c r="W892" s="118"/>
      <c r="Y892" s="118"/>
      <c r="AA892" s="118"/>
      <c r="AC892" s="118"/>
      <c r="AE892" s="118"/>
      <c r="AF892" s="119"/>
    </row>
    <row r="893" spans="1:32" x14ac:dyDescent="0.3">
      <c r="A893" s="118"/>
      <c r="C893" s="118"/>
      <c r="E893" s="118"/>
      <c r="G893" s="118"/>
      <c r="I893" s="118"/>
      <c r="J893" s="119"/>
      <c r="M893" s="118"/>
      <c r="O893" s="118"/>
      <c r="Q893" s="118"/>
      <c r="S893" s="118"/>
      <c r="U893" s="118"/>
      <c r="W893" s="118"/>
      <c r="Y893" s="118"/>
      <c r="AA893" s="118"/>
      <c r="AC893" s="118"/>
      <c r="AE893" s="118"/>
      <c r="AF893" s="119"/>
    </row>
    <row r="894" spans="1:32" x14ac:dyDescent="0.3">
      <c r="A894" s="118"/>
      <c r="C894" s="118"/>
      <c r="E894" s="118"/>
      <c r="G894" s="118"/>
      <c r="I894" s="118"/>
      <c r="J894" s="119"/>
      <c r="M894" s="118"/>
      <c r="O894" s="118"/>
      <c r="Q894" s="118"/>
      <c r="S894" s="118"/>
      <c r="U894" s="118"/>
      <c r="W894" s="118"/>
      <c r="Y894" s="118"/>
      <c r="AA894" s="118"/>
      <c r="AC894" s="118"/>
      <c r="AE894" s="118"/>
      <c r="AF894" s="119"/>
    </row>
    <row r="895" spans="1:32" x14ac:dyDescent="0.3">
      <c r="A895" s="118"/>
      <c r="C895" s="118"/>
      <c r="E895" s="118"/>
      <c r="G895" s="118"/>
      <c r="I895" s="118"/>
      <c r="J895" s="119"/>
      <c r="M895" s="118"/>
      <c r="O895" s="118"/>
      <c r="Q895" s="118"/>
      <c r="S895" s="118"/>
      <c r="U895" s="118"/>
      <c r="W895" s="118"/>
      <c r="Y895" s="118"/>
      <c r="AA895" s="118"/>
      <c r="AC895" s="118"/>
      <c r="AE895" s="118"/>
      <c r="AF895" s="119"/>
    </row>
    <row r="896" spans="1:32" x14ac:dyDescent="0.3">
      <c r="A896" s="118"/>
      <c r="C896" s="118"/>
      <c r="E896" s="118"/>
      <c r="G896" s="118"/>
      <c r="I896" s="118"/>
      <c r="J896" s="119"/>
      <c r="M896" s="118"/>
      <c r="O896" s="118"/>
      <c r="Q896" s="118"/>
      <c r="S896" s="118"/>
      <c r="U896" s="118"/>
      <c r="W896" s="118"/>
      <c r="Y896" s="118"/>
      <c r="AA896" s="118"/>
      <c r="AC896" s="118"/>
      <c r="AE896" s="118"/>
      <c r="AF896" s="119"/>
    </row>
    <row r="897" spans="1:32" x14ac:dyDescent="0.3">
      <c r="A897" s="118"/>
      <c r="C897" s="118"/>
      <c r="E897" s="118"/>
      <c r="G897" s="118"/>
      <c r="I897" s="118"/>
      <c r="J897" s="119"/>
      <c r="M897" s="118"/>
      <c r="O897" s="118"/>
      <c r="Q897" s="118"/>
      <c r="S897" s="118"/>
      <c r="U897" s="118"/>
      <c r="W897" s="118"/>
      <c r="Y897" s="118"/>
      <c r="AA897" s="118"/>
      <c r="AC897" s="118"/>
      <c r="AE897" s="118"/>
      <c r="AF897" s="119"/>
    </row>
    <row r="898" spans="1:32" x14ac:dyDescent="0.3">
      <c r="A898" s="118"/>
      <c r="C898" s="118"/>
      <c r="E898" s="118"/>
      <c r="G898" s="118"/>
      <c r="I898" s="118"/>
      <c r="J898" s="119"/>
      <c r="M898" s="118"/>
      <c r="O898" s="118"/>
      <c r="Q898" s="118"/>
      <c r="S898" s="118"/>
      <c r="U898" s="118"/>
      <c r="W898" s="118"/>
      <c r="Y898" s="118"/>
      <c r="AA898" s="118"/>
      <c r="AC898" s="118"/>
      <c r="AE898" s="118"/>
      <c r="AF898" s="119"/>
    </row>
    <row r="899" spans="1:32" x14ac:dyDescent="0.3">
      <c r="A899" s="118"/>
      <c r="C899" s="118"/>
      <c r="E899" s="118"/>
      <c r="G899" s="118"/>
      <c r="I899" s="118"/>
      <c r="J899" s="119"/>
      <c r="M899" s="118"/>
      <c r="O899" s="118"/>
      <c r="Q899" s="118"/>
      <c r="S899" s="118"/>
      <c r="U899" s="118"/>
      <c r="W899" s="118"/>
      <c r="Y899" s="118"/>
      <c r="AA899" s="118"/>
      <c r="AC899" s="118"/>
      <c r="AE899" s="118"/>
      <c r="AF899" s="119"/>
    </row>
    <row r="900" spans="1:32" x14ac:dyDescent="0.3">
      <c r="A900" s="118"/>
      <c r="C900" s="118"/>
      <c r="E900" s="118"/>
      <c r="G900" s="118"/>
      <c r="I900" s="118"/>
      <c r="J900" s="119"/>
      <c r="M900" s="118"/>
      <c r="O900" s="118"/>
      <c r="Q900" s="118"/>
      <c r="S900" s="118"/>
      <c r="U900" s="118"/>
      <c r="W900" s="118"/>
      <c r="Y900" s="118"/>
      <c r="AA900" s="118"/>
      <c r="AC900" s="118"/>
      <c r="AE900" s="118"/>
      <c r="AF900" s="119"/>
    </row>
    <row r="901" spans="1:32" x14ac:dyDescent="0.3">
      <c r="A901" s="118"/>
      <c r="C901" s="118"/>
      <c r="E901" s="118"/>
      <c r="G901" s="118"/>
      <c r="I901" s="118"/>
      <c r="J901" s="119"/>
      <c r="M901" s="118"/>
      <c r="O901" s="118"/>
      <c r="Q901" s="118"/>
      <c r="S901" s="118"/>
      <c r="U901" s="118"/>
      <c r="W901" s="118"/>
      <c r="Y901" s="118"/>
      <c r="AA901" s="118"/>
      <c r="AC901" s="118"/>
      <c r="AE901" s="118"/>
      <c r="AF901" s="119"/>
    </row>
    <row r="902" spans="1:32" x14ac:dyDescent="0.3">
      <c r="A902" s="118"/>
      <c r="C902" s="118"/>
      <c r="E902" s="118"/>
      <c r="G902" s="118"/>
      <c r="I902" s="118"/>
      <c r="J902" s="119"/>
      <c r="M902" s="118"/>
      <c r="O902" s="118"/>
      <c r="Q902" s="118"/>
      <c r="S902" s="118"/>
      <c r="U902" s="118"/>
      <c r="W902" s="118"/>
      <c r="Y902" s="118"/>
      <c r="AA902" s="118"/>
      <c r="AC902" s="118"/>
      <c r="AE902" s="118"/>
      <c r="AF902" s="119"/>
    </row>
    <row r="903" spans="1:32" x14ac:dyDescent="0.3">
      <c r="A903" s="118"/>
      <c r="C903" s="118"/>
      <c r="E903" s="118"/>
      <c r="G903" s="118"/>
      <c r="I903" s="118"/>
      <c r="J903" s="119"/>
      <c r="M903" s="118"/>
      <c r="O903" s="118"/>
      <c r="Q903" s="118"/>
      <c r="S903" s="118"/>
      <c r="U903" s="118"/>
      <c r="W903" s="118"/>
      <c r="Y903" s="118"/>
      <c r="AA903" s="118"/>
      <c r="AC903" s="118"/>
      <c r="AE903" s="118"/>
      <c r="AF903" s="119"/>
    </row>
    <row r="904" spans="1:32" x14ac:dyDescent="0.3">
      <c r="A904" s="118"/>
      <c r="C904" s="118"/>
      <c r="E904" s="118"/>
      <c r="G904" s="118"/>
      <c r="I904" s="118"/>
      <c r="J904" s="119"/>
      <c r="M904" s="118"/>
      <c r="O904" s="118"/>
      <c r="Q904" s="118"/>
      <c r="S904" s="118"/>
      <c r="U904" s="118"/>
      <c r="W904" s="118"/>
      <c r="Y904" s="118"/>
      <c r="AA904" s="118"/>
      <c r="AC904" s="118"/>
      <c r="AE904" s="118"/>
      <c r="AF904" s="119"/>
    </row>
    <row r="905" spans="1:32" x14ac:dyDescent="0.3">
      <c r="A905" s="118"/>
      <c r="C905" s="118"/>
      <c r="E905" s="118"/>
      <c r="G905" s="118"/>
      <c r="I905" s="118"/>
      <c r="J905" s="119"/>
      <c r="M905" s="118"/>
      <c r="O905" s="118"/>
      <c r="Q905" s="118"/>
      <c r="S905" s="118"/>
      <c r="U905" s="118"/>
      <c r="W905" s="118"/>
      <c r="Y905" s="118"/>
      <c r="AA905" s="118"/>
      <c r="AC905" s="118"/>
      <c r="AE905" s="118"/>
      <c r="AF905" s="119"/>
    </row>
    <row r="906" spans="1:32" x14ac:dyDescent="0.3">
      <c r="A906" s="118"/>
      <c r="C906" s="118"/>
      <c r="E906" s="118"/>
      <c r="G906" s="118"/>
      <c r="I906" s="118"/>
      <c r="J906" s="119"/>
      <c r="M906" s="118"/>
      <c r="O906" s="118"/>
      <c r="Q906" s="118"/>
      <c r="S906" s="118"/>
      <c r="U906" s="118"/>
      <c r="W906" s="118"/>
      <c r="Y906" s="118"/>
      <c r="AA906" s="118"/>
      <c r="AC906" s="118"/>
      <c r="AE906" s="118"/>
      <c r="AF906" s="119"/>
    </row>
    <row r="907" spans="1:32" x14ac:dyDescent="0.3">
      <c r="A907" s="118"/>
      <c r="C907" s="118"/>
      <c r="E907" s="118"/>
      <c r="G907" s="118"/>
      <c r="I907" s="118"/>
      <c r="J907" s="119"/>
      <c r="M907" s="118"/>
      <c r="O907" s="118"/>
      <c r="Q907" s="118"/>
      <c r="S907" s="118"/>
      <c r="U907" s="118"/>
      <c r="W907" s="118"/>
      <c r="Y907" s="118"/>
      <c r="AA907" s="118"/>
      <c r="AC907" s="118"/>
      <c r="AE907" s="118"/>
      <c r="AF907" s="119"/>
    </row>
    <row r="908" spans="1:32" x14ac:dyDescent="0.3">
      <c r="A908" s="118"/>
      <c r="C908" s="118"/>
      <c r="E908" s="118"/>
      <c r="G908" s="118"/>
      <c r="I908" s="118"/>
      <c r="J908" s="119"/>
      <c r="M908" s="118"/>
      <c r="O908" s="118"/>
      <c r="Q908" s="118"/>
      <c r="S908" s="118"/>
      <c r="U908" s="118"/>
      <c r="W908" s="118"/>
      <c r="Y908" s="118"/>
      <c r="AA908" s="118"/>
      <c r="AC908" s="118"/>
      <c r="AE908" s="118"/>
      <c r="AF908" s="119"/>
    </row>
    <row r="909" spans="1:32" x14ac:dyDescent="0.3">
      <c r="A909" s="118"/>
      <c r="C909" s="118"/>
      <c r="E909" s="118"/>
      <c r="G909" s="118"/>
      <c r="I909" s="118"/>
      <c r="J909" s="119"/>
      <c r="M909" s="118"/>
      <c r="O909" s="118"/>
      <c r="Q909" s="118"/>
      <c r="S909" s="118"/>
      <c r="U909" s="118"/>
      <c r="W909" s="118"/>
      <c r="Y909" s="118"/>
      <c r="AA909" s="118"/>
      <c r="AC909" s="118"/>
      <c r="AE909" s="118"/>
      <c r="AF909" s="119"/>
    </row>
    <row r="910" spans="1:32" x14ac:dyDescent="0.3">
      <c r="A910" s="118"/>
      <c r="C910" s="118"/>
      <c r="E910" s="118"/>
      <c r="G910" s="118"/>
      <c r="I910" s="118"/>
      <c r="J910" s="119"/>
      <c r="M910" s="118"/>
      <c r="O910" s="118"/>
      <c r="Q910" s="118"/>
      <c r="S910" s="118"/>
      <c r="U910" s="118"/>
      <c r="W910" s="118"/>
      <c r="Y910" s="118"/>
      <c r="AA910" s="118"/>
      <c r="AC910" s="118"/>
      <c r="AE910" s="118"/>
      <c r="AF910" s="119"/>
    </row>
    <row r="911" spans="1:32" x14ac:dyDescent="0.3">
      <c r="A911" s="118"/>
      <c r="C911" s="118"/>
      <c r="E911" s="118"/>
      <c r="G911" s="118"/>
      <c r="I911" s="118"/>
      <c r="J911" s="119"/>
      <c r="M911" s="118"/>
      <c r="O911" s="118"/>
      <c r="Q911" s="118"/>
      <c r="S911" s="118"/>
      <c r="U911" s="118"/>
      <c r="W911" s="118"/>
      <c r="Y911" s="118"/>
      <c r="AA911" s="118"/>
      <c r="AC911" s="118"/>
      <c r="AE911" s="118"/>
      <c r="AF911" s="119"/>
    </row>
    <row r="912" spans="1:32" x14ac:dyDescent="0.3">
      <c r="A912" s="118"/>
      <c r="C912" s="118"/>
      <c r="E912" s="118"/>
      <c r="G912" s="118"/>
      <c r="I912" s="118"/>
      <c r="J912" s="119"/>
      <c r="M912" s="118"/>
      <c r="O912" s="118"/>
      <c r="Q912" s="118"/>
      <c r="S912" s="118"/>
      <c r="U912" s="118"/>
      <c r="W912" s="118"/>
      <c r="Y912" s="118"/>
      <c r="AA912" s="118"/>
      <c r="AC912" s="118"/>
      <c r="AE912" s="118"/>
      <c r="AF912" s="119"/>
    </row>
    <row r="913" spans="1:32" x14ac:dyDescent="0.3">
      <c r="A913" s="118"/>
      <c r="C913" s="118"/>
      <c r="E913" s="118"/>
      <c r="G913" s="118"/>
      <c r="I913" s="118"/>
      <c r="J913" s="119"/>
      <c r="M913" s="118"/>
      <c r="O913" s="118"/>
      <c r="Q913" s="118"/>
      <c r="S913" s="118"/>
      <c r="U913" s="118"/>
      <c r="W913" s="118"/>
      <c r="Y913" s="118"/>
      <c r="AA913" s="118"/>
      <c r="AC913" s="118"/>
      <c r="AE913" s="118"/>
      <c r="AF913" s="119"/>
    </row>
    <row r="914" spans="1:32" x14ac:dyDescent="0.3">
      <c r="A914" s="118"/>
      <c r="C914" s="118"/>
      <c r="E914" s="118"/>
      <c r="G914" s="118"/>
      <c r="I914" s="118"/>
      <c r="J914" s="119"/>
      <c r="M914" s="118"/>
      <c r="O914" s="118"/>
      <c r="Q914" s="118"/>
      <c r="S914" s="118"/>
      <c r="U914" s="118"/>
      <c r="W914" s="118"/>
      <c r="Y914" s="118"/>
      <c r="AA914" s="118"/>
      <c r="AC914" s="118"/>
      <c r="AE914" s="118"/>
      <c r="AF914" s="119"/>
    </row>
    <row r="915" spans="1:32" x14ac:dyDescent="0.3">
      <c r="A915" s="118"/>
      <c r="C915" s="118"/>
      <c r="E915" s="118"/>
      <c r="G915" s="118"/>
      <c r="I915" s="118"/>
      <c r="J915" s="119"/>
      <c r="M915" s="118"/>
      <c r="O915" s="118"/>
      <c r="Q915" s="118"/>
      <c r="S915" s="118"/>
      <c r="U915" s="118"/>
      <c r="W915" s="118"/>
      <c r="Y915" s="118"/>
      <c r="AA915" s="118"/>
      <c r="AC915" s="118"/>
      <c r="AE915" s="118"/>
      <c r="AF915" s="119"/>
    </row>
    <row r="916" spans="1:32" x14ac:dyDescent="0.3">
      <c r="A916" s="118"/>
      <c r="C916" s="118"/>
      <c r="E916" s="118"/>
      <c r="G916" s="118"/>
      <c r="I916" s="118"/>
      <c r="J916" s="119"/>
      <c r="M916" s="118"/>
      <c r="O916" s="118"/>
      <c r="Q916" s="118"/>
      <c r="S916" s="118"/>
      <c r="U916" s="118"/>
      <c r="W916" s="118"/>
      <c r="Y916" s="118"/>
      <c r="AA916" s="118"/>
      <c r="AC916" s="118"/>
      <c r="AE916" s="118"/>
      <c r="AF916" s="119"/>
    </row>
    <row r="917" spans="1:32" x14ac:dyDescent="0.3">
      <c r="A917" s="118"/>
      <c r="C917" s="118"/>
      <c r="E917" s="118"/>
      <c r="G917" s="118"/>
      <c r="I917" s="118"/>
      <c r="J917" s="119"/>
      <c r="M917" s="118"/>
      <c r="O917" s="118"/>
      <c r="Q917" s="118"/>
      <c r="S917" s="118"/>
      <c r="U917" s="118"/>
      <c r="W917" s="118"/>
      <c r="Y917" s="118"/>
      <c r="AA917" s="118"/>
      <c r="AC917" s="118"/>
      <c r="AE917" s="118"/>
      <c r="AF917" s="119"/>
    </row>
    <row r="918" spans="1:32" x14ac:dyDescent="0.3">
      <c r="A918" s="118"/>
      <c r="C918" s="118"/>
      <c r="E918" s="118"/>
      <c r="G918" s="118"/>
      <c r="I918" s="118"/>
      <c r="J918" s="119"/>
      <c r="M918" s="118"/>
      <c r="O918" s="118"/>
      <c r="Q918" s="118"/>
      <c r="S918" s="118"/>
      <c r="U918" s="118"/>
      <c r="W918" s="118"/>
      <c r="Y918" s="118"/>
      <c r="AA918" s="118"/>
      <c r="AC918" s="118"/>
      <c r="AE918" s="118"/>
      <c r="AF918" s="119"/>
    </row>
    <row r="919" spans="1:32" x14ac:dyDescent="0.3">
      <c r="A919" s="118"/>
      <c r="C919" s="118"/>
      <c r="E919" s="118"/>
      <c r="G919" s="118"/>
      <c r="I919" s="118"/>
      <c r="J919" s="119"/>
      <c r="M919" s="118"/>
      <c r="O919" s="118"/>
      <c r="Q919" s="118"/>
      <c r="S919" s="118"/>
      <c r="U919" s="118"/>
      <c r="W919" s="118"/>
      <c r="Y919" s="118"/>
      <c r="AA919" s="118"/>
      <c r="AC919" s="118"/>
      <c r="AE919" s="118"/>
      <c r="AF919" s="119"/>
    </row>
    <row r="920" spans="1:32" x14ac:dyDescent="0.3">
      <c r="A920" s="118"/>
      <c r="C920" s="118"/>
      <c r="E920" s="118"/>
      <c r="G920" s="118"/>
      <c r="I920" s="118"/>
      <c r="J920" s="119"/>
      <c r="M920" s="118"/>
      <c r="O920" s="118"/>
      <c r="Q920" s="118"/>
      <c r="S920" s="118"/>
      <c r="U920" s="118"/>
      <c r="W920" s="118"/>
      <c r="Y920" s="118"/>
      <c r="AA920" s="118"/>
      <c r="AC920" s="118"/>
      <c r="AE920" s="118"/>
      <c r="AF920" s="119"/>
    </row>
    <row r="921" spans="1:32" x14ac:dyDescent="0.3">
      <c r="A921" s="118"/>
      <c r="C921" s="118"/>
      <c r="E921" s="118"/>
      <c r="G921" s="118"/>
      <c r="I921" s="118"/>
      <c r="J921" s="119"/>
      <c r="M921" s="118"/>
      <c r="O921" s="118"/>
      <c r="Q921" s="118"/>
      <c r="S921" s="118"/>
      <c r="U921" s="118"/>
      <c r="W921" s="118"/>
      <c r="Y921" s="118"/>
      <c r="AA921" s="118"/>
      <c r="AC921" s="118"/>
      <c r="AE921" s="118"/>
      <c r="AF921" s="119"/>
    </row>
    <row r="922" spans="1:32" x14ac:dyDescent="0.3">
      <c r="A922" s="118"/>
      <c r="C922" s="118"/>
      <c r="E922" s="118"/>
      <c r="G922" s="118"/>
      <c r="I922" s="118"/>
      <c r="J922" s="119"/>
      <c r="M922" s="118"/>
      <c r="O922" s="118"/>
      <c r="Q922" s="118"/>
      <c r="S922" s="118"/>
      <c r="U922" s="118"/>
      <c r="W922" s="118"/>
      <c r="Y922" s="118"/>
      <c r="AA922" s="118"/>
      <c r="AC922" s="118"/>
      <c r="AE922" s="118"/>
      <c r="AF922" s="119"/>
    </row>
    <row r="923" spans="1:32" x14ac:dyDescent="0.3">
      <c r="A923" s="118"/>
      <c r="C923" s="118"/>
      <c r="E923" s="118"/>
      <c r="G923" s="118"/>
      <c r="I923" s="118"/>
      <c r="J923" s="119"/>
      <c r="M923" s="118"/>
      <c r="O923" s="118"/>
      <c r="Q923" s="118"/>
      <c r="S923" s="118"/>
      <c r="U923" s="118"/>
      <c r="W923" s="118"/>
      <c r="Y923" s="118"/>
      <c r="AA923" s="118"/>
      <c r="AC923" s="118"/>
      <c r="AE923" s="118"/>
      <c r="AF923" s="119"/>
    </row>
    <row r="924" spans="1:32" x14ac:dyDescent="0.3">
      <c r="A924" s="118"/>
      <c r="C924" s="118"/>
      <c r="E924" s="118"/>
      <c r="G924" s="118"/>
      <c r="I924" s="118"/>
      <c r="J924" s="119"/>
      <c r="M924" s="118"/>
      <c r="O924" s="118"/>
      <c r="Q924" s="118"/>
      <c r="S924" s="118"/>
      <c r="U924" s="118"/>
      <c r="W924" s="118"/>
      <c r="Y924" s="118"/>
      <c r="AA924" s="118"/>
      <c r="AC924" s="118"/>
      <c r="AE924" s="118"/>
      <c r="AF924" s="119"/>
    </row>
    <row r="925" spans="1:32" x14ac:dyDescent="0.3">
      <c r="A925" s="118"/>
      <c r="C925" s="118"/>
      <c r="E925" s="118"/>
      <c r="G925" s="118"/>
      <c r="I925" s="118"/>
      <c r="J925" s="119"/>
      <c r="M925" s="118"/>
      <c r="O925" s="118"/>
      <c r="Q925" s="118"/>
      <c r="S925" s="118"/>
      <c r="U925" s="118"/>
      <c r="W925" s="118"/>
      <c r="Y925" s="118"/>
      <c r="AA925" s="118"/>
      <c r="AC925" s="118"/>
      <c r="AE925" s="118"/>
      <c r="AF925" s="119"/>
    </row>
    <row r="926" spans="1:32" x14ac:dyDescent="0.3">
      <c r="A926" s="118"/>
      <c r="C926" s="118"/>
      <c r="E926" s="118"/>
      <c r="G926" s="118"/>
      <c r="I926" s="118"/>
      <c r="J926" s="119"/>
      <c r="M926" s="118"/>
      <c r="O926" s="118"/>
      <c r="Q926" s="118"/>
      <c r="S926" s="118"/>
      <c r="U926" s="118"/>
      <c r="W926" s="118"/>
      <c r="Y926" s="118"/>
      <c r="AA926" s="118"/>
      <c r="AC926" s="118"/>
      <c r="AE926" s="118"/>
      <c r="AF926" s="119"/>
    </row>
    <row r="927" spans="1:32" x14ac:dyDescent="0.3">
      <c r="A927" s="118"/>
      <c r="C927" s="118"/>
      <c r="E927" s="118"/>
      <c r="G927" s="118"/>
      <c r="I927" s="118"/>
      <c r="J927" s="119"/>
      <c r="M927" s="118"/>
      <c r="O927" s="118"/>
      <c r="Q927" s="118"/>
      <c r="S927" s="118"/>
      <c r="U927" s="118"/>
      <c r="W927" s="118"/>
      <c r="Y927" s="118"/>
      <c r="AA927" s="118"/>
      <c r="AC927" s="118"/>
      <c r="AE927" s="118"/>
      <c r="AF927" s="119"/>
    </row>
    <row r="928" spans="1:32" x14ac:dyDescent="0.3">
      <c r="A928" s="118"/>
      <c r="C928" s="118"/>
      <c r="E928" s="118"/>
      <c r="G928" s="118"/>
      <c r="I928" s="118"/>
      <c r="J928" s="119"/>
      <c r="M928" s="118"/>
      <c r="O928" s="118"/>
      <c r="Q928" s="118"/>
      <c r="S928" s="118"/>
      <c r="U928" s="118"/>
      <c r="W928" s="118"/>
      <c r="Y928" s="118"/>
      <c r="AA928" s="118"/>
      <c r="AC928" s="118"/>
      <c r="AE928" s="118"/>
      <c r="AF928" s="119"/>
    </row>
    <row r="929" spans="1:32" x14ac:dyDescent="0.3">
      <c r="A929" s="118"/>
      <c r="C929" s="118"/>
      <c r="E929" s="118"/>
      <c r="G929" s="118"/>
      <c r="I929" s="118"/>
      <c r="J929" s="119"/>
      <c r="M929" s="118"/>
      <c r="O929" s="118"/>
      <c r="Q929" s="118"/>
      <c r="S929" s="118"/>
      <c r="U929" s="118"/>
      <c r="W929" s="118"/>
      <c r="Y929" s="118"/>
      <c r="AA929" s="118"/>
      <c r="AC929" s="118"/>
      <c r="AE929" s="118"/>
      <c r="AF929" s="119"/>
    </row>
    <row r="930" spans="1:32" x14ac:dyDescent="0.3">
      <c r="A930" s="118"/>
      <c r="C930" s="118"/>
      <c r="E930" s="118"/>
      <c r="G930" s="118"/>
      <c r="I930" s="118"/>
      <c r="J930" s="119"/>
      <c r="M930" s="118"/>
      <c r="O930" s="118"/>
      <c r="Q930" s="118"/>
      <c r="S930" s="118"/>
      <c r="U930" s="118"/>
      <c r="W930" s="118"/>
      <c r="Y930" s="118"/>
      <c r="AA930" s="118"/>
      <c r="AC930" s="118"/>
      <c r="AE930" s="118"/>
      <c r="AF930" s="119"/>
    </row>
    <row r="931" spans="1:32" x14ac:dyDescent="0.3">
      <c r="A931" s="118"/>
      <c r="C931" s="118"/>
      <c r="E931" s="118"/>
      <c r="G931" s="118"/>
      <c r="I931" s="118"/>
      <c r="J931" s="119"/>
      <c r="M931" s="118"/>
      <c r="O931" s="118"/>
      <c r="Q931" s="118"/>
      <c r="S931" s="118"/>
      <c r="U931" s="118"/>
      <c r="W931" s="118"/>
      <c r="Y931" s="118"/>
      <c r="AA931" s="118"/>
      <c r="AC931" s="118"/>
      <c r="AE931" s="118"/>
      <c r="AF931" s="119"/>
    </row>
    <row r="932" spans="1:32" x14ac:dyDescent="0.3">
      <c r="A932" s="118"/>
      <c r="C932" s="118"/>
      <c r="E932" s="118"/>
      <c r="G932" s="118"/>
      <c r="I932" s="118"/>
      <c r="J932" s="119"/>
      <c r="M932" s="118"/>
      <c r="O932" s="118"/>
      <c r="Q932" s="118"/>
      <c r="S932" s="118"/>
      <c r="U932" s="118"/>
      <c r="W932" s="118"/>
      <c r="Y932" s="118"/>
      <c r="AA932" s="118"/>
      <c r="AC932" s="118"/>
      <c r="AE932" s="118"/>
      <c r="AF932" s="119"/>
    </row>
    <row r="933" spans="1:32" x14ac:dyDescent="0.3">
      <c r="A933" s="118"/>
      <c r="C933" s="118"/>
      <c r="E933" s="118"/>
      <c r="G933" s="118"/>
      <c r="I933" s="118"/>
      <c r="J933" s="119"/>
      <c r="M933" s="118"/>
      <c r="O933" s="118"/>
      <c r="Q933" s="118"/>
      <c r="S933" s="118"/>
      <c r="U933" s="118"/>
      <c r="W933" s="118"/>
      <c r="Y933" s="118"/>
      <c r="AA933" s="118"/>
      <c r="AC933" s="118"/>
      <c r="AE933" s="118"/>
      <c r="AF933" s="119"/>
    </row>
    <row r="934" spans="1:32" x14ac:dyDescent="0.3">
      <c r="A934" s="118"/>
      <c r="C934" s="118"/>
      <c r="E934" s="118"/>
      <c r="G934" s="118"/>
      <c r="I934" s="118"/>
      <c r="J934" s="119"/>
      <c r="M934" s="118"/>
      <c r="O934" s="118"/>
      <c r="Q934" s="118"/>
      <c r="S934" s="118"/>
      <c r="U934" s="118"/>
      <c r="W934" s="118"/>
      <c r="Y934" s="118"/>
      <c r="AA934" s="118"/>
      <c r="AC934" s="118"/>
      <c r="AE934" s="118"/>
      <c r="AF934" s="119"/>
    </row>
    <row r="935" spans="1:32" x14ac:dyDescent="0.3">
      <c r="A935" s="118"/>
      <c r="C935" s="118"/>
      <c r="E935" s="118"/>
      <c r="G935" s="118"/>
      <c r="I935" s="118"/>
      <c r="J935" s="119"/>
      <c r="M935" s="118"/>
      <c r="O935" s="118"/>
      <c r="Q935" s="118"/>
      <c r="S935" s="118"/>
      <c r="U935" s="118"/>
      <c r="W935" s="118"/>
      <c r="Y935" s="118"/>
      <c r="AA935" s="118"/>
      <c r="AC935" s="118"/>
      <c r="AE935" s="118"/>
      <c r="AF935" s="119"/>
    </row>
    <row r="936" spans="1:32" x14ac:dyDescent="0.3">
      <c r="A936" s="118"/>
      <c r="C936" s="118"/>
      <c r="E936" s="118"/>
      <c r="G936" s="118"/>
      <c r="I936" s="118"/>
      <c r="J936" s="119"/>
      <c r="M936" s="118"/>
      <c r="O936" s="118"/>
      <c r="Q936" s="118"/>
      <c r="S936" s="118"/>
      <c r="U936" s="118"/>
      <c r="W936" s="118"/>
      <c r="Y936" s="118"/>
      <c r="AA936" s="118"/>
      <c r="AC936" s="118"/>
      <c r="AE936" s="118"/>
      <c r="AF936" s="119"/>
    </row>
    <row r="937" spans="1:32" x14ac:dyDescent="0.3">
      <c r="A937" s="118"/>
      <c r="C937" s="118"/>
      <c r="E937" s="118"/>
      <c r="G937" s="118"/>
      <c r="I937" s="118"/>
      <c r="J937" s="119"/>
      <c r="M937" s="118"/>
      <c r="O937" s="118"/>
      <c r="Q937" s="118"/>
      <c r="S937" s="118"/>
      <c r="U937" s="118"/>
      <c r="W937" s="118"/>
      <c r="Y937" s="118"/>
      <c r="AA937" s="118"/>
      <c r="AC937" s="118"/>
      <c r="AE937" s="118"/>
      <c r="AF937" s="119"/>
    </row>
    <row r="938" spans="1:32" x14ac:dyDescent="0.3">
      <c r="A938" s="118"/>
      <c r="C938" s="118"/>
      <c r="E938" s="118"/>
      <c r="G938" s="118"/>
      <c r="I938" s="118"/>
      <c r="J938" s="119"/>
      <c r="M938" s="118"/>
      <c r="O938" s="118"/>
      <c r="Q938" s="118"/>
      <c r="S938" s="118"/>
      <c r="U938" s="118"/>
      <c r="W938" s="118"/>
      <c r="Y938" s="118"/>
      <c r="AA938" s="118"/>
      <c r="AC938" s="118"/>
      <c r="AE938" s="118"/>
      <c r="AF938" s="119"/>
    </row>
    <row r="939" spans="1:32" x14ac:dyDescent="0.3">
      <c r="A939" s="118"/>
      <c r="C939" s="118"/>
      <c r="E939" s="118"/>
      <c r="G939" s="118"/>
      <c r="I939" s="118"/>
      <c r="J939" s="119"/>
      <c r="M939" s="118"/>
      <c r="O939" s="118"/>
      <c r="Q939" s="118"/>
      <c r="S939" s="118"/>
      <c r="U939" s="118"/>
      <c r="W939" s="118"/>
      <c r="Y939" s="118"/>
      <c r="AA939" s="118"/>
      <c r="AC939" s="118"/>
      <c r="AE939" s="118"/>
      <c r="AF939" s="119"/>
    </row>
    <row r="940" spans="1:32" x14ac:dyDescent="0.3">
      <c r="A940" s="118"/>
      <c r="C940" s="118"/>
      <c r="E940" s="118"/>
      <c r="G940" s="118"/>
      <c r="I940" s="118"/>
      <c r="J940" s="119"/>
      <c r="M940" s="118"/>
      <c r="O940" s="118"/>
      <c r="Q940" s="118"/>
      <c r="S940" s="118"/>
      <c r="U940" s="118"/>
      <c r="W940" s="118"/>
      <c r="Y940" s="118"/>
      <c r="AA940" s="118"/>
      <c r="AC940" s="118"/>
      <c r="AE940" s="118"/>
      <c r="AF940" s="119"/>
    </row>
    <row r="941" spans="1:32" x14ac:dyDescent="0.3">
      <c r="A941" s="118"/>
      <c r="C941" s="118"/>
      <c r="E941" s="118"/>
      <c r="G941" s="118"/>
      <c r="I941" s="118"/>
      <c r="J941" s="119"/>
      <c r="M941" s="118"/>
      <c r="O941" s="118"/>
      <c r="Q941" s="118"/>
      <c r="S941" s="118"/>
      <c r="U941" s="118"/>
      <c r="W941" s="118"/>
      <c r="Y941" s="118"/>
      <c r="AA941" s="118"/>
      <c r="AC941" s="118"/>
      <c r="AE941" s="118"/>
      <c r="AF941" s="119"/>
    </row>
    <row r="942" spans="1:32" x14ac:dyDescent="0.3">
      <c r="A942" s="118"/>
      <c r="C942" s="118"/>
      <c r="E942" s="118"/>
      <c r="G942" s="118"/>
      <c r="I942" s="118"/>
      <c r="J942" s="119"/>
      <c r="M942" s="118"/>
      <c r="O942" s="118"/>
      <c r="Q942" s="118"/>
      <c r="S942" s="118"/>
      <c r="U942" s="118"/>
      <c r="W942" s="118"/>
      <c r="Y942" s="118"/>
      <c r="AA942" s="118"/>
      <c r="AC942" s="118"/>
      <c r="AE942" s="118"/>
      <c r="AF942" s="119"/>
    </row>
    <row r="943" spans="1:32" x14ac:dyDescent="0.3">
      <c r="A943" s="118"/>
      <c r="C943" s="118"/>
      <c r="E943" s="118"/>
      <c r="G943" s="118"/>
      <c r="I943" s="118"/>
      <c r="J943" s="119"/>
      <c r="M943" s="118"/>
      <c r="O943" s="118"/>
      <c r="Q943" s="118"/>
      <c r="S943" s="118"/>
      <c r="U943" s="118"/>
      <c r="W943" s="118"/>
      <c r="Y943" s="118"/>
      <c r="AA943" s="118"/>
      <c r="AC943" s="118"/>
      <c r="AE943" s="118"/>
      <c r="AF943" s="119"/>
    </row>
    <row r="944" spans="1:32" x14ac:dyDescent="0.3">
      <c r="A944" s="118"/>
      <c r="C944" s="118"/>
      <c r="E944" s="118"/>
      <c r="G944" s="118"/>
      <c r="I944" s="118"/>
      <c r="J944" s="119"/>
      <c r="M944" s="118"/>
      <c r="O944" s="118"/>
      <c r="Q944" s="118"/>
      <c r="S944" s="118"/>
      <c r="U944" s="118"/>
      <c r="W944" s="118"/>
      <c r="Y944" s="118"/>
      <c r="AA944" s="118"/>
      <c r="AC944" s="118"/>
      <c r="AE944" s="118"/>
      <c r="AF944" s="119"/>
    </row>
    <row r="945" spans="1:32" x14ac:dyDescent="0.3">
      <c r="A945" s="118"/>
      <c r="C945" s="118"/>
      <c r="E945" s="118"/>
      <c r="G945" s="118"/>
      <c r="I945" s="118"/>
      <c r="J945" s="119"/>
      <c r="M945" s="118"/>
      <c r="O945" s="118"/>
      <c r="Q945" s="118"/>
      <c r="S945" s="118"/>
      <c r="U945" s="118"/>
      <c r="W945" s="118"/>
      <c r="Y945" s="118"/>
      <c r="AA945" s="118"/>
      <c r="AC945" s="118"/>
      <c r="AE945" s="118"/>
      <c r="AF945" s="119"/>
    </row>
    <row r="946" spans="1:32" x14ac:dyDescent="0.3">
      <c r="A946" s="118"/>
      <c r="C946" s="118"/>
      <c r="E946" s="118"/>
      <c r="G946" s="118"/>
      <c r="I946" s="118"/>
      <c r="J946" s="119"/>
      <c r="M946" s="118"/>
      <c r="O946" s="118"/>
      <c r="Q946" s="118"/>
      <c r="S946" s="118"/>
      <c r="U946" s="118"/>
      <c r="W946" s="118"/>
      <c r="Y946" s="118"/>
      <c r="AA946" s="118"/>
      <c r="AC946" s="118"/>
      <c r="AE946" s="118"/>
      <c r="AF946" s="119"/>
    </row>
    <row r="947" spans="1:32" x14ac:dyDescent="0.3">
      <c r="A947" s="118"/>
      <c r="C947" s="118"/>
      <c r="E947" s="118"/>
      <c r="G947" s="118"/>
      <c r="I947" s="118"/>
      <c r="J947" s="119"/>
      <c r="M947" s="118"/>
      <c r="O947" s="118"/>
      <c r="Q947" s="118"/>
      <c r="S947" s="118"/>
      <c r="U947" s="118"/>
      <c r="W947" s="118"/>
      <c r="Y947" s="118"/>
      <c r="AA947" s="118"/>
      <c r="AC947" s="118"/>
      <c r="AE947" s="118"/>
      <c r="AF947" s="119"/>
    </row>
    <row r="948" spans="1:32" x14ac:dyDescent="0.3">
      <c r="A948" s="118"/>
      <c r="C948" s="118"/>
      <c r="E948" s="118"/>
      <c r="G948" s="118"/>
      <c r="I948" s="118"/>
      <c r="J948" s="119"/>
      <c r="M948" s="118"/>
      <c r="O948" s="118"/>
      <c r="Q948" s="118"/>
      <c r="S948" s="118"/>
      <c r="U948" s="118"/>
      <c r="W948" s="118"/>
      <c r="Y948" s="118"/>
      <c r="AA948" s="118"/>
      <c r="AC948" s="118"/>
      <c r="AE948" s="118"/>
      <c r="AF948" s="119"/>
    </row>
    <row r="949" spans="1:32" x14ac:dyDescent="0.3">
      <c r="A949" s="118"/>
      <c r="C949" s="118"/>
      <c r="E949" s="118"/>
      <c r="G949" s="118"/>
      <c r="I949" s="118"/>
      <c r="J949" s="119"/>
      <c r="M949" s="118"/>
      <c r="O949" s="118"/>
      <c r="Q949" s="118"/>
      <c r="S949" s="118"/>
      <c r="U949" s="118"/>
      <c r="W949" s="118"/>
      <c r="Y949" s="118"/>
      <c r="AA949" s="118"/>
      <c r="AC949" s="118"/>
      <c r="AE949" s="118"/>
      <c r="AF949" s="119"/>
    </row>
    <row r="950" spans="1:32" x14ac:dyDescent="0.3">
      <c r="A950" s="118"/>
      <c r="C950" s="118"/>
      <c r="E950" s="118"/>
      <c r="G950" s="118"/>
      <c r="I950" s="118"/>
      <c r="J950" s="119"/>
      <c r="M950" s="118"/>
      <c r="O950" s="118"/>
      <c r="Q950" s="118"/>
      <c r="S950" s="118"/>
      <c r="U950" s="118"/>
      <c r="W950" s="118"/>
      <c r="Y950" s="118"/>
      <c r="AA950" s="118"/>
      <c r="AC950" s="118"/>
      <c r="AE950" s="118"/>
      <c r="AF950" s="119"/>
    </row>
    <row r="951" spans="1:32" x14ac:dyDescent="0.3">
      <c r="A951" s="118"/>
      <c r="C951" s="118"/>
      <c r="E951" s="118"/>
      <c r="G951" s="118"/>
      <c r="I951" s="118"/>
      <c r="J951" s="119"/>
      <c r="M951" s="118"/>
      <c r="O951" s="118"/>
      <c r="Q951" s="118"/>
      <c r="S951" s="118"/>
      <c r="U951" s="118"/>
      <c r="W951" s="118"/>
      <c r="Y951" s="118"/>
      <c r="AA951" s="118"/>
      <c r="AC951" s="118"/>
      <c r="AE951" s="118"/>
      <c r="AF951" s="119"/>
    </row>
    <row r="952" spans="1:32" x14ac:dyDescent="0.3">
      <c r="A952" s="118"/>
      <c r="C952" s="118"/>
      <c r="E952" s="118"/>
      <c r="G952" s="118"/>
      <c r="I952" s="118"/>
      <c r="J952" s="119"/>
      <c r="M952" s="118"/>
      <c r="O952" s="118"/>
      <c r="Q952" s="118"/>
      <c r="S952" s="118"/>
      <c r="U952" s="118"/>
      <c r="W952" s="118"/>
      <c r="Y952" s="118"/>
      <c r="AA952" s="118"/>
      <c r="AC952" s="118"/>
      <c r="AE952" s="118"/>
      <c r="AF952" s="119"/>
    </row>
    <row r="953" spans="1:32" x14ac:dyDescent="0.3">
      <c r="A953" s="118"/>
      <c r="C953" s="118"/>
      <c r="E953" s="118"/>
      <c r="G953" s="118"/>
      <c r="I953" s="118"/>
      <c r="J953" s="119"/>
      <c r="M953" s="118"/>
      <c r="O953" s="118"/>
      <c r="Q953" s="118"/>
      <c r="S953" s="118"/>
      <c r="U953" s="118"/>
      <c r="W953" s="118"/>
      <c r="Y953" s="118"/>
      <c r="AA953" s="118"/>
      <c r="AC953" s="118"/>
      <c r="AE953" s="118"/>
      <c r="AF953" s="119"/>
    </row>
    <row r="954" spans="1:32" x14ac:dyDescent="0.3">
      <c r="A954" s="118"/>
      <c r="C954" s="118"/>
      <c r="E954" s="118"/>
      <c r="G954" s="118"/>
      <c r="I954" s="118"/>
      <c r="J954" s="119"/>
      <c r="M954" s="118"/>
      <c r="O954" s="118"/>
      <c r="Q954" s="118"/>
      <c r="S954" s="118"/>
      <c r="U954" s="118"/>
      <c r="W954" s="118"/>
      <c r="Y954" s="118"/>
      <c r="AA954" s="118"/>
      <c r="AC954" s="118"/>
      <c r="AE954" s="118"/>
      <c r="AF954" s="119"/>
    </row>
    <row r="955" spans="1:32" x14ac:dyDescent="0.3">
      <c r="A955" s="118"/>
      <c r="C955" s="118"/>
      <c r="E955" s="118"/>
      <c r="G955" s="118"/>
      <c r="I955" s="118"/>
      <c r="J955" s="119"/>
      <c r="M955" s="118"/>
      <c r="O955" s="118"/>
      <c r="Q955" s="118"/>
      <c r="S955" s="118"/>
      <c r="U955" s="118"/>
      <c r="W955" s="118"/>
      <c r="Y955" s="118"/>
      <c r="AA955" s="118"/>
      <c r="AC955" s="118"/>
      <c r="AE955" s="118"/>
      <c r="AF955" s="119"/>
    </row>
    <row r="956" spans="1:32" x14ac:dyDescent="0.3">
      <c r="A956" s="118"/>
      <c r="C956" s="118"/>
      <c r="E956" s="118"/>
      <c r="G956" s="118"/>
      <c r="I956" s="118"/>
      <c r="J956" s="119"/>
      <c r="M956" s="118"/>
      <c r="O956" s="118"/>
      <c r="Q956" s="118"/>
      <c r="S956" s="118"/>
      <c r="U956" s="118"/>
      <c r="W956" s="118"/>
      <c r="Y956" s="118"/>
      <c r="AA956" s="118"/>
      <c r="AC956" s="118"/>
      <c r="AE956" s="118"/>
      <c r="AF956" s="119"/>
    </row>
    <row r="957" spans="1:32" x14ac:dyDescent="0.3">
      <c r="A957" s="118"/>
      <c r="C957" s="118"/>
      <c r="E957" s="118"/>
      <c r="G957" s="118"/>
      <c r="I957" s="118"/>
      <c r="J957" s="119"/>
      <c r="M957" s="118"/>
      <c r="O957" s="118"/>
      <c r="Q957" s="118"/>
      <c r="S957" s="118"/>
      <c r="U957" s="118"/>
      <c r="W957" s="118"/>
      <c r="Y957" s="118"/>
      <c r="AA957" s="118"/>
      <c r="AC957" s="118"/>
      <c r="AE957" s="118"/>
      <c r="AF957" s="119"/>
    </row>
    <row r="958" spans="1:32" x14ac:dyDescent="0.3">
      <c r="A958" s="118"/>
      <c r="C958" s="118"/>
      <c r="E958" s="118"/>
      <c r="G958" s="118"/>
      <c r="I958" s="118"/>
      <c r="J958" s="119"/>
      <c r="M958" s="118"/>
      <c r="O958" s="118"/>
      <c r="Q958" s="118"/>
      <c r="S958" s="118"/>
      <c r="U958" s="118"/>
      <c r="W958" s="118"/>
      <c r="Y958" s="118"/>
      <c r="AA958" s="118"/>
      <c r="AC958" s="118"/>
      <c r="AE958" s="118"/>
      <c r="AF958" s="119"/>
    </row>
    <row r="959" spans="1:32" x14ac:dyDescent="0.3">
      <c r="A959" s="118"/>
      <c r="C959" s="118"/>
      <c r="E959" s="118"/>
      <c r="G959" s="118"/>
      <c r="I959" s="118"/>
      <c r="J959" s="119"/>
      <c r="M959" s="118"/>
      <c r="O959" s="118"/>
      <c r="Q959" s="118"/>
      <c r="S959" s="118"/>
      <c r="U959" s="118"/>
      <c r="W959" s="118"/>
      <c r="Y959" s="118"/>
      <c r="AA959" s="118"/>
      <c r="AC959" s="118"/>
      <c r="AE959" s="118"/>
      <c r="AF959" s="119"/>
    </row>
    <row r="960" spans="1:32" x14ac:dyDescent="0.3">
      <c r="A960" s="118"/>
      <c r="C960" s="118"/>
      <c r="E960" s="118"/>
      <c r="G960" s="118"/>
      <c r="I960" s="118"/>
      <c r="J960" s="119"/>
      <c r="M960" s="118"/>
      <c r="O960" s="118"/>
      <c r="Q960" s="118"/>
      <c r="S960" s="118"/>
      <c r="U960" s="118"/>
      <c r="W960" s="118"/>
      <c r="Y960" s="118"/>
      <c r="AA960" s="118"/>
      <c r="AC960" s="118"/>
      <c r="AE960" s="118"/>
      <c r="AF960" s="119"/>
    </row>
    <row r="961" spans="1:32" x14ac:dyDescent="0.3">
      <c r="A961" s="118"/>
      <c r="C961" s="118"/>
      <c r="E961" s="118"/>
      <c r="G961" s="118"/>
      <c r="I961" s="118"/>
      <c r="J961" s="119"/>
      <c r="M961" s="118"/>
      <c r="O961" s="118"/>
      <c r="Q961" s="118"/>
      <c r="S961" s="118"/>
      <c r="U961" s="118"/>
      <c r="W961" s="118"/>
      <c r="Y961" s="118"/>
      <c r="AA961" s="118"/>
      <c r="AC961" s="118"/>
      <c r="AE961" s="118"/>
      <c r="AF961" s="119"/>
    </row>
    <row r="962" spans="1:32" x14ac:dyDescent="0.3">
      <c r="A962" s="118"/>
      <c r="C962" s="118"/>
      <c r="E962" s="118"/>
      <c r="G962" s="118"/>
      <c r="I962" s="118"/>
      <c r="J962" s="119"/>
      <c r="M962" s="118"/>
      <c r="O962" s="118"/>
      <c r="Q962" s="118"/>
      <c r="S962" s="118"/>
      <c r="U962" s="118"/>
      <c r="W962" s="118"/>
      <c r="Y962" s="118"/>
      <c r="AA962" s="118"/>
      <c r="AC962" s="118"/>
      <c r="AE962" s="118"/>
      <c r="AF962" s="119"/>
    </row>
    <row r="963" spans="1:32" x14ac:dyDescent="0.3">
      <c r="A963" s="118"/>
      <c r="C963" s="118"/>
      <c r="E963" s="118"/>
      <c r="G963" s="118"/>
      <c r="I963" s="118"/>
      <c r="J963" s="119"/>
      <c r="M963" s="118"/>
      <c r="O963" s="118"/>
      <c r="Q963" s="118"/>
      <c r="S963" s="118"/>
      <c r="U963" s="118"/>
      <c r="W963" s="118"/>
      <c r="Y963" s="118"/>
      <c r="AA963" s="118"/>
      <c r="AC963" s="118"/>
      <c r="AE963" s="118"/>
      <c r="AF963" s="119"/>
    </row>
    <row r="964" spans="1:32" x14ac:dyDescent="0.3">
      <c r="A964" s="118"/>
      <c r="C964" s="118"/>
      <c r="E964" s="118"/>
      <c r="G964" s="118"/>
      <c r="I964" s="118"/>
      <c r="J964" s="119"/>
      <c r="M964" s="118"/>
      <c r="O964" s="118"/>
      <c r="Q964" s="118"/>
      <c r="S964" s="118"/>
      <c r="U964" s="118"/>
      <c r="W964" s="118"/>
      <c r="Y964" s="118"/>
      <c r="AA964" s="118"/>
      <c r="AC964" s="118"/>
      <c r="AE964" s="118"/>
      <c r="AF964" s="119"/>
    </row>
    <row r="965" spans="1:32" x14ac:dyDescent="0.3">
      <c r="A965" s="118"/>
      <c r="C965" s="118"/>
      <c r="E965" s="118"/>
      <c r="G965" s="118"/>
      <c r="I965" s="118"/>
      <c r="J965" s="119"/>
      <c r="M965" s="118"/>
      <c r="O965" s="118"/>
      <c r="Q965" s="118"/>
      <c r="S965" s="118"/>
      <c r="U965" s="118"/>
      <c r="W965" s="118"/>
      <c r="Y965" s="118"/>
      <c r="AA965" s="118"/>
      <c r="AC965" s="118"/>
      <c r="AE965" s="118"/>
      <c r="AF965" s="119"/>
    </row>
    <row r="966" spans="1:32" x14ac:dyDescent="0.3">
      <c r="A966" s="118"/>
      <c r="C966" s="118"/>
      <c r="E966" s="118"/>
      <c r="G966" s="118"/>
      <c r="I966" s="118"/>
      <c r="J966" s="119"/>
      <c r="M966" s="118"/>
      <c r="O966" s="118"/>
      <c r="Q966" s="118"/>
      <c r="S966" s="118"/>
      <c r="U966" s="118"/>
      <c r="W966" s="118"/>
      <c r="Y966" s="118"/>
      <c r="AA966" s="118"/>
      <c r="AC966" s="118"/>
      <c r="AE966" s="118"/>
      <c r="AF966" s="119"/>
    </row>
    <row r="967" spans="1:32" x14ac:dyDescent="0.3">
      <c r="A967" s="118"/>
      <c r="C967" s="118"/>
      <c r="E967" s="118"/>
      <c r="G967" s="118"/>
      <c r="I967" s="118"/>
      <c r="J967" s="119"/>
      <c r="M967" s="118"/>
      <c r="O967" s="118"/>
      <c r="Q967" s="118"/>
      <c r="S967" s="118"/>
      <c r="U967" s="118"/>
      <c r="W967" s="118"/>
      <c r="Y967" s="118"/>
      <c r="AA967" s="118"/>
      <c r="AC967" s="118"/>
      <c r="AE967" s="118"/>
      <c r="AF967" s="119"/>
    </row>
    <row r="968" spans="1:32" x14ac:dyDescent="0.3">
      <c r="A968" s="118"/>
      <c r="C968" s="118"/>
      <c r="E968" s="118"/>
      <c r="G968" s="118"/>
      <c r="I968" s="118"/>
      <c r="J968" s="119"/>
      <c r="M968" s="118"/>
      <c r="O968" s="118"/>
      <c r="Q968" s="118"/>
      <c r="S968" s="118"/>
      <c r="U968" s="118"/>
      <c r="W968" s="118"/>
      <c r="Y968" s="118"/>
      <c r="AA968" s="118"/>
      <c r="AC968" s="118"/>
      <c r="AE968" s="118"/>
      <c r="AF968" s="119"/>
    </row>
    <row r="969" spans="1:32" x14ac:dyDescent="0.3">
      <c r="A969" s="118"/>
      <c r="C969" s="118"/>
      <c r="E969" s="118"/>
      <c r="G969" s="118"/>
      <c r="I969" s="118"/>
      <c r="J969" s="119"/>
      <c r="M969" s="118"/>
      <c r="O969" s="118"/>
      <c r="Q969" s="118"/>
      <c r="S969" s="118"/>
      <c r="U969" s="118"/>
      <c r="W969" s="118"/>
      <c r="Y969" s="118"/>
      <c r="AA969" s="118"/>
      <c r="AC969" s="118"/>
      <c r="AE969" s="118"/>
      <c r="AF969" s="119"/>
    </row>
    <row r="970" spans="1:32" x14ac:dyDescent="0.3">
      <c r="A970" s="118"/>
      <c r="C970" s="118"/>
      <c r="E970" s="118"/>
      <c r="G970" s="118"/>
      <c r="I970" s="118"/>
      <c r="J970" s="119"/>
      <c r="M970" s="118"/>
      <c r="O970" s="118"/>
      <c r="Q970" s="118"/>
      <c r="S970" s="118"/>
      <c r="U970" s="118"/>
      <c r="W970" s="118"/>
      <c r="Y970" s="118"/>
      <c r="AA970" s="118"/>
      <c r="AC970" s="118"/>
      <c r="AE970" s="118"/>
      <c r="AF970" s="119"/>
    </row>
    <row r="971" spans="1:32" x14ac:dyDescent="0.3">
      <c r="A971" s="118"/>
      <c r="C971" s="118"/>
      <c r="E971" s="118"/>
      <c r="G971" s="118"/>
      <c r="I971" s="118"/>
      <c r="J971" s="119"/>
      <c r="M971" s="118"/>
      <c r="O971" s="118"/>
      <c r="Q971" s="118"/>
      <c r="S971" s="118"/>
      <c r="U971" s="118"/>
      <c r="W971" s="118"/>
      <c r="Y971" s="118"/>
      <c r="AA971" s="118"/>
      <c r="AC971" s="118"/>
      <c r="AE971" s="118"/>
      <c r="AF971" s="119"/>
    </row>
    <row r="972" spans="1:32" x14ac:dyDescent="0.3">
      <c r="A972" s="118"/>
      <c r="C972" s="118"/>
      <c r="E972" s="118"/>
      <c r="G972" s="118"/>
      <c r="I972" s="118"/>
      <c r="J972" s="119"/>
      <c r="M972" s="118"/>
      <c r="O972" s="118"/>
      <c r="Q972" s="118"/>
      <c r="S972" s="118"/>
      <c r="U972" s="118"/>
      <c r="W972" s="118"/>
      <c r="Y972" s="118"/>
      <c r="AA972" s="118"/>
      <c r="AC972" s="118"/>
      <c r="AE972" s="118"/>
      <c r="AF972" s="119"/>
    </row>
    <row r="973" spans="1:32" x14ac:dyDescent="0.3">
      <c r="A973" s="118"/>
      <c r="C973" s="118"/>
      <c r="E973" s="118"/>
      <c r="G973" s="118"/>
      <c r="I973" s="118"/>
      <c r="J973" s="119"/>
      <c r="M973" s="118"/>
      <c r="O973" s="118"/>
      <c r="Q973" s="118"/>
      <c r="S973" s="118"/>
      <c r="U973" s="118"/>
      <c r="W973" s="118"/>
      <c r="Y973" s="118"/>
      <c r="AA973" s="118"/>
      <c r="AC973" s="118"/>
      <c r="AE973" s="118"/>
      <c r="AF973" s="119"/>
    </row>
    <row r="974" spans="1:32" x14ac:dyDescent="0.3">
      <c r="A974" s="118"/>
      <c r="C974" s="118"/>
      <c r="E974" s="118"/>
      <c r="G974" s="118"/>
      <c r="I974" s="118"/>
      <c r="J974" s="119"/>
      <c r="M974" s="118"/>
      <c r="O974" s="118"/>
      <c r="Q974" s="118"/>
      <c r="S974" s="118"/>
      <c r="U974" s="118"/>
      <c r="W974" s="118"/>
      <c r="Y974" s="118"/>
      <c r="AA974" s="118"/>
      <c r="AC974" s="118"/>
      <c r="AE974" s="118"/>
      <c r="AF974" s="119"/>
    </row>
    <row r="975" spans="1:32" x14ac:dyDescent="0.3">
      <c r="A975" s="118"/>
      <c r="C975" s="118"/>
      <c r="E975" s="118"/>
      <c r="G975" s="118"/>
      <c r="I975" s="118"/>
      <c r="J975" s="119"/>
      <c r="M975" s="118"/>
      <c r="O975" s="118"/>
      <c r="Q975" s="118"/>
      <c r="S975" s="118"/>
      <c r="U975" s="118"/>
      <c r="W975" s="118"/>
      <c r="Y975" s="118"/>
      <c r="AA975" s="118"/>
      <c r="AC975" s="118"/>
      <c r="AE975" s="118"/>
      <c r="AF975" s="119"/>
    </row>
    <row r="976" spans="1:32" x14ac:dyDescent="0.3">
      <c r="A976" s="118"/>
      <c r="C976" s="118"/>
      <c r="E976" s="118"/>
      <c r="G976" s="118"/>
      <c r="I976" s="118"/>
      <c r="J976" s="119"/>
      <c r="M976" s="118"/>
      <c r="O976" s="118"/>
      <c r="Q976" s="118"/>
      <c r="S976" s="118"/>
      <c r="U976" s="118"/>
      <c r="W976" s="118"/>
      <c r="Y976" s="118"/>
      <c r="AA976" s="118"/>
      <c r="AC976" s="118"/>
      <c r="AE976" s="118"/>
      <c r="AF976" s="119"/>
    </row>
    <row r="977" spans="1:32" x14ac:dyDescent="0.3">
      <c r="A977" s="118"/>
      <c r="C977" s="118"/>
      <c r="E977" s="118"/>
      <c r="G977" s="118"/>
      <c r="I977" s="118"/>
      <c r="J977" s="119"/>
      <c r="M977" s="118"/>
      <c r="O977" s="118"/>
      <c r="Q977" s="118"/>
      <c r="S977" s="118"/>
      <c r="U977" s="118"/>
      <c r="W977" s="118"/>
      <c r="Y977" s="118"/>
      <c r="AA977" s="118"/>
      <c r="AC977" s="118"/>
      <c r="AE977" s="118"/>
      <c r="AF977" s="119"/>
    </row>
    <row r="978" spans="1:32" x14ac:dyDescent="0.3">
      <c r="A978" s="118"/>
      <c r="C978" s="118"/>
      <c r="E978" s="118"/>
      <c r="G978" s="118"/>
      <c r="I978" s="118"/>
      <c r="J978" s="119"/>
      <c r="M978" s="118"/>
      <c r="O978" s="118"/>
      <c r="Q978" s="118"/>
      <c r="S978" s="118"/>
      <c r="U978" s="118"/>
      <c r="W978" s="118"/>
      <c r="Y978" s="118"/>
      <c r="AA978" s="118"/>
      <c r="AC978" s="118"/>
      <c r="AE978" s="118"/>
      <c r="AF978" s="119"/>
    </row>
    <row r="979" spans="1:32" x14ac:dyDescent="0.3">
      <c r="A979" s="118"/>
      <c r="C979" s="118"/>
      <c r="E979" s="118"/>
      <c r="G979" s="118"/>
      <c r="I979" s="118"/>
      <c r="J979" s="119"/>
      <c r="M979" s="118"/>
      <c r="O979" s="118"/>
      <c r="Q979" s="118"/>
      <c r="S979" s="118"/>
      <c r="U979" s="118"/>
      <c r="W979" s="118"/>
      <c r="Y979" s="118"/>
      <c r="AA979" s="118"/>
      <c r="AC979" s="118"/>
      <c r="AE979" s="118"/>
      <c r="AF979" s="119"/>
    </row>
    <row r="980" spans="1:32" x14ac:dyDescent="0.3">
      <c r="A980" s="118"/>
      <c r="C980" s="118"/>
      <c r="E980" s="118"/>
      <c r="G980" s="118"/>
      <c r="I980" s="118"/>
      <c r="J980" s="119"/>
      <c r="M980" s="118"/>
      <c r="O980" s="118"/>
      <c r="Q980" s="118"/>
      <c r="S980" s="118"/>
      <c r="U980" s="118"/>
      <c r="W980" s="118"/>
      <c r="Y980" s="118"/>
      <c r="AA980" s="118"/>
      <c r="AC980" s="118"/>
      <c r="AE980" s="118"/>
      <c r="AF980" s="119"/>
    </row>
    <row r="981" spans="1:32" x14ac:dyDescent="0.3">
      <c r="A981" s="118"/>
      <c r="C981" s="118"/>
      <c r="E981" s="118"/>
      <c r="G981" s="118"/>
      <c r="I981" s="118"/>
      <c r="J981" s="119"/>
      <c r="M981" s="118"/>
      <c r="O981" s="118"/>
      <c r="Q981" s="118"/>
      <c r="S981" s="118"/>
      <c r="U981" s="118"/>
      <c r="W981" s="118"/>
      <c r="Y981" s="118"/>
      <c r="AA981" s="118"/>
      <c r="AC981" s="118"/>
      <c r="AE981" s="118"/>
      <c r="AF981" s="119"/>
    </row>
    <row r="982" spans="1:32" x14ac:dyDescent="0.3">
      <c r="A982" s="118"/>
      <c r="C982" s="118"/>
      <c r="E982" s="118"/>
      <c r="G982" s="118"/>
      <c r="I982" s="118"/>
      <c r="J982" s="119"/>
      <c r="M982" s="118"/>
      <c r="O982" s="118"/>
      <c r="Q982" s="118"/>
      <c r="S982" s="118"/>
      <c r="U982" s="118"/>
      <c r="W982" s="118"/>
      <c r="Y982" s="118"/>
      <c r="AA982" s="118"/>
      <c r="AC982" s="118"/>
      <c r="AE982" s="118"/>
      <c r="AF982" s="119"/>
    </row>
    <row r="983" spans="1:32" x14ac:dyDescent="0.3">
      <c r="A983" s="118"/>
      <c r="C983" s="118"/>
      <c r="E983" s="118"/>
      <c r="G983" s="118"/>
      <c r="I983" s="118"/>
      <c r="J983" s="119"/>
      <c r="M983" s="118"/>
      <c r="O983" s="118"/>
      <c r="Q983" s="118"/>
      <c r="S983" s="118"/>
      <c r="U983" s="118"/>
      <c r="W983" s="118"/>
      <c r="Y983" s="118"/>
      <c r="AA983" s="118"/>
      <c r="AC983" s="118"/>
      <c r="AE983" s="118"/>
      <c r="AF983" s="119"/>
    </row>
    <row r="984" spans="1:32" x14ac:dyDescent="0.3">
      <c r="A984" s="118"/>
      <c r="C984" s="118"/>
      <c r="E984" s="118"/>
      <c r="G984" s="118"/>
      <c r="I984" s="118"/>
      <c r="J984" s="119"/>
      <c r="M984" s="118"/>
      <c r="O984" s="118"/>
      <c r="Q984" s="118"/>
      <c r="S984" s="118"/>
      <c r="U984" s="118"/>
      <c r="W984" s="118"/>
      <c r="Y984" s="118"/>
      <c r="AA984" s="118"/>
      <c r="AC984" s="118"/>
      <c r="AE984" s="118"/>
      <c r="AF984" s="119"/>
    </row>
    <row r="985" spans="1:32" x14ac:dyDescent="0.3">
      <c r="A985" s="118"/>
      <c r="C985" s="118"/>
      <c r="E985" s="118"/>
      <c r="G985" s="118"/>
      <c r="I985" s="118"/>
      <c r="J985" s="119"/>
      <c r="M985" s="118"/>
      <c r="O985" s="118"/>
      <c r="Q985" s="118"/>
      <c r="S985" s="118"/>
      <c r="U985" s="118"/>
      <c r="W985" s="118"/>
      <c r="Y985" s="118"/>
      <c r="AA985" s="118"/>
      <c r="AC985" s="118"/>
      <c r="AE985" s="118"/>
      <c r="AF985" s="119"/>
    </row>
    <row r="986" spans="1:32" x14ac:dyDescent="0.3">
      <c r="A986" s="118"/>
      <c r="C986" s="118"/>
      <c r="E986" s="118"/>
      <c r="G986" s="118"/>
      <c r="I986" s="118"/>
      <c r="J986" s="119"/>
      <c r="M986" s="118"/>
      <c r="O986" s="118"/>
      <c r="Q986" s="118"/>
      <c r="S986" s="118"/>
      <c r="U986" s="118"/>
      <c r="W986" s="118"/>
      <c r="Y986" s="118"/>
      <c r="AA986" s="118"/>
      <c r="AC986" s="118"/>
      <c r="AE986" s="118"/>
      <c r="AF986" s="119"/>
    </row>
    <row r="987" spans="1:32" x14ac:dyDescent="0.3">
      <c r="A987" s="118"/>
      <c r="C987" s="118"/>
      <c r="E987" s="118"/>
      <c r="G987" s="118"/>
      <c r="I987" s="118"/>
      <c r="J987" s="119"/>
      <c r="M987" s="118"/>
      <c r="O987" s="118"/>
      <c r="Q987" s="118"/>
      <c r="S987" s="118"/>
      <c r="U987" s="118"/>
      <c r="W987" s="118"/>
      <c r="Y987" s="118"/>
      <c r="AA987" s="118"/>
      <c r="AC987" s="118"/>
      <c r="AE987" s="118"/>
      <c r="AF987" s="119"/>
    </row>
    <row r="988" spans="1:32" x14ac:dyDescent="0.3">
      <c r="A988" s="118"/>
      <c r="C988" s="118"/>
      <c r="E988" s="118"/>
      <c r="G988" s="118"/>
      <c r="I988" s="118"/>
      <c r="J988" s="119"/>
      <c r="M988" s="118"/>
      <c r="O988" s="118"/>
      <c r="Q988" s="118"/>
      <c r="S988" s="118"/>
      <c r="U988" s="118"/>
      <c r="W988" s="118"/>
      <c r="Y988" s="118"/>
      <c r="AA988" s="118"/>
      <c r="AC988" s="118"/>
      <c r="AE988" s="118"/>
      <c r="AF988" s="119"/>
    </row>
    <row r="989" spans="1:32" x14ac:dyDescent="0.3">
      <c r="A989" s="118"/>
      <c r="C989" s="118"/>
      <c r="E989" s="118"/>
      <c r="G989" s="118"/>
      <c r="I989" s="118"/>
      <c r="J989" s="119"/>
      <c r="M989" s="118"/>
      <c r="O989" s="118"/>
      <c r="Q989" s="118"/>
      <c r="S989" s="118"/>
      <c r="U989" s="118"/>
      <c r="W989" s="118"/>
      <c r="Y989" s="118"/>
      <c r="AA989" s="118"/>
      <c r="AC989" s="118"/>
      <c r="AE989" s="118"/>
      <c r="AF989" s="119"/>
    </row>
    <row r="990" spans="1:32" x14ac:dyDescent="0.3">
      <c r="A990" s="118"/>
      <c r="C990" s="118"/>
      <c r="E990" s="118"/>
      <c r="G990" s="118"/>
      <c r="I990" s="118"/>
      <c r="J990" s="119"/>
      <c r="M990" s="118"/>
      <c r="O990" s="118"/>
      <c r="Q990" s="118"/>
      <c r="S990" s="118"/>
      <c r="U990" s="118"/>
      <c r="W990" s="118"/>
      <c r="Y990" s="118"/>
      <c r="AA990" s="118"/>
      <c r="AC990" s="118"/>
      <c r="AE990" s="118"/>
      <c r="AF990" s="119"/>
    </row>
    <row r="991" spans="1:32" x14ac:dyDescent="0.3">
      <c r="A991" s="118"/>
      <c r="C991" s="118"/>
      <c r="E991" s="118"/>
      <c r="G991" s="118"/>
      <c r="I991" s="118"/>
      <c r="J991" s="119"/>
      <c r="M991" s="118"/>
      <c r="O991" s="118"/>
      <c r="Q991" s="118"/>
      <c r="S991" s="118"/>
      <c r="U991" s="118"/>
      <c r="W991" s="118"/>
      <c r="Y991" s="118"/>
      <c r="AA991" s="118"/>
      <c r="AC991" s="118"/>
      <c r="AE991" s="118"/>
      <c r="AF991" s="119"/>
    </row>
    <row r="992" spans="1:32" x14ac:dyDescent="0.3">
      <c r="A992" s="118"/>
      <c r="C992" s="118"/>
      <c r="E992" s="118"/>
      <c r="G992" s="118"/>
      <c r="I992" s="118"/>
      <c r="J992" s="119"/>
      <c r="M992" s="118"/>
      <c r="O992" s="118"/>
      <c r="Q992" s="118"/>
      <c r="S992" s="118"/>
      <c r="U992" s="118"/>
      <c r="W992" s="118"/>
      <c r="Y992" s="118"/>
      <c r="AA992" s="118"/>
      <c r="AC992" s="118"/>
      <c r="AE992" s="118"/>
      <c r="AF992" s="119"/>
    </row>
    <row r="993" spans="1:32" x14ac:dyDescent="0.3">
      <c r="A993" s="118"/>
      <c r="C993" s="118"/>
      <c r="E993" s="118"/>
      <c r="G993" s="118"/>
      <c r="I993" s="118"/>
      <c r="J993" s="119"/>
      <c r="M993" s="118"/>
      <c r="O993" s="118"/>
      <c r="Q993" s="118"/>
      <c r="S993" s="118"/>
      <c r="U993" s="118"/>
      <c r="W993" s="118"/>
      <c r="Y993" s="118"/>
      <c r="AA993" s="118"/>
      <c r="AC993" s="118"/>
      <c r="AE993" s="118"/>
      <c r="AF993" s="119"/>
    </row>
    <row r="994" spans="1:32" x14ac:dyDescent="0.3">
      <c r="A994" s="118"/>
      <c r="C994" s="118"/>
      <c r="E994" s="118"/>
      <c r="G994" s="118"/>
      <c r="I994" s="118"/>
      <c r="J994" s="119"/>
      <c r="M994" s="118"/>
      <c r="O994" s="118"/>
      <c r="Q994" s="118"/>
      <c r="S994" s="118"/>
      <c r="U994" s="118"/>
      <c r="W994" s="118"/>
      <c r="Y994" s="118"/>
      <c r="AA994" s="118"/>
      <c r="AC994" s="118"/>
      <c r="AE994" s="118"/>
      <c r="AF994" s="119"/>
    </row>
    <row r="995" spans="1:32" x14ac:dyDescent="0.3">
      <c r="A995" s="118"/>
      <c r="C995" s="118"/>
      <c r="E995" s="118"/>
      <c r="G995" s="118"/>
      <c r="I995" s="118"/>
      <c r="J995" s="119"/>
      <c r="M995" s="118"/>
      <c r="O995" s="118"/>
      <c r="Q995" s="118"/>
      <c r="S995" s="118"/>
      <c r="U995" s="118"/>
      <c r="W995" s="118"/>
      <c r="Y995" s="118"/>
      <c r="AA995" s="118"/>
      <c r="AC995" s="118"/>
      <c r="AE995" s="118"/>
      <c r="AF995" s="119"/>
    </row>
    <row r="996" spans="1:32" x14ac:dyDescent="0.3">
      <c r="A996" s="118"/>
      <c r="C996" s="118"/>
      <c r="E996" s="118"/>
      <c r="G996" s="118"/>
      <c r="I996" s="118"/>
      <c r="J996" s="119"/>
      <c r="M996" s="118"/>
      <c r="O996" s="118"/>
      <c r="Q996" s="118"/>
      <c r="S996" s="118"/>
      <c r="U996" s="118"/>
      <c r="W996" s="118"/>
      <c r="Y996" s="118"/>
      <c r="AA996" s="118"/>
      <c r="AC996" s="118"/>
      <c r="AE996" s="118"/>
      <c r="AF996" s="119"/>
    </row>
    <row r="997" spans="1:32" x14ac:dyDescent="0.3">
      <c r="A997" s="118"/>
      <c r="C997" s="118"/>
      <c r="E997" s="118"/>
      <c r="G997" s="118"/>
      <c r="I997" s="118"/>
      <c r="J997" s="119"/>
      <c r="M997" s="118"/>
      <c r="O997" s="118"/>
      <c r="Q997" s="118"/>
      <c r="S997" s="118"/>
      <c r="U997" s="118"/>
      <c r="W997" s="118"/>
      <c r="Y997" s="118"/>
      <c r="AA997" s="118"/>
      <c r="AC997" s="118"/>
      <c r="AE997" s="118"/>
      <c r="AF997" s="119"/>
    </row>
    <row r="998" spans="1:32" x14ac:dyDescent="0.3">
      <c r="A998" s="118"/>
      <c r="C998" s="118"/>
      <c r="E998" s="118"/>
      <c r="G998" s="118"/>
      <c r="I998" s="118"/>
      <c r="J998" s="119"/>
      <c r="M998" s="118"/>
      <c r="O998" s="118"/>
      <c r="Q998" s="118"/>
      <c r="S998" s="118"/>
      <c r="U998" s="118"/>
      <c r="W998" s="118"/>
      <c r="Y998" s="118"/>
      <c r="AA998" s="118"/>
      <c r="AC998" s="118"/>
      <c r="AE998" s="118"/>
      <c r="AF998" s="119"/>
    </row>
    <row r="999" spans="1:32" x14ac:dyDescent="0.3">
      <c r="A999" s="118"/>
      <c r="C999" s="118"/>
      <c r="E999" s="118"/>
      <c r="G999" s="118"/>
      <c r="I999" s="118"/>
      <c r="J999" s="119"/>
      <c r="M999" s="118"/>
      <c r="O999" s="118"/>
      <c r="Q999" s="118"/>
      <c r="S999" s="118"/>
      <c r="U999" s="118"/>
      <c r="W999" s="118"/>
      <c r="Y999" s="118"/>
      <c r="AA999" s="118"/>
      <c r="AC999" s="118"/>
      <c r="AE999" s="118"/>
      <c r="AF999" s="119"/>
    </row>
    <row r="1000" spans="1:32" x14ac:dyDescent="0.3">
      <c r="A1000" s="118"/>
      <c r="C1000" s="118"/>
      <c r="E1000" s="118"/>
      <c r="G1000" s="118"/>
      <c r="I1000" s="118"/>
      <c r="J1000" s="119"/>
      <c r="M1000" s="118"/>
      <c r="O1000" s="118"/>
      <c r="Q1000" s="118"/>
      <c r="S1000" s="118"/>
      <c r="U1000" s="118"/>
      <c r="W1000" s="118"/>
      <c r="Y1000" s="118"/>
      <c r="AA1000" s="118"/>
      <c r="AC1000" s="118"/>
      <c r="AE1000" s="118"/>
      <c r="AF1000" s="119"/>
    </row>
  </sheetData>
  <mergeCells count="16">
    <mergeCell ref="K1:L1"/>
    <mergeCell ref="A1:B1"/>
    <mergeCell ref="C1:D1"/>
    <mergeCell ref="E1:F1"/>
    <mergeCell ref="G1:H1"/>
    <mergeCell ref="I1:J1"/>
    <mergeCell ref="Y1:Z1"/>
    <mergeCell ref="AA1:AB1"/>
    <mergeCell ref="AC1:AD1"/>
    <mergeCell ref="AE1:AF1"/>
    <mergeCell ref="M1:N1"/>
    <mergeCell ref="O1:P1"/>
    <mergeCell ref="Q1:R1"/>
    <mergeCell ref="S1:T1"/>
    <mergeCell ref="U1:V1"/>
    <mergeCell ref="W1:X1"/>
  </mergeCell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1"/>
  <dimension ref="A1:AF1000"/>
  <sheetViews>
    <sheetView topLeftCell="Z1" workbookViewId="0">
      <selection activeCell="AE3" sqref="AE3:AF630"/>
    </sheetView>
  </sheetViews>
  <sheetFormatPr defaultRowHeight="14.4" x14ac:dyDescent="0.3"/>
  <cols>
    <col min="1" max="64" width="18.6640625" customWidth="1"/>
    <col min="65" max="194" width="17.5546875" customWidth="1"/>
  </cols>
  <sheetData>
    <row r="1" spans="1:32" x14ac:dyDescent="0.3">
      <c r="A1" s="145" t="s">
        <v>858</v>
      </c>
      <c r="B1" s="145"/>
      <c r="C1" s="145" t="s">
        <v>859</v>
      </c>
      <c r="D1" s="145"/>
      <c r="E1" s="145" t="s">
        <v>860</v>
      </c>
      <c r="F1" s="145"/>
      <c r="G1" s="145" t="s">
        <v>861</v>
      </c>
      <c r="H1" s="145"/>
      <c r="I1" s="145" t="s">
        <v>862</v>
      </c>
      <c r="J1" s="145"/>
      <c r="K1" s="145" t="s">
        <v>863</v>
      </c>
      <c r="L1" s="145"/>
      <c r="M1" s="145" t="s">
        <v>864</v>
      </c>
      <c r="N1" s="145"/>
      <c r="O1" s="145" t="s">
        <v>865</v>
      </c>
      <c r="P1" s="145"/>
      <c r="Q1" s="145" t="s">
        <v>866</v>
      </c>
      <c r="R1" s="145"/>
      <c r="S1" s="145" t="s">
        <v>867</v>
      </c>
      <c r="T1" s="145"/>
      <c r="U1" s="145" t="s">
        <v>868</v>
      </c>
      <c r="V1" s="145"/>
      <c r="W1" s="145" t="s">
        <v>869</v>
      </c>
      <c r="X1" s="145"/>
      <c r="Y1" s="145" t="s">
        <v>870</v>
      </c>
      <c r="Z1" s="145"/>
      <c r="AA1" s="145" t="s">
        <v>871</v>
      </c>
      <c r="AB1" s="145"/>
      <c r="AC1" s="145" t="s">
        <v>872</v>
      </c>
      <c r="AD1" s="145"/>
      <c r="AE1" s="145" t="s">
        <v>873</v>
      </c>
      <c r="AF1" s="145"/>
    </row>
    <row r="2" spans="1:32" x14ac:dyDescent="0.3">
      <c r="A2" s="126" t="s">
        <v>961</v>
      </c>
      <c r="B2" s="66" t="s">
        <v>962</v>
      </c>
      <c r="C2" s="126" t="s">
        <v>961</v>
      </c>
      <c r="D2" s="66" t="s">
        <v>962</v>
      </c>
      <c r="E2" s="126" t="s">
        <v>961</v>
      </c>
      <c r="F2" s="66" t="s">
        <v>962</v>
      </c>
      <c r="G2" s="126" t="s">
        <v>961</v>
      </c>
      <c r="H2" s="66" t="s">
        <v>962</v>
      </c>
      <c r="I2" s="126" t="s">
        <v>961</v>
      </c>
      <c r="J2" s="127" t="s">
        <v>962</v>
      </c>
      <c r="K2" s="66" t="s">
        <v>961</v>
      </c>
      <c r="L2" s="66" t="s">
        <v>962</v>
      </c>
      <c r="M2" s="126" t="s">
        <v>961</v>
      </c>
      <c r="N2" s="66" t="s">
        <v>962</v>
      </c>
      <c r="O2" s="126" t="s">
        <v>961</v>
      </c>
      <c r="P2" s="66" t="s">
        <v>962</v>
      </c>
      <c r="Q2" s="126" t="s">
        <v>961</v>
      </c>
      <c r="R2" s="66" t="s">
        <v>962</v>
      </c>
      <c r="S2" s="126" t="s">
        <v>961</v>
      </c>
      <c r="T2" s="66" t="s">
        <v>962</v>
      </c>
      <c r="U2" s="126" t="s">
        <v>961</v>
      </c>
      <c r="V2" s="66" t="s">
        <v>962</v>
      </c>
      <c r="W2" s="126" t="s">
        <v>961</v>
      </c>
      <c r="X2" s="66" t="s">
        <v>962</v>
      </c>
      <c r="Y2" s="126" t="s">
        <v>961</v>
      </c>
      <c r="Z2" s="66" t="s">
        <v>962</v>
      </c>
      <c r="AA2" s="126" t="s">
        <v>961</v>
      </c>
      <c r="AB2" s="66" t="s">
        <v>962</v>
      </c>
      <c r="AC2" s="126" t="s">
        <v>961</v>
      </c>
      <c r="AD2" s="66" t="s">
        <v>962</v>
      </c>
      <c r="AE2" s="126" t="s">
        <v>961</v>
      </c>
      <c r="AF2" s="127" t="s">
        <v>962</v>
      </c>
    </row>
    <row r="3" spans="1:32" x14ac:dyDescent="0.3">
      <c r="A3" s="118" t="s">
        <v>967</v>
      </c>
      <c r="B3" t="s">
        <v>965</v>
      </c>
      <c r="C3" s="118" t="s">
        <v>1014</v>
      </c>
      <c r="D3" t="s">
        <v>1012</v>
      </c>
      <c r="E3" s="118" t="s">
        <v>1061</v>
      </c>
      <c r="F3" t="s">
        <v>1059</v>
      </c>
      <c r="G3" s="118" t="s">
        <v>1108</v>
      </c>
      <c r="H3" t="s">
        <v>1106</v>
      </c>
      <c r="I3" s="118" t="s">
        <v>1155</v>
      </c>
      <c r="J3" s="119" t="s">
        <v>1153</v>
      </c>
      <c r="K3" t="s">
        <v>1202</v>
      </c>
      <c r="L3" t="s">
        <v>1200</v>
      </c>
      <c r="M3" s="118" t="s">
        <v>1249</v>
      </c>
      <c r="N3" t="s">
        <v>1247</v>
      </c>
      <c r="O3" s="118" t="s">
        <v>1296</v>
      </c>
      <c r="P3" t="s">
        <v>1294</v>
      </c>
      <c r="Q3" s="118" t="s">
        <v>1343</v>
      </c>
      <c r="R3" t="s">
        <v>1341</v>
      </c>
      <c r="S3" s="118" t="s">
        <v>1390</v>
      </c>
      <c r="T3" t="s">
        <v>1388</v>
      </c>
      <c r="U3" s="118" t="s">
        <v>1437</v>
      </c>
      <c r="V3" t="s">
        <v>1435</v>
      </c>
      <c r="W3" s="118" t="s">
        <v>1484</v>
      </c>
      <c r="X3" t="s">
        <v>1482</v>
      </c>
      <c r="Y3" s="118" t="s">
        <v>1531</v>
      </c>
      <c r="Z3" t="s">
        <v>1529</v>
      </c>
      <c r="AA3" s="118" t="s">
        <v>1578</v>
      </c>
      <c r="AB3" t="s">
        <v>1576</v>
      </c>
      <c r="AC3" s="118" t="s">
        <v>1625</v>
      </c>
      <c r="AD3" t="s">
        <v>1623</v>
      </c>
      <c r="AE3" s="118" t="s">
        <v>1672</v>
      </c>
      <c r="AF3" s="119" t="s">
        <v>1670</v>
      </c>
    </row>
    <row r="4" spans="1:32" x14ac:dyDescent="0.3">
      <c r="A4" s="118" t="s">
        <v>968</v>
      </c>
      <c r="B4" t="s">
        <v>970</v>
      </c>
      <c r="C4" s="118" t="s">
        <v>1015</v>
      </c>
      <c r="D4" t="s">
        <v>1005</v>
      </c>
      <c r="E4" s="118" t="s">
        <v>1062</v>
      </c>
      <c r="F4" t="s">
        <v>1042</v>
      </c>
      <c r="G4" s="118" t="s">
        <v>1109</v>
      </c>
      <c r="H4" t="s">
        <v>1079</v>
      </c>
      <c r="I4" s="118" t="s">
        <v>1156</v>
      </c>
      <c r="J4" s="119" t="s">
        <v>1116</v>
      </c>
      <c r="K4" t="s">
        <v>1203</v>
      </c>
      <c r="L4" t="s">
        <v>1151</v>
      </c>
      <c r="M4" s="118" t="s">
        <v>1250</v>
      </c>
      <c r="N4" t="s">
        <v>1188</v>
      </c>
      <c r="O4" s="118" t="s">
        <v>1297</v>
      </c>
      <c r="P4" t="s">
        <v>1225</v>
      </c>
      <c r="Q4" s="118" t="s">
        <v>1344</v>
      </c>
      <c r="R4" t="s">
        <v>1262</v>
      </c>
      <c r="S4" s="118" t="s">
        <v>1391</v>
      </c>
      <c r="T4" t="s">
        <v>1299</v>
      </c>
      <c r="U4" s="118" t="s">
        <v>1438</v>
      </c>
      <c r="V4" t="s">
        <v>1334</v>
      </c>
      <c r="W4" s="118" t="s">
        <v>1485</v>
      </c>
      <c r="X4" t="s">
        <v>1371</v>
      </c>
      <c r="Y4" s="118" t="s">
        <v>1532</v>
      </c>
      <c r="Z4" t="s">
        <v>1408</v>
      </c>
      <c r="AA4" s="118" t="s">
        <v>1579</v>
      </c>
      <c r="AB4" t="s">
        <v>1445</v>
      </c>
      <c r="AC4" s="118" t="s">
        <v>1626</v>
      </c>
      <c r="AD4" t="s">
        <v>1480</v>
      </c>
      <c r="AE4" s="118" t="s">
        <v>1673</v>
      </c>
      <c r="AF4" s="119" t="s">
        <v>1517</v>
      </c>
    </row>
    <row r="5" spans="1:32" x14ac:dyDescent="0.3">
      <c r="A5" s="118" t="s">
        <v>972</v>
      </c>
      <c r="B5" t="s">
        <v>975</v>
      </c>
      <c r="C5" s="118" t="s">
        <v>1019</v>
      </c>
      <c r="D5" t="s">
        <v>1010</v>
      </c>
      <c r="E5" s="118" t="s">
        <v>1066</v>
      </c>
      <c r="F5" t="s">
        <v>1047</v>
      </c>
      <c r="G5" s="118" t="s">
        <v>1113</v>
      </c>
      <c r="H5" t="s">
        <v>1084</v>
      </c>
      <c r="I5" s="118" t="s">
        <v>1160</v>
      </c>
      <c r="J5" s="119" t="s">
        <v>1121</v>
      </c>
      <c r="K5" t="s">
        <v>1207</v>
      </c>
      <c r="L5" t="s">
        <v>1158</v>
      </c>
      <c r="M5" s="118" t="s">
        <v>1254</v>
      </c>
      <c r="N5" t="s">
        <v>1193</v>
      </c>
      <c r="O5" s="118" t="s">
        <v>1301</v>
      </c>
      <c r="P5" t="s">
        <v>1230</v>
      </c>
      <c r="Q5" s="118" t="s">
        <v>1348</v>
      </c>
      <c r="R5" t="s">
        <v>1267</v>
      </c>
      <c r="S5" s="118" t="s">
        <v>1395</v>
      </c>
      <c r="T5" t="s">
        <v>1304</v>
      </c>
      <c r="U5" s="118" t="s">
        <v>1442</v>
      </c>
      <c r="V5" t="s">
        <v>1339</v>
      </c>
      <c r="W5" s="118" t="s">
        <v>1489</v>
      </c>
      <c r="X5" t="s">
        <v>1376</v>
      </c>
      <c r="Y5" s="118" t="s">
        <v>1536</v>
      </c>
      <c r="Z5" t="s">
        <v>1413</v>
      </c>
      <c r="AA5" s="118" t="s">
        <v>1583</v>
      </c>
      <c r="AB5" t="s">
        <v>1450</v>
      </c>
      <c r="AC5" s="118" t="s">
        <v>1630</v>
      </c>
      <c r="AD5" t="s">
        <v>1487</v>
      </c>
      <c r="AE5" s="118" t="s">
        <v>1677</v>
      </c>
      <c r="AF5" s="119" t="s">
        <v>1522</v>
      </c>
    </row>
    <row r="6" spans="1:32" x14ac:dyDescent="0.3">
      <c r="A6" s="118" t="s">
        <v>973</v>
      </c>
      <c r="B6" t="s">
        <v>980</v>
      </c>
      <c r="C6" s="118" t="s">
        <v>1020</v>
      </c>
      <c r="D6" t="s">
        <v>1017</v>
      </c>
      <c r="E6" s="118" t="s">
        <v>1067</v>
      </c>
      <c r="F6" t="s">
        <v>1052</v>
      </c>
      <c r="G6" s="118" t="s">
        <v>1114</v>
      </c>
      <c r="H6" t="s">
        <v>1089</v>
      </c>
      <c r="I6" s="118" t="s">
        <v>1161</v>
      </c>
      <c r="J6" s="119" t="s">
        <v>1126</v>
      </c>
      <c r="K6" t="s">
        <v>1208</v>
      </c>
      <c r="L6" t="s">
        <v>1163</v>
      </c>
      <c r="M6" s="118" t="s">
        <v>1255</v>
      </c>
      <c r="N6" t="s">
        <v>1198</v>
      </c>
      <c r="O6" s="118" t="s">
        <v>1302</v>
      </c>
      <c r="P6" t="s">
        <v>1235</v>
      </c>
      <c r="Q6" s="118" t="s">
        <v>1349</v>
      </c>
      <c r="R6" t="s">
        <v>1272</v>
      </c>
      <c r="S6" s="118" t="s">
        <v>1396</v>
      </c>
      <c r="T6" t="s">
        <v>1309</v>
      </c>
      <c r="U6" s="118" t="s">
        <v>1443</v>
      </c>
      <c r="V6" t="s">
        <v>1346</v>
      </c>
      <c r="W6" s="118" t="s">
        <v>1490</v>
      </c>
      <c r="X6" t="s">
        <v>1381</v>
      </c>
      <c r="Y6" s="118" t="s">
        <v>1537</v>
      </c>
      <c r="Z6" t="s">
        <v>1418</v>
      </c>
      <c r="AA6" s="118" t="s">
        <v>1584</v>
      </c>
      <c r="AB6" t="s">
        <v>1455</v>
      </c>
      <c r="AC6" s="118" t="s">
        <v>1631</v>
      </c>
      <c r="AD6" t="s">
        <v>1492</v>
      </c>
      <c r="AE6" s="118" t="s">
        <v>1678</v>
      </c>
      <c r="AF6" s="119" t="s">
        <v>1527</v>
      </c>
    </row>
    <row r="7" spans="1:32" x14ac:dyDescent="0.3">
      <c r="A7" s="118" t="s">
        <v>977</v>
      </c>
      <c r="B7" t="s">
        <v>985</v>
      </c>
      <c r="C7" s="118" t="s">
        <v>1024</v>
      </c>
      <c r="D7" t="s">
        <v>1022</v>
      </c>
      <c r="E7" s="118" t="s">
        <v>1071</v>
      </c>
      <c r="F7" t="s">
        <v>1057</v>
      </c>
      <c r="G7" s="118" t="s">
        <v>1118</v>
      </c>
      <c r="H7" t="s">
        <v>1094</v>
      </c>
      <c r="I7" s="118" t="s">
        <v>1165</v>
      </c>
      <c r="J7" s="119" t="s">
        <v>1131</v>
      </c>
      <c r="K7" t="s">
        <v>1212</v>
      </c>
      <c r="L7" t="s">
        <v>1168</v>
      </c>
      <c r="M7" s="118" t="s">
        <v>1259</v>
      </c>
      <c r="N7" t="s">
        <v>1205</v>
      </c>
      <c r="O7" s="118" t="s">
        <v>1306</v>
      </c>
      <c r="P7" t="s">
        <v>1240</v>
      </c>
      <c r="Q7" s="118" t="s">
        <v>1353</v>
      </c>
      <c r="R7" t="s">
        <v>1277</v>
      </c>
      <c r="S7" s="118" t="s">
        <v>1400</v>
      </c>
      <c r="T7" t="s">
        <v>1314</v>
      </c>
      <c r="U7" s="118" t="s">
        <v>1447</v>
      </c>
      <c r="V7" t="s">
        <v>1351</v>
      </c>
      <c r="W7" s="118" t="s">
        <v>1494</v>
      </c>
      <c r="X7" t="s">
        <v>1386</v>
      </c>
      <c r="Y7" s="118" t="s">
        <v>1541</v>
      </c>
      <c r="Z7" t="s">
        <v>1423</v>
      </c>
      <c r="AA7" s="118" t="s">
        <v>1588</v>
      </c>
      <c r="AB7" t="s">
        <v>1460</v>
      </c>
      <c r="AC7" s="118" t="s">
        <v>1635</v>
      </c>
      <c r="AD7" t="s">
        <v>1497</v>
      </c>
      <c r="AE7" s="118" t="s">
        <v>1682</v>
      </c>
      <c r="AF7" s="119" t="s">
        <v>1534</v>
      </c>
    </row>
    <row r="8" spans="1:32" x14ac:dyDescent="0.3">
      <c r="A8" s="118" t="s">
        <v>978</v>
      </c>
      <c r="B8" t="s">
        <v>990</v>
      </c>
      <c r="C8" s="118" t="s">
        <v>1025</v>
      </c>
      <c r="D8" t="s">
        <v>1027</v>
      </c>
      <c r="E8" s="118" t="s">
        <v>1072</v>
      </c>
      <c r="F8" t="s">
        <v>1064</v>
      </c>
      <c r="G8" s="118" t="s">
        <v>1119</v>
      </c>
      <c r="H8" t="s">
        <v>1099</v>
      </c>
      <c r="I8" s="118" t="s">
        <v>1166</v>
      </c>
      <c r="J8" s="119" t="s">
        <v>1136</v>
      </c>
      <c r="K8" t="s">
        <v>1213</v>
      </c>
      <c r="L8" t="s">
        <v>1173</v>
      </c>
      <c r="M8" s="118" t="s">
        <v>1260</v>
      </c>
      <c r="N8" t="s">
        <v>1210</v>
      </c>
      <c r="O8" s="118" t="s">
        <v>1307</v>
      </c>
      <c r="P8" t="s">
        <v>1245</v>
      </c>
      <c r="Q8" s="118" t="s">
        <v>1354</v>
      </c>
      <c r="R8" t="s">
        <v>1282</v>
      </c>
      <c r="S8" s="118" t="s">
        <v>1401</v>
      </c>
      <c r="T8" t="s">
        <v>1319</v>
      </c>
      <c r="U8" s="118" t="s">
        <v>1448</v>
      </c>
      <c r="V8" t="s">
        <v>1356</v>
      </c>
      <c r="W8" s="118" t="s">
        <v>1495</v>
      </c>
      <c r="X8" t="s">
        <v>1393</v>
      </c>
      <c r="Y8" s="118" t="s">
        <v>1542</v>
      </c>
      <c r="Z8" t="s">
        <v>1428</v>
      </c>
      <c r="AA8" s="118" t="s">
        <v>1589</v>
      </c>
      <c r="AB8" t="s">
        <v>1465</v>
      </c>
      <c r="AC8" s="118" t="s">
        <v>1636</v>
      </c>
      <c r="AD8" t="s">
        <v>1502</v>
      </c>
      <c r="AE8" s="118" t="s">
        <v>1683</v>
      </c>
      <c r="AF8" s="119" t="s">
        <v>1539</v>
      </c>
    </row>
    <row r="9" spans="1:32" x14ac:dyDescent="0.3">
      <c r="A9" s="118" t="s">
        <v>982</v>
      </c>
      <c r="B9" t="s">
        <v>995</v>
      </c>
      <c r="C9" s="118" t="s">
        <v>1029</v>
      </c>
      <c r="D9" t="s">
        <v>1032</v>
      </c>
      <c r="E9" s="118" t="s">
        <v>1076</v>
      </c>
      <c r="F9" t="s">
        <v>1069</v>
      </c>
      <c r="G9" s="118" t="s">
        <v>1123</v>
      </c>
      <c r="H9" t="s">
        <v>1104</v>
      </c>
      <c r="I9" s="118" t="s">
        <v>1170</v>
      </c>
      <c r="J9" s="119" t="s">
        <v>1141</v>
      </c>
      <c r="K9" t="s">
        <v>1217</v>
      </c>
      <c r="L9" t="s">
        <v>1178</v>
      </c>
      <c r="M9" s="118" t="s">
        <v>1264</v>
      </c>
      <c r="N9" t="s">
        <v>1215</v>
      </c>
      <c r="O9" s="118" t="s">
        <v>1311</v>
      </c>
      <c r="P9" t="s">
        <v>1252</v>
      </c>
      <c r="Q9" s="118" t="s">
        <v>1358</v>
      </c>
      <c r="R9" t="s">
        <v>1287</v>
      </c>
      <c r="S9" s="118" t="s">
        <v>1405</v>
      </c>
      <c r="T9" t="s">
        <v>1324</v>
      </c>
      <c r="U9" s="118" t="s">
        <v>1452</v>
      </c>
      <c r="V9" t="s">
        <v>1361</v>
      </c>
      <c r="W9" s="118" t="s">
        <v>1499</v>
      </c>
      <c r="X9" t="s">
        <v>1398</v>
      </c>
      <c r="Y9" s="118" t="s">
        <v>1546</v>
      </c>
      <c r="Z9" t="s">
        <v>1433</v>
      </c>
      <c r="AA9" s="118" t="s">
        <v>1593</v>
      </c>
      <c r="AB9" t="s">
        <v>1470</v>
      </c>
      <c r="AC9" s="118" t="s">
        <v>1640</v>
      </c>
      <c r="AD9" t="s">
        <v>1507</v>
      </c>
      <c r="AE9" s="118" t="s">
        <v>1687</v>
      </c>
      <c r="AF9" s="119" t="s">
        <v>1544</v>
      </c>
    </row>
    <row r="10" spans="1:32" x14ac:dyDescent="0.3">
      <c r="A10" s="118" t="s">
        <v>983</v>
      </c>
      <c r="B10" t="s">
        <v>1000</v>
      </c>
      <c r="C10" s="118" t="s">
        <v>1030</v>
      </c>
      <c r="D10" t="s">
        <v>1037</v>
      </c>
      <c r="E10" s="118" t="s">
        <v>1077</v>
      </c>
      <c r="F10" t="s">
        <v>1074</v>
      </c>
      <c r="G10" s="118" t="s">
        <v>1124</v>
      </c>
      <c r="H10" t="s">
        <v>1111</v>
      </c>
      <c r="I10" s="118" t="s">
        <v>1171</v>
      </c>
      <c r="J10" s="119" t="s">
        <v>1146</v>
      </c>
      <c r="K10" t="s">
        <v>1218</v>
      </c>
      <c r="L10" t="s">
        <v>1183</v>
      </c>
      <c r="M10" s="118" t="s">
        <v>1265</v>
      </c>
      <c r="N10" t="s">
        <v>1220</v>
      </c>
      <c r="O10" s="118" t="s">
        <v>1312</v>
      </c>
      <c r="P10" t="s">
        <v>1257</v>
      </c>
      <c r="Q10" s="118" t="s">
        <v>1359</v>
      </c>
      <c r="R10" t="s">
        <v>1292</v>
      </c>
      <c r="S10" s="118" t="s">
        <v>1406</v>
      </c>
      <c r="T10" t="s">
        <v>1329</v>
      </c>
      <c r="U10" s="118" t="s">
        <v>1453</v>
      </c>
      <c r="V10" t="s">
        <v>1366</v>
      </c>
      <c r="W10" s="118" t="s">
        <v>1500</v>
      </c>
      <c r="X10" t="s">
        <v>1403</v>
      </c>
      <c r="Y10" s="118" t="s">
        <v>1547</v>
      </c>
      <c r="Z10" t="s">
        <v>1440</v>
      </c>
      <c r="AA10" s="118" t="s">
        <v>1594</v>
      </c>
      <c r="AB10" t="s">
        <v>1475</v>
      </c>
      <c r="AC10" s="118" t="s">
        <v>1641</v>
      </c>
      <c r="AD10" t="s">
        <v>1512</v>
      </c>
      <c r="AE10" s="118" t="s">
        <v>1688</v>
      </c>
      <c r="AF10" s="119" t="s">
        <v>1549</v>
      </c>
    </row>
    <row r="11" spans="1:32" x14ac:dyDescent="0.3">
      <c r="A11" s="118" t="s">
        <v>987</v>
      </c>
      <c r="B11" t="s">
        <v>1554</v>
      </c>
      <c r="C11" s="118" t="s">
        <v>1034</v>
      </c>
      <c r="D11" t="s">
        <v>1606</v>
      </c>
      <c r="E11" s="118" t="s">
        <v>1081</v>
      </c>
      <c r="F11" t="s">
        <v>1658</v>
      </c>
      <c r="G11" s="118" t="s">
        <v>1128</v>
      </c>
      <c r="H11" t="s">
        <v>1710</v>
      </c>
      <c r="I11" s="118" t="s">
        <v>1175</v>
      </c>
      <c r="J11" s="119" t="s">
        <v>1760</v>
      </c>
      <c r="K11" t="s">
        <v>1222</v>
      </c>
      <c r="L11" t="s">
        <v>1810</v>
      </c>
      <c r="M11" s="118" t="s">
        <v>1269</v>
      </c>
      <c r="N11" t="s">
        <v>1860</v>
      </c>
      <c r="O11" s="118" t="s">
        <v>1316</v>
      </c>
      <c r="P11" t="s">
        <v>1910</v>
      </c>
      <c r="Q11" s="118" t="s">
        <v>1363</v>
      </c>
      <c r="R11" t="s">
        <v>1960</v>
      </c>
      <c r="S11" s="118" t="s">
        <v>1410</v>
      </c>
      <c r="T11" t="s">
        <v>2010</v>
      </c>
      <c r="U11" s="118" t="s">
        <v>1457</v>
      </c>
      <c r="V11" t="s">
        <v>2060</v>
      </c>
      <c r="W11" s="118" t="s">
        <v>1504</v>
      </c>
      <c r="X11" t="s">
        <v>2110</v>
      </c>
      <c r="Y11" s="118" t="s">
        <v>1551</v>
      </c>
      <c r="Z11" t="s">
        <v>2160</v>
      </c>
      <c r="AA11" s="118" t="s">
        <v>1598</v>
      </c>
      <c r="AB11" t="s">
        <v>2210</v>
      </c>
      <c r="AC11" s="118" t="s">
        <v>1645</v>
      </c>
      <c r="AD11" t="s">
        <v>2260</v>
      </c>
      <c r="AE11" s="118" t="s">
        <v>1692</v>
      </c>
      <c r="AF11" s="119" t="s">
        <v>2310</v>
      </c>
    </row>
    <row r="12" spans="1:32" x14ac:dyDescent="0.3">
      <c r="A12" s="118" t="s">
        <v>988</v>
      </c>
      <c r="B12" t="s">
        <v>1559</v>
      </c>
      <c r="C12" s="118" t="s">
        <v>1035</v>
      </c>
      <c r="D12" t="s">
        <v>1611</v>
      </c>
      <c r="E12" s="118" t="s">
        <v>1082</v>
      </c>
      <c r="F12" t="s">
        <v>1663</v>
      </c>
      <c r="G12" s="118" t="s">
        <v>1129</v>
      </c>
      <c r="H12" t="s">
        <v>1715</v>
      </c>
      <c r="I12" s="118" t="s">
        <v>1176</v>
      </c>
      <c r="J12" s="119" t="s">
        <v>1765</v>
      </c>
      <c r="K12" t="s">
        <v>1223</v>
      </c>
      <c r="L12" t="s">
        <v>1815</v>
      </c>
      <c r="M12" s="118" t="s">
        <v>1270</v>
      </c>
      <c r="N12" t="s">
        <v>1865</v>
      </c>
      <c r="O12" s="118" t="s">
        <v>1317</v>
      </c>
      <c r="P12" t="s">
        <v>1915</v>
      </c>
      <c r="Q12" s="118" t="s">
        <v>1364</v>
      </c>
      <c r="R12" t="s">
        <v>1965</v>
      </c>
      <c r="S12" s="118" t="s">
        <v>1411</v>
      </c>
      <c r="T12" t="s">
        <v>2015</v>
      </c>
      <c r="U12" s="118" t="s">
        <v>1458</v>
      </c>
      <c r="V12" t="s">
        <v>2065</v>
      </c>
      <c r="W12" s="118" t="s">
        <v>1505</v>
      </c>
      <c r="X12" t="s">
        <v>2115</v>
      </c>
      <c r="Y12" s="118" t="s">
        <v>1552</v>
      </c>
      <c r="Z12" t="s">
        <v>2165</v>
      </c>
      <c r="AA12" s="118" t="s">
        <v>1599</v>
      </c>
      <c r="AB12" t="s">
        <v>2215</v>
      </c>
      <c r="AC12" s="118" t="s">
        <v>1646</v>
      </c>
      <c r="AD12" t="s">
        <v>2265</v>
      </c>
      <c r="AE12" s="118" t="s">
        <v>1693</v>
      </c>
      <c r="AF12" s="119" t="s">
        <v>2315</v>
      </c>
    </row>
    <row r="13" spans="1:32" x14ac:dyDescent="0.3">
      <c r="A13" s="118" t="s">
        <v>992</v>
      </c>
      <c r="B13" t="s">
        <v>1564</v>
      </c>
      <c r="C13" s="118" t="s">
        <v>1039</v>
      </c>
      <c r="D13" t="s">
        <v>1616</v>
      </c>
      <c r="E13" s="118" t="s">
        <v>1086</v>
      </c>
      <c r="F13" t="s">
        <v>1668</v>
      </c>
      <c r="G13" s="118" t="s">
        <v>1133</v>
      </c>
      <c r="H13" t="s">
        <v>1720</v>
      </c>
      <c r="I13" s="118" t="s">
        <v>1180</v>
      </c>
      <c r="J13" s="119" t="s">
        <v>1770</v>
      </c>
      <c r="K13" t="s">
        <v>1227</v>
      </c>
      <c r="L13" t="s">
        <v>1820</v>
      </c>
      <c r="M13" s="118" t="s">
        <v>1274</v>
      </c>
      <c r="N13" t="s">
        <v>1870</v>
      </c>
      <c r="O13" s="118" t="s">
        <v>1321</v>
      </c>
      <c r="P13" t="s">
        <v>1920</v>
      </c>
      <c r="Q13" s="118" t="s">
        <v>1368</v>
      </c>
      <c r="R13" t="s">
        <v>1970</v>
      </c>
      <c r="S13" s="118" t="s">
        <v>1415</v>
      </c>
      <c r="T13" t="s">
        <v>2020</v>
      </c>
      <c r="U13" s="118" t="s">
        <v>1462</v>
      </c>
      <c r="V13" t="s">
        <v>2070</v>
      </c>
      <c r="W13" s="118" t="s">
        <v>1509</v>
      </c>
      <c r="X13" t="s">
        <v>2120</v>
      </c>
      <c r="Y13" s="118" t="s">
        <v>1556</v>
      </c>
      <c r="Z13" t="s">
        <v>2170</v>
      </c>
      <c r="AA13" s="118" t="s">
        <v>1603</v>
      </c>
      <c r="AB13" t="s">
        <v>2220</v>
      </c>
      <c r="AC13" s="118" t="s">
        <v>1650</v>
      </c>
      <c r="AD13" t="s">
        <v>2270</v>
      </c>
      <c r="AE13" s="118" t="s">
        <v>1697</v>
      </c>
      <c r="AF13" s="119" t="s">
        <v>2320</v>
      </c>
    </row>
    <row r="14" spans="1:32" x14ac:dyDescent="0.3">
      <c r="A14" s="118" t="s">
        <v>993</v>
      </c>
      <c r="B14" t="s">
        <v>1569</v>
      </c>
      <c r="C14" s="118" t="s">
        <v>1040</v>
      </c>
      <c r="D14" t="s">
        <v>1621</v>
      </c>
      <c r="E14" s="118" t="s">
        <v>1087</v>
      </c>
      <c r="F14" t="s">
        <v>1675</v>
      </c>
      <c r="G14" s="118" t="s">
        <v>1134</v>
      </c>
      <c r="H14" t="s">
        <v>1725</v>
      </c>
      <c r="I14" s="118" t="s">
        <v>1181</v>
      </c>
      <c r="J14" s="119" t="s">
        <v>1775</v>
      </c>
      <c r="K14" t="s">
        <v>1228</v>
      </c>
      <c r="L14" t="s">
        <v>1825</v>
      </c>
      <c r="M14" s="118" t="s">
        <v>1275</v>
      </c>
      <c r="N14" t="s">
        <v>1875</v>
      </c>
      <c r="O14" s="118" t="s">
        <v>1322</v>
      </c>
      <c r="P14" t="s">
        <v>1925</v>
      </c>
      <c r="Q14" s="118" t="s">
        <v>1369</v>
      </c>
      <c r="R14" t="s">
        <v>1975</v>
      </c>
      <c r="S14" s="118" t="s">
        <v>1416</v>
      </c>
      <c r="T14" t="s">
        <v>2025</v>
      </c>
      <c r="U14" s="118" t="s">
        <v>1463</v>
      </c>
      <c r="V14" t="s">
        <v>2075</v>
      </c>
      <c r="W14" s="118" t="s">
        <v>1510</v>
      </c>
      <c r="X14" t="s">
        <v>2125</v>
      </c>
      <c r="Y14" s="118" t="s">
        <v>1557</v>
      </c>
      <c r="Z14" t="s">
        <v>2175</v>
      </c>
      <c r="AA14" s="118" t="s">
        <v>1604</v>
      </c>
      <c r="AB14" t="s">
        <v>2225</v>
      </c>
      <c r="AC14" s="118" t="s">
        <v>1651</v>
      </c>
      <c r="AD14" t="s">
        <v>2275</v>
      </c>
      <c r="AE14" s="118" t="s">
        <v>1698</v>
      </c>
      <c r="AF14" s="119" t="s">
        <v>2325</v>
      </c>
    </row>
    <row r="15" spans="1:32" x14ac:dyDescent="0.3">
      <c r="A15" s="118" t="s">
        <v>997</v>
      </c>
      <c r="B15" t="s">
        <v>1574</v>
      </c>
      <c r="C15" s="118" t="s">
        <v>1044</v>
      </c>
      <c r="D15" t="s">
        <v>1628</v>
      </c>
      <c r="E15" s="118" t="s">
        <v>1091</v>
      </c>
      <c r="F15" t="s">
        <v>1680</v>
      </c>
      <c r="G15" s="118" t="s">
        <v>1138</v>
      </c>
      <c r="H15" t="s">
        <v>1730</v>
      </c>
      <c r="I15" s="118" t="s">
        <v>1185</v>
      </c>
      <c r="J15" s="119" t="s">
        <v>1780</v>
      </c>
      <c r="K15" t="s">
        <v>1232</v>
      </c>
      <c r="L15" t="s">
        <v>1830</v>
      </c>
      <c r="M15" s="118" t="s">
        <v>1279</v>
      </c>
      <c r="N15" t="s">
        <v>1880</v>
      </c>
      <c r="O15" s="118" t="s">
        <v>1326</v>
      </c>
      <c r="P15" t="s">
        <v>1930</v>
      </c>
      <c r="Q15" s="118" t="s">
        <v>1373</v>
      </c>
      <c r="R15" t="s">
        <v>1980</v>
      </c>
      <c r="S15" s="118" t="s">
        <v>1420</v>
      </c>
      <c r="T15" t="s">
        <v>2030</v>
      </c>
      <c r="U15" s="118" t="s">
        <v>1467</v>
      </c>
      <c r="V15" t="s">
        <v>2080</v>
      </c>
      <c r="W15" s="118" t="s">
        <v>1514</v>
      </c>
      <c r="X15" t="s">
        <v>2130</v>
      </c>
      <c r="Y15" s="118" t="s">
        <v>1561</v>
      </c>
      <c r="Z15" t="s">
        <v>2180</v>
      </c>
      <c r="AA15" s="118" t="s">
        <v>1608</v>
      </c>
      <c r="AB15" t="s">
        <v>2230</v>
      </c>
      <c r="AC15" s="118" t="s">
        <v>1655</v>
      </c>
      <c r="AD15" t="s">
        <v>2280</v>
      </c>
      <c r="AE15" s="118" t="s">
        <v>1702</v>
      </c>
      <c r="AF15" s="119" t="s">
        <v>2330</v>
      </c>
    </row>
    <row r="16" spans="1:32" x14ac:dyDescent="0.3">
      <c r="A16" s="118" t="s">
        <v>998</v>
      </c>
      <c r="B16" t="s">
        <v>1581</v>
      </c>
      <c r="C16" s="118" t="s">
        <v>1045</v>
      </c>
      <c r="D16" t="s">
        <v>1633</v>
      </c>
      <c r="E16" s="118" t="s">
        <v>1092</v>
      </c>
      <c r="F16" t="s">
        <v>1685</v>
      </c>
      <c r="G16" s="118" t="s">
        <v>1139</v>
      </c>
      <c r="H16" t="s">
        <v>1735</v>
      </c>
      <c r="I16" s="118" t="s">
        <v>1186</v>
      </c>
      <c r="J16" s="119" t="s">
        <v>1785</v>
      </c>
      <c r="K16" t="s">
        <v>1233</v>
      </c>
      <c r="L16" t="s">
        <v>1835</v>
      </c>
      <c r="M16" s="118" t="s">
        <v>1280</v>
      </c>
      <c r="N16" t="s">
        <v>1885</v>
      </c>
      <c r="O16" s="118" t="s">
        <v>1327</v>
      </c>
      <c r="P16" t="s">
        <v>1935</v>
      </c>
      <c r="Q16" s="118" t="s">
        <v>1374</v>
      </c>
      <c r="R16" t="s">
        <v>1985</v>
      </c>
      <c r="S16" s="118" t="s">
        <v>1421</v>
      </c>
      <c r="T16" t="s">
        <v>2035</v>
      </c>
      <c r="U16" s="118" t="s">
        <v>1468</v>
      </c>
      <c r="V16" t="s">
        <v>2085</v>
      </c>
      <c r="W16" s="118" t="s">
        <v>1515</v>
      </c>
      <c r="X16" t="s">
        <v>2135</v>
      </c>
      <c r="Y16" s="118" t="s">
        <v>1562</v>
      </c>
      <c r="Z16" t="s">
        <v>2185</v>
      </c>
      <c r="AA16" s="118" t="s">
        <v>1609</v>
      </c>
      <c r="AB16" t="s">
        <v>2235</v>
      </c>
      <c r="AC16" s="118" t="s">
        <v>1656</v>
      </c>
      <c r="AD16" t="s">
        <v>2285</v>
      </c>
      <c r="AE16" s="118" t="s">
        <v>1703</v>
      </c>
      <c r="AF16" s="119" t="s">
        <v>2335</v>
      </c>
    </row>
    <row r="17" spans="1:32" x14ac:dyDescent="0.3">
      <c r="A17" s="118" t="s">
        <v>1002</v>
      </c>
      <c r="B17" t="s">
        <v>1586</v>
      </c>
      <c r="C17" s="118" t="s">
        <v>1049</v>
      </c>
      <c r="D17" t="s">
        <v>1638</v>
      </c>
      <c r="E17" s="118" t="s">
        <v>1096</v>
      </c>
      <c r="F17" t="s">
        <v>1690</v>
      </c>
      <c r="G17" s="118" t="s">
        <v>1143</v>
      </c>
      <c r="H17" t="s">
        <v>1740</v>
      </c>
      <c r="I17" s="118" t="s">
        <v>1190</v>
      </c>
      <c r="J17" s="119" t="s">
        <v>1790</v>
      </c>
      <c r="K17" t="s">
        <v>1237</v>
      </c>
      <c r="L17" t="s">
        <v>1840</v>
      </c>
      <c r="M17" s="118" t="s">
        <v>1284</v>
      </c>
      <c r="N17" t="s">
        <v>1890</v>
      </c>
      <c r="O17" s="118" t="s">
        <v>1331</v>
      </c>
      <c r="P17" t="s">
        <v>1940</v>
      </c>
      <c r="Q17" s="118" t="s">
        <v>1378</v>
      </c>
      <c r="R17" t="s">
        <v>1990</v>
      </c>
      <c r="S17" s="118" t="s">
        <v>1425</v>
      </c>
      <c r="T17" t="s">
        <v>2040</v>
      </c>
      <c r="U17" s="118" t="s">
        <v>1472</v>
      </c>
      <c r="V17" t="s">
        <v>2090</v>
      </c>
      <c r="W17" s="118" t="s">
        <v>1519</v>
      </c>
      <c r="X17" t="s">
        <v>2140</v>
      </c>
      <c r="Y17" s="118" t="s">
        <v>1566</v>
      </c>
      <c r="Z17" t="s">
        <v>2190</v>
      </c>
      <c r="AA17" s="118" t="s">
        <v>1613</v>
      </c>
      <c r="AB17" t="s">
        <v>2240</v>
      </c>
      <c r="AC17" s="118" t="s">
        <v>1660</v>
      </c>
      <c r="AD17" t="s">
        <v>2290</v>
      </c>
      <c r="AE17" s="118" t="s">
        <v>1707</v>
      </c>
      <c r="AF17" s="119" t="s">
        <v>2340</v>
      </c>
    </row>
    <row r="18" spans="1:32" x14ac:dyDescent="0.3">
      <c r="A18" s="118" t="s">
        <v>1003</v>
      </c>
      <c r="B18" t="s">
        <v>1591</v>
      </c>
      <c r="C18" s="118" t="s">
        <v>1050</v>
      </c>
      <c r="D18" t="s">
        <v>1643</v>
      </c>
      <c r="E18" s="118" t="s">
        <v>1097</v>
      </c>
      <c r="F18" t="s">
        <v>1695</v>
      </c>
      <c r="G18" s="118" t="s">
        <v>1144</v>
      </c>
      <c r="H18" t="s">
        <v>1745</v>
      </c>
      <c r="I18" s="118" t="s">
        <v>1191</v>
      </c>
      <c r="J18" s="119" t="s">
        <v>1795</v>
      </c>
      <c r="K18" t="s">
        <v>1238</v>
      </c>
      <c r="L18" t="s">
        <v>1845</v>
      </c>
      <c r="M18" s="118" t="s">
        <v>1285</v>
      </c>
      <c r="N18" t="s">
        <v>1895</v>
      </c>
      <c r="O18" s="118" t="s">
        <v>1332</v>
      </c>
      <c r="P18" t="s">
        <v>1945</v>
      </c>
      <c r="Q18" s="118" t="s">
        <v>1379</v>
      </c>
      <c r="R18" t="s">
        <v>1995</v>
      </c>
      <c r="S18" s="118" t="s">
        <v>1426</v>
      </c>
      <c r="T18" t="s">
        <v>2045</v>
      </c>
      <c r="U18" s="118" t="s">
        <v>1473</v>
      </c>
      <c r="V18" t="s">
        <v>2095</v>
      </c>
      <c r="W18" s="118" t="s">
        <v>1520</v>
      </c>
      <c r="X18" t="s">
        <v>2145</v>
      </c>
      <c r="Y18" s="118" t="s">
        <v>1567</v>
      </c>
      <c r="Z18" t="s">
        <v>2195</v>
      </c>
      <c r="AA18" s="118" t="s">
        <v>1614</v>
      </c>
      <c r="AB18" t="s">
        <v>2245</v>
      </c>
      <c r="AC18" s="118" t="s">
        <v>1661</v>
      </c>
      <c r="AD18" t="s">
        <v>2295</v>
      </c>
      <c r="AE18" s="118" t="s">
        <v>1708</v>
      </c>
      <c r="AF18" s="119" t="s">
        <v>2345</v>
      </c>
    </row>
    <row r="19" spans="1:32" x14ac:dyDescent="0.3">
      <c r="A19" s="118" t="s">
        <v>1007</v>
      </c>
      <c r="B19" t="s">
        <v>1596</v>
      </c>
      <c r="C19" s="118" t="s">
        <v>1054</v>
      </c>
      <c r="D19" t="s">
        <v>1648</v>
      </c>
      <c r="E19" s="118" t="s">
        <v>1101</v>
      </c>
      <c r="F19" t="s">
        <v>1700</v>
      </c>
      <c r="G19" s="118" t="s">
        <v>1148</v>
      </c>
      <c r="H19" t="s">
        <v>1750</v>
      </c>
      <c r="I19" s="118" t="s">
        <v>1195</v>
      </c>
      <c r="J19" s="119" t="s">
        <v>1800</v>
      </c>
      <c r="K19" t="s">
        <v>1242</v>
      </c>
      <c r="L19" t="s">
        <v>1850</v>
      </c>
      <c r="M19" s="118" t="s">
        <v>1289</v>
      </c>
      <c r="N19" t="s">
        <v>1900</v>
      </c>
      <c r="O19" s="118" t="s">
        <v>1336</v>
      </c>
      <c r="P19" t="s">
        <v>1950</v>
      </c>
      <c r="Q19" s="118" t="s">
        <v>1383</v>
      </c>
      <c r="R19" t="s">
        <v>2000</v>
      </c>
      <c r="S19" s="118" t="s">
        <v>1430</v>
      </c>
      <c r="T19" t="s">
        <v>2050</v>
      </c>
      <c r="U19" s="118" t="s">
        <v>1477</v>
      </c>
      <c r="V19" t="s">
        <v>2100</v>
      </c>
      <c r="W19" s="118" t="s">
        <v>1524</v>
      </c>
      <c r="X19" t="s">
        <v>2150</v>
      </c>
      <c r="Y19" s="118" t="s">
        <v>1571</v>
      </c>
      <c r="Z19" t="s">
        <v>2200</v>
      </c>
      <c r="AA19" s="118" t="s">
        <v>1618</v>
      </c>
      <c r="AB19" t="s">
        <v>2250</v>
      </c>
      <c r="AC19" s="118" t="s">
        <v>1665</v>
      </c>
      <c r="AD19" t="s">
        <v>2300</v>
      </c>
      <c r="AE19" s="118" t="s">
        <v>1712</v>
      </c>
      <c r="AF19" s="119" t="s">
        <v>2350</v>
      </c>
    </row>
    <row r="20" spans="1:32" x14ac:dyDescent="0.3">
      <c r="A20" s="118" t="s">
        <v>1008</v>
      </c>
      <c r="B20" t="s">
        <v>1601</v>
      </c>
      <c r="C20" s="118" t="s">
        <v>1055</v>
      </c>
      <c r="D20" t="s">
        <v>1653</v>
      </c>
      <c r="E20" s="118" t="s">
        <v>1102</v>
      </c>
      <c r="F20" t="s">
        <v>1705</v>
      </c>
      <c r="G20" s="118" t="s">
        <v>1149</v>
      </c>
      <c r="H20" t="s">
        <v>1755</v>
      </c>
      <c r="I20" s="118" t="s">
        <v>1196</v>
      </c>
      <c r="J20" s="119" t="s">
        <v>1805</v>
      </c>
      <c r="K20" t="s">
        <v>1243</v>
      </c>
      <c r="L20" t="s">
        <v>1855</v>
      </c>
      <c r="M20" s="118" t="s">
        <v>1290</v>
      </c>
      <c r="N20" t="s">
        <v>1905</v>
      </c>
      <c r="O20" s="118" t="s">
        <v>1337</v>
      </c>
      <c r="P20" t="s">
        <v>1955</v>
      </c>
      <c r="Q20" s="118" t="s">
        <v>1384</v>
      </c>
      <c r="R20" t="s">
        <v>2005</v>
      </c>
      <c r="S20" s="118" t="s">
        <v>1431</v>
      </c>
      <c r="T20" t="s">
        <v>2055</v>
      </c>
      <c r="U20" s="118" t="s">
        <v>1478</v>
      </c>
      <c r="V20" t="s">
        <v>2105</v>
      </c>
      <c r="W20" s="118" t="s">
        <v>1525</v>
      </c>
      <c r="X20" t="s">
        <v>2155</v>
      </c>
      <c r="Y20" s="118" t="s">
        <v>1572</v>
      </c>
      <c r="Z20" t="s">
        <v>2205</v>
      </c>
      <c r="AA20" s="118" t="s">
        <v>1619</v>
      </c>
      <c r="AB20" t="s">
        <v>2255</v>
      </c>
      <c r="AC20" s="118" t="s">
        <v>1666</v>
      </c>
      <c r="AD20" t="s">
        <v>2305</v>
      </c>
      <c r="AE20" s="118" t="s">
        <v>1713</v>
      </c>
      <c r="AF20" s="119" t="s">
        <v>2355</v>
      </c>
    </row>
    <row r="21" spans="1:32" x14ac:dyDescent="0.3">
      <c r="A21" s="118" t="s">
        <v>1717</v>
      </c>
      <c r="B21" t="s">
        <v>2360</v>
      </c>
      <c r="C21" s="118" t="s">
        <v>1767</v>
      </c>
      <c r="D21" t="s">
        <v>2410</v>
      </c>
      <c r="E21" s="118" t="s">
        <v>1817</v>
      </c>
      <c r="F21" t="s">
        <v>2460</v>
      </c>
      <c r="G21" s="118" t="s">
        <v>1867</v>
      </c>
      <c r="H21" t="s">
        <v>2510</v>
      </c>
      <c r="I21" s="118" t="s">
        <v>1917</v>
      </c>
      <c r="J21" s="119" t="s">
        <v>2560</v>
      </c>
      <c r="K21" t="s">
        <v>1967</v>
      </c>
      <c r="L21" t="s">
        <v>2610</v>
      </c>
      <c r="M21" s="118" t="s">
        <v>2017</v>
      </c>
      <c r="N21" t="s">
        <v>2660</v>
      </c>
      <c r="O21" s="118" t="s">
        <v>2067</v>
      </c>
      <c r="P21" t="s">
        <v>2710</v>
      </c>
      <c r="Q21" s="118" t="s">
        <v>2117</v>
      </c>
      <c r="R21" t="s">
        <v>2760</v>
      </c>
      <c r="S21" s="118" t="s">
        <v>2167</v>
      </c>
      <c r="T21" t="s">
        <v>2810</v>
      </c>
      <c r="U21" s="118" t="s">
        <v>2217</v>
      </c>
      <c r="V21" t="s">
        <v>2860</v>
      </c>
      <c r="W21" s="118" t="s">
        <v>2267</v>
      </c>
      <c r="X21" t="s">
        <v>2910</v>
      </c>
      <c r="Y21" s="118" t="s">
        <v>2317</v>
      </c>
      <c r="Z21" t="s">
        <v>2960</v>
      </c>
      <c r="AA21" s="118" t="s">
        <v>2367</v>
      </c>
      <c r="AB21" t="s">
        <v>3010</v>
      </c>
      <c r="AC21" s="118" t="s">
        <v>2417</v>
      </c>
      <c r="AD21" t="s">
        <v>3060</v>
      </c>
      <c r="AE21" s="118" t="s">
        <v>2467</v>
      </c>
      <c r="AF21" s="119" t="s">
        <v>3110</v>
      </c>
    </row>
    <row r="22" spans="1:32" x14ac:dyDescent="0.3">
      <c r="A22" s="118" t="s">
        <v>1718</v>
      </c>
      <c r="B22" t="s">
        <v>2365</v>
      </c>
      <c r="C22" s="118" t="s">
        <v>1768</v>
      </c>
      <c r="D22" t="s">
        <v>2415</v>
      </c>
      <c r="E22" s="118" t="s">
        <v>1818</v>
      </c>
      <c r="F22" t="s">
        <v>2465</v>
      </c>
      <c r="G22" s="118" t="s">
        <v>1868</v>
      </c>
      <c r="H22" t="s">
        <v>2515</v>
      </c>
      <c r="I22" s="118" t="s">
        <v>1918</v>
      </c>
      <c r="J22" s="119" t="s">
        <v>2565</v>
      </c>
      <c r="K22" t="s">
        <v>1968</v>
      </c>
      <c r="L22" t="s">
        <v>2615</v>
      </c>
      <c r="M22" s="118" t="s">
        <v>2018</v>
      </c>
      <c r="N22" t="s">
        <v>2665</v>
      </c>
      <c r="O22" s="118" t="s">
        <v>2068</v>
      </c>
      <c r="P22" t="s">
        <v>2715</v>
      </c>
      <c r="Q22" s="118" t="s">
        <v>2118</v>
      </c>
      <c r="R22" t="s">
        <v>2765</v>
      </c>
      <c r="S22" s="118" t="s">
        <v>2168</v>
      </c>
      <c r="T22" t="s">
        <v>2815</v>
      </c>
      <c r="U22" s="118" t="s">
        <v>2218</v>
      </c>
      <c r="V22" t="s">
        <v>2865</v>
      </c>
      <c r="W22" s="118" t="s">
        <v>2268</v>
      </c>
      <c r="X22" t="s">
        <v>2915</v>
      </c>
      <c r="Y22" s="118" t="s">
        <v>2318</v>
      </c>
      <c r="Z22" t="s">
        <v>2965</v>
      </c>
      <c r="AA22" s="118" t="s">
        <v>2368</v>
      </c>
      <c r="AB22" t="s">
        <v>3015</v>
      </c>
      <c r="AC22" s="118" t="s">
        <v>2418</v>
      </c>
      <c r="AD22" t="s">
        <v>3065</v>
      </c>
      <c r="AE22" s="118" t="s">
        <v>2468</v>
      </c>
      <c r="AF22" s="119" t="s">
        <v>3115</v>
      </c>
    </row>
    <row r="23" spans="1:32" x14ac:dyDescent="0.3">
      <c r="A23" s="118" t="s">
        <v>1722</v>
      </c>
      <c r="B23" t="s">
        <v>2370</v>
      </c>
      <c r="C23" s="118" t="s">
        <v>1772</v>
      </c>
      <c r="D23" t="s">
        <v>2420</v>
      </c>
      <c r="E23" s="118" t="s">
        <v>1822</v>
      </c>
      <c r="F23" t="s">
        <v>2470</v>
      </c>
      <c r="G23" s="118" t="s">
        <v>1872</v>
      </c>
      <c r="H23" t="s">
        <v>2520</v>
      </c>
      <c r="I23" s="118" t="s">
        <v>1922</v>
      </c>
      <c r="J23" s="119" t="s">
        <v>2570</v>
      </c>
      <c r="K23" t="s">
        <v>1972</v>
      </c>
      <c r="L23" t="s">
        <v>2620</v>
      </c>
      <c r="M23" s="118" t="s">
        <v>2022</v>
      </c>
      <c r="N23" t="s">
        <v>2670</v>
      </c>
      <c r="O23" s="118" t="s">
        <v>2072</v>
      </c>
      <c r="P23" t="s">
        <v>2720</v>
      </c>
      <c r="Q23" s="118" t="s">
        <v>2122</v>
      </c>
      <c r="R23" t="s">
        <v>2770</v>
      </c>
      <c r="S23" s="118" t="s">
        <v>2172</v>
      </c>
      <c r="T23" t="s">
        <v>2820</v>
      </c>
      <c r="U23" s="118" t="s">
        <v>2222</v>
      </c>
      <c r="V23" t="s">
        <v>2870</v>
      </c>
      <c r="W23" s="118" t="s">
        <v>2272</v>
      </c>
      <c r="X23" t="s">
        <v>2920</v>
      </c>
      <c r="Y23" s="118" t="s">
        <v>2322</v>
      </c>
      <c r="Z23" t="s">
        <v>2970</v>
      </c>
      <c r="AA23" s="118" t="s">
        <v>2372</v>
      </c>
      <c r="AB23" t="s">
        <v>3020</v>
      </c>
      <c r="AC23" s="118" t="s">
        <v>2422</v>
      </c>
      <c r="AD23" t="s">
        <v>3070</v>
      </c>
      <c r="AE23" s="118" t="s">
        <v>2472</v>
      </c>
      <c r="AF23" s="119" t="s">
        <v>3120</v>
      </c>
    </row>
    <row r="24" spans="1:32" x14ac:dyDescent="0.3">
      <c r="A24" s="118" t="s">
        <v>1723</v>
      </c>
      <c r="B24" t="s">
        <v>2375</v>
      </c>
      <c r="C24" s="118" t="s">
        <v>1773</v>
      </c>
      <c r="D24" t="s">
        <v>2425</v>
      </c>
      <c r="E24" s="118" t="s">
        <v>1823</v>
      </c>
      <c r="F24" t="s">
        <v>2475</v>
      </c>
      <c r="G24" s="118" t="s">
        <v>1873</v>
      </c>
      <c r="H24" t="s">
        <v>2525</v>
      </c>
      <c r="I24" s="118" t="s">
        <v>1923</v>
      </c>
      <c r="J24" s="119" t="s">
        <v>2575</v>
      </c>
      <c r="K24" t="s">
        <v>1973</v>
      </c>
      <c r="L24" t="s">
        <v>2625</v>
      </c>
      <c r="M24" s="118" t="s">
        <v>2023</v>
      </c>
      <c r="N24" t="s">
        <v>2675</v>
      </c>
      <c r="O24" s="118" t="s">
        <v>2073</v>
      </c>
      <c r="P24" t="s">
        <v>2725</v>
      </c>
      <c r="Q24" s="118" t="s">
        <v>2123</v>
      </c>
      <c r="R24" t="s">
        <v>2775</v>
      </c>
      <c r="S24" s="118" t="s">
        <v>2173</v>
      </c>
      <c r="T24" t="s">
        <v>2825</v>
      </c>
      <c r="U24" s="118" t="s">
        <v>2223</v>
      </c>
      <c r="V24" t="s">
        <v>2875</v>
      </c>
      <c r="W24" s="118" t="s">
        <v>2273</v>
      </c>
      <c r="X24" t="s">
        <v>2925</v>
      </c>
      <c r="Y24" s="118" t="s">
        <v>2323</v>
      </c>
      <c r="Z24" t="s">
        <v>2975</v>
      </c>
      <c r="AA24" s="118" t="s">
        <v>2373</v>
      </c>
      <c r="AB24" t="s">
        <v>3025</v>
      </c>
      <c r="AC24" s="118" t="s">
        <v>2423</v>
      </c>
      <c r="AD24" t="s">
        <v>3075</v>
      </c>
      <c r="AE24" s="118" t="s">
        <v>2473</v>
      </c>
      <c r="AF24" s="119" t="s">
        <v>3125</v>
      </c>
    </row>
    <row r="25" spans="1:32" x14ac:dyDescent="0.3">
      <c r="A25" s="118" t="s">
        <v>1727</v>
      </c>
      <c r="B25" t="s">
        <v>2380</v>
      </c>
      <c r="C25" s="118" t="s">
        <v>1777</v>
      </c>
      <c r="D25" t="s">
        <v>2430</v>
      </c>
      <c r="E25" s="118" t="s">
        <v>1827</v>
      </c>
      <c r="F25" t="s">
        <v>2480</v>
      </c>
      <c r="G25" s="118" t="s">
        <v>1877</v>
      </c>
      <c r="H25" t="s">
        <v>2530</v>
      </c>
      <c r="I25" s="118" t="s">
        <v>1927</v>
      </c>
      <c r="J25" s="119" t="s">
        <v>2580</v>
      </c>
      <c r="K25" t="s">
        <v>1977</v>
      </c>
      <c r="L25" t="s">
        <v>2630</v>
      </c>
      <c r="M25" s="118" t="s">
        <v>2027</v>
      </c>
      <c r="N25" t="s">
        <v>2680</v>
      </c>
      <c r="O25" s="118" t="s">
        <v>2077</v>
      </c>
      <c r="P25" t="s">
        <v>2730</v>
      </c>
      <c r="Q25" s="118" t="s">
        <v>2127</v>
      </c>
      <c r="R25" t="s">
        <v>2780</v>
      </c>
      <c r="S25" s="118" t="s">
        <v>2177</v>
      </c>
      <c r="T25" t="s">
        <v>2830</v>
      </c>
      <c r="U25" s="118" t="s">
        <v>2227</v>
      </c>
      <c r="V25" t="s">
        <v>2880</v>
      </c>
      <c r="W25" s="118" t="s">
        <v>2277</v>
      </c>
      <c r="X25" t="s">
        <v>2930</v>
      </c>
      <c r="Y25" s="118" t="s">
        <v>2327</v>
      </c>
      <c r="Z25" t="s">
        <v>2980</v>
      </c>
      <c r="AA25" s="118" t="s">
        <v>2377</v>
      </c>
      <c r="AB25" t="s">
        <v>3030</v>
      </c>
      <c r="AC25" s="118" t="s">
        <v>2427</v>
      </c>
      <c r="AD25" t="s">
        <v>3080</v>
      </c>
      <c r="AE25" s="118" t="s">
        <v>2477</v>
      </c>
      <c r="AF25" s="119" t="s">
        <v>3130</v>
      </c>
    </row>
    <row r="26" spans="1:32" x14ac:dyDescent="0.3">
      <c r="A26" s="118" t="s">
        <v>1728</v>
      </c>
      <c r="B26" t="s">
        <v>2385</v>
      </c>
      <c r="C26" s="118" t="s">
        <v>1778</v>
      </c>
      <c r="D26" t="s">
        <v>2435</v>
      </c>
      <c r="E26" s="118" t="s">
        <v>1828</v>
      </c>
      <c r="F26" t="s">
        <v>2485</v>
      </c>
      <c r="G26" s="118" t="s">
        <v>1878</v>
      </c>
      <c r="H26" t="s">
        <v>2535</v>
      </c>
      <c r="I26" s="118" t="s">
        <v>1928</v>
      </c>
      <c r="J26" s="119" t="s">
        <v>2585</v>
      </c>
      <c r="K26" t="s">
        <v>1978</v>
      </c>
      <c r="L26" t="s">
        <v>2635</v>
      </c>
      <c r="M26" s="118" t="s">
        <v>2028</v>
      </c>
      <c r="N26" t="s">
        <v>2685</v>
      </c>
      <c r="O26" s="118" t="s">
        <v>2078</v>
      </c>
      <c r="P26" t="s">
        <v>2735</v>
      </c>
      <c r="Q26" s="118" t="s">
        <v>2128</v>
      </c>
      <c r="R26" t="s">
        <v>2785</v>
      </c>
      <c r="S26" s="118" t="s">
        <v>2178</v>
      </c>
      <c r="T26" t="s">
        <v>2835</v>
      </c>
      <c r="U26" s="118" t="s">
        <v>2228</v>
      </c>
      <c r="V26" t="s">
        <v>2885</v>
      </c>
      <c r="W26" s="118" t="s">
        <v>2278</v>
      </c>
      <c r="X26" t="s">
        <v>2935</v>
      </c>
      <c r="Y26" s="118" t="s">
        <v>2328</v>
      </c>
      <c r="Z26" t="s">
        <v>2985</v>
      </c>
      <c r="AA26" s="118" t="s">
        <v>2378</v>
      </c>
      <c r="AB26" t="s">
        <v>3035</v>
      </c>
      <c r="AC26" s="118" t="s">
        <v>2428</v>
      </c>
      <c r="AD26" t="s">
        <v>3085</v>
      </c>
      <c r="AE26" s="118" t="s">
        <v>2478</v>
      </c>
      <c r="AF26" s="119" t="s">
        <v>3135</v>
      </c>
    </row>
    <row r="27" spans="1:32" x14ac:dyDescent="0.3">
      <c r="A27" s="118" t="s">
        <v>1732</v>
      </c>
      <c r="B27" t="s">
        <v>2390</v>
      </c>
      <c r="C27" s="118" t="s">
        <v>1782</v>
      </c>
      <c r="D27" t="s">
        <v>2440</v>
      </c>
      <c r="E27" s="118" t="s">
        <v>1832</v>
      </c>
      <c r="F27" t="s">
        <v>2490</v>
      </c>
      <c r="G27" s="118" t="s">
        <v>1882</v>
      </c>
      <c r="H27" t="s">
        <v>2540</v>
      </c>
      <c r="I27" s="118" t="s">
        <v>1932</v>
      </c>
      <c r="J27" s="119" t="s">
        <v>2590</v>
      </c>
      <c r="K27" t="s">
        <v>1982</v>
      </c>
      <c r="L27" t="s">
        <v>2640</v>
      </c>
      <c r="M27" s="118" t="s">
        <v>2032</v>
      </c>
      <c r="N27" t="s">
        <v>2690</v>
      </c>
      <c r="O27" s="118" t="s">
        <v>2082</v>
      </c>
      <c r="P27" t="s">
        <v>2740</v>
      </c>
      <c r="Q27" s="118" t="s">
        <v>2132</v>
      </c>
      <c r="R27" t="s">
        <v>2790</v>
      </c>
      <c r="S27" s="118" t="s">
        <v>2182</v>
      </c>
      <c r="T27" t="s">
        <v>2840</v>
      </c>
      <c r="U27" s="118" t="s">
        <v>2232</v>
      </c>
      <c r="V27" t="s">
        <v>2890</v>
      </c>
      <c r="W27" s="118" t="s">
        <v>2282</v>
      </c>
      <c r="X27" t="s">
        <v>2940</v>
      </c>
      <c r="Y27" s="118" t="s">
        <v>2332</v>
      </c>
      <c r="Z27" t="s">
        <v>2990</v>
      </c>
      <c r="AA27" s="118" t="s">
        <v>2382</v>
      </c>
      <c r="AB27" t="s">
        <v>3040</v>
      </c>
      <c r="AC27" s="118" t="s">
        <v>2432</v>
      </c>
      <c r="AD27" t="s">
        <v>3090</v>
      </c>
      <c r="AE27" s="118" t="s">
        <v>2482</v>
      </c>
      <c r="AF27" s="119" t="s">
        <v>3140</v>
      </c>
    </row>
    <row r="28" spans="1:32" x14ac:dyDescent="0.3">
      <c r="A28" s="118" t="s">
        <v>1733</v>
      </c>
      <c r="B28" t="s">
        <v>2395</v>
      </c>
      <c r="C28" s="118" t="s">
        <v>1783</v>
      </c>
      <c r="D28" t="s">
        <v>2445</v>
      </c>
      <c r="E28" s="118" t="s">
        <v>1833</v>
      </c>
      <c r="F28" t="s">
        <v>2495</v>
      </c>
      <c r="G28" s="118" t="s">
        <v>1883</v>
      </c>
      <c r="H28" t="s">
        <v>2545</v>
      </c>
      <c r="I28" s="118" t="s">
        <v>1933</v>
      </c>
      <c r="J28" s="119" t="s">
        <v>2595</v>
      </c>
      <c r="K28" t="s">
        <v>1983</v>
      </c>
      <c r="L28" t="s">
        <v>2645</v>
      </c>
      <c r="M28" s="118" t="s">
        <v>2033</v>
      </c>
      <c r="N28" t="s">
        <v>2695</v>
      </c>
      <c r="O28" s="118" t="s">
        <v>2083</v>
      </c>
      <c r="P28" t="s">
        <v>2745</v>
      </c>
      <c r="Q28" s="118" t="s">
        <v>2133</v>
      </c>
      <c r="R28" t="s">
        <v>2795</v>
      </c>
      <c r="S28" s="118" t="s">
        <v>2183</v>
      </c>
      <c r="T28" t="s">
        <v>2845</v>
      </c>
      <c r="U28" s="118" t="s">
        <v>2233</v>
      </c>
      <c r="V28" t="s">
        <v>2895</v>
      </c>
      <c r="W28" s="118" t="s">
        <v>2283</v>
      </c>
      <c r="X28" t="s">
        <v>2945</v>
      </c>
      <c r="Y28" s="118" t="s">
        <v>2333</v>
      </c>
      <c r="Z28" t="s">
        <v>2995</v>
      </c>
      <c r="AA28" s="118" t="s">
        <v>2383</v>
      </c>
      <c r="AB28" t="s">
        <v>3045</v>
      </c>
      <c r="AC28" s="118" t="s">
        <v>2433</v>
      </c>
      <c r="AD28" t="s">
        <v>3095</v>
      </c>
      <c r="AE28" s="118" t="s">
        <v>2483</v>
      </c>
      <c r="AF28" s="119" t="s">
        <v>3145</v>
      </c>
    </row>
    <row r="29" spans="1:32" x14ac:dyDescent="0.3">
      <c r="A29" s="118" t="s">
        <v>1737</v>
      </c>
      <c r="B29" t="s">
        <v>2400</v>
      </c>
      <c r="C29" s="118" t="s">
        <v>1787</v>
      </c>
      <c r="D29" t="s">
        <v>2450</v>
      </c>
      <c r="E29" s="118" t="s">
        <v>1837</v>
      </c>
      <c r="F29" t="s">
        <v>2500</v>
      </c>
      <c r="G29" s="118" t="s">
        <v>1887</v>
      </c>
      <c r="H29" t="s">
        <v>2550</v>
      </c>
      <c r="I29" s="118" t="s">
        <v>1937</v>
      </c>
      <c r="J29" s="119" t="s">
        <v>2600</v>
      </c>
      <c r="K29" t="s">
        <v>1987</v>
      </c>
      <c r="L29" t="s">
        <v>2650</v>
      </c>
      <c r="M29" s="118" t="s">
        <v>2037</v>
      </c>
      <c r="N29" t="s">
        <v>2700</v>
      </c>
      <c r="O29" s="118" t="s">
        <v>2087</v>
      </c>
      <c r="P29" t="s">
        <v>2750</v>
      </c>
      <c r="Q29" s="118" t="s">
        <v>2137</v>
      </c>
      <c r="R29" t="s">
        <v>2800</v>
      </c>
      <c r="S29" s="118" t="s">
        <v>2187</v>
      </c>
      <c r="T29" t="s">
        <v>2850</v>
      </c>
      <c r="U29" s="118" t="s">
        <v>2237</v>
      </c>
      <c r="V29" t="s">
        <v>2900</v>
      </c>
      <c r="W29" s="118" t="s">
        <v>2287</v>
      </c>
      <c r="X29" t="s">
        <v>2950</v>
      </c>
      <c r="Y29" s="118" t="s">
        <v>2337</v>
      </c>
      <c r="Z29" t="s">
        <v>3000</v>
      </c>
      <c r="AA29" s="118" t="s">
        <v>2387</v>
      </c>
      <c r="AB29" t="s">
        <v>3050</v>
      </c>
      <c r="AC29" s="118" t="s">
        <v>2437</v>
      </c>
      <c r="AD29" t="s">
        <v>3100</v>
      </c>
      <c r="AE29" s="118" t="s">
        <v>2487</v>
      </c>
      <c r="AF29" s="119" t="s">
        <v>3150</v>
      </c>
    </row>
    <row r="30" spans="1:32" x14ac:dyDescent="0.3">
      <c r="A30" s="118" t="s">
        <v>1738</v>
      </c>
      <c r="B30" t="s">
        <v>2405</v>
      </c>
      <c r="C30" s="118" t="s">
        <v>1788</v>
      </c>
      <c r="D30" t="s">
        <v>2455</v>
      </c>
      <c r="E30" s="118" t="s">
        <v>1838</v>
      </c>
      <c r="F30" t="s">
        <v>2505</v>
      </c>
      <c r="G30" s="118" t="s">
        <v>1888</v>
      </c>
      <c r="H30" t="s">
        <v>2555</v>
      </c>
      <c r="I30" s="118" t="s">
        <v>1938</v>
      </c>
      <c r="J30" s="119" t="s">
        <v>2605</v>
      </c>
      <c r="K30" t="s">
        <v>1988</v>
      </c>
      <c r="L30" t="s">
        <v>2655</v>
      </c>
      <c r="M30" s="118" t="s">
        <v>2038</v>
      </c>
      <c r="N30" t="s">
        <v>2705</v>
      </c>
      <c r="O30" s="118" t="s">
        <v>2088</v>
      </c>
      <c r="P30" t="s">
        <v>2755</v>
      </c>
      <c r="Q30" s="118" t="s">
        <v>2138</v>
      </c>
      <c r="R30" t="s">
        <v>2805</v>
      </c>
      <c r="S30" s="118" t="s">
        <v>2188</v>
      </c>
      <c r="T30" t="s">
        <v>2855</v>
      </c>
      <c r="U30" s="118" t="s">
        <v>2238</v>
      </c>
      <c r="V30" t="s">
        <v>2905</v>
      </c>
      <c r="W30" s="118" t="s">
        <v>2288</v>
      </c>
      <c r="X30" t="s">
        <v>2955</v>
      </c>
      <c r="Y30" s="118" t="s">
        <v>2338</v>
      </c>
      <c r="Z30" t="s">
        <v>3005</v>
      </c>
      <c r="AA30" s="118" t="s">
        <v>2388</v>
      </c>
      <c r="AB30" t="s">
        <v>3055</v>
      </c>
      <c r="AC30" s="118" t="s">
        <v>2438</v>
      </c>
      <c r="AD30" t="s">
        <v>3105</v>
      </c>
      <c r="AE30" s="118" t="s">
        <v>2488</v>
      </c>
      <c r="AF30" s="119" t="s">
        <v>3155</v>
      </c>
    </row>
    <row r="31" spans="1:32" x14ac:dyDescent="0.3">
      <c r="A31" s="118" t="s">
        <v>1742</v>
      </c>
      <c r="B31" t="s">
        <v>3160</v>
      </c>
      <c r="C31" s="118" t="s">
        <v>1792</v>
      </c>
      <c r="D31" t="s">
        <v>3210</v>
      </c>
      <c r="E31" s="118" t="s">
        <v>1842</v>
      </c>
      <c r="F31" t="s">
        <v>3260</v>
      </c>
      <c r="G31" s="118" t="s">
        <v>1892</v>
      </c>
      <c r="H31" t="s">
        <v>3310</v>
      </c>
      <c r="I31" s="118" t="s">
        <v>1942</v>
      </c>
      <c r="J31" s="119" t="s">
        <v>3360</v>
      </c>
      <c r="K31" t="s">
        <v>1992</v>
      </c>
      <c r="L31" t="s">
        <v>3410</v>
      </c>
      <c r="M31" s="118" t="s">
        <v>2042</v>
      </c>
      <c r="N31" t="s">
        <v>3460</v>
      </c>
      <c r="O31" s="118" t="s">
        <v>2092</v>
      </c>
      <c r="P31" t="s">
        <v>3510</v>
      </c>
      <c r="Q31" s="118" t="s">
        <v>2142</v>
      </c>
      <c r="S31" s="118" t="s">
        <v>2192</v>
      </c>
      <c r="U31" s="118" t="s">
        <v>2242</v>
      </c>
      <c r="W31" s="118" t="s">
        <v>2292</v>
      </c>
      <c r="Y31" s="118" t="s">
        <v>2342</v>
      </c>
      <c r="AA31" s="118" t="s">
        <v>2392</v>
      </c>
      <c r="AC31" s="118" t="s">
        <v>2442</v>
      </c>
      <c r="AE31" s="118" t="s">
        <v>2492</v>
      </c>
      <c r="AF31" s="119"/>
    </row>
    <row r="32" spans="1:32" x14ac:dyDescent="0.3">
      <c r="A32" s="118" t="s">
        <v>1743</v>
      </c>
      <c r="B32" t="s">
        <v>3165</v>
      </c>
      <c r="C32" s="118" t="s">
        <v>1793</v>
      </c>
      <c r="D32" t="s">
        <v>3215</v>
      </c>
      <c r="E32" s="118" t="s">
        <v>1843</v>
      </c>
      <c r="F32" t="s">
        <v>3265</v>
      </c>
      <c r="G32" s="118" t="s">
        <v>1893</v>
      </c>
      <c r="H32" t="s">
        <v>3315</v>
      </c>
      <c r="I32" s="118" t="s">
        <v>1943</v>
      </c>
      <c r="J32" s="119" t="s">
        <v>3365</v>
      </c>
      <c r="K32" t="s">
        <v>1993</v>
      </c>
      <c r="L32" t="s">
        <v>3415</v>
      </c>
      <c r="M32" s="118" t="s">
        <v>2043</v>
      </c>
      <c r="N32" t="s">
        <v>3465</v>
      </c>
      <c r="O32" s="118" t="s">
        <v>2093</v>
      </c>
      <c r="P32" t="s">
        <v>3515</v>
      </c>
      <c r="Q32" s="118" t="s">
        <v>2143</v>
      </c>
      <c r="S32" s="118" t="s">
        <v>2193</v>
      </c>
      <c r="U32" s="118" t="s">
        <v>2243</v>
      </c>
      <c r="W32" s="118" t="s">
        <v>2293</v>
      </c>
      <c r="Y32" s="118" t="s">
        <v>2343</v>
      </c>
      <c r="AA32" s="118" t="s">
        <v>2393</v>
      </c>
      <c r="AC32" s="118" t="s">
        <v>2443</v>
      </c>
      <c r="AE32" s="118" t="s">
        <v>2493</v>
      </c>
      <c r="AF32" s="119"/>
    </row>
    <row r="33" spans="1:32" x14ac:dyDescent="0.3">
      <c r="A33" s="118" t="s">
        <v>1747</v>
      </c>
      <c r="B33" t="s">
        <v>3170</v>
      </c>
      <c r="C33" s="118" t="s">
        <v>1797</v>
      </c>
      <c r="D33" t="s">
        <v>3220</v>
      </c>
      <c r="E33" s="118" t="s">
        <v>1847</v>
      </c>
      <c r="F33" t="s">
        <v>3270</v>
      </c>
      <c r="G33" s="118" t="s">
        <v>1897</v>
      </c>
      <c r="H33" t="s">
        <v>3320</v>
      </c>
      <c r="I33" s="118" t="s">
        <v>1947</v>
      </c>
      <c r="J33" s="119" t="s">
        <v>3370</v>
      </c>
      <c r="K33" t="s">
        <v>1997</v>
      </c>
      <c r="L33" t="s">
        <v>3420</v>
      </c>
      <c r="M33" s="118" t="s">
        <v>2047</v>
      </c>
      <c r="N33" t="s">
        <v>3470</v>
      </c>
      <c r="O33" s="118" t="s">
        <v>2097</v>
      </c>
      <c r="Q33" s="118" t="s">
        <v>2147</v>
      </c>
      <c r="S33" s="118" t="s">
        <v>2197</v>
      </c>
      <c r="U33" s="118" t="s">
        <v>2247</v>
      </c>
      <c r="W33" s="118" t="s">
        <v>2297</v>
      </c>
      <c r="Y33" s="118" t="s">
        <v>2347</v>
      </c>
      <c r="AA33" s="118" t="s">
        <v>2397</v>
      </c>
      <c r="AC33" s="118" t="s">
        <v>2447</v>
      </c>
      <c r="AE33" s="118" t="s">
        <v>2497</v>
      </c>
      <c r="AF33" s="119"/>
    </row>
    <row r="34" spans="1:32" x14ac:dyDescent="0.3">
      <c r="A34" s="118" t="s">
        <v>1748</v>
      </c>
      <c r="B34" t="s">
        <v>3175</v>
      </c>
      <c r="C34" s="118" t="s">
        <v>1798</v>
      </c>
      <c r="D34" t="s">
        <v>3225</v>
      </c>
      <c r="E34" s="118" t="s">
        <v>1848</v>
      </c>
      <c r="F34" t="s">
        <v>3275</v>
      </c>
      <c r="G34" s="118" t="s">
        <v>1898</v>
      </c>
      <c r="H34" t="s">
        <v>3325</v>
      </c>
      <c r="I34" s="118" t="s">
        <v>1948</v>
      </c>
      <c r="J34" s="119" t="s">
        <v>3375</v>
      </c>
      <c r="K34" t="s">
        <v>1998</v>
      </c>
      <c r="L34" t="s">
        <v>3425</v>
      </c>
      <c r="M34" s="118" t="s">
        <v>2048</v>
      </c>
      <c r="N34" t="s">
        <v>3475</v>
      </c>
      <c r="O34" s="118" t="s">
        <v>2098</v>
      </c>
      <c r="Q34" s="118" t="s">
        <v>2148</v>
      </c>
      <c r="S34" s="118" t="s">
        <v>2198</v>
      </c>
      <c r="U34" s="118" t="s">
        <v>2248</v>
      </c>
      <c r="W34" s="118" t="s">
        <v>2298</v>
      </c>
      <c r="Y34" s="118" t="s">
        <v>2348</v>
      </c>
      <c r="AA34" s="118" t="s">
        <v>2398</v>
      </c>
      <c r="AC34" s="118" t="s">
        <v>2448</v>
      </c>
      <c r="AE34" s="118" t="s">
        <v>2498</v>
      </c>
      <c r="AF34" s="119"/>
    </row>
    <row r="35" spans="1:32" x14ac:dyDescent="0.3">
      <c r="A35" s="118" t="s">
        <v>1752</v>
      </c>
      <c r="B35" t="s">
        <v>3180</v>
      </c>
      <c r="C35" s="118" t="s">
        <v>1802</v>
      </c>
      <c r="D35" t="s">
        <v>3230</v>
      </c>
      <c r="E35" s="118" t="s">
        <v>1852</v>
      </c>
      <c r="F35" t="s">
        <v>3280</v>
      </c>
      <c r="G35" s="118" t="s">
        <v>1902</v>
      </c>
      <c r="H35" t="s">
        <v>3330</v>
      </c>
      <c r="I35" s="118" t="s">
        <v>1952</v>
      </c>
      <c r="J35" s="119" t="s">
        <v>3380</v>
      </c>
      <c r="K35" t="s">
        <v>2002</v>
      </c>
      <c r="L35" t="s">
        <v>3430</v>
      </c>
      <c r="M35" s="118" t="s">
        <v>2052</v>
      </c>
      <c r="N35" t="s">
        <v>3480</v>
      </c>
      <c r="O35" s="118" t="s">
        <v>2102</v>
      </c>
      <c r="Q35" s="118" t="s">
        <v>2152</v>
      </c>
      <c r="S35" s="118" t="s">
        <v>2202</v>
      </c>
      <c r="U35" s="118" t="s">
        <v>2252</v>
      </c>
      <c r="W35" s="118" t="s">
        <v>2302</v>
      </c>
      <c r="Y35" s="118" t="s">
        <v>2352</v>
      </c>
      <c r="AA35" s="118" t="s">
        <v>2402</v>
      </c>
      <c r="AC35" s="118" t="s">
        <v>2452</v>
      </c>
      <c r="AE35" s="118" t="s">
        <v>2502</v>
      </c>
      <c r="AF35" s="119"/>
    </row>
    <row r="36" spans="1:32" x14ac:dyDescent="0.3">
      <c r="A36" s="118" t="s">
        <v>1753</v>
      </c>
      <c r="B36" t="s">
        <v>3185</v>
      </c>
      <c r="C36" s="118" t="s">
        <v>1803</v>
      </c>
      <c r="D36" t="s">
        <v>3235</v>
      </c>
      <c r="E36" s="118" t="s">
        <v>1853</v>
      </c>
      <c r="F36" t="s">
        <v>3285</v>
      </c>
      <c r="G36" s="118" t="s">
        <v>1903</v>
      </c>
      <c r="H36" t="s">
        <v>3335</v>
      </c>
      <c r="I36" s="118" t="s">
        <v>1953</v>
      </c>
      <c r="J36" s="119" t="s">
        <v>3385</v>
      </c>
      <c r="K36" t="s">
        <v>2003</v>
      </c>
      <c r="L36" t="s">
        <v>3435</v>
      </c>
      <c r="M36" s="118" t="s">
        <v>2053</v>
      </c>
      <c r="N36" t="s">
        <v>3485</v>
      </c>
      <c r="O36" s="118" t="s">
        <v>2103</v>
      </c>
      <c r="Q36" s="118" t="s">
        <v>2153</v>
      </c>
      <c r="S36" s="118" t="s">
        <v>2203</v>
      </c>
      <c r="U36" s="118" t="s">
        <v>2253</v>
      </c>
      <c r="W36" s="118" t="s">
        <v>2303</v>
      </c>
      <c r="Y36" s="118" t="s">
        <v>2353</v>
      </c>
      <c r="AA36" s="118" t="s">
        <v>2403</v>
      </c>
      <c r="AC36" s="118" t="s">
        <v>2453</v>
      </c>
      <c r="AE36" s="118" t="s">
        <v>2503</v>
      </c>
      <c r="AF36" s="119"/>
    </row>
    <row r="37" spans="1:32" x14ac:dyDescent="0.3">
      <c r="A37" s="118" t="s">
        <v>1757</v>
      </c>
      <c r="B37" t="s">
        <v>3190</v>
      </c>
      <c r="C37" s="118" t="s">
        <v>1807</v>
      </c>
      <c r="D37" t="s">
        <v>3240</v>
      </c>
      <c r="E37" s="118" t="s">
        <v>1857</v>
      </c>
      <c r="F37" t="s">
        <v>3290</v>
      </c>
      <c r="G37" s="118" t="s">
        <v>1907</v>
      </c>
      <c r="H37" t="s">
        <v>3340</v>
      </c>
      <c r="I37" s="118" t="s">
        <v>1957</v>
      </c>
      <c r="J37" s="119" t="s">
        <v>3390</v>
      </c>
      <c r="K37" t="s">
        <v>2007</v>
      </c>
      <c r="L37" t="s">
        <v>3440</v>
      </c>
      <c r="M37" s="118" t="s">
        <v>2057</v>
      </c>
      <c r="N37" t="s">
        <v>3490</v>
      </c>
      <c r="O37" s="118" t="s">
        <v>2107</v>
      </c>
      <c r="Q37" s="118" t="s">
        <v>2157</v>
      </c>
      <c r="S37" s="118" t="s">
        <v>2207</v>
      </c>
      <c r="U37" s="118" t="s">
        <v>2257</v>
      </c>
      <c r="W37" s="118" t="s">
        <v>2307</v>
      </c>
      <c r="Y37" s="118" t="s">
        <v>2357</v>
      </c>
      <c r="AA37" s="118" t="s">
        <v>2407</v>
      </c>
      <c r="AC37" s="118" t="s">
        <v>2457</v>
      </c>
      <c r="AE37" s="118" t="s">
        <v>2507</v>
      </c>
      <c r="AF37" s="119"/>
    </row>
    <row r="38" spans="1:32" x14ac:dyDescent="0.3">
      <c r="A38" s="118" t="s">
        <v>1758</v>
      </c>
      <c r="B38" t="s">
        <v>3195</v>
      </c>
      <c r="C38" s="118" t="s">
        <v>1808</v>
      </c>
      <c r="D38" t="s">
        <v>3245</v>
      </c>
      <c r="E38" s="118" t="s">
        <v>1858</v>
      </c>
      <c r="F38" t="s">
        <v>3295</v>
      </c>
      <c r="G38" s="118" t="s">
        <v>1908</v>
      </c>
      <c r="H38" t="s">
        <v>3345</v>
      </c>
      <c r="I38" s="118" t="s">
        <v>1958</v>
      </c>
      <c r="J38" s="119" t="s">
        <v>3395</v>
      </c>
      <c r="K38" t="s">
        <v>2008</v>
      </c>
      <c r="L38" t="s">
        <v>3445</v>
      </c>
      <c r="M38" s="118" t="s">
        <v>2058</v>
      </c>
      <c r="N38" t="s">
        <v>3495</v>
      </c>
      <c r="O38" s="118" t="s">
        <v>2108</v>
      </c>
      <c r="Q38" s="118" t="s">
        <v>2158</v>
      </c>
      <c r="S38" s="118" t="s">
        <v>2208</v>
      </c>
      <c r="U38" s="118" t="s">
        <v>2258</v>
      </c>
      <c r="W38" s="118" t="s">
        <v>2308</v>
      </c>
      <c r="Y38" s="118" t="s">
        <v>2358</v>
      </c>
      <c r="AA38" s="118" t="s">
        <v>2408</v>
      </c>
      <c r="AC38" s="118" t="s">
        <v>2458</v>
      </c>
      <c r="AE38" s="118" t="s">
        <v>2508</v>
      </c>
      <c r="AF38" s="119"/>
    </row>
    <row r="39" spans="1:32" x14ac:dyDescent="0.3">
      <c r="A39" s="118" t="s">
        <v>1762</v>
      </c>
      <c r="B39" t="s">
        <v>3200</v>
      </c>
      <c r="C39" s="118" t="s">
        <v>1812</v>
      </c>
      <c r="D39" t="s">
        <v>3250</v>
      </c>
      <c r="E39" s="118" t="s">
        <v>1862</v>
      </c>
      <c r="F39" t="s">
        <v>3300</v>
      </c>
      <c r="G39" s="118" t="s">
        <v>1912</v>
      </c>
      <c r="H39" t="s">
        <v>3350</v>
      </c>
      <c r="I39" s="118" t="s">
        <v>1962</v>
      </c>
      <c r="J39" s="119" t="s">
        <v>3400</v>
      </c>
      <c r="K39" t="s">
        <v>2012</v>
      </c>
      <c r="L39" t="s">
        <v>3450</v>
      </c>
      <c r="M39" s="118" t="s">
        <v>2062</v>
      </c>
      <c r="N39" t="s">
        <v>3500</v>
      </c>
      <c r="O39" s="118" t="s">
        <v>2112</v>
      </c>
      <c r="Q39" s="118" t="s">
        <v>2162</v>
      </c>
      <c r="S39" s="118" t="s">
        <v>2212</v>
      </c>
      <c r="U39" s="118" t="s">
        <v>2262</v>
      </c>
      <c r="W39" s="118" t="s">
        <v>2312</v>
      </c>
      <c r="Y39" s="118" t="s">
        <v>2362</v>
      </c>
      <c r="AA39" s="118" t="s">
        <v>2412</v>
      </c>
      <c r="AC39" s="118" t="s">
        <v>2462</v>
      </c>
      <c r="AE39" s="118" t="s">
        <v>2512</v>
      </c>
      <c r="AF39" s="119"/>
    </row>
    <row r="40" spans="1:32" x14ac:dyDescent="0.3">
      <c r="A40" s="118" t="s">
        <v>1763</v>
      </c>
      <c r="B40" t="s">
        <v>3205</v>
      </c>
      <c r="C40" s="118" t="s">
        <v>1813</v>
      </c>
      <c r="D40" t="s">
        <v>3255</v>
      </c>
      <c r="E40" s="118" t="s">
        <v>1863</v>
      </c>
      <c r="F40" t="s">
        <v>3305</v>
      </c>
      <c r="G40" s="118" t="s">
        <v>1913</v>
      </c>
      <c r="H40" t="s">
        <v>3355</v>
      </c>
      <c r="I40" s="118" t="s">
        <v>1963</v>
      </c>
      <c r="J40" s="119" t="s">
        <v>3405</v>
      </c>
      <c r="K40" t="s">
        <v>2013</v>
      </c>
      <c r="L40" t="s">
        <v>3455</v>
      </c>
      <c r="M40" s="118" t="s">
        <v>2063</v>
      </c>
      <c r="N40" t="s">
        <v>3505</v>
      </c>
      <c r="O40" s="118" t="s">
        <v>2113</v>
      </c>
      <c r="Q40" s="118" t="s">
        <v>2163</v>
      </c>
      <c r="S40" s="118" t="s">
        <v>2213</v>
      </c>
      <c r="U40" s="118" t="s">
        <v>2263</v>
      </c>
      <c r="W40" s="118" t="s">
        <v>2313</v>
      </c>
      <c r="Y40" s="118" t="s">
        <v>2363</v>
      </c>
      <c r="AA40" s="118" t="s">
        <v>2413</v>
      </c>
      <c r="AC40" s="118" t="s">
        <v>2463</v>
      </c>
      <c r="AE40" s="118" t="s">
        <v>2513</v>
      </c>
      <c r="AF40" s="119"/>
    </row>
    <row r="41" spans="1:32" x14ac:dyDescent="0.3">
      <c r="A41" s="118" t="s">
        <v>2517</v>
      </c>
      <c r="C41" s="118" t="s">
        <v>2567</v>
      </c>
      <c r="E41" s="118" t="s">
        <v>2617</v>
      </c>
      <c r="G41" s="118" t="s">
        <v>2667</v>
      </c>
      <c r="I41" s="118" t="s">
        <v>2717</v>
      </c>
      <c r="J41" s="119"/>
      <c r="K41" t="s">
        <v>2767</v>
      </c>
      <c r="M41" s="118" t="s">
        <v>2817</v>
      </c>
      <c r="O41" s="118" t="s">
        <v>2867</v>
      </c>
      <c r="Q41" s="118" t="s">
        <v>2917</v>
      </c>
      <c r="S41" s="118" t="s">
        <v>2967</v>
      </c>
      <c r="U41" s="118" t="s">
        <v>3017</v>
      </c>
      <c r="W41" s="118" t="s">
        <v>3067</v>
      </c>
      <c r="Y41" s="118" t="s">
        <v>3117</v>
      </c>
      <c r="AA41" s="118" t="s">
        <v>3167</v>
      </c>
      <c r="AC41" s="118" t="s">
        <v>3217</v>
      </c>
      <c r="AE41" s="118" t="s">
        <v>3267</v>
      </c>
      <c r="AF41" s="119"/>
    </row>
    <row r="42" spans="1:32" x14ac:dyDescent="0.3">
      <c r="A42" s="118" t="s">
        <v>2518</v>
      </c>
      <c r="C42" s="118" t="s">
        <v>2568</v>
      </c>
      <c r="E42" s="118" t="s">
        <v>2618</v>
      </c>
      <c r="G42" s="118" t="s">
        <v>2668</v>
      </c>
      <c r="I42" s="118" t="s">
        <v>2718</v>
      </c>
      <c r="J42" s="119"/>
      <c r="K42" t="s">
        <v>2768</v>
      </c>
      <c r="M42" s="118" t="s">
        <v>2818</v>
      </c>
      <c r="O42" s="118" t="s">
        <v>2868</v>
      </c>
      <c r="Q42" s="118" t="s">
        <v>2918</v>
      </c>
      <c r="S42" s="118" t="s">
        <v>2968</v>
      </c>
      <c r="U42" s="118" t="s">
        <v>3018</v>
      </c>
      <c r="W42" s="118" t="s">
        <v>3068</v>
      </c>
      <c r="Y42" s="118" t="s">
        <v>3118</v>
      </c>
      <c r="AA42" s="118" t="s">
        <v>3168</v>
      </c>
      <c r="AC42" s="118" t="s">
        <v>3218</v>
      </c>
      <c r="AE42" s="118" t="s">
        <v>3268</v>
      </c>
      <c r="AF42" s="119"/>
    </row>
    <row r="43" spans="1:32" x14ac:dyDescent="0.3">
      <c r="A43" s="118" t="s">
        <v>2522</v>
      </c>
      <c r="C43" s="118" t="s">
        <v>2572</v>
      </c>
      <c r="E43" s="118" t="s">
        <v>2622</v>
      </c>
      <c r="G43" s="118" t="s">
        <v>2672</v>
      </c>
      <c r="I43" s="118" t="s">
        <v>2722</v>
      </c>
      <c r="J43" s="119"/>
      <c r="K43" t="s">
        <v>2772</v>
      </c>
      <c r="M43" s="118" t="s">
        <v>2822</v>
      </c>
      <c r="O43" s="118" t="s">
        <v>2872</v>
      </c>
      <c r="Q43" s="118" t="s">
        <v>2922</v>
      </c>
      <c r="S43" s="118" t="s">
        <v>2972</v>
      </c>
      <c r="U43" s="118" t="s">
        <v>3022</v>
      </c>
      <c r="W43" s="118" t="s">
        <v>3072</v>
      </c>
      <c r="Y43" s="118" t="s">
        <v>3122</v>
      </c>
      <c r="AA43" s="118" t="s">
        <v>3172</v>
      </c>
      <c r="AC43" s="118" t="s">
        <v>3222</v>
      </c>
      <c r="AE43" s="118" t="s">
        <v>3272</v>
      </c>
      <c r="AF43" s="119"/>
    </row>
    <row r="44" spans="1:32" x14ac:dyDescent="0.3">
      <c r="A44" s="118" t="s">
        <v>2523</v>
      </c>
      <c r="C44" s="118" t="s">
        <v>2573</v>
      </c>
      <c r="E44" s="118" t="s">
        <v>2623</v>
      </c>
      <c r="G44" s="118" t="s">
        <v>2673</v>
      </c>
      <c r="I44" s="118" t="s">
        <v>2723</v>
      </c>
      <c r="J44" s="119"/>
      <c r="K44" t="s">
        <v>2773</v>
      </c>
      <c r="M44" s="118" t="s">
        <v>2823</v>
      </c>
      <c r="O44" s="118" t="s">
        <v>2873</v>
      </c>
      <c r="Q44" s="118" t="s">
        <v>2923</v>
      </c>
      <c r="S44" s="118" t="s">
        <v>2973</v>
      </c>
      <c r="U44" s="118" t="s">
        <v>3023</v>
      </c>
      <c r="W44" s="118" t="s">
        <v>3073</v>
      </c>
      <c r="Y44" s="118" t="s">
        <v>3123</v>
      </c>
      <c r="AA44" s="118" t="s">
        <v>3173</v>
      </c>
      <c r="AC44" s="118" t="s">
        <v>3223</v>
      </c>
      <c r="AE44" s="118" t="s">
        <v>3273</v>
      </c>
      <c r="AF44" s="119"/>
    </row>
    <row r="45" spans="1:32" x14ac:dyDescent="0.3">
      <c r="A45" s="118" t="s">
        <v>2527</v>
      </c>
      <c r="C45" s="118" t="s">
        <v>2577</v>
      </c>
      <c r="E45" s="118" t="s">
        <v>2627</v>
      </c>
      <c r="G45" s="118" t="s">
        <v>2677</v>
      </c>
      <c r="I45" s="118" t="s">
        <v>2727</v>
      </c>
      <c r="J45" s="119"/>
      <c r="K45" t="s">
        <v>2777</v>
      </c>
      <c r="M45" s="118" t="s">
        <v>2827</v>
      </c>
      <c r="O45" s="118" t="s">
        <v>2877</v>
      </c>
      <c r="Q45" s="118" t="s">
        <v>2927</v>
      </c>
      <c r="S45" s="118" t="s">
        <v>2977</v>
      </c>
      <c r="U45" s="118" t="s">
        <v>3027</v>
      </c>
      <c r="W45" s="118" t="s">
        <v>3077</v>
      </c>
      <c r="Y45" s="118" t="s">
        <v>3127</v>
      </c>
      <c r="AA45" s="118" t="s">
        <v>3177</v>
      </c>
      <c r="AC45" s="118" t="s">
        <v>3227</v>
      </c>
      <c r="AE45" s="118" t="s">
        <v>3277</v>
      </c>
      <c r="AF45" s="119"/>
    </row>
    <row r="46" spans="1:32" x14ac:dyDescent="0.3">
      <c r="A46" s="118" t="s">
        <v>2528</v>
      </c>
      <c r="C46" s="118" t="s">
        <v>2578</v>
      </c>
      <c r="E46" s="118" t="s">
        <v>2628</v>
      </c>
      <c r="G46" s="118" t="s">
        <v>2678</v>
      </c>
      <c r="I46" s="118" t="s">
        <v>2728</v>
      </c>
      <c r="J46" s="119"/>
      <c r="K46" t="s">
        <v>2778</v>
      </c>
      <c r="M46" s="118" t="s">
        <v>2828</v>
      </c>
      <c r="O46" s="118" t="s">
        <v>2878</v>
      </c>
      <c r="Q46" s="118" t="s">
        <v>2928</v>
      </c>
      <c r="S46" s="118" t="s">
        <v>2978</v>
      </c>
      <c r="U46" s="118" t="s">
        <v>3028</v>
      </c>
      <c r="W46" s="118" t="s">
        <v>3078</v>
      </c>
      <c r="Y46" s="118" t="s">
        <v>3128</v>
      </c>
      <c r="AA46" s="118" t="s">
        <v>3178</v>
      </c>
      <c r="AC46" s="118" t="s">
        <v>3228</v>
      </c>
      <c r="AE46" s="118" t="s">
        <v>3278</v>
      </c>
      <c r="AF46" s="119"/>
    </row>
    <row r="47" spans="1:32" x14ac:dyDescent="0.3">
      <c r="A47" s="118" t="s">
        <v>2532</v>
      </c>
      <c r="C47" s="118" t="s">
        <v>2582</v>
      </c>
      <c r="E47" s="118" t="s">
        <v>2632</v>
      </c>
      <c r="G47" s="118" t="s">
        <v>2682</v>
      </c>
      <c r="I47" s="118" t="s">
        <v>2732</v>
      </c>
      <c r="J47" s="119"/>
      <c r="K47" t="s">
        <v>2782</v>
      </c>
      <c r="M47" s="118" t="s">
        <v>2832</v>
      </c>
      <c r="O47" s="118" t="s">
        <v>2882</v>
      </c>
      <c r="Q47" s="118" t="s">
        <v>2932</v>
      </c>
      <c r="S47" s="118" t="s">
        <v>2982</v>
      </c>
      <c r="U47" s="118" t="s">
        <v>3032</v>
      </c>
      <c r="W47" s="118" t="s">
        <v>3082</v>
      </c>
      <c r="Y47" s="118" t="s">
        <v>3132</v>
      </c>
      <c r="AA47" s="118" t="s">
        <v>3182</v>
      </c>
      <c r="AC47" s="118" t="s">
        <v>3232</v>
      </c>
      <c r="AE47" s="118" t="s">
        <v>3282</v>
      </c>
      <c r="AF47" s="119"/>
    </row>
    <row r="48" spans="1:32" x14ac:dyDescent="0.3">
      <c r="A48" s="118" t="s">
        <v>2533</v>
      </c>
      <c r="C48" s="118" t="s">
        <v>2583</v>
      </c>
      <c r="E48" s="118" t="s">
        <v>2633</v>
      </c>
      <c r="G48" s="118" t="s">
        <v>2683</v>
      </c>
      <c r="I48" s="118" t="s">
        <v>2733</v>
      </c>
      <c r="J48" s="119"/>
      <c r="K48" t="s">
        <v>2783</v>
      </c>
      <c r="M48" s="118" t="s">
        <v>2833</v>
      </c>
      <c r="O48" s="118" t="s">
        <v>2883</v>
      </c>
      <c r="Q48" s="118" t="s">
        <v>2933</v>
      </c>
      <c r="S48" s="118" t="s">
        <v>2983</v>
      </c>
      <c r="U48" s="118" t="s">
        <v>3033</v>
      </c>
      <c r="W48" s="118" t="s">
        <v>3083</v>
      </c>
      <c r="Y48" s="118" t="s">
        <v>3133</v>
      </c>
      <c r="AA48" s="118" t="s">
        <v>3183</v>
      </c>
      <c r="AC48" s="118" t="s">
        <v>3233</v>
      </c>
      <c r="AE48" s="118" t="s">
        <v>3283</v>
      </c>
      <c r="AF48" s="119"/>
    </row>
    <row r="49" spans="1:32" x14ac:dyDescent="0.3">
      <c r="A49" s="118" t="s">
        <v>2537</v>
      </c>
      <c r="C49" s="118" t="s">
        <v>2587</v>
      </c>
      <c r="E49" s="118" t="s">
        <v>2637</v>
      </c>
      <c r="G49" s="118" t="s">
        <v>2687</v>
      </c>
      <c r="I49" s="118" t="s">
        <v>2737</v>
      </c>
      <c r="J49" s="119"/>
      <c r="K49" t="s">
        <v>2787</v>
      </c>
      <c r="M49" s="118" t="s">
        <v>2837</v>
      </c>
      <c r="O49" s="118" t="s">
        <v>2887</v>
      </c>
      <c r="Q49" s="118" t="s">
        <v>2937</v>
      </c>
      <c r="S49" s="118" t="s">
        <v>2987</v>
      </c>
      <c r="U49" s="118" t="s">
        <v>3037</v>
      </c>
      <c r="W49" s="118" t="s">
        <v>3087</v>
      </c>
      <c r="Y49" s="118" t="s">
        <v>3137</v>
      </c>
      <c r="AA49" s="118" t="s">
        <v>3187</v>
      </c>
      <c r="AC49" s="118" t="s">
        <v>3237</v>
      </c>
      <c r="AE49" s="118" t="s">
        <v>3287</v>
      </c>
      <c r="AF49" s="119"/>
    </row>
    <row r="50" spans="1:32" x14ac:dyDescent="0.3">
      <c r="A50" s="118" t="s">
        <v>2538</v>
      </c>
      <c r="C50" s="118" t="s">
        <v>2588</v>
      </c>
      <c r="E50" s="118" t="s">
        <v>2638</v>
      </c>
      <c r="G50" s="118" t="s">
        <v>2688</v>
      </c>
      <c r="I50" s="118" t="s">
        <v>2738</v>
      </c>
      <c r="J50" s="119"/>
      <c r="K50" t="s">
        <v>2788</v>
      </c>
      <c r="M50" s="118" t="s">
        <v>2838</v>
      </c>
      <c r="O50" s="118" t="s">
        <v>2888</v>
      </c>
      <c r="Q50" s="118" t="s">
        <v>2938</v>
      </c>
      <c r="S50" s="118" t="s">
        <v>2988</v>
      </c>
      <c r="U50" s="118" t="s">
        <v>3038</v>
      </c>
      <c r="W50" s="118" t="s">
        <v>3088</v>
      </c>
      <c r="Y50" s="118" t="s">
        <v>3138</v>
      </c>
      <c r="AA50" s="118" t="s">
        <v>3188</v>
      </c>
      <c r="AC50" s="118" t="s">
        <v>3238</v>
      </c>
      <c r="AE50" s="118" t="s">
        <v>3288</v>
      </c>
      <c r="AF50" s="119"/>
    </row>
    <row r="51" spans="1:32" x14ac:dyDescent="0.3">
      <c r="A51" s="118" t="s">
        <v>2542</v>
      </c>
      <c r="C51" s="118" t="s">
        <v>2592</v>
      </c>
      <c r="E51" s="118" t="s">
        <v>2642</v>
      </c>
      <c r="G51" s="118" t="s">
        <v>2692</v>
      </c>
      <c r="I51" s="118" t="s">
        <v>2742</v>
      </c>
      <c r="J51" s="119"/>
      <c r="K51" t="s">
        <v>2792</v>
      </c>
      <c r="M51" s="118" t="s">
        <v>2842</v>
      </c>
      <c r="O51" s="118" t="s">
        <v>2892</v>
      </c>
      <c r="Q51" s="118" t="s">
        <v>2942</v>
      </c>
      <c r="S51" s="118" t="s">
        <v>2992</v>
      </c>
      <c r="U51" s="118" t="s">
        <v>3042</v>
      </c>
      <c r="W51" s="118" t="s">
        <v>3092</v>
      </c>
      <c r="Y51" s="118" t="s">
        <v>3142</v>
      </c>
      <c r="AA51" s="118" t="s">
        <v>3192</v>
      </c>
      <c r="AC51" s="118" t="s">
        <v>3242</v>
      </c>
      <c r="AE51" s="118" t="s">
        <v>3292</v>
      </c>
      <c r="AF51" s="119"/>
    </row>
    <row r="52" spans="1:32" x14ac:dyDescent="0.3">
      <c r="A52" s="118" t="s">
        <v>2543</v>
      </c>
      <c r="C52" s="118" t="s">
        <v>2593</v>
      </c>
      <c r="E52" s="118" t="s">
        <v>2643</v>
      </c>
      <c r="G52" s="118" t="s">
        <v>2693</v>
      </c>
      <c r="I52" s="118" t="s">
        <v>2743</v>
      </c>
      <c r="J52" s="119"/>
      <c r="K52" t="s">
        <v>2793</v>
      </c>
      <c r="M52" s="118" t="s">
        <v>2843</v>
      </c>
      <c r="O52" s="118" t="s">
        <v>2893</v>
      </c>
      <c r="Q52" s="118" t="s">
        <v>2943</v>
      </c>
      <c r="S52" s="118" t="s">
        <v>2993</v>
      </c>
      <c r="U52" s="118" t="s">
        <v>3043</v>
      </c>
      <c r="W52" s="118" t="s">
        <v>3093</v>
      </c>
      <c r="Y52" s="118" t="s">
        <v>3143</v>
      </c>
      <c r="AA52" s="118" t="s">
        <v>3193</v>
      </c>
      <c r="AC52" s="118" t="s">
        <v>3243</v>
      </c>
      <c r="AE52" s="118" t="s">
        <v>3293</v>
      </c>
      <c r="AF52" s="119"/>
    </row>
    <row r="53" spans="1:32" x14ac:dyDescent="0.3">
      <c r="A53" s="118" t="s">
        <v>2547</v>
      </c>
      <c r="C53" s="118" t="s">
        <v>2597</v>
      </c>
      <c r="E53" s="118" t="s">
        <v>2647</v>
      </c>
      <c r="G53" s="118" t="s">
        <v>2697</v>
      </c>
      <c r="I53" s="118" t="s">
        <v>2747</v>
      </c>
      <c r="J53" s="119"/>
      <c r="K53" t="s">
        <v>2797</v>
      </c>
      <c r="M53" s="118" t="s">
        <v>2847</v>
      </c>
      <c r="O53" s="118" t="s">
        <v>2897</v>
      </c>
      <c r="Q53" s="118" t="s">
        <v>2947</v>
      </c>
      <c r="S53" s="118" t="s">
        <v>2997</v>
      </c>
      <c r="U53" s="118" t="s">
        <v>3047</v>
      </c>
      <c r="W53" s="118" t="s">
        <v>3097</v>
      </c>
      <c r="Y53" s="118" t="s">
        <v>3147</v>
      </c>
      <c r="AA53" s="118" t="s">
        <v>3197</v>
      </c>
      <c r="AC53" s="118" t="s">
        <v>3247</v>
      </c>
      <c r="AE53" s="118" t="s">
        <v>3297</v>
      </c>
      <c r="AF53" s="119"/>
    </row>
    <row r="54" spans="1:32" x14ac:dyDescent="0.3">
      <c r="A54" s="118" t="s">
        <v>2548</v>
      </c>
      <c r="C54" s="118" t="s">
        <v>2598</v>
      </c>
      <c r="E54" s="118" t="s">
        <v>2648</v>
      </c>
      <c r="G54" s="118" t="s">
        <v>2698</v>
      </c>
      <c r="I54" s="118" t="s">
        <v>2748</v>
      </c>
      <c r="J54" s="119"/>
      <c r="K54" t="s">
        <v>2798</v>
      </c>
      <c r="M54" s="118" t="s">
        <v>2848</v>
      </c>
      <c r="O54" s="118" t="s">
        <v>2898</v>
      </c>
      <c r="Q54" s="118" t="s">
        <v>2948</v>
      </c>
      <c r="S54" s="118" t="s">
        <v>2998</v>
      </c>
      <c r="U54" s="118" t="s">
        <v>3048</v>
      </c>
      <c r="W54" s="118" t="s">
        <v>3098</v>
      </c>
      <c r="Y54" s="118" t="s">
        <v>3148</v>
      </c>
      <c r="AA54" s="118" t="s">
        <v>3198</v>
      </c>
      <c r="AC54" s="118" t="s">
        <v>3248</v>
      </c>
      <c r="AE54" s="118" t="s">
        <v>3298</v>
      </c>
      <c r="AF54" s="119"/>
    </row>
    <row r="55" spans="1:32" x14ac:dyDescent="0.3">
      <c r="A55" s="118" t="s">
        <v>2552</v>
      </c>
      <c r="C55" s="118" t="s">
        <v>2602</v>
      </c>
      <c r="E55" s="118" t="s">
        <v>2652</v>
      </c>
      <c r="G55" s="118" t="s">
        <v>2702</v>
      </c>
      <c r="I55" s="118" t="s">
        <v>2752</v>
      </c>
      <c r="J55" s="119"/>
      <c r="K55" t="s">
        <v>2802</v>
      </c>
      <c r="M55" s="118" t="s">
        <v>2852</v>
      </c>
      <c r="O55" s="118" t="s">
        <v>2902</v>
      </c>
      <c r="Q55" s="118" t="s">
        <v>2952</v>
      </c>
      <c r="S55" s="118" t="s">
        <v>3002</v>
      </c>
      <c r="U55" s="118" t="s">
        <v>3052</v>
      </c>
      <c r="W55" s="118" t="s">
        <v>3102</v>
      </c>
      <c r="Y55" s="118" t="s">
        <v>3152</v>
      </c>
      <c r="AA55" s="118" t="s">
        <v>3202</v>
      </c>
      <c r="AC55" s="118" t="s">
        <v>3252</v>
      </c>
      <c r="AE55" s="118" t="s">
        <v>3302</v>
      </c>
      <c r="AF55" s="119"/>
    </row>
    <row r="56" spans="1:32" x14ac:dyDescent="0.3">
      <c r="A56" s="118" t="s">
        <v>2553</v>
      </c>
      <c r="C56" s="118" t="s">
        <v>2603</v>
      </c>
      <c r="E56" s="118" t="s">
        <v>2653</v>
      </c>
      <c r="G56" s="118" t="s">
        <v>2703</v>
      </c>
      <c r="I56" s="118" t="s">
        <v>2753</v>
      </c>
      <c r="J56" s="119"/>
      <c r="K56" t="s">
        <v>2803</v>
      </c>
      <c r="M56" s="118" t="s">
        <v>2853</v>
      </c>
      <c r="O56" s="118" t="s">
        <v>2903</v>
      </c>
      <c r="Q56" s="118" t="s">
        <v>2953</v>
      </c>
      <c r="S56" s="118" t="s">
        <v>3003</v>
      </c>
      <c r="U56" s="118" t="s">
        <v>3053</v>
      </c>
      <c r="W56" s="118" t="s">
        <v>3103</v>
      </c>
      <c r="Y56" s="118" t="s">
        <v>3153</v>
      </c>
      <c r="AA56" s="118" t="s">
        <v>3203</v>
      </c>
      <c r="AC56" s="118" t="s">
        <v>3253</v>
      </c>
      <c r="AE56" s="118" t="s">
        <v>3303</v>
      </c>
      <c r="AF56" s="119"/>
    </row>
    <row r="57" spans="1:32" x14ac:dyDescent="0.3">
      <c r="A57" s="118" t="s">
        <v>2557</v>
      </c>
      <c r="C57" s="118" t="s">
        <v>2607</v>
      </c>
      <c r="E57" s="118" t="s">
        <v>2657</v>
      </c>
      <c r="G57" s="118" t="s">
        <v>2707</v>
      </c>
      <c r="I57" s="118" t="s">
        <v>2757</v>
      </c>
      <c r="J57" s="119"/>
      <c r="K57" t="s">
        <v>2807</v>
      </c>
      <c r="M57" s="118" t="s">
        <v>2857</v>
      </c>
      <c r="O57" s="118" t="s">
        <v>2907</v>
      </c>
      <c r="Q57" s="118" t="s">
        <v>2957</v>
      </c>
      <c r="S57" s="118" t="s">
        <v>3007</v>
      </c>
      <c r="U57" s="118" t="s">
        <v>3057</v>
      </c>
      <c r="W57" s="118" t="s">
        <v>3107</v>
      </c>
      <c r="Y57" s="118" t="s">
        <v>3157</v>
      </c>
      <c r="AA57" s="118" t="s">
        <v>3207</v>
      </c>
      <c r="AC57" s="118" t="s">
        <v>3257</v>
      </c>
      <c r="AE57" s="118" t="s">
        <v>3307</v>
      </c>
      <c r="AF57" s="119"/>
    </row>
    <row r="58" spans="1:32" x14ac:dyDescent="0.3">
      <c r="A58" s="118" t="s">
        <v>2558</v>
      </c>
      <c r="C58" s="118" t="s">
        <v>2608</v>
      </c>
      <c r="E58" s="118" t="s">
        <v>2658</v>
      </c>
      <c r="G58" s="118" t="s">
        <v>2708</v>
      </c>
      <c r="I58" s="118" t="s">
        <v>2758</v>
      </c>
      <c r="J58" s="119"/>
      <c r="K58" t="s">
        <v>2808</v>
      </c>
      <c r="M58" s="118" t="s">
        <v>2858</v>
      </c>
      <c r="O58" s="118" t="s">
        <v>2908</v>
      </c>
      <c r="Q58" s="118" t="s">
        <v>2958</v>
      </c>
      <c r="S58" s="118" t="s">
        <v>3008</v>
      </c>
      <c r="U58" s="118" t="s">
        <v>3058</v>
      </c>
      <c r="W58" s="118" t="s">
        <v>3108</v>
      </c>
      <c r="Y58" s="118" t="s">
        <v>3158</v>
      </c>
      <c r="AA58" s="118" t="s">
        <v>3208</v>
      </c>
      <c r="AC58" s="118" t="s">
        <v>3258</v>
      </c>
      <c r="AE58" s="118" t="s">
        <v>3308</v>
      </c>
      <c r="AF58" s="119"/>
    </row>
    <row r="59" spans="1:32" x14ac:dyDescent="0.3">
      <c r="A59" s="118" t="s">
        <v>2562</v>
      </c>
      <c r="C59" s="118" t="s">
        <v>2612</v>
      </c>
      <c r="E59" s="118" t="s">
        <v>2662</v>
      </c>
      <c r="G59" s="118" t="s">
        <v>2712</v>
      </c>
      <c r="I59" s="118" t="s">
        <v>2762</v>
      </c>
      <c r="J59" s="119"/>
      <c r="K59" t="s">
        <v>2812</v>
      </c>
      <c r="M59" s="118" t="s">
        <v>2862</v>
      </c>
      <c r="O59" s="118" t="s">
        <v>2912</v>
      </c>
      <c r="Q59" s="118" t="s">
        <v>2962</v>
      </c>
      <c r="S59" s="118" t="s">
        <v>3012</v>
      </c>
      <c r="U59" s="118" t="s">
        <v>3062</v>
      </c>
      <c r="W59" s="118" t="s">
        <v>3112</v>
      </c>
      <c r="Y59" s="118" t="s">
        <v>3162</v>
      </c>
      <c r="AA59" s="118" t="s">
        <v>3212</v>
      </c>
      <c r="AC59" s="118" t="s">
        <v>3262</v>
      </c>
      <c r="AE59" s="118" t="s">
        <v>3312</v>
      </c>
      <c r="AF59" s="119"/>
    </row>
    <row r="60" spans="1:32" x14ac:dyDescent="0.3">
      <c r="A60" s="118" t="s">
        <v>2563</v>
      </c>
      <c r="C60" s="118" t="s">
        <v>2613</v>
      </c>
      <c r="E60" s="118" t="s">
        <v>2663</v>
      </c>
      <c r="G60" s="118" t="s">
        <v>2713</v>
      </c>
      <c r="I60" s="118" t="s">
        <v>2763</v>
      </c>
      <c r="J60" s="119"/>
      <c r="K60" t="s">
        <v>2813</v>
      </c>
      <c r="M60" s="118" t="s">
        <v>2863</v>
      </c>
      <c r="O60" s="118" t="s">
        <v>2913</v>
      </c>
      <c r="Q60" s="118" t="s">
        <v>2963</v>
      </c>
      <c r="S60" s="118" t="s">
        <v>3013</v>
      </c>
      <c r="U60" s="118" t="s">
        <v>3063</v>
      </c>
      <c r="W60" s="118" t="s">
        <v>3113</v>
      </c>
      <c r="Y60" s="118" t="s">
        <v>3163</v>
      </c>
      <c r="AA60" s="118" t="s">
        <v>3213</v>
      </c>
      <c r="AC60" s="118" t="s">
        <v>3263</v>
      </c>
      <c r="AE60" s="118" t="s">
        <v>3313</v>
      </c>
      <c r="AF60" s="119"/>
    </row>
    <row r="61" spans="1:32" x14ac:dyDescent="0.3">
      <c r="A61" s="118" t="s">
        <v>3317</v>
      </c>
      <c r="C61" s="118" t="s">
        <v>3367</v>
      </c>
      <c r="E61" s="118" t="s">
        <v>3417</v>
      </c>
      <c r="G61" s="118" t="s">
        <v>3467</v>
      </c>
      <c r="I61" s="118"/>
      <c r="J61" s="119"/>
      <c r="M61" s="118"/>
      <c r="O61" s="118"/>
      <c r="Q61" s="118"/>
      <c r="S61" s="118"/>
      <c r="U61" s="118"/>
      <c r="W61" s="118"/>
      <c r="Y61" s="118"/>
      <c r="AA61" s="118"/>
      <c r="AC61" s="118"/>
      <c r="AE61" s="118"/>
      <c r="AF61" s="119"/>
    </row>
    <row r="62" spans="1:32" x14ac:dyDescent="0.3">
      <c r="A62" s="118" t="s">
        <v>3318</v>
      </c>
      <c r="C62" s="118" t="s">
        <v>3368</v>
      </c>
      <c r="E62" s="118" t="s">
        <v>3418</v>
      </c>
      <c r="G62" s="118" t="s">
        <v>3468</v>
      </c>
      <c r="I62" s="118"/>
      <c r="J62" s="119"/>
      <c r="M62" s="118"/>
      <c r="O62" s="118"/>
      <c r="Q62" s="118"/>
      <c r="S62" s="118"/>
      <c r="U62" s="118"/>
      <c r="W62" s="118"/>
      <c r="Y62" s="118"/>
      <c r="AA62" s="118"/>
      <c r="AC62" s="118"/>
      <c r="AE62" s="118"/>
      <c r="AF62" s="119"/>
    </row>
    <row r="63" spans="1:32" x14ac:dyDescent="0.3">
      <c r="A63" s="118" t="s">
        <v>3322</v>
      </c>
      <c r="C63" s="118" t="s">
        <v>3372</v>
      </c>
      <c r="E63" s="118" t="s">
        <v>3422</v>
      </c>
      <c r="G63" s="118" t="s">
        <v>3472</v>
      </c>
      <c r="I63" s="118"/>
      <c r="J63" s="119"/>
      <c r="M63" s="118"/>
      <c r="O63" s="118"/>
      <c r="Q63" s="118"/>
      <c r="S63" s="118"/>
      <c r="U63" s="118"/>
      <c r="W63" s="118"/>
      <c r="Y63" s="118"/>
      <c r="AA63" s="118"/>
      <c r="AC63" s="118"/>
      <c r="AE63" s="118"/>
      <c r="AF63" s="119"/>
    </row>
    <row r="64" spans="1:32" x14ac:dyDescent="0.3">
      <c r="A64" s="118" t="s">
        <v>3323</v>
      </c>
      <c r="C64" s="118" t="s">
        <v>3373</v>
      </c>
      <c r="E64" s="118" t="s">
        <v>3423</v>
      </c>
      <c r="G64" s="118" t="s">
        <v>3473</v>
      </c>
      <c r="I64" s="118"/>
      <c r="J64" s="119"/>
      <c r="M64" s="118"/>
      <c r="O64" s="118"/>
      <c r="Q64" s="118"/>
      <c r="S64" s="118"/>
      <c r="U64" s="118"/>
      <c r="W64" s="118"/>
      <c r="Y64" s="118"/>
      <c r="AA64" s="118"/>
      <c r="AC64" s="118"/>
      <c r="AE64" s="118"/>
      <c r="AF64" s="119"/>
    </row>
    <row r="65" spans="1:32" x14ac:dyDescent="0.3">
      <c r="A65" s="118" t="s">
        <v>3327</v>
      </c>
      <c r="C65" s="118" t="s">
        <v>3377</v>
      </c>
      <c r="E65" s="118" t="s">
        <v>3427</v>
      </c>
      <c r="G65" s="118" t="s">
        <v>3477</v>
      </c>
      <c r="I65" s="118"/>
      <c r="J65" s="119"/>
      <c r="M65" s="118"/>
      <c r="O65" s="118"/>
      <c r="Q65" s="118"/>
      <c r="S65" s="118"/>
      <c r="U65" s="118"/>
      <c r="W65" s="118"/>
      <c r="Y65" s="118"/>
      <c r="AA65" s="118"/>
      <c r="AC65" s="118"/>
      <c r="AE65" s="118"/>
      <c r="AF65" s="119"/>
    </row>
    <row r="66" spans="1:32" x14ac:dyDescent="0.3">
      <c r="A66" s="118" t="s">
        <v>3328</v>
      </c>
      <c r="C66" s="118" t="s">
        <v>3378</v>
      </c>
      <c r="E66" s="118" t="s">
        <v>3428</v>
      </c>
      <c r="G66" s="118" t="s">
        <v>3478</v>
      </c>
      <c r="I66" s="118"/>
      <c r="J66" s="119"/>
      <c r="M66" s="118"/>
      <c r="O66" s="118"/>
      <c r="Q66" s="118"/>
      <c r="S66" s="118"/>
      <c r="U66" s="118"/>
      <c r="W66" s="118"/>
      <c r="Y66" s="118"/>
      <c r="AA66" s="118"/>
      <c r="AC66" s="118"/>
      <c r="AE66" s="118"/>
      <c r="AF66" s="119"/>
    </row>
    <row r="67" spans="1:32" x14ac:dyDescent="0.3">
      <c r="A67" s="118" t="s">
        <v>3332</v>
      </c>
      <c r="C67" s="118" t="s">
        <v>3382</v>
      </c>
      <c r="E67" s="118" t="s">
        <v>3432</v>
      </c>
      <c r="G67" s="118" t="s">
        <v>3482</v>
      </c>
      <c r="I67" s="118"/>
      <c r="J67" s="119"/>
      <c r="M67" s="118"/>
      <c r="O67" s="118"/>
      <c r="Q67" s="118"/>
      <c r="S67" s="118"/>
      <c r="U67" s="118"/>
      <c r="W67" s="118"/>
      <c r="Y67" s="118"/>
      <c r="AA67" s="118"/>
      <c r="AC67" s="118"/>
      <c r="AE67" s="118"/>
      <c r="AF67" s="119"/>
    </row>
    <row r="68" spans="1:32" x14ac:dyDescent="0.3">
      <c r="A68" s="118" t="s">
        <v>3333</v>
      </c>
      <c r="C68" s="118" t="s">
        <v>3383</v>
      </c>
      <c r="E68" s="118" t="s">
        <v>3433</v>
      </c>
      <c r="G68" s="118" t="s">
        <v>3483</v>
      </c>
      <c r="I68" s="118"/>
      <c r="J68" s="119"/>
      <c r="M68" s="118"/>
      <c r="O68" s="118"/>
      <c r="Q68" s="118"/>
      <c r="S68" s="118"/>
      <c r="U68" s="118"/>
      <c r="W68" s="118"/>
      <c r="Y68" s="118"/>
      <c r="AA68" s="118"/>
      <c r="AC68" s="118"/>
      <c r="AE68" s="118"/>
      <c r="AF68" s="119"/>
    </row>
    <row r="69" spans="1:32" x14ac:dyDescent="0.3">
      <c r="A69" s="118" t="s">
        <v>3337</v>
      </c>
      <c r="C69" s="118" t="s">
        <v>3387</v>
      </c>
      <c r="E69" s="118" t="s">
        <v>3437</v>
      </c>
      <c r="G69" s="118" t="s">
        <v>3487</v>
      </c>
      <c r="I69" s="118"/>
      <c r="J69" s="119"/>
      <c r="M69" s="118"/>
      <c r="O69" s="118"/>
      <c r="Q69" s="118"/>
      <c r="S69" s="118"/>
      <c r="U69" s="118"/>
      <c r="W69" s="118"/>
      <c r="Y69" s="118"/>
      <c r="AA69" s="118"/>
      <c r="AC69" s="118"/>
      <c r="AE69" s="118"/>
      <c r="AF69" s="119"/>
    </row>
    <row r="70" spans="1:32" x14ac:dyDescent="0.3">
      <c r="A70" s="118" t="s">
        <v>3338</v>
      </c>
      <c r="C70" s="118" t="s">
        <v>3388</v>
      </c>
      <c r="E70" s="118" t="s">
        <v>3438</v>
      </c>
      <c r="G70" s="118" t="s">
        <v>3488</v>
      </c>
      <c r="I70" s="118"/>
      <c r="J70" s="119"/>
      <c r="M70" s="118"/>
      <c r="O70" s="118"/>
      <c r="Q70" s="118"/>
      <c r="S70" s="118"/>
      <c r="U70" s="118"/>
      <c r="W70" s="118"/>
      <c r="Y70" s="118"/>
      <c r="AA70" s="118"/>
      <c r="AC70" s="118"/>
      <c r="AE70" s="118"/>
      <c r="AF70" s="119"/>
    </row>
    <row r="71" spans="1:32" x14ac:dyDescent="0.3">
      <c r="A71" s="118" t="s">
        <v>3342</v>
      </c>
      <c r="C71" s="118" t="s">
        <v>3392</v>
      </c>
      <c r="E71" s="118" t="s">
        <v>3442</v>
      </c>
      <c r="G71" s="118" t="s">
        <v>3492</v>
      </c>
      <c r="I71" s="118"/>
      <c r="J71" s="119"/>
      <c r="M71" s="118"/>
      <c r="O71" s="118"/>
      <c r="Q71" s="118"/>
      <c r="S71" s="118"/>
      <c r="U71" s="118"/>
      <c r="W71" s="118"/>
      <c r="Y71" s="118"/>
      <c r="AA71" s="118"/>
      <c r="AC71" s="118"/>
      <c r="AE71" s="118"/>
      <c r="AF71" s="119"/>
    </row>
    <row r="72" spans="1:32" x14ac:dyDescent="0.3">
      <c r="A72" s="118" t="s">
        <v>3343</v>
      </c>
      <c r="C72" s="118" t="s">
        <v>3393</v>
      </c>
      <c r="E72" s="118" t="s">
        <v>3443</v>
      </c>
      <c r="G72" s="118" t="s">
        <v>3493</v>
      </c>
      <c r="I72" s="118"/>
      <c r="J72" s="119"/>
      <c r="M72" s="118"/>
      <c r="O72" s="118"/>
      <c r="Q72" s="118"/>
      <c r="S72" s="118"/>
      <c r="U72" s="118"/>
      <c r="W72" s="118"/>
      <c r="Y72" s="118"/>
      <c r="AA72" s="118"/>
      <c r="AC72" s="118"/>
      <c r="AE72" s="118"/>
      <c r="AF72" s="119"/>
    </row>
    <row r="73" spans="1:32" x14ac:dyDescent="0.3">
      <c r="A73" s="118" t="s">
        <v>3347</v>
      </c>
      <c r="C73" s="118" t="s">
        <v>3397</v>
      </c>
      <c r="E73" s="118" t="s">
        <v>3447</v>
      </c>
      <c r="G73" s="118" t="s">
        <v>3497</v>
      </c>
      <c r="I73" s="118"/>
      <c r="J73" s="119"/>
      <c r="M73" s="118"/>
      <c r="O73" s="118"/>
      <c r="Q73" s="118"/>
      <c r="S73" s="118"/>
      <c r="U73" s="118"/>
      <c r="W73" s="118"/>
      <c r="Y73" s="118"/>
      <c r="AA73" s="118"/>
      <c r="AC73" s="118"/>
      <c r="AE73" s="118"/>
      <c r="AF73" s="119"/>
    </row>
    <row r="74" spans="1:32" x14ac:dyDescent="0.3">
      <c r="A74" s="118" t="s">
        <v>3348</v>
      </c>
      <c r="C74" s="118" t="s">
        <v>3398</v>
      </c>
      <c r="E74" s="118" t="s">
        <v>3448</v>
      </c>
      <c r="G74" s="118" t="s">
        <v>3498</v>
      </c>
      <c r="I74" s="118"/>
      <c r="J74" s="119"/>
      <c r="M74" s="118"/>
      <c r="O74" s="118"/>
      <c r="Q74" s="118"/>
      <c r="S74" s="118"/>
      <c r="U74" s="118"/>
      <c r="W74" s="118"/>
      <c r="Y74" s="118"/>
      <c r="AA74" s="118"/>
      <c r="AC74" s="118"/>
      <c r="AE74" s="118"/>
      <c r="AF74" s="119"/>
    </row>
    <row r="75" spans="1:32" x14ac:dyDescent="0.3">
      <c r="A75" s="118" t="s">
        <v>3352</v>
      </c>
      <c r="C75" s="118" t="s">
        <v>3402</v>
      </c>
      <c r="E75" s="118" t="s">
        <v>3452</v>
      </c>
      <c r="G75" s="118" t="s">
        <v>3502</v>
      </c>
      <c r="I75" s="118"/>
      <c r="J75" s="119"/>
      <c r="M75" s="118"/>
      <c r="O75" s="118"/>
      <c r="Q75" s="118"/>
      <c r="S75" s="118"/>
      <c r="U75" s="118"/>
      <c r="W75" s="118"/>
      <c r="Y75" s="118"/>
      <c r="AA75" s="118"/>
      <c r="AC75" s="118"/>
      <c r="AE75" s="118"/>
      <c r="AF75" s="119"/>
    </row>
    <row r="76" spans="1:32" x14ac:dyDescent="0.3">
      <c r="A76" s="118" t="s">
        <v>3353</v>
      </c>
      <c r="C76" s="118" t="s">
        <v>3403</v>
      </c>
      <c r="E76" s="118" t="s">
        <v>3453</v>
      </c>
      <c r="G76" s="118" t="s">
        <v>3503</v>
      </c>
      <c r="I76" s="118"/>
      <c r="J76" s="119"/>
      <c r="M76" s="118"/>
      <c r="O76" s="118"/>
      <c r="Q76" s="118"/>
      <c r="S76" s="118"/>
      <c r="U76" s="118"/>
      <c r="W76" s="118"/>
      <c r="Y76" s="118"/>
      <c r="AA76" s="118"/>
      <c r="AC76" s="118"/>
      <c r="AE76" s="118"/>
      <c r="AF76" s="119"/>
    </row>
    <row r="77" spans="1:32" x14ac:dyDescent="0.3">
      <c r="A77" s="118" t="s">
        <v>3357</v>
      </c>
      <c r="C77" s="118" t="s">
        <v>3407</v>
      </c>
      <c r="E77" s="118" t="s">
        <v>3457</v>
      </c>
      <c r="G77" s="118" t="s">
        <v>3507</v>
      </c>
      <c r="I77" s="118"/>
      <c r="J77" s="119"/>
      <c r="M77" s="118"/>
      <c r="O77" s="118"/>
      <c r="Q77" s="118"/>
      <c r="S77" s="118"/>
      <c r="U77" s="118"/>
      <c r="W77" s="118"/>
      <c r="Y77" s="118"/>
      <c r="AA77" s="118"/>
      <c r="AC77" s="118"/>
      <c r="AE77" s="118"/>
      <c r="AF77" s="119"/>
    </row>
    <row r="78" spans="1:32" x14ac:dyDescent="0.3">
      <c r="A78" s="118" t="s">
        <v>3358</v>
      </c>
      <c r="C78" s="118" t="s">
        <v>3408</v>
      </c>
      <c r="E78" s="118" t="s">
        <v>3458</v>
      </c>
      <c r="G78" s="118" t="s">
        <v>3508</v>
      </c>
      <c r="I78" s="118"/>
      <c r="J78" s="119"/>
      <c r="M78" s="118"/>
      <c r="O78" s="118"/>
      <c r="Q78" s="118"/>
      <c r="S78" s="118"/>
      <c r="U78" s="118"/>
      <c r="W78" s="118"/>
      <c r="Y78" s="118"/>
      <c r="AA78" s="118"/>
      <c r="AC78" s="118"/>
      <c r="AE78" s="118"/>
      <c r="AF78" s="119"/>
    </row>
    <row r="79" spans="1:32" x14ac:dyDescent="0.3">
      <c r="A79" s="118" t="s">
        <v>3362</v>
      </c>
      <c r="C79" s="118" t="s">
        <v>3412</v>
      </c>
      <c r="E79" s="118" t="s">
        <v>3462</v>
      </c>
      <c r="G79" s="118" t="s">
        <v>3512</v>
      </c>
      <c r="I79" s="118"/>
      <c r="J79" s="119"/>
      <c r="M79" s="118"/>
      <c r="O79" s="118"/>
      <c r="Q79" s="118"/>
      <c r="S79" s="118"/>
      <c r="U79" s="118"/>
      <c r="W79" s="118"/>
      <c r="Y79" s="118"/>
      <c r="AA79" s="118"/>
      <c r="AC79" s="118"/>
      <c r="AE79" s="118"/>
      <c r="AF79" s="119"/>
    </row>
    <row r="80" spans="1:32" x14ac:dyDescent="0.3">
      <c r="A80" s="118" t="s">
        <v>3363</v>
      </c>
      <c r="C80" s="118" t="s">
        <v>3413</v>
      </c>
      <c r="E80" s="118" t="s">
        <v>3463</v>
      </c>
      <c r="G80" s="118" t="s">
        <v>3513</v>
      </c>
      <c r="I80" s="118"/>
      <c r="J80" s="119"/>
      <c r="M80" s="118"/>
      <c r="O80" s="118"/>
      <c r="Q80" s="118"/>
      <c r="S80" s="118"/>
      <c r="U80" s="118"/>
      <c r="W80" s="118"/>
      <c r="Y80" s="118"/>
      <c r="AA80" s="118"/>
      <c r="AC80" s="118"/>
      <c r="AE80" s="118"/>
      <c r="AF80" s="119"/>
    </row>
    <row r="81" spans="1:32" x14ac:dyDescent="0.3">
      <c r="A81" s="118"/>
      <c r="C81" s="118"/>
      <c r="E81" s="118"/>
      <c r="G81" s="118"/>
      <c r="I81" s="118"/>
      <c r="J81" s="119"/>
      <c r="M81" s="118"/>
      <c r="O81" s="118"/>
      <c r="Q81" s="118"/>
      <c r="S81" s="118"/>
      <c r="U81" s="118"/>
      <c r="W81" s="118"/>
      <c r="Y81" s="118"/>
      <c r="AA81" s="118"/>
      <c r="AC81" s="118"/>
      <c r="AE81" s="118"/>
      <c r="AF81" s="119"/>
    </row>
    <row r="82" spans="1:32" x14ac:dyDescent="0.3">
      <c r="A82" s="118"/>
      <c r="C82" s="118"/>
      <c r="E82" s="118"/>
      <c r="G82" s="118"/>
      <c r="I82" s="118"/>
      <c r="J82" s="119"/>
      <c r="M82" s="118"/>
      <c r="O82" s="118"/>
      <c r="Q82" s="118"/>
      <c r="S82" s="118"/>
      <c r="U82" s="118"/>
      <c r="W82" s="118"/>
      <c r="Y82" s="118"/>
      <c r="AA82" s="118"/>
      <c r="AC82" s="118"/>
      <c r="AE82" s="118"/>
      <c r="AF82" s="119"/>
    </row>
    <row r="83" spans="1:32" x14ac:dyDescent="0.3">
      <c r="A83" s="118"/>
      <c r="C83" s="118"/>
      <c r="E83" s="118"/>
      <c r="G83" s="118"/>
      <c r="I83" s="118"/>
      <c r="J83" s="119"/>
      <c r="M83" s="118"/>
      <c r="O83" s="118"/>
      <c r="Q83" s="118"/>
      <c r="S83" s="118"/>
      <c r="U83" s="118"/>
      <c r="W83" s="118"/>
      <c r="Y83" s="118"/>
      <c r="AA83" s="118"/>
      <c r="AC83" s="118"/>
      <c r="AE83" s="118"/>
      <c r="AF83" s="119"/>
    </row>
    <row r="84" spans="1:32" x14ac:dyDescent="0.3">
      <c r="A84" s="118"/>
      <c r="C84" s="118"/>
      <c r="E84" s="118"/>
      <c r="G84" s="118"/>
      <c r="I84" s="118"/>
      <c r="J84" s="119"/>
      <c r="M84" s="118"/>
      <c r="O84" s="118"/>
      <c r="Q84" s="118"/>
      <c r="S84" s="118"/>
      <c r="U84" s="118"/>
      <c r="W84" s="118"/>
      <c r="Y84" s="118"/>
      <c r="AA84" s="118"/>
      <c r="AC84" s="118"/>
      <c r="AE84" s="118"/>
      <c r="AF84" s="119"/>
    </row>
    <row r="85" spans="1:32" x14ac:dyDescent="0.3">
      <c r="A85" s="118"/>
      <c r="C85" s="118"/>
      <c r="E85" s="118"/>
      <c r="G85" s="118"/>
      <c r="I85" s="118"/>
      <c r="J85" s="119"/>
      <c r="M85" s="118"/>
      <c r="O85" s="118"/>
      <c r="Q85" s="118"/>
      <c r="S85" s="118"/>
      <c r="U85" s="118"/>
      <c r="W85" s="118"/>
      <c r="Y85" s="118"/>
      <c r="AA85" s="118"/>
      <c r="AC85" s="118"/>
      <c r="AE85" s="118"/>
      <c r="AF85" s="119"/>
    </row>
    <row r="86" spans="1:32" x14ac:dyDescent="0.3">
      <c r="A86" s="118"/>
      <c r="C86" s="118"/>
      <c r="E86" s="118"/>
      <c r="G86" s="118"/>
      <c r="I86" s="118"/>
      <c r="J86" s="119"/>
      <c r="M86" s="118"/>
      <c r="O86" s="118"/>
      <c r="Q86" s="118"/>
      <c r="S86" s="118"/>
      <c r="U86" s="118"/>
      <c r="W86" s="118"/>
      <c r="Y86" s="118"/>
      <c r="AA86" s="118"/>
      <c r="AC86" s="118"/>
      <c r="AE86" s="118"/>
      <c r="AF86" s="119"/>
    </row>
    <row r="87" spans="1:32" x14ac:dyDescent="0.3">
      <c r="A87" s="118"/>
      <c r="C87" s="118"/>
      <c r="E87" s="118"/>
      <c r="G87" s="118"/>
      <c r="I87" s="118"/>
      <c r="J87" s="119"/>
      <c r="M87" s="118"/>
      <c r="O87" s="118"/>
      <c r="Q87" s="118"/>
      <c r="S87" s="118"/>
      <c r="U87" s="118"/>
      <c r="W87" s="118"/>
      <c r="Y87" s="118"/>
      <c r="AA87" s="118"/>
      <c r="AC87" s="118"/>
      <c r="AE87" s="118"/>
      <c r="AF87" s="119"/>
    </row>
    <row r="88" spans="1:32" x14ac:dyDescent="0.3">
      <c r="A88" s="118"/>
      <c r="C88" s="118"/>
      <c r="E88" s="118"/>
      <c r="G88" s="118"/>
      <c r="I88" s="118"/>
      <c r="J88" s="119"/>
      <c r="M88" s="118"/>
      <c r="O88" s="118"/>
      <c r="Q88" s="118"/>
      <c r="S88" s="118"/>
      <c r="U88" s="118"/>
      <c r="W88" s="118"/>
      <c r="Y88" s="118"/>
      <c r="AA88" s="118"/>
      <c r="AC88" s="118"/>
      <c r="AE88" s="118"/>
      <c r="AF88" s="119"/>
    </row>
    <row r="89" spans="1:32" x14ac:dyDescent="0.3">
      <c r="A89" s="118"/>
      <c r="C89" s="118"/>
      <c r="E89" s="118"/>
      <c r="G89" s="118"/>
      <c r="I89" s="118"/>
      <c r="J89" s="119"/>
      <c r="M89" s="118"/>
      <c r="O89" s="118"/>
      <c r="Q89" s="118"/>
      <c r="S89" s="118"/>
      <c r="U89" s="118"/>
      <c r="W89" s="118"/>
      <c r="Y89" s="118"/>
      <c r="AA89" s="118"/>
      <c r="AC89" s="118"/>
      <c r="AE89" s="118"/>
      <c r="AF89" s="119"/>
    </row>
    <row r="90" spans="1:32" x14ac:dyDescent="0.3">
      <c r="A90" s="118"/>
      <c r="C90" s="118"/>
      <c r="E90" s="118"/>
      <c r="G90" s="118"/>
      <c r="I90" s="118"/>
      <c r="J90" s="119"/>
      <c r="M90" s="118"/>
      <c r="O90" s="118"/>
      <c r="Q90" s="118"/>
      <c r="S90" s="118"/>
      <c r="U90" s="118"/>
      <c r="W90" s="118"/>
      <c r="Y90" s="118"/>
      <c r="AA90" s="118"/>
      <c r="AC90" s="118"/>
      <c r="AE90" s="118"/>
      <c r="AF90" s="119"/>
    </row>
    <row r="91" spans="1:32" x14ac:dyDescent="0.3">
      <c r="A91" s="118"/>
      <c r="C91" s="118"/>
      <c r="E91" s="118"/>
      <c r="G91" s="118"/>
      <c r="I91" s="118"/>
      <c r="J91" s="119"/>
      <c r="M91" s="118"/>
      <c r="O91" s="118"/>
      <c r="Q91" s="118"/>
      <c r="S91" s="118"/>
      <c r="U91" s="118"/>
      <c r="W91" s="118"/>
      <c r="Y91" s="118"/>
      <c r="AA91" s="118"/>
      <c r="AC91" s="118"/>
      <c r="AE91" s="118"/>
      <c r="AF91" s="119"/>
    </row>
    <row r="92" spans="1:32" x14ac:dyDescent="0.3">
      <c r="A92" s="118"/>
      <c r="C92" s="118"/>
      <c r="E92" s="118"/>
      <c r="G92" s="118"/>
      <c r="I92" s="118"/>
      <c r="J92" s="119"/>
      <c r="M92" s="118"/>
      <c r="O92" s="118"/>
      <c r="Q92" s="118"/>
      <c r="S92" s="118"/>
      <c r="U92" s="118"/>
      <c r="W92" s="118"/>
      <c r="Y92" s="118"/>
      <c r="AA92" s="118"/>
      <c r="AC92" s="118"/>
      <c r="AE92" s="118"/>
      <c r="AF92" s="119"/>
    </row>
    <row r="93" spans="1:32" x14ac:dyDescent="0.3">
      <c r="A93" s="118"/>
      <c r="C93" s="118"/>
      <c r="E93" s="118"/>
      <c r="G93" s="118"/>
      <c r="I93" s="118"/>
      <c r="J93" s="119"/>
      <c r="M93" s="118"/>
      <c r="O93" s="118"/>
      <c r="Q93" s="118"/>
      <c r="S93" s="118"/>
      <c r="U93" s="118"/>
      <c r="W93" s="118"/>
      <c r="Y93" s="118"/>
      <c r="AA93" s="118"/>
      <c r="AC93" s="118"/>
      <c r="AE93" s="118"/>
      <c r="AF93" s="119"/>
    </row>
    <row r="94" spans="1:32" x14ac:dyDescent="0.3">
      <c r="A94" s="118"/>
      <c r="C94" s="118"/>
      <c r="E94" s="118"/>
      <c r="G94" s="118"/>
      <c r="I94" s="118"/>
      <c r="J94" s="119"/>
      <c r="M94" s="118"/>
      <c r="O94" s="118"/>
      <c r="Q94" s="118"/>
      <c r="S94" s="118"/>
      <c r="U94" s="118"/>
      <c r="W94" s="118"/>
      <c r="Y94" s="118"/>
      <c r="AA94" s="118"/>
      <c r="AC94" s="118"/>
      <c r="AE94" s="118"/>
      <c r="AF94" s="119"/>
    </row>
    <row r="95" spans="1:32" x14ac:dyDescent="0.3">
      <c r="A95" s="118"/>
      <c r="C95" s="118"/>
      <c r="E95" s="118"/>
      <c r="G95" s="118"/>
      <c r="I95" s="118"/>
      <c r="J95" s="119"/>
      <c r="M95" s="118"/>
      <c r="O95" s="118"/>
      <c r="Q95" s="118"/>
      <c r="S95" s="118"/>
      <c r="U95" s="118"/>
      <c r="W95" s="118"/>
      <c r="Y95" s="118"/>
      <c r="AA95" s="118"/>
      <c r="AC95" s="118"/>
      <c r="AE95" s="118"/>
      <c r="AF95" s="119"/>
    </row>
    <row r="96" spans="1:32" x14ac:dyDescent="0.3">
      <c r="A96" s="118"/>
      <c r="C96" s="118"/>
      <c r="E96" s="118"/>
      <c r="G96" s="118"/>
      <c r="I96" s="118"/>
      <c r="J96" s="119"/>
      <c r="M96" s="118"/>
      <c r="O96" s="118"/>
      <c r="Q96" s="118"/>
      <c r="S96" s="118"/>
      <c r="U96" s="118"/>
      <c r="W96" s="118"/>
      <c r="Y96" s="118"/>
      <c r="AA96" s="118"/>
      <c r="AC96" s="118"/>
      <c r="AE96" s="118"/>
      <c r="AF96" s="119"/>
    </row>
    <row r="97" spans="1:32" x14ac:dyDescent="0.3">
      <c r="A97" s="118"/>
      <c r="C97" s="118"/>
      <c r="E97" s="118"/>
      <c r="G97" s="118"/>
      <c r="I97" s="118"/>
      <c r="J97" s="119"/>
      <c r="M97" s="118"/>
      <c r="O97" s="118"/>
      <c r="Q97" s="118"/>
      <c r="S97" s="118"/>
      <c r="U97" s="118"/>
      <c r="W97" s="118"/>
      <c r="Y97" s="118"/>
      <c r="AA97" s="118"/>
      <c r="AC97" s="118"/>
      <c r="AE97" s="118"/>
      <c r="AF97" s="119"/>
    </row>
    <row r="98" spans="1:32" x14ac:dyDescent="0.3">
      <c r="A98" s="118"/>
      <c r="C98" s="118"/>
      <c r="E98" s="118"/>
      <c r="G98" s="118"/>
      <c r="I98" s="118"/>
      <c r="J98" s="119"/>
      <c r="M98" s="118"/>
      <c r="O98" s="118"/>
      <c r="Q98" s="118"/>
      <c r="S98" s="118"/>
      <c r="U98" s="118"/>
      <c r="W98" s="118"/>
      <c r="Y98" s="118"/>
      <c r="AA98" s="118"/>
      <c r="AC98" s="118"/>
      <c r="AE98" s="118"/>
      <c r="AF98" s="119"/>
    </row>
    <row r="99" spans="1:32" x14ac:dyDescent="0.3">
      <c r="A99" s="118"/>
      <c r="C99" s="118"/>
      <c r="E99" s="118"/>
      <c r="G99" s="118"/>
      <c r="I99" s="118"/>
      <c r="J99" s="119"/>
      <c r="M99" s="118"/>
      <c r="O99" s="118"/>
      <c r="Q99" s="118"/>
      <c r="S99" s="118"/>
      <c r="U99" s="118"/>
      <c r="W99" s="118"/>
      <c r="Y99" s="118"/>
      <c r="AA99" s="118"/>
      <c r="AC99" s="118"/>
      <c r="AE99" s="118"/>
      <c r="AF99" s="119"/>
    </row>
    <row r="100" spans="1:32" x14ac:dyDescent="0.3">
      <c r="A100" s="118"/>
      <c r="C100" s="118"/>
      <c r="E100" s="118"/>
      <c r="G100" s="118"/>
      <c r="I100" s="118"/>
      <c r="J100" s="119"/>
      <c r="M100" s="118"/>
      <c r="O100" s="118"/>
      <c r="Q100" s="118"/>
      <c r="S100" s="118"/>
      <c r="U100" s="118"/>
      <c r="W100" s="118"/>
      <c r="Y100" s="118"/>
      <c r="AA100" s="118"/>
      <c r="AC100" s="118"/>
      <c r="AE100" s="118"/>
      <c r="AF100" s="119"/>
    </row>
    <row r="101" spans="1:32" x14ac:dyDescent="0.3">
      <c r="A101" s="118"/>
      <c r="C101" s="118"/>
      <c r="E101" s="118"/>
      <c r="G101" s="118"/>
      <c r="I101" s="118"/>
      <c r="J101" s="119"/>
      <c r="M101" s="118"/>
      <c r="O101" s="118"/>
      <c r="Q101" s="118"/>
      <c r="S101" s="118"/>
      <c r="U101" s="118"/>
      <c r="W101" s="118"/>
      <c r="Y101" s="118"/>
      <c r="AA101" s="118"/>
      <c r="AC101" s="118"/>
      <c r="AE101" s="118"/>
      <c r="AF101" s="119"/>
    </row>
    <row r="102" spans="1:32" x14ac:dyDescent="0.3">
      <c r="A102" s="118"/>
      <c r="C102" s="118"/>
      <c r="E102" s="118"/>
      <c r="G102" s="118"/>
      <c r="I102" s="118"/>
      <c r="J102" s="119"/>
      <c r="M102" s="118"/>
      <c r="O102" s="118"/>
      <c r="Q102" s="118"/>
      <c r="S102" s="118"/>
      <c r="U102" s="118"/>
      <c r="W102" s="118"/>
      <c r="Y102" s="118"/>
      <c r="AA102" s="118"/>
      <c r="AC102" s="118"/>
      <c r="AE102" s="118"/>
      <c r="AF102" s="119"/>
    </row>
    <row r="103" spans="1:32" x14ac:dyDescent="0.3">
      <c r="A103" s="118"/>
      <c r="C103" s="118"/>
      <c r="E103" s="118"/>
      <c r="G103" s="118"/>
      <c r="I103" s="118"/>
      <c r="J103" s="119"/>
      <c r="M103" s="118"/>
      <c r="O103" s="118"/>
      <c r="Q103" s="118"/>
      <c r="S103" s="118"/>
      <c r="U103" s="118"/>
      <c r="W103" s="118"/>
      <c r="Y103" s="118"/>
      <c r="AA103" s="118"/>
      <c r="AC103" s="118"/>
      <c r="AE103" s="118"/>
      <c r="AF103" s="119"/>
    </row>
    <row r="104" spans="1:32" x14ac:dyDescent="0.3">
      <c r="A104" s="118"/>
      <c r="C104" s="118"/>
      <c r="E104" s="118"/>
      <c r="G104" s="118"/>
      <c r="I104" s="118"/>
      <c r="J104" s="119"/>
      <c r="M104" s="118"/>
      <c r="O104" s="118"/>
      <c r="Q104" s="118"/>
      <c r="S104" s="118"/>
      <c r="U104" s="118"/>
      <c r="W104" s="118"/>
      <c r="Y104" s="118"/>
      <c r="AA104" s="118"/>
      <c r="AC104" s="118"/>
      <c r="AE104" s="118"/>
      <c r="AF104" s="119"/>
    </row>
    <row r="105" spans="1:32" x14ac:dyDescent="0.3">
      <c r="A105" s="118"/>
      <c r="C105" s="118"/>
      <c r="E105" s="118"/>
      <c r="G105" s="118"/>
      <c r="I105" s="118"/>
      <c r="J105" s="119"/>
      <c r="M105" s="118"/>
      <c r="O105" s="118"/>
      <c r="Q105" s="118"/>
      <c r="S105" s="118"/>
      <c r="U105" s="118"/>
      <c r="W105" s="118"/>
      <c r="Y105" s="118"/>
      <c r="AA105" s="118"/>
      <c r="AC105" s="118"/>
      <c r="AE105" s="118"/>
      <c r="AF105" s="119"/>
    </row>
    <row r="106" spans="1:32" x14ac:dyDescent="0.3">
      <c r="A106" s="118"/>
      <c r="C106" s="118"/>
      <c r="E106" s="118"/>
      <c r="G106" s="118"/>
      <c r="I106" s="118"/>
      <c r="J106" s="119"/>
      <c r="M106" s="118"/>
      <c r="O106" s="118"/>
      <c r="Q106" s="118"/>
      <c r="S106" s="118"/>
      <c r="U106" s="118"/>
      <c r="W106" s="118"/>
      <c r="Y106" s="118"/>
      <c r="AA106" s="118"/>
      <c r="AC106" s="118"/>
      <c r="AE106" s="118"/>
      <c r="AF106" s="119"/>
    </row>
    <row r="107" spans="1:32" x14ac:dyDescent="0.3">
      <c r="A107" s="118"/>
      <c r="C107" s="118"/>
      <c r="E107" s="118"/>
      <c r="G107" s="118"/>
      <c r="I107" s="118"/>
      <c r="J107" s="119"/>
      <c r="M107" s="118"/>
      <c r="O107" s="118"/>
      <c r="Q107" s="118"/>
      <c r="S107" s="118"/>
      <c r="U107" s="118"/>
      <c r="W107" s="118"/>
      <c r="Y107" s="118"/>
      <c r="AA107" s="118"/>
      <c r="AC107" s="118"/>
      <c r="AE107" s="118"/>
      <c r="AF107" s="119"/>
    </row>
    <row r="108" spans="1:32" x14ac:dyDescent="0.3">
      <c r="A108" s="118"/>
      <c r="C108" s="118"/>
      <c r="E108" s="118"/>
      <c r="G108" s="118"/>
      <c r="I108" s="118"/>
      <c r="J108" s="119"/>
      <c r="M108" s="118"/>
      <c r="O108" s="118"/>
      <c r="Q108" s="118"/>
      <c r="S108" s="118"/>
      <c r="U108" s="118"/>
      <c r="W108" s="118"/>
      <c r="Y108" s="118"/>
      <c r="AA108" s="118"/>
      <c r="AC108" s="118"/>
      <c r="AE108" s="118"/>
      <c r="AF108" s="119"/>
    </row>
    <row r="109" spans="1:32" x14ac:dyDescent="0.3">
      <c r="A109" s="118"/>
      <c r="C109" s="118"/>
      <c r="E109" s="118"/>
      <c r="G109" s="118"/>
      <c r="I109" s="118"/>
      <c r="J109" s="119"/>
      <c r="M109" s="118"/>
      <c r="O109" s="118"/>
      <c r="Q109" s="118"/>
      <c r="S109" s="118"/>
      <c r="U109" s="118"/>
      <c r="W109" s="118"/>
      <c r="Y109" s="118"/>
      <c r="AA109" s="118"/>
      <c r="AC109" s="118"/>
      <c r="AE109" s="118"/>
      <c r="AF109" s="119"/>
    </row>
    <row r="110" spans="1:32" x14ac:dyDescent="0.3">
      <c r="A110" s="118"/>
      <c r="C110" s="118"/>
      <c r="E110" s="118"/>
      <c r="G110" s="118"/>
      <c r="I110" s="118"/>
      <c r="J110" s="119"/>
      <c r="M110" s="118"/>
      <c r="O110" s="118"/>
      <c r="Q110" s="118"/>
      <c r="S110" s="118"/>
      <c r="U110" s="118"/>
      <c r="W110" s="118"/>
      <c r="Y110" s="118"/>
      <c r="AA110" s="118"/>
      <c r="AC110" s="118"/>
      <c r="AE110" s="118"/>
      <c r="AF110" s="119"/>
    </row>
    <row r="111" spans="1:32" x14ac:dyDescent="0.3">
      <c r="A111" s="118"/>
      <c r="C111" s="118"/>
      <c r="E111" s="118"/>
      <c r="G111" s="118"/>
      <c r="I111" s="118"/>
      <c r="J111" s="119"/>
      <c r="M111" s="118"/>
      <c r="O111" s="118"/>
      <c r="Q111" s="118"/>
      <c r="S111" s="118"/>
      <c r="U111" s="118"/>
      <c r="W111" s="118"/>
      <c r="Y111" s="118"/>
      <c r="AA111" s="118"/>
      <c r="AC111" s="118"/>
      <c r="AE111" s="118"/>
      <c r="AF111" s="119"/>
    </row>
    <row r="112" spans="1:32" x14ac:dyDescent="0.3">
      <c r="A112" s="118"/>
      <c r="C112" s="118"/>
      <c r="E112" s="118"/>
      <c r="G112" s="118"/>
      <c r="I112" s="118"/>
      <c r="J112" s="119"/>
      <c r="M112" s="118"/>
      <c r="O112" s="118"/>
      <c r="Q112" s="118"/>
      <c r="S112" s="118"/>
      <c r="U112" s="118"/>
      <c r="W112" s="118"/>
      <c r="Y112" s="118"/>
      <c r="AA112" s="118"/>
      <c r="AC112" s="118"/>
      <c r="AE112" s="118"/>
      <c r="AF112" s="119"/>
    </row>
    <row r="113" spans="1:32" x14ac:dyDescent="0.3">
      <c r="A113" s="118"/>
      <c r="C113" s="118"/>
      <c r="E113" s="118"/>
      <c r="G113" s="118"/>
      <c r="I113" s="118"/>
      <c r="J113" s="119"/>
      <c r="M113" s="118"/>
      <c r="O113" s="118"/>
      <c r="Q113" s="118"/>
      <c r="S113" s="118"/>
      <c r="U113" s="118"/>
      <c r="W113" s="118"/>
      <c r="Y113" s="118"/>
      <c r="AA113" s="118"/>
      <c r="AC113" s="118"/>
      <c r="AE113" s="118"/>
      <c r="AF113" s="119"/>
    </row>
    <row r="114" spans="1:32" x14ac:dyDescent="0.3">
      <c r="A114" s="118"/>
      <c r="C114" s="118"/>
      <c r="E114" s="118"/>
      <c r="G114" s="118"/>
      <c r="I114" s="118"/>
      <c r="J114" s="119"/>
      <c r="M114" s="118"/>
      <c r="O114" s="118"/>
      <c r="Q114" s="118"/>
      <c r="S114" s="118"/>
      <c r="U114" s="118"/>
      <c r="W114" s="118"/>
      <c r="Y114" s="118"/>
      <c r="AA114" s="118"/>
      <c r="AC114" s="118"/>
      <c r="AE114" s="118"/>
      <c r="AF114" s="119"/>
    </row>
    <row r="115" spans="1:32" x14ac:dyDescent="0.3">
      <c r="A115" s="118"/>
      <c r="C115" s="118"/>
      <c r="E115" s="118"/>
      <c r="G115" s="118"/>
      <c r="I115" s="118"/>
      <c r="J115" s="119"/>
      <c r="M115" s="118"/>
      <c r="O115" s="118"/>
      <c r="Q115" s="118"/>
      <c r="S115" s="118"/>
      <c r="U115" s="118"/>
      <c r="W115" s="118"/>
      <c r="Y115" s="118"/>
      <c r="AA115" s="118"/>
      <c r="AC115" s="118"/>
      <c r="AE115" s="118"/>
      <c r="AF115" s="119"/>
    </row>
    <row r="116" spans="1:32" x14ac:dyDescent="0.3">
      <c r="A116" s="118"/>
      <c r="C116" s="118"/>
      <c r="E116" s="118"/>
      <c r="G116" s="118"/>
      <c r="I116" s="118"/>
      <c r="J116" s="119"/>
      <c r="M116" s="118"/>
      <c r="O116" s="118"/>
      <c r="Q116" s="118"/>
      <c r="S116" s="118"/>
      <c r="U116" s="118"/>
      <c r="W116" s="118"/>
      <c r="Y116" s="118"/>
      <c r="AA116" s="118"/>
      <c r="AC116" s="118"/>
      <c r="AE116" s="118"/>
      <c r="AF116" s="119"/>
    </row>
    <row r="117" spans="1:32" x14ac:dyDescent="0.3">
      <c r="A117" s="118"/>
      <c r="C117" s="118"/>
      <c r="E117" s="118"/>
      <c r="G117" s="118"/>
      <c r="I117" s="118"/>
      <c r="J117" s="119"/>
      <c r="M117" s="118"/>
      <c r="O117" s="118"/>
      <c r="Q117" s="118"/>
      <c r="S117" s="118"/>
      <c r="U117" s="118"/>
      <c r="W117" s="118"/>
      <c r="Y117" s="118"/>
      <c r="AA117" s="118"/>
      <c r="AC117" s="118"/>
      <c r="AE117" s="118"/>
      <c r="AF117" s="119"/>
    </row>
    <row r="118" spans="1:32" x14ac:dyDescent="0.3">
      <c r="A118" s="118"/>
      <c r="C118" s="118"/>
      <c r="E118" s="118"/>
      <c r="G118" s="118"/>
      <c r="I118" s="118"/>
      <c r="J118" s="119"/>
      <c r="M118" s="118"/>
      <c r="O118" s="118"/>
      <c r="Q118" s="118"/>
      <c r="S118" s="118"/>
      <c r="U118" s="118"/>
      <c r="W118" s="118"/>
      <c r="Y118" s="118"/>
      <c r="AA118" s="118"/>
      <c r="AC118" s="118"/>
      <c r="AE118" s="118"/>
      <c r="AF118" s="119"/>
    </row>
    <row r="119" spans="1:32" x14ac:dyDescent="0.3">
      <c r="A119" s="118"/>
      <c r="C119" s="118"/>
      <c r="E119" s="118"/>
      <c r="G119" s="118"/>
      <c r="I119" s="118"/>
      <c r="J119" s="119"/>
      <c r="M119" s="118"/>
      <c r="O119" s="118"/>
      <c r="Q119" s="118"/>
      <c r="S119" s="118"/>
      <c r="U119" s="118"/>
      <c r="W119" s="118"/>
      <c r="Y119" s="118"/>
      <c r="AA119" s="118"/>
      <c r="AC119" s="118"/>
      <c r="AE119" s="118"/>
      <c r="AF119" s="119"/>
    </row>
    <row r="120" spans="1:32" x14ac:dyDescent="0.3">
      <c r="A120" s="118"/>
      <c r="C120" s="118"/>
      <c r="E120" s="118"/>
      <c r="G120" s="118"/>
      <c r="I120" s="118"/>
      <c r="J120" s="119"/>
      <c r="M120" s="118"/>
      <c r="O120" s="118"/>
      <c r="Q120" s="118"/>
      <c r="S120" s="118"/>
      <c r="U120" s="118"/>
      <c r="W120" s="118"/>
      <c r="Y120" s="118"/>
      <c r="AA120" s="118"/>
      <c r="AC120" s="118"/>
      <c r="AE120" s="118"/>
      <c r="AF120" s="119"/>
    </row>
    <row r="121" spans="1:32" x14ac:dyDescent="0.3">
      <c r="A121" s="118"/>
      <c r="C121" s="118"/>
      <c r="E121" s="118"/>
      <c r="G121" s="118"/>
      <c r="I121" s="118"/>
      <c r="J121" s="119"/>
      <c r="M121" s="118"/>
      <c r="O121" s="118"/>
      <c r="Q121" s="118"/>
      <c r="S121" s="118"/>
      <c r="U121" s="118"/>
      <c r="W121" s="118"/>
      <c r="Y121" s="118"/>
      <c r="AA121" s="118"/>
      <c r="AC121" s="118"/>
      <c r="AE121" s="118"/>
      <c r="AF121" s="119"/>
    </row>
    <row r="122" spans="1:32" x14ac:dyDescent="0.3">
      <c r="A122" s="118"/>
      <c r="C122" s="118"/>
      <c r="E122" s="118"/>
      <c r="G122" s="118"/>
      <c r="I122" s="118"/>
      <c r="J122" s="119"/>
      <c r="M122" s="118"/>
      <c r="O122" s="118"/>
      <c r="Q122" s="118"/>
      <c r="S122" s="118"/>
      <c r="U122" s="118"/>
      <c r="W122" s="118"/>
      <c r="Y122" s="118"/>
      <c r="AA122" s="118"/>
      <c r="AC122" s="118"/>
      <c r="AE122" s="118"/>
      <c r="AF122" s="119"/>
    </row>
    <row r="123" spans="1:32" x14ac:dyDescent="0.3">
      <c r="A123" s="118"/>
      <c r="C123" s="118"/>
      <c r="E123" s="118"/>
      <c r="G123" s="118"/>
      <c r="I123" s="118"/>
      <c r="J123" s="119"/>
      <c r="M123" s="118"/>
      <c r="O123" s="118"/>
      <c r="Q123" s="118"/>
      <c r="S123" s="118"/>
      <c r="U123" s="118"/>
      <c r="W123" s="118"/>
      <c r="Y123" s="118"/>
      <c r="AA123" s="118"/>
      <c r="AC123" s="118"/>
      <c r="AE123" s="118"/>
      <c r="AF123" s="119"/>
    </row>
    <row r="124" spans="1:32" x14ac:dyDescent="0.3">
      <c r="A124" s="118"/>
      <c r="C124" s="118"/>
      <c r="E124" s="118"/>
      <c r="G124" s="118"/>
      <c r="I124" s="118"/>
      <c r="J124" s="119"/>
      <c r="M124" s="118"/>
      <c r="O124" s="118"/>
      <c r="Q124" s="118"/>
      <c r="S124" s="118"/>
      <c r="U124" s="118"/>
      <c r="W124" s="118"/>
      <c r="Y124" s="118"/>
      <c r="AA124" s="118"/>
      <c r="AC124" s="118"/>
      <c r="AE124" s="118"/>
      <c r="AF124" s="119"/>
    </row>
    <row r="125" spans="1:32" x14ac:dyDescent="0.3">
      <c r="A125" s="118"/>
      <c r="C125" s="118"/>
      <c r="E125" s="118"/>
      <c r="G125" s="118"/>
      <c r="I125" s="118"/>
      <c r="J125" s="119"/>
      <c r="M125" s="118"/>
      <c r="O125" s="118"/>
      <c r="Q125" s="118"/>
      <c r="S125" s="118"/>
      <c r="U125" s="118"/>
      <c r="W125" s="118"/>
      <c r="Y125" s="118"/>
      <c r="AA125" s="118"/>
      <c r="AC125" s="118"/>
      <c r="AE125" s="118"/>
      <c r="AF125" s="119"/>
    </row>
    <row r="126" spans="1:32" x14ac:dyDescent="0.3">
      <c r="A126" s="118"/>
      <c r="C126" s="118"/>
      <c r="E126" s="118"/>
      <c r="G126" s="118"/>
      <c r="I126" s="118"/>
      <c r="J126" s="119"/>
      <c r="M126" s="118"/>
      <c r="O126" s="118"/>
      <c r="Q126" s="118"/>
      <c r="S126" s="118"/>
      <c r="U126" s="118"/>
      <c r="W126" s="118"/>
      <c r="Y126" s="118"/>
      <c r="AA126" s="118"/>
      <c r="AC126" s="118"/>
      <c r="AE126" s="118"/>
      <c r="AF126" s="119"/>
    </row>
    <row r="127" spans="1:32" x14ac:dyDescent="0.3">
      <c r="A127" s="118"/>
      <c r="C127" s="118"/>
      <c r="E127" s="118"/>
      <c r="G127" s="118"/>
      <c r="I127" s="118"/>
      <c r="J127" s="119"/>
      <c r="M127" s="118"/>
      <c r="O127" s="118"/>
      <c r="Q127" s="118"/>
      <c r="S127" s="118"/>
      <c r="U127" s="118"/>
      <c r="W127" s="118"/>
      <c r="Y127" s="118"/>
      <c r="AA127" s="118"/>
      <c r="AC127" s="118"/>
      <c r="AE127" s="118"/>
      <c r="AF127" s="119"/>
    </row>
    <row r="128" spans="1:32" x14ac:dyDescent="0.3">
      <c r="A128" s="118"/>
      <c r="C128" s="118"/>
      <c r="E128" s="118"/>
      <c r="G128" s="118"/>
      <c r="I128" s="118"/>
      <c r="J128" s="119"/>
      <c r="M128" s="118"/>
      <c r="O128" s="118"/>
      <c r="Q128" s="118"/>
      <c r="S128" s="118"/>
      <c r="U128" s="118"/>
      <c r="W128" s="118"/>
      <c r="Y128" s="118"/>
      <c r="AA128" s="118"/>
      <c r="AC128" s="118"/>
      <c r="AE128" s="118"/>
      <c r="AF128" s="119"/>
    </row>
    <row r="129" spans="1:32" x14ac:dyDescent="0.3">
      <c r="A129" s="118"/>
      <c r="C129" s="118"/>
      <c r="E129" s="118"/>
      <c r="G129" s="118"/>
      <c r="I129" s="118"/>
      <c r="J129" s="119"/>
      <c r="M129" s="118"/>
      <c r="O129" s="118"/>
      <c r="Q129" s="118"/>
      <c r="S129" s="118"/>
      <c r="U129" s="118"/>
      <c r="W129" s="118"/>
      <c r="Y129" s="118"/>
      <c r="AA129" s="118"/>
      <c r="AC129" s="118"/>
      <c r="AE129" s="118"/>
      <c r="AF129" s="119"/>
    </row>
    <row r="130" spans="1:32" x14ac:dyDescent="0.3">
      <c r="A130" s="118"/>
      <c r="C130" s="118"/>
      <c r="E130" s="118"/>
      <c r="G130" s="118"/>
      <c r="I130" s="118"/>
      <c r="J130" s="119"/>
      <c r="M130" s="118"/>
      <c r="O130" s="118"/>
      <c r="Q130" s="118"/>
      <c r="S130" s="118"/>
      <c r="U130" s="118"/>
      <c r="W130" s="118"/>
      <c r="Y130" s="118"/>
      <c r="AA130" s="118"/>
      <c r="AC130" s="118"/>
      <c r="AE130" s="118"/>
      <c r="AF130" s="119"/>
    </row>
    <row r="131" spans="1:32" x14ac:dyDescent="0.3">
      <c r="A131" s="118"/>
      <c r="C131" s="118"/>
      <c r="E131" s="118"/>
      <c r="G131" s="118"/>
      <c r="I131" s="118"/>
      <c r="J131" s="119"/>
      <c r="M131" s="118"/>
      <c r="O131" s="118"/>
      <c r="Q131" s="118"/>
      <c r="S131" s="118"/>
      <c r="U131" s="118"/>
      <c r="W131" s="118"/>
      <c r="Y131" s="118"/>
      <c r="AA131" s="118"/>
      <c r="AC131" s="118"/>
      <c r="AE131" s="118"/>
      <c r="AF131" s="119"/>
    </row>
    <row r="132" spans="1:32" x14ac:dyDescent="0.3">
      <c r="A132" s="118"/>
      <c r="C132" s="118"/>
      <c r="E132" s="118"/>
      <c r="G132" s="118"/>
      <c r="I132" s="118"/>
      <c r="J132" s="119"/>
      <c r="M132" s="118"/>
      <c r="O132" s="118"/>
      <c r="Q132" s="118"/>
      <c r="S132" s="118"/>
      <c r="U132" s="118"/>
      <c r="W132" s="118"/>
      <c r="Y132" s="118"/>
      <c r="AA132" s="118"/>
      <c r="AC132" s="118"/>
      <c r="AE132" s="118"/>
      <c r="AF132" s="119"/>
    </row>
    <row r="133" spans="1:32" x14ac:dyDescent="0.3">
      <c r="A133" s="118"/>
      <c r="C133" s="118"/>
      <c r="E133" s="118"/>
      <c r="G133" s="118"/>
      <c r="I133" s="118"/>
      <c r="J133" s="119"/>
      <c r="M133" s="118"/>
      <c r="O133" s="118"/>
      <c r="Q133" s="118"/>
      <c r="S133" s="118"/>
      <c r="U133" s="118"/>
      <c r="W133" s="118"/>
      <c r="Y133" s="118"/>
      <c r="AA133" s="118"/>
      <c r="AC133" s="118"/>
      <c r="AE133" s="118"/>
      <c r="AF133" s="119"/>
    </row>
    <row r="134" spans="1:32" x14ac:dyDescent="0.3">
      <c r="A134" s="118"/>
      <c r="C134" s="118"/>
      <c r="E134" s="118"/>
      <c r="G134" s="118"/>
      <c r="I134" s="118"/>
      <c r="J134" s="119"/>
      <c r="M134" s="118"/>
      <c r="O134" s="118"/>
      <c r="Q134" s="118"/>
      <c r="S134" s="118"/>
      <c r="U134" s="118"/>
      <c r="W134" s="118"/>
      <c r="Y134" s="118"/>
      <c r="AA134" s="118"/>
      <c r="AC134" s="118"/>
      <c r="AE134" s="118"/>
      <c r="AF134" s="119"/>
    </row>
    <row r="135" spans="1:32" x14ac:dyDescent="0.3">
      <c r="A135" s="118"/>
      <c r="C135" s="118"/>
      <c r="E135" s="118"/>
      <c r="G135" s="118"/>
      <c r="I135" s="118"/>
      <c r="J135" s="119"/>
      <c r="M135" s="118"/>
      <c r="O135" s="118"/>
      <c r="Q135" s="118"/>
      <c r="S135" s="118"/>
      <c r="U135" s="118"/>
      <c r="W135" s="118"/>
      <c r="Y135" s="118"/>
      <c r="AA135" s="118"/>
      <c r="AC135" s="118"/>
      <c r="AE135" s="118"/>
      <c r="AF135" s="119"/>
    </row>
    <row r="136" spans="1:32" x14ac:dyDescent="0.3">
      <c r="A136" s="118"/>
      <c r="C136" s="118"/>
      <c r="E136" s="118"/>
      <c r="G136" s="118"/>
      <c r="I136" s="118"/>
      <c r="J136" s="119"/>
      <c r="M136" s="118"/>
      <c r="O136" s="118"/>
      <c r="Q136" s="118"/>
      <c r="S136" s="118"/>
      <c r="U136" s="118"/>
      <c r="W136" s="118"/>
      <c r="Y136" s="118"/>
      <c r="AA136" s="118"/>
      <c r="AC136" s="118"/>
      <c r="AE136" s="118"/>
      <c r="AF136" s="119"/>
    </row>
    <row r="137" spans="1:32" x14ac:dyDescent="0.3">
      <c r="A137" s="118"/>
      <c r="C137" s="118"/>
      <c r="E137" s="118"/>
      <c r="G137" s="118"/>
      <c r="I137" s="118"/>
      <c r="J137" s="119"/>
      <c r="M137" s="118"/>
      <c r="O137" s="118"/>
      <c r="Q137" s="118"/>
      <c r="S137" s="118"/>
      <c r="U137" s="118"/>
      <c r="W137" s="118"/>
      <c r="Y137" s="118"/>
      <c r="AA137" s="118"/>
      <c r="AC137" s="118"/>
      <c r="AE137" s="118"/>
      <c r="AF137" s="119"/>
    </row>
    <row r="138" spans="1:32" x14ac:dyDescent="0.3">
      <c r="A138" s="118"/>
      <c r="C138" s="118"/>
      <c r="E138" s="118"/>
      <c r="G138" s="118"/>
      <c r="I138" s="118"/>
      <c r="J138" s="119"/>
      <c r="M138" s="118"/>
      <c r="O138" s="118"/>
      <c r="Q138" s="118"/>
      <c r="S138" s="118"/>
      <c r="U138" s="118"/>
      <c r="W138" s="118"/>
      <c r="Y138" s="118"/>
      <c r="AA138" s="118"/>
      <c r="AC138" s="118"/>
      <c r="AE138" s="118"/>
      <c r="AF138" s="119"/>
    </row>
    <row r="139" spans="1:32" x14ac:dyDescent="0.3">
      <c r="A139" s="118"/>
      <c r="C139" s="118"/>
      <c r="E139" s="118"/>
      <c r="G139" s="118"/>
      <c r="I139" s="118"/>
      <c r="J139" s="119"/>
      <c r="M139" s="118"/>
      <c r="O139" s="118"/>
      <c r="Q139" s="118"/>
      <c r="S139" s="118"/>
      <c r="U139" s="118"/>
      <c r="W139" s="118"/>
      <c r="Y139" s="118"/>
      <c r="AA139" s="118"/>
      <c r="AC139" s="118"/>
      <c r="AE139" s="118"/>
      <c r="AF139" s="119"/>
    </row>
    <row r="140" spans="1:32" x14ac:dyDescent="0.3">
      <c r="A140" s="118"/>
      <c r="C140" s="118"/>
      <c r="E140" s="118"/>
      <c r="G140" s="118"/>
      <c r="I140" s="118"/>
      <c r="J140" s="119"/>
      <c r="M140" s="118"/>
      <c r="O140" s="118"/>
      <c r="Q140" s="118"/>
      <c r="S140" s="118"/>
      <c r="U140" s="118"/>
      <c r="W140" s="118"/>
      <c r="Y140" s="118"/>
      <c r="AA140" s="118"/>
      <c r="AC140" s="118"/>
      <c r="AE140" s="118"/>
      <c r="AF140" s="119"/>
    </row>
    <row r="141" spans="1:32" x14ac:dyDescent="0.3">
      <c r="A141" s="118"/>
      <c r="C141" s="118"/>
      <c r="E141" s="118"/>
      <c r="G141" s="118"/>
      <c r="I141" s="118"/>
      <c r="J141" s="119"/>
      <c r="M141" s="118"/>
      <c r="O141" s="118"/>
      <c r="Q141" s="118"/>
      <c r="S141" s="118"/>
      <c r="U141" s="118"/>
      <c r="W141" s="118"/>
      <c r="Y141" s="118"/>
      <c r="AA141" s="118"/>
      <c r="AC141" s="118"/>
      <c r="AE141" s="118"/>
      <c r="AF141" s="119"/>
    </row>
    <row r="142" spans="1:32" x14ac:dyDescent="0.3">
      <c r="A142" s="118"/>
      <c r="C142" s="118"/>
      <c r="E142" s="118"/>
      <c r="G142" s="118"/>
      <c r="I142" s="118"/>
      <c r="J142" s="119"/>
      <c r="M142" s="118"/>
      <c r="O142" s="118"/>
      <c r="Q142" s="118"/>
      <c r="S142" s="118"/>
      <c r="U142" s="118"/>
      <c r="W142" s="118"/>
      <c r="Y142" s="118"/>
      <c r="AA142" s="118"/>
      <c r="AC142" s="118"/>
      <c r="AE142" s="118"/>
      <c r="AF142" s="119"/>
    </row>
    <row r="143" spans="1:32" x14ac:dyDescent="0.3">
      <c r="A143" s="118"/>
      <c r="C143" s="118"/>
      <c r="E143" s="118"/>
      <c r="G143" s="118"/>
      <c r="I143" s="118"/>
      <c r="J143" s="119"/>
      <c r="M143" s="118"/>
      <c r="O143" s="118"/>
      <c r="Q143" s="118"/>
      <c r="S143" s="118"/>
      <c r="U143" s="118"/>
      <c r="W143" s="118"/>
      <c r="Y143" s="118"/>
      <c r="AA143" s="118"/>
      <c r="AC143" s="118"/>
      <c r="AE143" s="118"/>
      <c r="AF143" s="119"/>
    </row>
    <row r="144" spans="1:32" x14ac:dyDescent="0.3">
      <c r="A144" s="118"/>
      <c r="C144" s="118"/>
      <c r="E144" s="118"/>
      <c r="G144" s="118"/>
      <c r="I144" s="118"/>
      <c r="J144" s="119"/>
      <c r="M144" s="118"/>
      <c r="O144" s="118"/>
      <c r="Q144" s="118"/>
      <c r="S144" s="118"/>
      <c r="U144" s="118"/>
      <c r="W144" s="118"/>
      <c r="Y144" s="118"/>
      <c r="AA144" s="118"/>
      <c r="AC144" s="118"/>
      <c r="AE144" s="118"/>
      <c r="AF144" s="119"/>
    </row>
    <row r="145" spans="1:32" x14ac:dyDescent="0.3">
      <c r="A145" s="118"/>
      <c r="C145" s="118"/>
      <c r="E145" s="118"/>
      <c r="G145" s="118"/>
      <c r="I145" s="118"/>
      <c r="J145" s="119"/>
      <c r="M145" s="118"/>
      <c r="O145" s="118"/>
      <c r="Q145" s="118"/>
      <c r="S145" s="118"/>
      <c r="U145" s="118"/>
      <c r="W145" s="118"/>
      <c r="Y145" s="118"/>
      <c r="AA145" s="118"/>
      <c r="AC145" s="118"/>
      <c r="AE145" s="118"/>
      <c r="AF145" s="119"/>
    </row>
    <row r="146" spans="1:32" x14ac:dyDescent="0.3">
      <c r="A146" s="118"/>
      <c r="C146" s="118"/>
      <c r="E146" s="118"/>
      <c r="G146" s="118"/>
      <c r="I146" s="118"/>
      <c r="J146" s="119"/>
      <c r="M146" s="118"/>
      <c r="O146" s="118"/>
      <c r="Q146" s="118"/>
      <c r="S146" s="118"/>
      <c r="U146" s="118"/>
      <c r="W146" s="118"/>
      <c r="Y146" s="118"/>
      <c r="AA146" s="118"/>
      <c r="AC146" s="118"/>
      <c r="AE146" s="118"/>
      <c r="AF146" s="119"/>
    </row>
    <row r="147" spans="1:32" x14ac:dyDescent="0.3">
      <c r="A147" s="118"/>
      <c r="C147" s="118"/>
      <c r="E147" s="118"/>
      <c r="G147" s="118"/>
      <c r="I147" s="118"/>
      <c r="J147" s="119"/>
      <c r="M147" s="118"/>
      <c r="O147" s="118"/>
      <c r="Q147" s="118"/>
      <c r="S147" s="118"/>
      <c r="U147" s="118"/>
      <c r="W147" s="118"/>
      <c r="Y147" s="118"/>
      <c r="AA147" s="118"/>
      <c r="AC147" s="118"/>
      <c r="AE147" s="118"/>
      <c r="AF147" s="119"/>
    </row>
    <row r="148" spans="1:32" x14ac:dyDescent="0.3">
      <c r="A148" s="118"/>
      <c r="C148" s="118"/>
      <c r="E148" s="118"/>
      <c r="G148" s="118"/>
      <c r="I148" s="118"/>
      <c r="J148" s="119"/>
      <c r="M148" s="118"/>
      <c r="O148" s="118"/>
      <c r="Q148" s="118"/>
      <c r="S148" s="118"/>
      <c r="U148" s="118"/>
      <c r="W148" s="118"/>
      <c r="Y148" s="118"/>
      <c r="AA148" s="118"/>
      <c r="AC148" s="118"/>
      <c r="AE148" s="118"/>
      <c r="AF148" s="119"/>
    </row>
    <row r="149" spans="1:32" x14ac:dyDescent="0.3">
      <c r="A149" s="118"/>
      <c r="C149" s="118"/>
      <c r="E149" s="118"/>
      <c r="G149" s="118"/>
      <c r="I149" s="118"/>
      <c r="J149" s="119"/>
      <c r="M149" s="118"/>
      <c r="O149" s="118"/>
      <c r="Q149" s="118"/>
      <c r="S149" s="118"/>
      <c r="U149" s="118"/>
      <c r="W149" s="118"/>
      <c r="Y149" s="118"/>
      <c r="AA149" s="118"/>
      <c r="AC149" s="118"/>
      <c r="AE149" s="118"/>
      <c r="AF149" s="119"/>
    </row>
    <row r="150" spans="1:32" x14ac:dyDescent="0.3">
      <c r="A150" s="118"/>
      <c r="C150" s="118"/>
      <c r="E150" s="118"/>
      <c r="G150" s="118"/>
      <c r="I150" s="118"/>
      <c r="J150" s="119"/>
      <c r="M150" s="118"/>
      <c r="O150" s="118"/>
      <c r="Q150" s="118"/>
      <c r="S150" s="118"/>
      <c r="U150" s="118"/>
      <c r="W150" s="118"/>
      <c r="Y150" s="118"/>
      <c r="AA150" s="118"/>
      <c r="AC150" s="118"/>
      <c r="AE150" s="118"/>
      <c r="AF150" s="119"/>
    </row>
    <row r="151" spans="1:32" x14ac:dyDescent="0.3">
      <c r="A151" s="118"/>
      <c r="C151" s="118"/>
      <c r="E151" s="118"/>
      <c r="G151" s="118"/>
      <c r="I151" s="118"/>
      <c r="J151" s="119"/>
      <c r="M151" s="118"/>
      <c r="O151" s="118"/>
      <c r="Q151" s="118"/>
      <c r="S151" s="118"/>
      <c r="U151" s="118"/>
      <c r="W151" s="118"/>
      <c r="Y151" s="118"/>
      <c r="AA151" s="118"/>
      <c r="AC151" s="118"/>
      <c r="AE151" s="118"/>
      <c r="AF151" s="119"/>
    </row>
    <row r="152" spans="1:32" x14ac:dyDescent="0.3">
      <c r="A152" s="118"/>
      <c r="C152" s="118"/>
      <c r="E152" s="118"/>
      <c r="G152" s="118"/>
      <c r="I152" s="118"/>
      <c r="J152" s="119"/>
      <c r="M152" s="118"/>
      <c r="O152" s="118"/>
      <c r="Q152" s="118"/>
      <c r="S152" s="118"/>
      <c r="U152" s="118"/>
      <c r="W152" s="118"/>
      <c r="Y152" s="118"/>
      <c r="AA152" s="118"/>
      <c r="AC152" s="118"/>
      <c r="AE152" s="118"/>
      <c r="AF152" s="119"/>
    </row>
    <row r="153" spans="1:32" x14ac:dyDescent="0.3">
      <c r="A153" s="118"/>
      <c r="C153" s="118"/>
      <c r="E153" s="118"/>
      <c r="G153" s="118"/>
      <c r="I153" s="118"/>
      <c r="J153" s="119"/>
      <c r="M153" s="118"/>
      <c r="O153" s="118"/>
      <c r="Q153" s="118"/>
      <c r="S153" s="118"/>
      <c r="U153" s="118"/>
      <c r="W153" s="118"/>
      <c r="Y153" s="118"/>
      <c r="AA153" s="118"/>
      <c r="AC153" s="118"/>
      <c r="AE153" s="118"/>
      <c r="AF153" s="119"/>
    </row>
    <row r="154" spans="1:32" x14ac:dyDescent="0.3">
      <c r="A154" s="118"/>
      <c r="C154" s="118"/>
      <c r="E154" s="118"/>
      <c r="G154" s="118"/>
      <c r="I154" s="118"/>
      <c r="J154" s="119"/>
      <c r="M154" s="118"/>
      <c r="O154" s="118"/>
      <c r="Q154" s="118"/>
      <c r="S154" s="118"/>
      <c r="U154" s="118"/>
      <c r="W154" s="118"/>
      <c r="Y154" s="118"/>
      <c r="AA154" s="118"/>
      <c r="AC154" s="118"/>
      <c r="AE154" s="118"/>
      <c r="AF154" s="119"/>
    </row>
    <row r="155" spans="1:32" x14ac:dyDescent="0.3">
      <c r="A155" s="118"/>
      <c r="C155" s="118"/>
      <c r="E155" s="118"/>
      <c r="G155" s="118"/>
      <c r="I155" s="118"/>
      <c r="J155" s="119"/>
      <c r="M155" s="118"/>
      <c r="O155" s="118"/>
      <c r="Q155" s="118"/>
      <c r="S155" s="118"/>
      <c r="U155" s="118"/>
      <c r="W155" s="118"/>
      <c r="Y155" s="118"/>
      <c r="AA155" s="118"/>
      <c r="AC155" s="118"/>
      <c r="AE155" s="118"/>
      <c r="AF155" s="119"/>
    </row>
    <row r="156" spans="1:32" x14ac:dyDescent="0.3">
      <c r="A156" s="118"/>
      <c r="C156" s="118"/>
      <c r="E156" s="118"/>
      <c r="G156" s="118"/>
      <c r="I156" s="118"/>
      <c r="J156" s="119"/>
      <c r="M156" s="118"/>
      <c r="O156" s="118"/>
      <c r="Q156" s="118"/>
      <c r="S156" s="118"/>
      <c r="U156" s="118"/>
      <c r="W156" s="118"/>
      <c r="Y156" s="118"/>
      <c r="AA156" s="118"/>
      <c r="AC156" s="118"/>
      <c r="AE156" s="118"/>
      <c r="AF156" s="119"/>
    </row>
    <row r="157" spans="1:32" x14ac:dyDescent="0.3">
      <c r="A157" s="118"/>
      <c r="C157" s="118"/>
      <c r="E157" s="118"/>
      <c r="G157" s="118"/>
      <c r="I157" s="118"/>
      <c r="J157" s="119"/>
      <c r="M157" s="118"/>
      <c r="O157" s="118"/>
      <c r="Q157" s="118"/>
      <c r="S157" s="118"/>
      <c r="U157" s="118"/>
      <c r="W157" s="118"/>
      <c r="Y157" s="118"/>
      <c r="AA157" s="118"/>
      <c r="AC157" s="118"/>
      <c r="AE157" s="118"/>
      <c r="AF157" s="119"/>
    </row>
    <row r="158" spans="1:32" x14ac:dyDescent="0.3">
      <c r="A158" s="118"/>
      <c r="C158" s="118"/>
      <c r="E158" s="118"/>
      <c r="G158" s="118"/>
      <c r="I158" s="118"/>
      <c r="J158" s="119"/>
      <c r="M158" s="118"/>
      <c r="O158" s="118"/>
      <c r="Q158" s="118"/>
      <c r="S158" s="118"/>
      <c r="U158" s="118"/>
      <c r="W158" s="118"/>
      <c r="Y158" s="118"/>
      <c r="AA158" s="118"/>
      <c r="AC158" s="118"/>
      <c r="AE158" s="118"/>
      <c r="AF158" s="119"/>
    </row>
    <row r="159" spans="1:32" x14ac:dyDescent="0.3">
      <c r="A159" s="118"/>
      <c r="C159" s="118"/>
      <c r="E159" s="118"/>
      <c r="G159" s="118"/>
      <c r="I159" s="118"/>
      <c r="J159" s="119"/>
      <c r="M159" s="118"/>
      <c r="O159" s="118"/>
      <c r="Q159" s="118"/>
      <c r="S159" s="118"/>
      <c r="U159" s="118"/>
      <c r="W159" s="118"/>
      <c r="Y159" s="118"/>
      <c r="AA159" s="118"/>
      <c r="AC159" s="118"/>
      <c r="AE159" s="118"/>
      <c r="AF159" s="119"/>
    </row>
    <row r="160" spans="1:32" x14ac:dyDescent="0.3">
      <c r="A160" s="118"/>
      <c r="C160" s="118"/>
      <c r="E160" s="118"/>
      <c r="G160" s="118"/>
      <c r="I160" s="118"/>
      <c r="J160" s="119"/>
      <c r="M160" s="118"/>
      <c r="O160" s="118"/>
      <c r="Q160" s="118"/>
      <c r="S160" s="118"/>
      <c r="U160" s="118"/>
      <c r="W160" s="118"/>
      <c r="Y160" s="118"/>
      <c r="AA160" s="118"/>
      <c r="AC160" s="118"/>
      <c r="AE160" s="118"/>
      <c r="AF160" s="119"/>
    </row>
    <row r="161" spans="1:32" x14ac:dyDescent="0.3">
      <c r="A161" s="118"/>
      <c r="C161" s="118"/>
      <c r="E161" s="118"/>
      <c r="G161" s="118"/>
      <c r="I161" s="118"/>
      <c r="J161" s="119"/>
      <c r="M161" s="118"/>
      <c r="O161" s="118"/>
      <c r="Q161" s="118"/>
      <c r="S161" s="118"/>
      <c r="U161" s="118"/>
      <c r="W161" s="118"/>
      <c r="Y161" s="118"/>
      <c r="AA161" s="118"/>
      <c r="AC161" s="118"/>
      <c r="AE161" s="118"/>
      <c r="AF161" s="119"/>
    </row>
    <row r="162" spans="1:32" x14ac:dyDescent="0.3">
      <c r="A162" s="118"/>
      <c r="C162" s="118"/>
      <c r="E162" s="118"/>
      <c r="G162" s="118"/>
      <c r="I162" s="118"/>
      <c r="J162" s="119"/>
      <c r="M162" s="118"/>
      <c r="O162" s="118"/>
      <c r="Q162" s="118"/>
      <c r="S162" s="118"/>
      <c r="U162" s="118"/>
      <c r="W162" s="118"/>
      <c r="Y162" s="118"/>
      <c r="AA162" s="118"/>
      <c r="AC162" s="118"/>
      <c r="AE162" s="118"/>
      <c r="AF162" s="119"/>
    </row>
    <row r="163" spans="1:32" x14ac:dyDescent="0.3">
      <c r="A163" s="118"/>
      <c r="C163" s="118"/>
      <c r="E163" s="118"/>
      <c r="G163" s="118"/>
      <c r="I163" s="118"/>
      <c r="J163" s="119"/>
      <c r="M163" s="118"/>
      <c r="O163" s="118"/>
      <c r="Q163" s="118"/>
      <c r="S163" s="118"/>
      <c r="U163" s="118"/>
      <c r="W163" s="118"/>
      <c r="Y163" s="118"/>
      <c r="AA163" s="118"/>
      <c r="AC163" s="118"/>
      <c r="AE163" s="118"/>
      <c r="AF163" s="119"/>
    </row>
    <row r="164" spans="1:32" x14ac:dyDescent="0.3">
      <c r="A164" s="118"/>
      <c r="C164" s="118"/>
      <c r="E164" s="118"/>
      <c r="G164" s="118"/>
      <c r="I164" s="118"/>
      <c r="J164" s="119"/>
      <c r="M164" s="118"/>
      <c r="O164" s="118"/>
      <c r="Q164" s="118"/>
      <c r="S164" s="118"/>
      <c r="U164" s="118"/>
      <c r="W164" s="118"/>
      <c r="Y164" s="118"/>
      <c r="AA164" s="118"/>
      <c r="AC164" s="118"/>
      <c r="AE164" s="118"/>
      <c r="AF164" s="119"/>
    </row>
    <row r="165" spans="1:32" x14ac:dyDescent="0.3">
      <c r="A165" s="118"/>
      <c r="C165" s="118"/>
      <c r="E165" s="118"/>
      <c r="G165" s="118"/>
      <c r="I165" s="118"/>
      <c r="J165" s="119"/>
      <c r="M165" s="118"/>
      <c r="O165" s="118"/>
      <c r="Q165" s="118"/>
      <c r="S165" s="118"/>
      <c r="U165" s="118"/>
      <c r="W165" s="118"/>
      <c r="Y165" s="118"/>
      <c r="AA165" s="118"/>
      <c r="AC165" s="118"/>
      <c r="AE165" s="118"/>
      <c r="AF165" s="119"/>
    </row>
    <row r="166" spans="1:32" x14ac:dyDescent="0.3">
      <c r="A166" s="118"/>
      <c r="C166" s="118"/>
      <c r="E166" s="118"/>
      <c r="G166" s="118"/>
      <c r="I166" s="118"/>
      <c r="J166" s="119"/>
      <c r="M166" s="118"/>
      <c r="O166" s="118"/>
      <c r="Q166" s="118"/>
      <c r="S166" s="118"/>
      <c r="U166" s="118"/>
      <c r="W166" s="118"/>
      <c r="Y166" s="118"/>
      <c r="AA166" s="118"/>
      <c r="AC166" s="118"/>
      <c r="AE166" s="118"/>
      <c r="AF166" s="119"/>
    </row>
    <row r="167" spans="1:32" x14ac:dyDescent="0.3">
      <c r="A167" s="118"/>
      <c r="C167" s="118"/>
      <c r="E167" s="118"/>
      <c r="G167" s="118"/>
      <c r="I167" s="118"/>
      <c r="J167" s="119"/>
      <c r="M167" s="118"/>
      <c r="O167" s="118"/>
      <c r="Q167" s="118"/>
      <c r="S167" s="118"/>
      <c r="U167" s="118"/>
      <c r="W167" s="118"/>
      <c r="Y167" s="118"/>
      <c r="AA167" s="118"/>
      <c r="AC167" s="118"/>
      <c r="AE167" s="118"/>
      <c r="AF167" s="119"/>
    </row>
    <row r="168" spans="1:32" x14ac:dyDescent="0.3">
      <c r="A168" s="118"/>
      <c r="C168" s="118"/>
      <c r="E168" s="118"/>
      <c r="G168" s="118"/>
      <c r="I168" s="118"/>
      <c r="J168" s="119"/>
      <c r="M168" s="118"/>
      <c r="O168" s="118"/>
      <c r="Q168" s="118"/>
      <c r="S168" s="118"/>
      <c r="U168" s="118"/>
      <c r="W168" s="118"/>
      <c r="Y168" s="118"/>
      <c r="AA168" s="118"/>
      <c r="AC168" s="118"/>
      <c r="AE168" s="118"/>
      <c r="AF168" s="119"/>
    </row>
    <row r="169" spans="1:32" x14ac:dyDescent="0.3">
      <c r="A169" s="118"/>
      <c r="C169" s="118"/>
      <c r="E169" s="118"/>
      <c r="G169" s="118"/>
      <c r="I169" s="118"/>
      <c r="J169" s="119"/>
      <c r="M169" s="118"/>
      <c r="O169" s="118"/>
      <c r="Q169" s="118"/>
      <c r="S169" s="118"/>
      <c r="U169" s="118"/>
      <c r="W169" s="118"/>
      <c r="Y169" s="118"/>
      <c r="AA169" s="118"/>
      <c r="AC169" s="118"/>
      <c r="AE169" s="118"/>
      <c r="AF169" s="119"/>
    </row>
    <row r="170" spans="1:32" x14ac:dyDescent="0.3">
      <c r="A170" s="118"/>
      <c r="C170" s="118"/>
      <c r="E170" s="118"/>
      <c r="G170" s="118"/>
      <c r="I170" s="118"/>
      <c r="J170" s="119"/>
      <c r="M170" s="118"/>
      <c r="O170" s="118"/>
      <c r="Q170" s="118"/>
      <c r="S170" s="118"/>
      <c r="U170" s="118"/>
      <c r="W170" s="118"/>
      <c r="Y170" s="118"/>
      <c r="AA170" s="118"/>
      <c r="AC170" s="118"/>
      <c r="AE170" s="118"/>
      <c r="AF170" s="119"/>
    </row>
    <row r="171" spans="1:32" x14ac:dyDescent="0.3">
      <c r="A171" s="118"/>
      <c r="C171" s="118"/>
      <c r="E171" s="118"/>
      <c r="G171" s="118"/>
      <c r="I171" s="118"/>
      <c r="J171" s="119"/>
      <c r="M171" s="118"/>
      <c r="O171" s="118"/>
      <c r="Q171" s="118"/>
      <c r="S171" s="118"/>
      <c r="U171" s="118"/>
      <c r="W171" s="118"/>
      <c r="Y171" s="118"/>
      <c r="AA171" s="118"/>
      <c r="AC171" s="118"/>
      <c r="AE171" s="118"/>
      <c r="AF171" s="119"/>
    </row>
    <row r="172" spans="1:32" x14ac:dyDescent="0.3">
      <c r="A172" s="118"/>
      <c r="C172" s="118"/>
      <c r="E172" s="118"/>
      <c r="G172" s="118"/>
      <c r="I172" s="118"/>
      <c r="J172" s="119"/>
      <c r="M172" s="118"/>
      <c r="O172" s="118"/>
      <c r="Q172" s="118"/>
      <c r="S172" s="118"/>
      <c r="U172" s="118"/>
      <c r="W172" s="118"/>
      <c r="Y172" s="118"/>
      <c r="AA172" s="118"/>
      <c r="AC172" s="118"/>
      <c r="AE172" s="118"/>
      <c r="AF172" s="119"/>
    </row>
    <row r="173" spans="1:32" x14ac:dyDescent="0.3">
      <c r="A173" s="118"/>
      <c r="C173" s="118"/>
      <c r="E173" s="118"/>
      <c r="G173" s="118"/>
      <c r="I173" s="118"/>
      <c r="J173" s="119"/>
      <c r="M173" s="118"/>
      <c r="O173" s="118"/>
      <c r="Q173" s="118"/>
      <c r="S173" s="118"/>
      <c r="U173" s="118"/>
      <c r="W173" s="118"/>
      <c r="Y173" s="118"/>
      <c r="AA173" s="118"/>
      <c r="AC173" s="118"/>
      <c r="AE173" s="118"/>
      <c r="AF173" s="119"/>
    </row>
    <row r="174" spans="1:32" x14ac:dyDescent="0.3">
      <c r="A174" s="118"/>
      <c r="C174" s="118"/>
      <c r="E174" s="118"/>
      <c r="G174" s="118"/>
      <c r="I174" s="118"/>
      <c r="J174" s="119"/>
      <c r="M174" s="118"/>
      <c r="O174" s="118"/>
      <c r="Q174" s="118"/>
      <c r="S174" s="118"/>
      <c r="U174" s="118"/>
      <c r="W174" s="118"/>
      <c r="Y174" s="118"/>
      <c r="AA174" s="118"/>
      <c r="AC174" s="118"/>
      <c r="AE174" s="118"/>
      <c r="AF174" s="119"/>
    </row>
    <row r="175" spans="1:32" x14ac:dyDescent="0.3">
      <c r="A175" s="118"/>
      <c r="C175" s="118"/>
      <c r="E175" s="118"/>
      <c r="G175" s="118"/>
      <c r="I175" s="118"/>
      <c r="J175" s="119"/>
      <c r="M175" s="118"/>
      <c r="O175" s="118"/>
      <c r="Q175" s="118"/>
      <c r="S175" s="118"/>
      <c r="U175" s="118"/>
      <c r="W175" s="118"/>
      <c r="Y175" s="118"/>
      <c r="AA175" s="118"/>
      <c r="AC175" s="118"/>
      <c r="AE175" s="118"/>
      <c r="AF175" s="119"/>
    </row>
    <row r="176" spans="1:32" x14ac:dyDescent="0.3">
      <c r="A176" s="118"/>
      <c r="C176" s="118"/>
      <c r="E176" s="118"/>
      <c r="G176" s="118"/>
      <c r="I176" s="118"/>
      <c r="J176" s="119"/>
      <c r="M176" s="118"/>
      <c r="O176" s="118"/>
      <c r="Q176" s="118"/>
      <c r="S176" s="118"/>
      <c r="U176" s="118"/>
      <c r="W176" s="118"/>
      <c r="Y176" s="118"/>
      <c r="AA176" s="118"/>
      <c r="AC176" s="118"/>
      <c r="AE176" s="118"/>
      <c r="AF176" s="119"/>
    </row>
    <row r="177" spans="1:32" x14ac:dyDescent="0.3">
      <c r="A177" s="118"/>
      <c r="C177" s="118"/>
      <c r="E177" s="118"/>
      <c r="G177" s="118"/>
      <c r="I177" s="118"/>
      <c r="J177" s="119"/>
      <c r="M177" s="118"/>
      <c r="O177" s="118"/>
      <c r="Q177" s="118"/>
      <c r="S177" s="118"/>
      <c r="U177" s="118"/>
      <c r="W177" s="118"/>
      <c r="Y177" s="118"/>
      <c r="AA177" s="118"/>
      <c r="AC177" s="118"/>
      <c r="AE177" s="118"/>
      <c r="AF177" s="119"/>
    </row>
    <row r="178" spans="1:32" x14ac:dyDescent="0.3">
      <c r="A178" s="118"/>
      <c r="C178" s="118"/>
      <c r="E178" s="118"/>
      <c r="G178" s="118"/>
      <c r="I178" s="118"/>
      <c r="J178" s="119"/>
      <c r="M178" s="118"/>
      <c r="O178" s="118"/>
      <c r="Q178" s="118"/>
      <c r="S178" s="118"/>
      <c r="U178" s="118"/>
      <c r="W178" s="118"/>
      <c r="Y178" s="118"/>
      <c r="AA178" s="118"/>
      <c r="AC178" s="118"/>
      <c r="AE178" s="118"/>
      <c r="AF178" s="119"/>
    </row>
    <row r="179" spans="1:32" x14ac:dyDescent="0.3">
      <c r="A179" s="118"/>
      <c r="C179" s="118"/>
      <c r="E179" s="118"/>
      <c r="G179" s="118"/>
      <c r="I179" s="118"/>
      <c r="J179" s="119"/>
      <c r="M179" s="118"/>
      <c r="O179" s="118"/>
      <c r="Q179" s="118"/>
      <c r="S179" s="118"/>
      <c r="U179" s="118"/>
      <c r="W179" s="118"/>
      <c r="Y179" s="118"/>
      <c r="AA179" s="118"/>
      <c r="AC179" s="118"/>
      <c r="AE179" s="118"/>
      <c r="AF179" s="119"/>
    </row>
    <row r="180" spans="1:32" x14ac:dyDescent="0.3">
      <c r="A180" s="118"/>
      <c r="C180" s="118"/>
      <c r="E180" s="118"/>
      <c r="G180" s="118"/>
      <c r="I180" s="118"/>
      <c r="J180" s="119"/>
      <c r="M180" s="118"/>
      <c r="O180" s="118"/>
      <c r="Q180" s="118"/>
      <c r="S180" s="118"/>
      <c r="U180" s="118"/>
      <c r="W180" s="118"/>
      <c r="Y180" s="118"/>
      <c r="AA180" s="118"/>
      <c r="AC180" s="118"/>
      <c r="AE180" s="118"/>
      <c r="AF180" s="119"/>
    </row>
    <row r="181" spans="1:32" x14ac:dyDescent="0.3">
      <c r="A181" s="118"/>
      <c r="C181" s="118"/>
      <c r="E181" s="118"/>
      <c r="G181" s="118"/>
      <c r="I181" s="118"/>
      <c r="J181" s="119"/>
      <c r="M181" s="118"/>
      <c r="O181" s="118"/>
      <c r="Q181" s="118"/>
      <c r="S181" s="118"/>
      <c r="U181" s="118"/>
      <c r="W181" s="118"/>
      <c r="Y181" s="118"/>
      <c r="AA181" s="118"/>
      <c r="AC181" s="118"/>
      <c r="AE181" s="118"/>
      <c r="AF181" s="119"/>
    </row>
    <row r="182" spans="1:32" x14ac:dyDescent="0.3">
      <c r="A182" s="118"/>
      <c r="C182" s="118"/>
      <c r="E182" s="118"/>
      <c r="G182" s="118"/>
      <c r="I182" s="118"/>
      <c r="J182" s="119"/>
      <c r="M182" s="118"/>
      <c r="O182" s="118"/>
      <c r="Q182" s="118"/>
      <c r="S182" s="118"/>
      <c r="U182" s="118"/>
      <c r="W182" s="118"/>
      <c r="Y182" s="118"/>
      <c r="AA182" s="118"/>
      <c r="AC182" s="118"/>
      <c r="AE182" s="118"/>
      <c r="AF182" s="119"/>
    </row>
    <row r="183" spans="1:32" x14ac:dyDescent="0.3">
      <c r="A183" s="118"/>
      <c r="C183" s="118"/>
      <c r="E183" s="118"/>
      <c r="G183" s="118"/>
      <c r="I183" s="118"/>
      <c r="J183" s="119"/>
      <c r="M183" s="118"/>
      <c r="O183" s="118"/>
      <c r="Q183" s="118"/>
      <c r="S183" s="118"/>
      <c r="U183" s="118"/>
      <c r="W183" s="118"/>
      <c r="Y183" s="118"/>
      <c r="AA183" s="118"/>
      <c r="AC183" s="118"/>
      <c r="AE183" s="118"/>
      <c r="AF183" s="119"/>
    </row>
    <row r="184" spans="1:32" x14ac:dyDescent="0.3">
      <c r="A184" s="118"/>
      <c r="C184" s="118"/>
      <c r="E184" s="118"/>
      <c r="G184" s="118"/>
      <c r="I184" s="118"/>
      <c r="J184" s="119"/>
      <c r="M184" s="118"/>
      <c r="O184" s="118"/>
      <c r="Q184" s="118"/>
      <c r="S184" s="118"/>
      <c r="U184" s="118"/>
      <c r="W184" s="118"/>
      <c r="Y184" s="118"/>
      <c r="AA184" s="118"/>
      <c r="AC184" s="118"/>
      <c r="AE184" s="118"/>
      <c r="AF184" s="119"/>
    </row>
    <row r="185" spans="1:32" x14ac:dyDescent="0.3">
      <c r="A185" s="118"/>
      <c r="C185" s="118"/>
      <c r="E185" s="118"/>
      <c r="G185" s="118"/>
      <c r="I185" s="118"/>
      <c r="J185" s="119"/>
      <c r="M185" s="118"/>
      <c r="O185" s="118"/>
      <c r="Q185" s="118"/>
      <c r="S185" s="118"/>
      <c r="U185" s="118"/>
      <c r="W185" s="118"/>
      <c r="Y185" s="118"/>
      <c r="AA185" s="118"/>
      <c r="AC185" s="118"/>
      <c r="AE185" s="118"/>
      <c r="AF185" s="119"/>
    </row>
    <row r="186" spans="1:32" x14ac:dyDescent="0.3">
      <c r="A186" s="118"/>
      <c r="C186" s="118"/>
      <c r="E186" s="118"/>
      <c r="G186" s="118"/>
      <c r="I186" s="118"/>
      <c r="J186" s="119"/>
      <c r="M186" s="118"/>
      <c r="O186" s="118"/>
      <c r="Q186" s="118"/>
      <c r="S186" s="118"/>
      <c r="U186" s="118"/>
      <c r="W186" s="118"/>
      <c r="Y186" s="118"/>
      <c r="AA186" s="118"/>
      <c r="AC186" s="118"/>
      <c r="AE186" s="118"/>
      <c r="AF186" s="119"/>
    </row>
    <row r="187" spans="1:32" x14ac:dyDescent="0.3">
      <c r="A187" s="118"/>
      <c r="C187" s="118"/>
      <c r="E187" s="118"/>
      <c r="G187" s="118"/>
      <c r="I187" s="118"/>
      <c r="J187" s="119"/>
      <c r="M187" s="118"/>
      <c r="O187" s="118"/>
      <c r="Q187" s="118"/>
      <c r="S187" s="118"/>
      <c r="U187" s="118"/>
      <c r="W187" s="118"/>
      <c r="Y187" s="118"/>
      <c r="AA187" s="118"/>
      <c r="AC187" s="118"/>
      <c r="AE187" s="118"/>
      <c r="AF187" s="119"/>
    </row>
    <row r="188" spans="1:32" x14ac:dyDescent="0.3">
      <c r="A188" s="118"/>
      <c r="C188" s="118"/>
      <c r="E188" s="118"/>
      <c r="G188" s="118"/>
      <c r="I188" s="118"/>
      <c r="J188" s="119"/>
      <c r="M188" s="118"/>
      <c r="O188" s="118"/>
      <c r="Q188" s="118"/>
      <c r="S188" s="118"/>
      <c r="U188" s="118"/>
      <c r="W188" s="118"/>
      <c r="Y188" s="118"/>
      <c r="AA188" s="118"/>
      <c r="AC188" s="118"/>
      <c r="AE188" s="118"/>
      <c r="AF188" s="119"/>
    </row>
    <row r="189" spans="1:32" x14ac:dyDescent="0.3">
      <c r="A189" s="118"/>
      <c r="C189" s="118"/>
      <c r="E189" s="118"/>
      <c r="G189" s="118"/>
      <c r="I189" s="118"/>
      <c r="J189" s="119"/>
      <c r="M189" s="118"/>
      <c r="O189" s="118"/>
      <c r="Q189" s="118"/>
      <c r="S189" s="118"/>
      <c r="U189" s="118"/>
      <c r="W189" s="118"/>
      <c r="Y189" s="118"/>
      <c r="AA189" s="118"/>
      <c r="AC189" s="118"/>
      <c r="AE189" s="118"/>
      <c r="AF189" s="119"/>
    </row>
    <row r="190" spans="1:32" x14ac:dyDescent="0.3">
      <c r="A190" s="118"/>
      <c r="C190" s="118"/>
      <c r="E190" s="118"/>
      <c r="G190" s="118"/>
      <c r="I190" s="118"/>
      <c r="J190" s="119"/>
      <c r="M190" s="118"/>
      <c r="O190" s="118"/>
      <c r="Q190" s="118"/>
      <c r="S190" s="118"/>
      <c r="U190" s="118"/>
      <c r="W190" s="118"/>
      <c r="Y190" s="118"/>
      <c r="AA190" s="118"/>
      <c r="AC190" s="118"/>
      <c r="AE190" s="118"/>
      <c r="AF190" s="119"/>
    </row>
    <row r="191" spans="1:32" x14ac:dyDescent="0.3">
      <c r="A191" s="118"/>
      <c r="C191" s="118"/>
      <c r="E191" s="118"/>
      <c r="G191" s="118"/>
      <c r="I191" s="118"/>
      <c r="J191" s="119"/>
      <c r="M191" s="118"/>
      <c r="O191" s="118"/>
      <c r="Q191" s="118"/>
      <c r="S191" s="118"/>
      <c r="U191" s="118"/>
      <c r="W191" s="118"/>
      <c r="Y191" s="118"/>
      <c r="AA191" s="118"/>
      <c r="AC191" s="118"/>
      <c r="AE191" s="118"/>
      <c r="AF191" s="119"/>
    </row>
    <row r="192" spans="1:32" x14ac:dyDescent="0.3">
      <c r="A192" s="118"/>
      <c r="C192" s="118"/>
      <c r="E192" s="118"/>
      <c r="G192" s="118"/>
      <c r="I192" s="118"/>
      <c r="J192" s="119"/>
      <c r="M192" s="118"/>
      <c r="O192" s="118"/>
      <c r="Q192" s="118"/>
      <c r="S192" s="118"/>
      <c r="U192" s="118"/>
      <c r="W192" s="118"/>
      <c r="Y192" s="118"/>
      <c r="AA192" s="118"/>
      <c r="AC192" s="118"/>
      <c r="AE192" s="118"/>
      <c r="AF192" s="119"/>
    </row>
    <row r="193" spans="1:32" x14ac:dyDescent="0.3">
      <c r="A193" s="118"/>
      <c r="C193" s="118"/>
      <c r="E193" s="118"/>
      <c r="G193" s="118"/>
      <c r="I193" s="118"/>
      <c r="J193" s="119"/>
      <c r="M193" s="118"/>
      <c r="O193" s="118"/>
      <c r="Q193" s="118"/>
      <c r="S193" s="118"/>
      <c r="U193" s="118"/>
      <c r="W193" s="118"/>
      <c r="Y193" s="118"/>
      <c r="AA193" s="118"/>
      <c r="AC193" s="118"/>
      <c r="AE193" s="118"/>
      <c r="AF193" s="119"/>
    </row>
    <row r="194" spans="1:32" x14ac:dyDescent="0.3">
      <c r="A194" s="118"/>
      <c r="C194" s="118"/>
      <c r="E194" s="118"/>
      <c r="G194" s="118"/>
      <c r="I194" s="118"/>
      <c r="J194" s="119"/>
      <c r="M194" s="118"/>
      <c r="O194" s="118"/>
      <c r="Q194" s="118"/>
      <c r="S194" s="118"/>
      <c r="U194" s="118"/>
      <c r="W194" s="118"/>
      <c r="Y194" s="118"/>
      <c r="AA194" s="118"/>
      <c r="AC194" s="118"/>
      <c r="AE194" s="118"/>
      <c r="AF194" s="119"/>
    </row>
    <row r="195" spans="1:32" x14ac:dyDescent="0.3">
      <c r="A195" s="118"/>
      <c r="C195" s="118"/>
      <c r="E195" s="118"/>
      <c r="G195" s="118"/>
      <c r="I195" s="118"/>
      <c r="J195" s="119"/>
      <c r="M195" s="118"/>
      <c r="O195" s="118"/>
      <c r="Q195" s="118"/>
      <c r="S195" s="118"/>
      <c r="U195" s="118"/>
      <c r="W195" s="118"/>
      <c r="Y195" s="118"/>
      <c r="AA195" s="118"/>
      <c r="AC195" s="118"/>
      <c r="AE195" s="118"/>
      <c r="AF195" s="119"/>
    </row>
    <row r="196" spans="1:32" x14ac:dyDescent="0.3">
      <c r="A196" s="118"/>
      <c r="C196" s="118"/>
      <c r="E196" s="118"/>
      <c r="G196" s="118"/>
      <c r="I196" s="118"/>
      <c r="J196" s="119"/>
      <c r="M196" s="118"/>
      <c r="O196" s="118"/>
      <c r="Q196" s="118"/>
      <c r="S196" s="118"/>
      <c r="U196" s="118"/>
      <c r="W196" s="118"/>
      <c r="Y196" s="118"/>
      <c r="AA196" s="118"/>
      <c r="AC196" s="118"/>
      <c r="AE196" s="118"/>
      <c r="AF196" s="119"/>
    </row>
    <row r="197" spans="1:32" x14ac:dyDescent="0.3">
      <c r="A197" s="118"/>
      <c r="C197" s="118"/>
      <c r="E197" s="118"/>
      <c r="G197" s="118"/>
      <c r="I197" s="118"/>
      <c r="J197" s="119"/>
      <c r="M197" s="118"/>
      <c r="O197" s="118"/>
      <c r="Q197" s="118"/>
      <c r="S197" s="118"/>
      <c r="U197" s="118"/>
      <c r="W197" s="118"/>
      <c r="Y197" s="118"/>
      <c r="AA197" s="118"/>
      <c r="AC197" s="118"/>
      <c r="AE197" s="118"/>
      <c r="AF197" s="119"/>
    </row>
    <row r="198" spans="1:32" x14ac:dyDescent="0.3">
      <c r="A198" s="118"/>
      <c r="C198" s="118"/>
      <c r="E198" s="118"/>
      <c r="G198" s="118"/>
      <c r="I198" s="118"/>
      <c r="J198" s="119"/>
      <c r="M198" s="118"/>
      <c r="O198" s="118"/>
      <c r="Q198" s="118"/>
      <c r="S198" s="118"/>
      <c r="U198" s="118"/>
      <c r="W198" s="118"/>
      <c r="Y198" s="118"/>
      <c r="AA198" s="118"/>
      <c r="AC198" s="118"/>
      <c r="AE198" s="118"/>
      <c r="AF198" s="119"/>
    </row>
    <row r="199" spans="1:32" x14ac:dyDescent="0.3">
      <c r="A199" s="118"/>
      <c r="C199" s="118"/>
      <c r="E199" s="118"/>
      <c r="G199" s="118"/>
      <c r="I199" s="118"/>
      <c r="J199" s="119"/>
      <c r="M199" s="118"/>
      <c r="O199" s="118"/>
      <c r="Q199" s="118"/>
      <c r="S199" s="118"/>
      <c r="U199" s="118"/>
      <c r="W199" s="118"/>
      <c r="Y199" s="118"/>
      <c r="AA199" s="118"/>
      <c r="AC199" s="118"/>
      <c r="AE199" s="118"/>
      <c r="AF199" s="119"/>
    </row>
    <row r="200" spans="1:32" x14ac:dyDescent="0.3">
      <c r="A200" s="118"/>
      <c r="C200" s="118"/>
      <c r="E200" s="118"/>
      <c r="G200" s="118"/>
      <c r="I200" s="118"/>
      <c r="J200" s="119"/>
      <c r="M200" s="118"/>
      <c r="O200" s="118"/>
      <c r="Q200" s="118"/>
      <c r="S200" s="118"/>
      <c r="U200" s="118"/>
      <c r="W200" s="118"/>
      <c r="Y200" s="118"/>
      <c r="AA200" s="118"/>
      <c r="AC200" s="118"/>
      <c r="AE200" s="118"/>
      <c r="AF200" s="119"/>
    </row>
    <row r="201" spans="1:32" x14ac:dyDescent="0.3">
      <c r="A201" s="118"/>
      <c r="C201" s="118"/>
      <c r="E201" s="118"/>
      <c r="G201" s="118"/>
      <c r="I201" s="118"/>
      <c r="J201" s="119"/>
      <c r="M201" s="118"/>
      <c r="O201" s="118"/>
      <c r="Q201" s="118"/>
      <c r="S201" s="118"/>
      <c r="U201" s="118"/>
      <c r="W201" s="118"/>
      <c r="Y201" s="118"/>
      <c r="AA201" s="118"/>
      <c r="AC201" s="118"/>
      <c r="AE201" s="118"/>
      <c r="AF201" s="119"/>
    </row>
    <row r="202" spans="1:32" x14ac:dyDescent="0.3">
      <c r="A202" s="118"/>
      <c r="C202" s="118"/>
      <c r="E202" s="118"/>
      <c r="G202" s="118"/>
      <c r="I202" s="118"/>
      <c r="J202" s="119"/>
      <c r="M202" s="118"/>
      <c r="O202" s="118"/>
      <c r="Q202" s="118"/>
      <c r="S202" s="118"/>
      <c r="U202" s="118"/>
      <c r="W202" s="118"/>
      <c r="Y202" s="118"/>
      <c r="AA202" s="118"/>
      <c r="AC202" s="118"/>
      <c r="AE202" s="118"/>
      <c r="AF202" s="119"/>
    </row>
    <row r="203" spans="1:32" x14ac:dyDescent="0.3">
      <c r="A203" s="118"/>
      <c r="C203" s="118"/>
      <c r="E203" s="118"/>
      <c r="G203" s="118"/>
      <c r="I203" s="118"/>
      <c r="J203" s="119"/>
      <c r="M203" s="118"/>
      <c r="O203" s="118"/>
      <c r="Q203" s="118"/>
      <c r="S203" s="118"/>
      <c r="U203" s="118"/>
      <c r="W203" s="118"/>
      <c r="Y203" s="118"/>
      <c r="AA203" s="118"/>
      <c r="AC203" s="118"/>
      <c r="AE203" s="118"/>
      <c r="AF203" s="119"/>
    </row>
    <row r="204" spans="1:32" x14ac:dyDescent="0.3">
      <c r="A204" s="118"/>
      <c r="C204" s="118"/>
      <c r="E204" s="118"/>
      <c r="G204" s="118"/>
      <c r="I204" s="118"/>
      <c r="J204" s="119"/>
      <c r="M204" s="118"/>
      <c r="O204" s="118"/>
      <c r="Q204" s="118"/>
      <c r="S204" s="118"/>
      <c r="U204" s="118"/>
      <c r="W204" s="118"/>
      <c r="Y204" s="118"/>
      <c r="AA204" s="118"/>
      <c r="AC204" s="118"/>
      <c r="AE204" s="118"/>
      <c r="AF204" s="119"/>
    </row>
    <row r="205" spans="1:32" x14ac:dyDescent="0.3">
      <c r="A205" s="118"/>
      <c r="C205" s="118"/>
      <c r="E205" s="118"/>
      <c r="G205" s="118"/>
      <c r="I205" s="118"/>
      <c r="J205" s="119"/>
      <c r="M205" s="118"/>
      <c r="O205" s="118"/>
      <c r="Q205" s="118"/>
      <c r="S205" s="118"/>
      <c r="U205" s="118"/>
      <c r="W205" s="118"/>
      <c r="Y205" s="118"/>
      <c r="AA205" s="118"/>
      <c r="AC205" s="118"/>
      <c r="AE205" s="118"/>
      <c r="AF205" s="119"/>
    </row>
    <row r="206" spans="1:32" x14ac:dyDescent="0.3">
      <c r="A206" s="118"/>
      <c r="C206" s="118"/>
      <c r="E206" s="118"/>
      <c r="G206" s="118"/>
      <c r="I206" s="118"/>
      <c r="J206" s="119"/>
      <c r="M206" s="118"/>
      <c r="O206" s="118"/>
      <c r="Q206" s="118"/>
      <c r="S206" s="118"/>
      <c r="U206" s="118"/>
      <c r="W206" s="118"/>
      <c r="Y206" s="118"/>
      <c r="AA206" s="118"/>
      <c r="AC206" s="118"/>
      <c r="AE206" s="118"/>
      <c r="AF206" s="119"/>
    </row>
    <row r="207" spans="1:32" x14ac:dyDescent="0.3">
      <c r="A207" s="118"/>
      <c r="C207" s="118"/>
      <c r="E207" s="118"/>
      <c r="G207" s="118"/>
      <c r="I207" s="118"/>
      <c r="J207" s="119"/>
      <c r="M207" s="118"/>
      <c r="O207" s="118"/>
      <c r="Q207" s="118"/>
      <c r="S207" s="118"/>
      <c r="U207" s="118"/>
      <c r="W207" s="118"/>
      <c r="Y207" s="118"/>
      <c r="AA207" s="118"/>
      <c r="AC207" s="118"/>
      <c r="AE207" s="118"/>
      <c r="AF207" s="119"/>
    </row>
    <row r="208" spans="1:32" x14ac:dyDescent="0.3">
      <c r="A208" s="118"/>
      <c r="C208" s="118"/>
      <c r="E208" s="118"/>
      <c r="G208" s="118"/>
      <c r="I208" s="118"/>
      <c r="J208" s="119"/>
      <c r="M208" s="118"/>
      <c r="O208" s="118"/>
      <c r="Q208" s="118"/>
      <c r="S208" s="118"/>
      <c r="U208" s="118"/>
      <c r="W208" s="118"/>
      <c r="Y208" s="118"/>
      <c r="AA208" s="118"/>
      <c r="AC208" s="118"/>
      <c r="AE208" s="118"/>
      <c r="AF208" s="119"/>
    </row>
    <row r="209" spans="1:32" x14ac:dyDescent="0.3">
      <c r="A209" s="118"/>
      <c r="C209" s="118"/>
      <c r="E209" s="118"/>
      <c r="G209" s="118"/>
      <c r="I209" s="118"/>
      <c r="J209" s="119"/>
      <c r="M209" s="118"/>
      <c r="O209" s="118"/>
      <c r="Q209" s="118"/>
      <c r="S209" s="118"/>
      <c r="U209" s="118"/>
      <c r="W209" s="118"/>
      <c r="Y209" s="118"/>
      <c r="AA209" s="118"/>
      <c r="AC209" s="118"/>
      <c r="AE209" s="118"/>
      <c r="AF209" s="119"/>
    </row>
    <row r="210" spans="1:32" x14ac:dyDescent="0.3">
      <c r="A210" s="118"/>
      <c r="C210" s="118"/>
      <c r="E210" s="118"/>
      <c r="G210" s="118"/>
      <c r="I210" s="118"/>
      <c r="J210" s="119"/>
      <c r="M210" s="118"/>
      <c r="O210" s="118"/>
      <c r="Q210" s="118"/>
      <c r="S210" s="118"/>
      <c r="U210" s="118"/>
      <c r="W210" s="118"/>
      <c r="Y210" s="118"/>
      <c r="AA210" s="118"/>
      <c r="AC210" s="118"/>
      <c r="AE210" s="118"/>
      <c r="AF210" s="119"/>
    </row>
    <row r="211" spans="1:32" x14ac:dyDescent="0.3">
      <c r="A211" s="118"/>
      <c r="C211" s="118"/>
      <c r="E211" s="118"/>
      <c r="G211" s="118"/>
      <c r="I211" s="118"/>
      <c r="J211" s="119"/>
      <c r="M211" s="118"/>
      <c r="O211" s="118"/>
      <c r="Q211" s="118"/>
      <c r="S211" s="118"/>
      <c r="U211" s="118"/>
      <c r="W211" s="118"/>
      <c r="Y211" s="118"/>
      <c r="AA211" s="118"/>
      <c r="AC211" s="118"/>
      <c r="AE211" s="118"/>
      <c r="AF211" s="119"/>
    </row>
    <row r="212" spans="1:32" x14ac:dyDescent="0.3">
      <c r="A212" s="118"/>
      <c r="C212" s="118"/>
      <c r="E212" s="118"/>
      <c r="G212" s="118"/>
      <c r="I212" s="118"/>
      <c r="J212" s="119"/>
      <c r="M212" s="118"/>
      <c r="O212" s="118"/>
      <c r="Q212" s="118"/>
      <c r="S212" s="118"/>
      <c r="U212" s="118"/>
      <c r="W212" s="118"/>
      <c r="Y212" s="118"/>
      <c r="AA212" s="118"/>
      <c r="AC212" s="118"/>
      <c r="AE212" s="118"/>
      <c r="AF212" s="119"/>
    </row>
    <row r="213" spans="1:32" x14ac:dyDescent="0.3">
      <c r="A213" s="118"/>
      <c r="C213" s="118"/>
      <c r="E213" s="118"/>
      <c r="G213" s="118"/>
      <c r="I213" s="118"/>
      <c r="J213" s="119"/>
      <c r="M213" s="118"/>
      <c r="O213" s="118"/>
      <c r="Q213" s="118"/>
      <c r="S213" s="118"/>
      <c r="U213" s="118"/>
      <c r="W213" s="118"/>
      <c r="Y213" s="118"/>
      <c r="AA213" s="118"/>
      <c r="AC213" s="118"/>
      <c r="AE213" s="118"/>
      <c r="AF213" s="119"/>
    </row>
    <row r="214" spans="1:32" x14ac:dyDescent="0.3">
      <c r="A214" s="118"/>
      <c r="C214" s="118"/>
      <c r="E214" s="118"/>
      <c r="G214" s="118"/>
      <c r="I214" s="118"/>
      <c r="J214" s="119"/>
      <c r="M214" s="118"/>
      <c r="O214" s="118"/>
      <c r="Q214" s="118"/>
      <c r="S214" s="118"/>
      <c r="U214" s="118"/>
      <c r="W214" s="118"/>
      <c r="Y214" s="118"/>
      <c r="AA214" s="118"/>
      <c r="AC214" s="118"/>
      <c r="AE214" s="118"/>
      <c r="AF214" s="119"/>
    </row>
    <row r="215" spans="1:32" x14ac:dyDescent="0.3">
      <c r="A215" s="118"/>
      <c r="C215" s="118"/>
      <c r="E215" s="118"/>
      <c r="G215" s="118"/>
      <c r="I215" s="118"/>
      <c r="J215" s="119"/>
      <c r="M215" s="118"/>
      <c r="O215" s="118"/>
      <c r="Q215" s="118"/>
      <c r="S215" s="118"/>
      <c r="U215" s="118"/>
      <c r="W215" s="118"/>
      <c r="Y215" s="118"/>
      <c r="AA215" s="118"/>
      <c r="AC215" s="118"/>
      <c r="AE215" s="118"/>
      <c r="AF215" s="119"/>
    </row>
    <row r="216" spans="1:32" x14ac:dyDescent="0.3">
      <c r="A216" s="118"/>
      <c r="C216" s="118"/>
      <c r="E216" s="118"/>
      <c r="G216" s="118"/>
      <c r="I216" s="118"/>
      <c r="J216" s="119"/>
      <c r="M216" s="118"/>
      <c r="O216" s="118"/>
      <c r="Q216" s="118"/>
      <c r="S216" s="118"/>
      <c r="U216" s="118"/>
      <c r="W216" s="118"/>
      <c r="Y216" s="118"/>
      <c r="AA216" s="118"/>
      <c r="AC216" s="118"/>
      <c r="AE216" s="118"/>
      <c r="AF216" s="119"/>
    </row>
    <row r="217" spans="1:32" x14ac:dyDescent="0.3">
      <c r="A217" s="118"/>
      <c r="C217" s="118"/>
      <c r="E217" s="118"/>
      <c r="G217" s="118"/>
      <c r="I217" s="118"/>
      <c r="J217" s="119"/>
      <c r="M217" s="118"/>
      <c r="O217" s="118"/>
      <c r="Q217" s="118"/>
      <c r="S217" s="118"/>
      <c r="U217" s="118"/>
      <c r="W217" s="118"/>
      <c r="Y217" s="118"/>
      <c r="AA217" s="118"/>
      <c r="AC217" s="118"/>
      <c r="AE217" s="118"/>
      <c r="AF217" s="119"/>
    </row>
    <row r="218" spans="1:32" x14ac:dyDescent="0.3">
      <c r="A218" s="118"/>
      <c r="C218" s="118"/>
      <c r="E218" s="118"/>
      <c r="G218" s="118"/>
      <c r="I218" s="118"/>
      <c r="J218" s="119"/>
      <c r="M218" s="118"/>
      <c r="O218" s="118"/>
      <c r="Q218" s="118"/>
      <c r="S218" s="118"/>
      <c r="U218" s="118"/>
      <c r="W218" s="118"/>
      <c r="Y218" s="118"/>
      <c r="AA218" s="118"/>
      <c r="AC218" s="118"/>
      <c r="AE218" s="118"/>
      <c r="AF218" s="119"/>
    </row>
    <row r="219" spans="1:32" x14ac:dyDescent="0.3">
      <c r="A219" s="118"/>
      <c r="C219" s="118"/>
      <c r="E219" s="118"/>
      <c r="G219" s="118"/>
      <c r="I219" s="118"/>
      <c r="J219" s="119"/>
      <c r="M219" s="118"/>
      <c r="O219" s="118"/>
      <c r="Q219" s="118"/>
      <c r="S219" s="118"/>
      <c r="U219" s="118"/>
      <c r="W219" s="118"/>
      <c r="Y219" s="118"/>
      <c r="AA219" s="118"/>
      <c r="AC219" s="118"/>
      <c r="AE219" s="118"/>
      <c r="AF219" s="119"/>
    </row>
    <row r="220" spans="1:32" x14ac:dyDescent="0.3">
      <c r="A220" s="118"/>
      <c r="C220" s="118"/>
      <c r="E220" s="118"/>
      <c r="G220" s="118"/>
      <c r="I220" s="118"/>
      <c r="J220" s="119"/>
      <c r="M220" s="118"/>
      <c r="O220" s="118"/>
      <c r="Q220" s="118"/>
      <c r="S220" s="118"/>
      <c r="U220" s="118"/>
      <c r="W220" s="118"/>
      <c r="Y220" s="118"/>
      <c r="AA220" s="118"/>
      <c r="AC220" s="118"/>
      <c r="AE220" s="118"/>
      <c r="AF220" s="119"/>
    </row>
    <row r="221" spans="1:32" x14ac:dyDescent="0.3">
      <c r="A221" s="118"/>
      <c r="C221" s="118"/>
      <c r="E221" s="118"/>
      <c r="G221" s="118"/>
      <c r="I221" s="118"/>
      <c r="J221" s="119"/>
      <c r="M221" s="118"/>
      <c r="O221" s="118"/>
      <c r="Q221" s="118"/>
      <c r="S221" s="118"/>
      <c r="U221" s="118"/>
      <c r="W221" s="118"/>
      <c r="Y221" s="118"/>
      <c r="AA221" s="118"/>
      <c r="AC221" s="118"/>
      <c r="AE221" s="118"/>
      <c r="AF221" s="119"/>
    </row>
    <row r="222" spans="1:32" x14ac:dyDescent="0.3">
      <c r="A222" s="118"/>
      <c r="C222" s="118"/>
      <c r="E222" s="118"/>
      <c r="G222" s="118"/>
      <c r="I222" s="118"/>
      <c r="J222" s="119"/>
      <c r="M222" s="118"/>
      <c r="O222" s="118"/>
      <c r="Q222" s="118"/>
      <c r="S222" s="118"/>
      <c r="U222" s="118"/>
      <c r="W222" s="118"/>
      <c r="Y222" s="118"/>
      <c r="AA222" s="118"/>
      <c r="AC222" s="118"/>
      <c r="AE222" s="118"/>
      <c r="AF222" s="119"/>
    </row>
    <row r="223" spans="1:32" x14ac:dyDescent="0.3">
      <c r="A223" s="118"/>
      <c r="C223" s="118"/>
      <c r="E223" s="118"/>
      <c r="G223" s="118"/>
      <c r="I223" s="118"/>
      <c r="J223" s="119"/>
      <c r="M223" s="118"/>
      <c r="O223" s="118"/>
      <c r="Q223" s="118"/>
      <c r="S223" s="118"/>
      <c r="U223" s="118"/>
      <c r="W223" s="118"/>
      <c r="Y223" s="118"/>
      <c r="AA223" s="118"/>
      <c r="AC223" s="118"/>
      <c r="AE223" s="118"/>
      <c r="AF223" s="119"/>
    </row>
    <row r="224" spans="1:32" x14ac:dyDescent="0.3">
      <c r="A224" s="118"/>
      <c r="C224" s="118"/>
      <c r="E224" s="118"/>
      <c r="G224" s="118"/>
      <c r="I224" s="118"/>
      <c r="J224" s="119"/>
      <c r="M224" s="118"/>
      <c r="O224" s="118"/>
      <c r="Q224" s="118"/>
      <c r="S224" s="118"/>
      <c r="U224" s="118"/>
      <c r="W224" s="118"/>
      <c r="Y224" s="118"/>
      <c r="AA224" s="118"/>
      <c r="AC224" s="118"/>
      <c r="AE224" s="118"/>
      <c r="AF224" s="119"/>
    </row>
    <row r="225" spans="1:32" x14ac:dyDescent="0.3">
      <c r="A225" s="118"/>
      <c r="C225" s="118"/>
      <c r="E225" s="118"/>
      <c r="G225" s="118"/>
      <c r="I225" s="118"/>
      <c r="J225" s="119"/>
      <c r="M225" s="118"/>
      <c r="O225" s="118"/>
      <c r="Q225" s="118"/>
      <c r="S225" s="118"/>
      <c r="U225" s="118"/>
      <c r="W225" s="118"/>
      <c r="Y225" s="118"/>
      <c r="AA225" s="118"/>
      <c r="AC225" s="118"/>
      <c r="AE225" s="118"/>
      <c r="AF225" s="119"/>
    </row>
    <row r="226" spans="1:32" x14ac:dyDescent="0.3">
      <c r="A226" s="118"/>
      <c r="C226" s="118"/>
      <c r="E226" s="118"/>
      <c r="G226" s="118"/>
      <c r="I226" s="118"/>
      <c r="J226" s="119"/>
      <c r="M226" s="118"/>
      <c r="O226" s="118"/>
      <c r="Q226" s="118"/>
      <c r="S226" s="118"/>
      <c r="U226" s="118"/>
      <c r="W226" s="118"/>
      <c r="Y226" s="118"/>
      <c r="AA226" s="118"/>
      <c r="AC226" s="118"/>
      <c r="AE226" s="118"/>
      <c r="AF226" s="119"/>
    </row>
    <row r="227" spans="1:32" x14ac:dyDescent="0.3">
      <c r="A227" s="118"/>
      <c r="C227" s="118"/>
      <c r="E227" s="118"/>
      <c r="G227" s="118"/>
      <c r="I227" s="118"/>
      <c r="J227" s="119"/>
      <c r="M227" s="118"/>
      <c r="O227" s="118"/>
      <c r="Q227" s="118"/>
      <c r="S227" s="118"/>
      <c r="U227" s="118"/>
      <c r="W227" s="118"/>
      <c r="Y227" s="118"/>
      <c r="AA227" s="118"/>
      <c r="AC227" s="118"/>
      <c r="AE227" s="118"/>
      <c r="AF227" s="119"/>
    </row>
    <row r="228" spans="1:32" x14ac:dyDescent="0.3">
      <c r="A228" s="118"/>
      <c r="C228" s="118"/>
      <c r="E228" s="118"/>
      <c r="G228" s="118"/>
      <c r="I228" s="118"/>
      <c r="J228" s="119"/>
      <c r="M228" s="118"/>
      <c r="O228" s="118"/>
      <c r="Q228" s="118"/>
      <c r="S228" s="118"/>
      <c r="U228" s="118"/>
      <c r="W228" s="118"/>
      <c r="Y228" s="118"/>
      <c r="AA228" s="118"/>
      <c r="AC228" s="118"/>
      <c r="AE228" s="118"/>
      <c r="AF228" s="119"/>
    </row>
    <row r="229" spans="1:32" x14ac:dyDescent="0.3">
      <c r="A229" s="118"/>
      <c r="C229" s="118"/>
      <c r="E229" s="118"/>
      <c r="G229" s="118"/>
      <c r="I229" s="118"/>
      <c r="J229" s="119"/>
      <c r="M229" s="118"/>
      <c r="O229" s="118"/>
      <c r="Q229" s="118"/>
      <c r="S229" s="118"/>
      <c r="U229" s="118"/>
      <c r="W229" s="118"/>
      <c r="Y229" s="118"/>
      <c r="AA229" s="118"/>
      <c r="AC229" s="118"/>
      <c r="AE229" s="118"/>
      <c r="AF229" s="119"/>
    </row>
    <row r="230" spans="1:32" x14ac:dyDescent="0.3">
      <c r="A230" s="118"/>
      <c r="C230" s="118"/>
      <c r="E230" s="118"/>
      <c r="G230" s="118"/>
      <c r="I230" s="118"/>
      <c r="J230" s="119"/>
      <c r="M230" s="118"/>
      <c r="O230" s="118"/>
      <c r="Q230" s="118"/>
      <c r="S230" s="118"/>
      <c r="U230" s="118"/>
      <c r="W230" s="118"/>
      <c r="Y230" s="118"/>
      <c r="AA230" s="118"/>
      <c r="AC230" s="118"/>
      <c r="AE230" s="118"/>
      <c r="AF230" s="119"/>
    </row>
    <row r="231" spans="1:32" x14ac:dyDescent="0.3">
      <c r="A231" s="118"/>
      <c r="C231" s="118"/>
      <c r="E231" s="118"/>
      <c r="G231" s="118"/>
      <c r="I231" s="118"/>
      <c r="J231" s="119"/>
      <c r="M231" s="118"/>
      <c r="O231" s="118"/>
      <c r="Q231" s="118"/>
      <c r="S231" s="118"/>
      <c r="U231" s="118"/>
      <c r="W231" s="118"/>
      <c r="Y231" s="118"/>
      <c r="AA231" s="118"/>
      <c r="AC231" s="118"/>
      <c r="AE231" s="118"/>
      <c r="AF231" s="119"/>
    </row>
    <row r="232" spans="1:32" x14ac:dyDescent="0.3">
      <c r="A232" s="118"/>
      <c r="C232" s="118"/>
      <c r="E232" s="118"/>
      <c r="G232" s="118"/>
      <c r="I232" s="118"/>
      <c r="J232" s="119"/>
      <c r="M232" s="118"/>
      <c r="O232" s="118"/>
      <c r="Q232" s="118"/>
      <c r="S232" s="118"/>
      <c r="U232" s="118"/>
      <c r="W232" s="118"/>
      <c r="Y232" s="118"/>
      <c r="AA232" s="118"/>
      <c r="AC232" s="118"/>
      <c r="AE232" s="118"/>
      <c r="AF232" s="119"/>
    </row>
    <row r="233" spans="1:32" x14ac:dyDescent="0.3">
      <c r="A233" s="118"/>
      <c r="C233" s="118"/>
      <c r="E233" s="118"/>
      <c r="G233" s="118"/>
      <c r="I233" s="118"/>
      <c r="J233" s="119"/>
      <c r="M233" s="118"/>
      <c r="O233" s="118"/>
      <c r="Q233" s="118"/>
      <c r="S233" s="118"/>
      <c r="U233" s="118"/>
      <c r="W233" s="118"/>
      <c r="Y233" s="118"/>
      <c r="AA233" s="118"/>
      <c r="AC233" s="118"/>
      <c r="AE233" s="118"/>
      <c r="AF233" s="119"/>
    </row>
    <row r="234" spans="1:32" x14ac:dyDescent="0.3">
      <c r="A234" s="118"/>
      <c r="C234" s="118"/>
      <c r="E234" s="118"/>
      <c r="G234" s="118"/>
      <c r="I234" s="118"/>
      <c r="J234" s="119"/>
      <c r="M234" s="118"/>
      <c r="O234" s="118"/>
      <c r="Q234" s="118"/>
      <c r="S234" s="118"/>
      <c r="U234" s="118"/>
      <c r="W234" s="118"/>
      <c r="Y234" s="118"/>
      <c r="AA234" s="118"/>
      <c r="AC234" s="118"/>
      <c r="AE234" s="118"/>
      <c r="AF234" s="119"/>
    </row>
    <row r="235" spans="1:32" x14ac:dyDescent="0.3">
      <c r="A235" s="118"/>
      <c r="C235" s="118"/>
      <c r="E235" s="118"/>
      <c r="G235" s="118"/>
      <c r="I235" s="118"/>
      <c r="J235" s="119"/>
      <c r="M235" s="118"/>
      <c r="O235" s="118"/>
      <c r="Q235" s="118"/>
      <c r="S235" s="118"/>
      <c r="U235" s="118"/>
      <c r="W235" s="118"/>
      <c r="Y235" s="118"/>
      <c r="AA235" s="118"/>
      <c r="AC235" s="118"/>
      <c r="AE235" s="118"/>
      <c r="AF235" s="119"/>
    </row>
    <row r="236" spans="1:32" x14ac:dyDescent="0.3">
      <c r="A236" s="118"/>
      <c r="C236" s="118"/>
      <c r="E236" s="118"/>
      <c r="G236" s="118"/>
      <c r="I236" s="118"/>
      <c r="J236" s="119"/>
      <c r="M236" s="118"/>
      <c r="O236" s="118"/>
      <c r="Q236" s="118"/>
      <c r="S236" s="118"/>
      <c r="U236" s="118"/>
      <c r="W236" s="118"/>
      <c r="Y236" s="118"/>
      <c r="AA236" s="118"/>
      <c r="AC236" s="118"/>
      <c r="AE236" s="118"/>
      <c r="AF236" s="119"/>
    </row>
    <row r="237" spans="1:32" x14ac:dyDescent="0.3">
      <c r="A237" s="118"/>
      <c r="C237" s="118"/>
      <c r="E237" s="118"/>
      <c r="G237" s="118"/>
      <c r="I237" s="118"/>
      <c r="J237" s="119"/>
      <c r="M237" s="118"/>
      <c r="O237" s="118"/>
      <c r="Q237" s="118"/>
      <c r="S237" s="118"/>
      <c r="U237" s="118"/>
      <c r="W237" s="118"/>
      <c r="Y237" s="118"/>
      <c r="AA237" s="118"/>
      <c r="AC237" s="118"/>
      <c r="AE237" s="118"/>
      <c r="AF237" s="119"/>
    </row>
    <row r="238" spans="1:32" x14ac:dyDescent="0.3">
      <c r="A238" s="118"/>
      <c r="C238" s="118"/>
      <c r="E238" s="118"/>
      <c r="G238" s="118"/>
      <c r="I238" s="118"/>
      <c r="J238" s="119"/>
      <c r="M238" s="118"/>
      <c r="O238" s="118"/>
      <c r="Q238" s="118"/>
      <c r="S238" s="118"/>
      <c r="U238" s="118"/>
      <c r="W238" s="118"/>
      <c r="Y238" s="118"/>
      <c r="AA238" s="118"/>
      <c r="AC238" s="118"/>
      <c r="AE238" s="118"/>
      <c r="AF238" s="119"/>
    </row>
    <row r="239" spans="1:32" x14ac:dyDescent="0.3">
      <c r="A239" s="118"/>
      <c r="C239" s="118"/>
      <c r="E239" s="118"/>
      <c r="G239" s="118"/>
      <c r="I239" s="118"/>
      <c r="J239" s="119"/>
      <c r="M239" s="118"/>
      <c r="O239" s="118"/>
      <c r="Q239" s="118"/>
      <c r="S239" s="118"/>
      <c r="U239" s="118"/>
      <c r="W239" s="118"/>
      <c r="Y239" s="118"/>
      <c r="AA239" s="118"/>
      <c r="AC239" s="118"/>
      <c r="AE239" s="118"/>
      <c r="AF239" s="119"/>
    </row>
    <row r="240" spans="1:32" x14ac:dyDescent="0.3">
      <c r="A240" s="118"/>
      <c r="C240" s="118"/>
      <c r="E240" s="118"/>
      <c r="G240" s="118"/>
      <c r="I240" s="118"/>
      <c r="J240" s="119"/>
      <c r="M240" s="118"/>
      <c r="O240" s="118"/>
      <c r="Q240" s="118"/>
      <c r="S240" s="118"/>
      <c r="U240" s="118"/>
      <c r="W240" s="118"/>
      <c r="Y240" s="118"/>
      <c r="AA240" s="118"/>
      <c r="AC240" s="118"/>
      <c r="AE240" s="118"/>
      <c r="AF240" s="119"/>
    </row>
    <row r="241" spans="1:32" x14ac:dyDescent="0.3">
      <c r="A241" s="118"/>
      <c r="C241" s="118"/>
      <c r="E241" s="118"/>
      <c r="G241" s="118"/>
      <c r="I241" s="118"/>
      <c r="J241" s="119"/>
      <c r="M241" s="118"/>
      <c r="O241" s="118"/>
      <c r="Q241" s="118"/>
      <c r="S241" s="118"/>
      <c r="U241" s="118"/>
      <c r="W241" s="118"/>
      <c r="Y241" s="118"/>
      <c r="AA241" s="118"/>
      <c r="AC241" s="118"/>
      <c r="AE241" s="118"/>
      <c r="AF241" s="119"/>
    </row>
    <row r="242" spans="1:32" x14ac:dyDescent="0.3">
      <c r="A242" s="118"/>
      <c r="C242" s="118"/>
      <c r="E242" s="118"/>
      <c r="G242" s="118"/>
      <c r="I242" s="118"/>
      <c r="J242" s="119"/>
      <c r="M242" s="118"/>
      <c r="O242" s="118"/>
      <c r="Q242" s="118"/>
      <c r="S242" s="118"/>
      <c r="U242" s="118"/>
      <c r="W242" s="118"/>
      <c r="Y242" s="118"/>
      <c r="AA242" s="118"/>
      <c r="AC242" s="118"/>
      <c r="AE242" s="118"/>
      <c r="AF242" s="119"/>
    </row>
    <row r="243" spans="1:32" x14ac:dyDescent="0.3">
      <c r="A243" s="118"/>
      <c r="C243" s="118"/>
      <c r="E243" s="118"/>
      <c r="G243" s="118"/>
      <c r="I243" s="118"/>
      <c r="J243" s="119"/>
      <c r="M243" s="118"/>
      <c r="O243" s="118"/>
      <c r="Q243" s="118"/>
      <c r="S243" s="118"/>
      <c r="U243" s="118"/>
      <c r="W243" s="118"/>
      <c r="Y243" s="118"/>
      <c r="AA243" s="118"/>
      <c r="AC243" s="118"/>
      <c r="AE243" s="118"/>
      <c r="AF243" s="119"/>
    </row>
    <row r="244" spans="1:32" x14ac:dyDescent="0.3">
      <c r="A244" s="118"/>
      <c r="C244" s="118"/>
      <c r="E244" s="118"/>
      <c r="G244" s="118"/>
      <c r="I244" s="118"/>
      <c r="J244" s="119"/>
      <c r="M244" s="118"/>
      <c r="O244" s="118"/>
      <c r="Q244" s="118"/>
      <c r="S244" s="118"/>
      <c r="U244" s="118"/>
      <c r="W244" s="118"/>
      <c r="Y244" s="118"/>
      <c r="AA244" s="118"/>
      <c r="AC244" s="118"/>
      <c r="AE244" s="118"/>
      <c r="AF244" s="119"/>
    </row>
    <row r="245" spans="1:32" x14ac:dyDescent="0.3">
      <c r="A245" s="118"/>
      <c r="C245" s="118"/>
      <c r="E245" s="118"/>
      <c r="G245" s="118"/>
      <c r="I245" s="118"/>
      <c r="J245" s="119"/>
      <c r="M245" s="118"/>
      <c r="O245" s="118"/>
      <c r="Q245" s="118"/>
      <c r="S245" s="118"/>
      <c r="U245" s="118"/>
      <c r="W245" s="118"/>
      <c r="Y245" s="118"/>
      <c r="AA245" s="118"/>
      <c r="AC245" s="118"/>
      <c r="AE245" s="118"/>
      <c r="AF245" s="119"/>
    </row>
    <row r="246" spans="1:32" x14ac:dyDescent="0.3">
      <c r="A246" s="118"/>
      <c r="C246" s="118"/>
      <c r="E246" s="118"/>
      <c r="G246" s="118"/>
      <c r="I246" s="118"/>
      <c r="J246" s="119"/>
      <c r="M246" s="118"/>
      <c r="O246" s="118"/>
      <c r="Q246" s="118"/>
      <c r="S246" s="118"/>
      <c r="U246" s="118"/>
      <c r="W246" s="118"/>
      <c r="Y246" s="118"/>
      <c r="AA246" s="118"/>
      <c r="AC246" s="118"/>
      <c r="AE246" s="118"/>
      <c r="AF246" s="119"/>
    </row>
    <row r="247" spans="1:32" x14ac:dyDescent="0.3">
      <c r="A247" s="118"/>
      <c r="C247" s="118"/>
      <c r="E247" s="118"/>
      <c r="G247" s="118"/>
      <c r="I247" s="118"/>
      <c r="J247" s="119"/>
      <c r="M247" s="118"/>
      <c r="O247" s="118"/>
      <c r="Q247" s="118"/>
      <c r="S247" s="118"/>
      <c r="U247" s="118"/>
      <c r="W247" s="118"/>
      <c r="Y247" s="118"/>
      <c r="AA247" s="118"/>
      <c r="AC247" s="118"/>
      <c r="AE247" s="118"/>
      <c r="AF247" s="119"/>
    </row>
    <row r="248" spans="1:32" x14ac:dyDescent="0.3">
      <c r="A248" s="118"/>
      <c r="C248" s="118"/>
      <c r="E248" s="118"/>
      <c r="G248" s="118"/>
      <c r="I248" s="118"/>
      <c r="J248" s="119"/>
      <c r="M248" s="118"/>
      <c r="O248" s="118"/>
      <c r="Q248" s="118"/>
      <c r="S248" s="118"/>
      <c r="U248" s="118"/>
      <c r="W248" s="118"/>
      <c r="Y248" s="118"/>
      <c r="AA248" s="118"/>
      <c r="AC248" s="118"/>
      <c r="AE248" s="118"/>
      <c r="AF248" s="119"/>
    </row>
    <row r="249" spans="1:32" x14ac:dyDescent="0.3">
      <c r="A249" s="118"/>
      <c r="C249" s="118"/>
      <c r="E249" s="118"/>
      <c r="G249" s="118"/>
      <c r="I249" s="118"/>
      <c r="J249" s="119"/>
      <c r="M249" s="118"/>
      <c r="O249" s="118"/>
      <c r="Q249" s="118"/>
      <c r="S249" s="118"/>
      <c r="U249" s="118"/>
      <c r="W249" s="118"/>
      <c r="Y249" s="118"/>
      <c r="AA249" s="118"/>
      <c r="AC249" s="118"/>
      <c r="AE249" s="118"/>
      <c r="AF249" s="119"/>
    </row>
    <row r="250" spans="1:32" x14ac:dyDescent="0.3">
      <c r="A250" s="118"/>
      <c r="C250" s="118"/>
      <c r="E250" s="118"/>
      <c r="G250" s="118"/>
      <c r="I250" s="118"/>
      <c r="J250" s="119"/>
      <c r="M250" s="118"/>
      <c r="O250" s="118"/>
      <c r="Q250" s="118"/>
      <c r="S250" s="118"/>
      <c r="U250" s="118"/>
      <c r="W250" s="118"/>
      <c r="Y250" s="118"/>
      <c r="AA250" s="118"/>
      <c r="AC250" s="118"/>
      <c r="AE250" s="118"/>
      <c r="AF250" s="119"/>
    </row>
    <row r="251" spans="1:32" x14ac:dyDescent="0.3">
      <c r="A251" s="118"/>
      <c r="C251" s="118"/>
      <c r="E251" s="118"/>
      <c r="G251" s="118"/>
      <c r="I251" s="118"/>
      <c r="J251" s="119"/>
      <c r="M251" s="118"/>
      <c r="O251" s="118"/>
      <c r="Q251" s="118"/>
      <c r="S251" s="118"/>
      <c r="U251" s="118"/>
      <c r="W251" s="118"/>
      <c r="Y251" s="118"/>
      <c r="AA251" s="118"/>
      <c r="AC251" s="118"/>
      <c r="AE251" s="118"/>
      <c r="AF251" s="119"/>
    </row>
    <row r="252" spans="1:32" x14ac:dyDescent="0.3">
      <c r="A252" s="118"/>
      <c r="C252" s="118"/>
      <c r="E252" s="118"/>
      <c r="G252" s="118"/>
      <c r="I252" s="118"/>
      <c r="J252" s="119"/>
      <c r="M252" s="118"/>
      <c r="O252" s="118"/>
      <c r="Q252" s="118"/>
      <c r="S252" s="118"/>
      <c r="U252" s="118"/>
      <c r="W252" s="118"/>
      <c r="Y252" s="118"/>
      <c r="AA252" s="118"/>
      <c r="AC252" s="118"/>
      <c r="AE252" s="118"/>
      <c r="AF252" s="119"/>
    </row>
    <row r="253" spans="1:32" x14ac:dyDescent="0.3">
      <c r="A253" s="118"/>
      <c r="C253" s="118"/>
      <c r="E253" s="118"/>
      <c r="G253" s="118"/>
      <c r="I253" s="118"/>
      <c r="J253" s="119"/>
      <c r="M253" s="118"/>
      <c r="O253" s="118"/>
      <c r="Q253" s="118"/>
      <c r="S253" s="118"/>
      <c r="U253" s="118"/>
      <c r="W253" s="118"/>
      <c r="Y253" s="118"/>
      <c r="AA253" s="118"/>
      <c r="AC253" s="118"/>
      <c r="AE253" s="118"/>
      <c r="AF253" s="119"/>
    </row>
    <row r="254" spans="1:32" x14ac:dyDescent="0.3">
      <c r="A254" s="118"/>
      <c r="C254" s="118"/>
      <c r="E254" s="118"/>
      <c r="G254" s="118"/>
      <c r="I254" s="118"/>
      <c r="J254" s="119"/>
      <c r="M254" s="118"/>
      <c r="O254" s="118"/>
      <c r="Q254" s="118"/>
      <c r="S254" s="118"/>
      <c r="U254" s="118"/>
      <c r="W254" s="118"/>
      <c r="Y254" s="118"/>
      <c r="AA254" s="118"/>
      <c r="AC254" s="118"/>
      <c r="AE254" s="118"/>
      <c r="AF254" s="119"/>
    </row>
    <row r="255" spans="1:32" x14ac:dyDescent="0.3">
      <c r="A255" s="118"/>
      <c r="C255" s="118"/>
      <c r="E255" s="118"/>
      <c r="G255" s="118"/>
      <c r="I255" s="118"/>
      <c r="J255" s="119"/>
      <c r="M255" s="118"/>
      <c r="O255" s="118"/>
      <c r="Q255" s="118"/>
      <c r="S255" s="118"/>
      <c r="U255" s="118"/>
      <c r="W255" s="118"/>
      <c r="Y255" s="118"/>
      <c r="AA255" s="118"/>
      <c r="AC255" s="118"/>
      <c r="AE255" s="118"/>
      <c r="AF255" s="119"/>
    </row>
    <row r="256" spans="1:32" x14ac:dyDescent="0.3">
      <c r="A256" s="118"/>
      <c r="C256" s="118"/>
      <c r="E256" s="118"/>
      <c r="G256" s="118"/>
      <c r="I256" s="118"/>
      <c r="J256" s="119"/>
      <c r="M256" s="118"/>
      <c r="O256" s="118"/>
      <c r="Q256" s="118"/>
      <c r="S256" s="118"/>
      <c r="U256" s="118"/>
      <c r="W256" s="118"/>
      <c r="Y256" s="118"/>
      <c r="AA256" s="118"/>
      <c r="AC256" s="118"/>
      <c r="AE256" s="118"/>
      <c r="AF256" s="119"/>
    </row>
    <row r="257" spans="1:32" x14ac:dyDescent="0.3">
      <c r="A257" s="118"/>
      <c r="C257" s="118"/>
      <c r="E257" s="118"/>
      <c r="G257" s="118"/>
      <c r="I257" s="118"/>
      <c r="J257" s="119"/>
      <c r="M257" s="118"/>
      <c r="O257" s="118"/>
      <c r="Q257" s="118"/>
      <c r="S257" s="118"/>
      <c r="U257" s="118"/>
      <c r="W257" s="118"/>
      <c r="Y257" s="118"/>
      <c r="AA257" s="118"/>
      <c r="AC257" s="118"/>
      <c r="AE257" s="118"/>
      <c r="AF257" s="119"/>
    </row>
    <row r="258" spans="1:32" x14ac:dyDescent="0.3">
      <c r="A258" s="118"/>
      <c r="C258" s="118"/>
      <c r="E258" s="118"/>
      <c r="G258" s="118"/>
      <c r="I258" s="118"/>
      <c r="J258" s="119"/>
      <c r="M258" s="118"/>
      <c r="O258" s="118"/>
      <c r="Q258" s="118"/>
      <c r="S258" s="118"/>
      <c r="U258" s="118"/>
      <c r="W258" s="118"/>
      <c r="Y258" s="118"/>
      <c r="AA258" s="118"/>
      <c r="AC258" s="118"/>
      <c r="AE258" s="118"/>
      <c r="AF258" s="119"/>
    </row>
    <row r="259" spans="1:32" x14ac:dyDescent="0.3">
      <c r="A259" s="118"/>
      <c r="C259" s="118"/>
      <c r="E259" s="118"/>
      <c r="G259" s="118"/>
      <c r="I259" s="118"/>
      <c r="J259" s="119"/>
      <c r="M259" s="118"/>
      <c r="O259" s="118"/>
      <c r="Q259" s="118"/>
      <c r="S259" s="118"/>
      <c r="U259" s="118"/>
      <c r="W259" s="118"/>
      <c r="Y259" s="118"/>
      <c r="AA259" s="118"/>
      <c r="AC259" s="118"/>
      <c r="AE259" s="118"/>
      <c r="AF259" s="119"/>
    </row>
    <row r="260" spans="1:32" x14ac:dyDescent="0.3">
      <c r="A260" s="118"/>
      <c r="C260" s="118"/>
      <c r="E260" s="118"/>
      <c r="G260" s="118"/>
      <c r="I260" s="118"/>
      <c r="J260" s="119"/>
      <c r="M260" s="118"/>
      <c r="O260" s="118"/>
      <c r="Q260" s="118"/>
      <c r="S260" s="118"/>
      <c r="U260" s="118"/>
      <c r="W260" s="118"/>
      <c r="Y260" s="118"/>
      <c r="AA260" s="118"/>
      <c r="AC260" s="118"/>
      <c r="AE260" s="118"/>
      <c r="AF260" s="119"/>
    </row>
    <row r="261" spans="1:32" x14ac:dyDescent="0.3">
      <c r="A261" s="118"/>
      <c r="C261" s="118"/>
      <c r="E261" s="118"/>
      <c r="G261" s="118"/>
      <c r="I261" s="118"/>
      <c r="J261" s="119"/>
      <c r="M261" s="118"/>
      <c r="O261" s="118"/>
      <c r="Q261" s="118"/>
      <c r="S261" s="118"/>
      <c r="U261" s="118"/>
      <c r="W261" s="118"/>
      <c r="Y261" s="118"/>
      <c r="AA261" s="118"/>
      <c r="AC261" s="118"/>
      <c r="AE261" s="118"/>
      <c r="AF261" s="119"/>
    </row>
    <row r="262" spans="1:32" x14ac:dyDescent="0.3">
      <c r="A262" s="118"/>
      <c r="C262" s="118"/>
      <c r="E262" s="118"/>
      <c r="G262" s="118"/>
      <c r="I262" s="118"/>
      <c r="J262" s="119"/>
      <c r="M262" s="118"/>
      <c r="O262" s="118"/>
      <c r="Q262" s="118"/>
      <c r="S262" s="118"/>
      <c r="U262" s="118"/>
      <c r="W262" s="118"/>
      <c r="Y262" s="118"/>
      <c r="AA262" s="118"/>
      <c r="AC262" s="118"/>
      <c r="AE262" s="118"/>
      <c r="AF262" s="119"/>
    </row>
    <row r="263" spans="1:32" x14ac:dyDescent="0.3">
      <c r="A263" s="118"/>
      <c r="C263" s="118"/>
      <c r="E263" s="118"/>
      <c r="G263" s="118"/>
      <c r="I263" s="118"/>
      <c r="J263" s="119"/>
      <c r="M263" s="118"/>
      <c r="O263" s="118"/>
      <c r="Q263" s="118"/>
      <c r="S263" s="118"/>
      <c r="U263" s="118"/>
      <c r="W263" s="118"/>
      <c r="Y263" s="118"/>
      <c r="AA263" s="118"/>
      <c r="AC263" s="118"/>
      <c r="AE263" s="118"/>
      <c r="AF263" s="119"/>
    </row>
    <row r="264" spans="1:32" x14ac:dyDescent="0.3">
      <c r="A264" s="118"/>
      <c r="C264" s="118"/>
      <c r="E264" s="118"/>
      <c r="G264" s="118"/>
      <c r="I264" s="118"/>
      <c r="J264" s="119"/>
      <c r="M264" s="118"/>
      <c r="O264" s="118"/>
      <c r="Q264" s="118"/>
      <c r="S264" s="118"/>
      <c r="U264" s="118"/>
      <c r="W264" s="118"/>
      <c r="Y264" s="118"/>
      <c r="AA264" s="118"/>
      <c r="AC264" s="118"/>
      <c r="AE264" s="118"/>
      <c r="AF264" s="119"/>
    </row>
    <row r="265" spans="1:32" x14ac:dyDescent="0.3">
      <c r="A265" s="118"/>
      <c r="C265" s="118"/>
      <c r="E265" s="118"/>
      <c r="G265" s="118"/>
      <c r="I265" s="118"/>
      <c r="J265" s="119"/>
      <c r="M265" s="118"/>
      <c r="O265" s="118"/>
      <c r="Q265" s="118"/>
      <c r="S265" s="118"/>
      <c r="U265" s="118"/>
      <c r="W265" s="118"/>
      <c r="Y265" s="118"/>
      <c r="AA265" s="118"/>
      <c r="AC265" s="118"/>
      <c r="AE265" s="118"/>
      <c r="AF265" s="119"/>
    </row>
    <row r="266" spans="1:32" x14ac:dyDescent="0.3">
      <c r="A266" s="118"/>
      <c r="C266" s="118"/>
      <c r="E266" s="118"/>
      <c r="G266" s="118"/>
      <c r="I266" s="118"/>
      <c r="J266" s="119"/>
      <c r="M266" s="118"/>
      <c r="O266" s="118"/>
      <c r="Q266" s="118"/>
      <c r="S266" s="118"/>
      <c r="U266" s="118"/>
      <c r="W266" s="118"/>
      <c r="Y266" s="118"/>
      <c r="AA266" s="118"/>
      <c r="AC266" s="118"/>
      <c r="AE266" s="118"/>
      <c r="AF266" s="119"/>
    </row>
    <row r="267" spans="1:32" x14ac:dyDescent="0.3">
      <c r="A267" s="118"/>
      <c r="C267" s="118"/>
      <c r="E267" s="118"/>
      <c r="G267" s="118"/>
      <c r="I267" s="118"/>
      <c r="J267" s="119"/>
      <c r="M267" s="118"/>
      <c r="O267" s="118"/>
      <c r="Q267" s="118"/>
      <c r="S267" s="118"/>
      <c r="U267" s="118"/>
      <c r="W267" s="118"/>
      <c r="Y267" s="118"/>
      <c r="AA267" s="118"/>
      <c r="AC267" s="118"/>
      <c r="AE267" s="118"/>
      <c r="AF267" s="119"/>
    </row>
    <row r="268" spans="1:32" x14ac:dyDescent="0.3">
      <c r="A268" s="118"/>
      <c r="C268" s="118"/>
      <c r="E268" s="118"/>
      <c r="G268" s="118"/>
      <c r="I268" s="118"/>
      <c r="J268" s="119"/>
      <c r="M268" s="118"/>
      <c r="O268" s="118"/>
      <c r="Q268" s="118"/>
      <c r="S268" s="118"/>
      <c r="U268" s="118"/>
      <c r="W268" s="118"/>
      <c r="Y268" s="118"/>
      <c r="AA268" s="118"/>
      <c r="AC268" s="118"/>
      <c r="AE268" s="118"/>
      <c r="AF268" s="119"/>
    </row>
    <row r="269" spans="1:32" x14ac:dyDescent="0.3">
      <c r="A269" s="118"/>
      <c r="C269" s="118"/>
      <c r="E269" s="118"/>
      <c r="G269" s="118"/>
      <c r="I269" s="118"/>
      <c r="J269" s="119"/>
      <c r="M269" s="118"/>
      <c r="O269" s="118"/>
      <c r="Q269" s="118"/>
      <c r="S269" s="118"/>
      <c r="U269" s="118"/>
      <c r="W269" s="118"/>
      <c r="Y269" s="118"/>
      <c r="AA269" s="118"/>
      <c r="AC269" s="118"/>
      <c r="AE269" s="118"/>
      <c r="AF269" s="119"/>
    </row>
    <row r="270" spans="1:32" x14ac:dyDescent="0.3">
      <c r="A270" s="118"/>
      <c r="C270" s="118"/>
      <c r="E270" s="118"/>
      <c r="G270" s="118"/>
      <c r="I270" s="118"/>
      <c r="J270" s="119"/>
      <c r="M270" s="118"/>
      <c r="O270" s="118"/>
      <c r="Q270" s="118"/>
      <c r="S270" s="118"/>
      <c r="U270" s="118"/>
      <c r="W270" s="118"/>
      <c r="Y270" s="118"/>
      <c r="AA270" s="118"/>
      <c r="AC270" s="118"/>
      <c r="AE270" s="118"/>
      <c r="AF270" s="119"/>
    </row>
    <row r="271" spans="1:32" x14ac:dyDescent="0.3">
      <c r="A271" s="118"/>
      <c r="C271" s="118"/>
      <c r="E271" s="118"/>
      <c r="G271" s="118"/>
      <c r="I271" s="118"/>
      <c r="J271" s="119"/>
      <c r="M271" s="118"/>
      <c r="O271" s="118"/>
      <c r="Q271" s="118"/>
      <c r="S271" s="118"/>
      <c r="U271" s="118"/>
      <c r="W271" s="118"/>
      <c r="Y271" s="118"/>
      <c r="AA271" s="118"/>
      <c r="AC271" s="118"/>
      <c r="AE271" s="118"/>
      <c r="AF271" s="119"/>
    </row>
    <row r="272" spans="1:32" x14ac:dyDescent="0.3">
      <c r="A272" s="118"/>
      <c r="C272" s="118"/>
      <c r="E272" s="118"/>
      <c r="G272" s="118"/>
      <c r="I272" s="118"/>
      <c r="J272" s="119"/>
      <c r="M272" s="118"/>
      <c r="O272" s="118"/>
      <c r="Q272" s="118"/>
      <c r="S272" s="118"/>
      <c r="U272" s="118"/>
      <c r="W272" s="118"/>
      <c r="Y272" s="118"/>
      <c r="AA272" s="118"/>
      <c r="AC272" s="118"/>
      <c r="AE272" s="118"/>
      <c r="AF272" s="119"/>
    </row>
    <row r="273" spans="1:32" x14ac:dyDescent="0.3">
      <c r="A273" s="118"/>
      <c r="C273" s="118"/>
      <c r="E273" s="118"/>
      <c r="G273" s="118"/>
      <c r="I273" s="118"/>
      <c r="J273" s="119"/>
      <c r="M273" s="118"/>
      <c r="O273" s="118"/>
      <c r="Q273" s="118"/>
      <c r="S273" s="118"/>
      <c r="U273" s="118"/>
      <c r="W273" s="118"/>
      <c r="Y273" s="118"/>
      <c r="AA273" s="118"/>
      <c r="AC273" s="118"/>
      <c r="AE273" s="118"/>
      <c r="AF273" s="119"/>
    </row>
    <row r="274" spans="1:32" x14ac:dyDescent="0.3">
      <c r="A274" s="118"/>
      <c r="C274" s="118"/>
      <c r="E274" s="118"/>
      <c r="G274" s="118"/>
      <c r="I274" s="118"/>
      <c r="J274" s="119"/>
      <c r="M274" s="118"/>
      <c r="O274" s="118"/>
      <c r="Q274" s="118"/>
      <c r="S274" s="118"/>
      <c r="U274" s="118"/>
      <c r="W274" s="118"/>
      <c r="Y274" s="118"/>
      <c r="AA274" s="118"/>
      <c r="AC274" s="118"/>
      <c r="AE274" s="118"/>
      <c r="AF274" s="119"/>
    </row>
    <row r="275" spans="1:32" x14ac:dyDescent="0.3">
      <c r="A275" s="118"/>
      <c r="C275" s="118"/>
      <c r="E275" s="118"/>
      <c r="G275" s="118"/>
      <c r="I275" s="118"/>
      <c r="J275" s="119"/>
      <c r="M275" s="118"/>
      <c r="O275" s="118"/>
      <c r="Q275" s="118"/>
      <c r="S275" s="118"/>
      <c r="U275" s="118"/>
      <c r="W275" s="118"/>
      <c r="Y275" s="118"/>
      <c r="AA275" s="118"/>
      <c r="AC275" s="118"/>
      <c r="AE275" s="118"/>
      <c r="AF275" s="119"/>
    </row>
    <row r="276" spans="1:32" x14ac:dyDescent="0.3">
      <c r="A276" s="118"/>
      <c r="C276" s="118"/>
      <c r="E276" s="118"/>
      <c r="G276" s="118"/>
      <c r="I276" s="118"/>
      <c r="J276" s="119"/>
      <c r="M276" s="118"/>
      <c r="O276" s="118"/>
      <c r="Q276" s="118"/>
      <c r="S276" s="118"/>
      <c r="U276" s="118"/>
      <c r="W276" s="118"/>
      <c r="Y276" s="118"/>
      <c r="AA276" s="118"/>
      <c r="AC276" s="118"/>
      <c r="AE276" s="118"/>
      <c r="AF276" s="119"/>
    </row>
    <row r="277" spans="1:32" x14ac:dyDescent="0.3">
      <c r="A277" s="118"/>
      <c r="C277" s="118"/>
      <c r="E277" s="118"/>
      <c r="G277" s="118"/>
      <c r="I277" s="118"/>
      <c r="J277" s="119"/>
      <c r="M277" s="118"/>
      <c r="O277" s="118"/>
      <c r="Q277" s="118"/>
      <c r="S277" s="118"/>
      <c r="U277" s="118"/>
      <c r="W277" s="118"/>
      <c r="Y277" s="118"/>
      <c r="AA277" s="118"/>
      <c r="AC277" s="118"/>
      <c r="AE277" s="118"/>
      <c r="AF277" s="119"/>
    </row>
    <row r="278" spans="1:32" x14ac:dyDescent="0.3">
      <c r="A278" s="118"/>
      <c r="C278" s="118"/>
      <c r="E278" s="118"/>
      <c r="G278" s="118"/>
      <c r="I278" s="118"/>
      <c r="J278" s="119"/>
      <c r="M278" s="118"/>
      <c r="O278" s="118"/>
      <c r="Q278" s="118"/>
      <c r="S278" s="118"/>
      <c r="U278" s="118"/>
      <c r="W278" s="118"/>
      <c r="Y278" s="118"/>
      <c r="AA278" s="118"/>
      <c r="AC278" s="118"/>
      <c r="AE278" s="118"/>
      <c r="AF278" s="119"/>
    </row>
    <row r="279" spans="1:32" x14ac:dyDescent="0.3">
      <c r="A279" s="118"/>
      <c r="C279" s="118"/>
      <c r="E279" s="118"/>
      <c r="G279" s="118"/>
      <c r="I279" s="118"/>
      <c r="J279" s="119"/>
      <c r="M279" s="118"/>
      <c r="O279" s="118"/>
      <c r="Q279" s="118"/>
      <c r="S279" s="118"/>
      <c r="U279" s="118"/>
      <c r="W279" s="118"/>
      <c r="Y279" s="118"/>
      <c r="AA279" s="118"/>
      <c r="AC279" s="118"/>
      <c r="AE279" s="118"/>
      <c r="AF279" s="119"/>
    </row>
    <row r="280" spans="1:32" x14ac:dyDescent="0.3">
      <c r="A280" s="118"/>
      <c r="C280" s="118"/>
      <c r="E280" s="118"/>
      <c r="G280" s="118"/>
      <c r="I280" s="118"/>
      <c r="J280" s="119"/>
      <c r="M280" s="118"/>
      <c r="O280" s="118"/>
      <c r="Q280" s="118"/>
      <c r="S280" s="118"/>
      <c r="U280" s="118"/>
      <c r="W280" s="118"/>
      <c r="Y280" s="118"/>
      <c r="AA280" s="118"/>
      <c r="AC280" s="118"/>
      <c r="AE280" s="118"/>
      <c r="AF280" s="119"/>
    </row>
    <row r="281" spans="1:32" x14ac:dyDescent="0.3">
      <c r="A281" s="118"/>
      <c r="C281" s="118"/>
      <c r="E281" s="118"/>
      <c r="G281" s="118"/>
      <c r="I281" s="118"/>
      <c r="J281" s="119"/>
      <c r="M281" s="118"/>
      <c r="O281" s="118"/>
      <c r="Q281" s="118"/>
      <c r="S281" s="118"/>
      <c r="U281" s="118"/>
      <c r="W281" s="118"/>
      <c r="Y281" s="118"/>
      <c r="AA281" s="118"/>
      <c r="AC281" s="118"/>
      <c r="AE281" s="118"/>
      <c r="AF281" s="119"/>
    </row>
    <row r="282" spans="1:32" x14ac:dyDescent="0.3">
      <c r="A282" s="118"/>
      <c r="C282" s="118"/>
      <c r="E282" s="118"/>
      <c r="G282" s="118"/>
      <c r="I282" s="118"/>
      <c r="J282" s="119"/>
      <c r="M282" s="118"/>
      <c r="O282" s="118"/>
      <c r="Q282" s="118"/>
      <c r="S282" s="118"/>
      <c r="U282" s="118"/>
      <c r="W282" s="118"/>
      <c r="Y282" s="118"/>
      <c r="AA282" s="118"/>
      <c r="AC282" s="118"/>
      <c r="AE282" s="118"/>
      <c r="AF282" s="119"/>
    </row>
    <row r="283" spans="1:32" x14ac:dyDescent="0.3">
      <c r="A283" s="118"/>
      <c r="C283" s="118"/>
      <c r="E283" s="118"/>
      <c r="G283" s="118"/>
      <c r="I283" s="118"/>
      <c r="J283" s="119"/>
      <c r="M283" s="118"/>
      <c r="O283" s="118"/>
      <c r="Q283" s="118"/>
      <c r="S283" s="118"/>
      <c r="U283" s="118"/>
      <c r="W283" s="118"/>
      <c r="Y283" s="118"/>
      <c r="AA283" s="118"/>
      <c r="AC283" s="118"/>
      <c r="AE283" s="118"/>
      <c r="AF283" s="119"/>
    </row>
    <row r="284" spans="1:32" x14ac:dyDescent="0.3">
      <c r="A284" s="118"/>
      <c r="C284" s="118"/>
      <c r="E284" s="118"/>
      <c r="G284" s="118"/>
      <c r="I284" s="118"/>
      <c r="J284" s="119"/>
      <c r="M284" s="118"/>
      <c r="O284" s="118"/>
      <c r="Q284" s="118"/>
      <c r="S284" s="118"/>
      <c r="U284" s="118"/>
      <c r="W284" s="118"/>
      <c r="Y284" s="118"/>
      <c r="AA284" s="118"/>
      <c r="AC284" s="118"/>
      <c r="AE284" s="118"/>
      <c r="AF284" s="119"/>
    </row>
    <row r="285" spans="1:32" x14ac:dyDescent="0.3">
      <c r="A285" s="118"/>
      <c r="C285" s="118"/>
      <c r="E285" s="118"/>
      <c r="G285" s="118"/>
      <c r="I285" s="118"/>
      <c r="J285" s="119"/>
      <c r="M285" s="118"/>
      <c r="O285" s="118"/>
      <c r="Q285" s="118"/>
      <c r="S285" s="118"/>
      <c r="U285" s="118"/>
      <c r="W285" s="118"/>
      <c r="Y285" s="118"/>
      <c r="AA285" s="118"/>
      <c r="AC285" s="118"/>
      <c r="AE285" s="118"/>
      <c r="AF285" s="119"/>
    </row>
    <row r="286" spans="1:32" x14ac:dyDescent="0.3">
      <c r="A286" s="118"/>
      <c r="C286" s="118"/>
      <c r="E286" s="118"/>
      <c r="G286" s="118"/>
      <c r="I286" s="118"/>
      <c r="J286" s="119"/>
      <c r="M286" s="118"/>
      <c r="O286" s="118"/>
      <c r="Q286" s="118"/>
      <c r="S286" s="118"/>
      <c r="U286" s="118"/>
      <c r="W286" s="118"/>
      <c r="Y286" s="118"/>
      <c r="AA286" s="118"/>
      <c r="AC286" s="118"/>
      <c r="AE286" s="118"/>
      <c r="AF286" s="119"/>
    </row>
    <row r="287" spans="1:32" x14ac:dyDescent="0.3">
      <c r="A287" s="118"/>
      <c r="C287" s="118"/>
      <c r="E287" s="118"/>
      <c r="G287" s="118"/>
      <c r="I287" s="118"/>
      <c r="J287" s="119"/>
      <c r="M287" s="118"/>
      <c r="O287" s="118"/>
      <c r="Q287" s="118"/>
      <c r="S287" s="118"/>
      <c r="U287" s="118"/>
      <c r="W287" s="118"/>
      <c r="Y287" s="118"/>
      <c r="AA287" s="118"/>
      <c r="AC287" s="118"/>
      <c r="AE287" s="118"/>
      <c r="AF287" s="119"/>
    </row>
    <row r="288" spans="1:32" x14ac:dyDescent="0.3">
      <c r="A288" s="118"/>
      <c r="C288" s="118"/>
      <c r="E288" s="118"/>
      <c r="G288" s="118"/>
      <c r="I288" s="118"/>
      <c r="J288" s="119"/>
      <c r="M288" s="118"/>
      <c r="O288" s="118"/>
      <c r="Q288" s="118"/>
      <c r="S288" s="118"/>
      <c r="U288" s="118"/>
      <c r="W288" s="118"/>
      <c r="Y288" s="118"/>
      <c r="AA288" s="118"/>
      <c r="AC288" s="118"/>
      <c r="AE288" s="118"/>
      <c r="AF288" s="119"/>
    </row>
    <row r="289" spans="1:32" x14ac:dyDescent="0.3">
      <c r="A289" s="118"/>
      <c r="C289" s="118"/>
      <c r="E289" s="118"/>
      <c r="G289" s="118"/>
      <c r="I289" s="118"/>
      <c r="J289" s="119"/>
      <c r="M289" s="118"/>
      <c r="O289" s="118"/>
      <c r="Q289" s="118"/>
      <c r="S289" s="118"/>
      <c r="U289" s="118"/>
      <c r="W289" s="118"/>
      <c r="Y289" s="118"/>
      <c r="AA289" s="118"/>
      <c r="AC289" s="118"/>
      <c r="AE289" s="118"/>
      <c r="AF289" s="119"/>
    </row>
    <row r="290" spans="1:32" x14ac:dyDescent="0.3">
      <c r="A290" s="118"/>
      <c r="C290" s="118"/>
      <c r="E290" s="118"/>
      <c r="G290" s="118"/>
      <c r="I290" s="118"/>
      <c r="J290" s="119"/>
      <c r="M290" s="118"/>
      <c r="O290" s="118"/>
      <c r="Q290" s="118"/>
      <c r="S290" s="118"/>
      <c r="U290" s="118"/>
      <c r="W290" s="118"/>
      <c r="Y290" s="118"/>
      <c r="AA290" s="118"/>
      <c r="AC290" s="118"/>
      <c r="AE290" s="118"/>
      <c r="AF290" s="119"/>
    </row>
    <row r="291" spans="1:32" x14ac:dyDescent="0.3">
      <c r="A291" s="118"/>
      <c r="C291" s="118"/>
      <c r="E291" s="118"/>
      <c r="G291" s="118"/>
      <c r="I291" s="118"/>
      <c r="J291" s="119"/>
      <c r="M291" s="118"/>
      <c r="O291" s="118"/>
      <c r="Q291" s="118"/>
      <c r="S291" s="118"/>
      <c r="U291" s="118"/>
      <c r="W291" s="118"/>
      <c r="Y291" s="118"/>
      <c r="AA291" s="118"/>
      <c r="AC291" s="118"/>
      <c r="AE291" s="118"/>
      <c r="AF291" s="119"/>
    </row>
    <row r="292" spans="1:32" x14ac:dyDescent="0.3">
      <c r="A292" s="118"/>
      <c r="C292" s="118"/>
      <c r="E292" s="118"/>
      <c r="G292" s="118"/>
      <c r="I292" s="118"/>
      <c r="J292" s="119"/>
      <c r="M292" s="118"/>
      <c r="O292" s="118"/>
      <c r="Q292" s="118"/>
      <c r="S292" s="118"/>
      <c r="U292" s="118"/>
      <c r="W292" s="118"/>
      <c r="Y292" s="118"/>
      <c r="AA292" s="118"/>
      <c r="AC292" s="118"/>
      <c r="AE292" s="118"/>
      <c r="AF292" s="119"/>
    </row>
    <row r="293" spans="1:32" x14ac:dyDescent="0.3">
      <c r="A293" s="118"/>
      <c r="C293" s="118"/>
      <c r="E293" s="118"/>
      <c r="G293" s="118"/>
      <c r="I293" s="118"/>
      <c r="J293" s="119"/>
      <c r="M293" s="118"/>
      <c r="O293" s="118"/>
      <c r="Q293" s="118"/>
      <c r="S293" s="118"/>
      <c r="U293" s="118"/>
      <c r="W293" s="118"/>
      <c r="Y293" s="118"/>
      <c r="AA293" s="118"/>
      <c r="AC293" s="118"/>
      <c r="AE293" s="118"/>
      <c r="AF293" s="119"/>
    </row>
    <row r="294" spans="1:32" x14ac:dyDescent="0.3">
      <c r="A294" s="118"/>
      <c r="C294" s="118"/>
      <c r="E294" s="118"/>
      <c r="G294" s="118"/>
      <c r="I294" s="118"/>
      <c r="J294" s="119"/>
      <c r="M294" s="118"/>
      <c r="O294" s="118"/>
      <c r="Q294" s="118"/>
      <c r="S294" s="118"/>
      <c r="U294" s="118"/>
      <c r="W294" s="118"/>
      <c r="Y294" s="118"/>
      <c r="AA294" s="118"/>
      <c r="AC294" s="118"/>
      <c r="AE294" s="118"/>
      <c r="AF294" s="119"/>
    </row>
    <row r="295" spans="1:32" x14ac:dyDescent="0.3">
      <c r="A295" s="118"/>
      <c r="C295" s="118"/>
      <c r="E295" s="118"/>
      <c r="G295" s="118"/>
      <c r="I295" s="118"/>
      <c r="J295" s="119"/>
      <c r="M295" s="118"/>
      <c r="O295" s="118"/>
      <c r="Q295" s="118"/>
      <c r="S295" s="118"/>
      <c r="U295" s="118"/>
      <c r="W295" s="118"/>
      <c r="Y295" s="118"/>
      <c r="AA295" s="118"/>
      <c r="AC295" s="118"/>
      <c r="AE295" s="118"/>
      <c r="AF295" s="119"/>
    </row>
    <row r="296" spans="1:32" x14ac:dyDescent="0.3">
      <c r="A296" s="118"/>
      <c r="C296" s="118"/>
      <c r="E296" s="118"/>
      <c r="G296" s="118"/>
      <c r="I296" s="118"/>
      <c r="J296" s="119"/>
      <c r="M296" s="118"/>
      <c r="O296" s="118"/>
      <c r="Q296" s="118"/>
      <c r="S296" s="118"/>
      <c r="U296" s="118"/>
      <c r="W296" s="118"/>
      <c r="Y296" s="118"/>
      <c r="AA296" s="118"/>
      <c r="AC296" s="118"/>
      <c r="AE296" s="118"/>
      <c r="AF296" s="119"/>
    </row>
    <row r="297" spans="1:32" x14ac:dyDescent="0.3">
      <c r="A297" s="118"/>
      <c r="C297" s="118"/>
      <c r="E297" s="118"/>
      <c r="G297" s="118"/>
      <c r="I297" s="118"/>
      <c r="J297" s="119"/>
      <c r="M297" s="118"/>
      <c r="O297" s="118"/>
      <c r="Q297" s="118"/>
      <c r="S297" s="118"/>
      <c r="U297" s="118"/>
      <c r="W297" s="118"/>
      <c r="Y297" s="118"/>
      <c r="AA297" s="118"/>
      <c r="AC297" s="118"/>
      <c r="AE297" s="118"/>
      <c r="AF297" s="119"/>
    </row>
    <row r="298" spans="1:32" x14ac:dyDescent="0.3">
      <c r="A298" s="118"/>
      <c r="C298" s="118"/>
      <c r="E298" s="118"/>
      <c r="G298" s="118"/>
      <c r="I298" s="118"/>
      <c r="J298" s="119"/>
      <c r="M298" s="118"/>
      <c r="O298" s="118"/>
      <c r="Q298" s="118"/>
      <c r="S298" s="118"/>
      <c r="U298" s="118"/>
      <c r="W298" s="118"/>
      <c r="Y298" s="118"/>
      <c r="AA298" s="118"/>
      <c r="AC298" s="118"/>
      <c r="AE298" s="118"/>
      <c r="AF298" s="119"/>
    </row>
    <row r="299" spans="1:32" x14ac:dyDescent="0.3">
      <c r="A299" s="118"/>
      <c r="C299" s="118"/>
      <c r="E299" s="118"/>
      <c r="G299" s="118"/>
      <c r="I299" s="118"/>
      <c r="J299" s="119"/>
      <c r="M299" s="118"/>
      <c r="O299" s="118"/>
      <c r="Q299" s="118"/>
      <c r="S299" s="118"/>
      <c r="U299" s="118"/>
      <c r="W299" s="118"/>
      <c r="Y299" s="118"/>
      <c r="AA299" s="118"/>
      <c r="AC299" s="118"/>
      <c r="AE299" s="118"/>
      <c r="AF299" s="119"/>
    </row>
    <row r="300" spans="1:32" x14ac:dyDescent="0.3">
      <c r="A300" s="118"/>
      <c r="C300" s="118"/>
      <c r="E300" s="118"/>
      <c r="G300" s="118"/>
      <c r="I300" s="118"/>
      <c r="J300" s="119"/>
      <c r="M300" s="118"/>
      <c r="O300" s="118"/>
      <c r="Q300" s="118"/>
      <c r="S300" s="118"/>
      <c r="U300" s="118"/>
      <c r="W300" s="118"/>
      <c r="Y300" s="118"/>
      <c r="AA300" s="118"/>
      <c r="AC300" s="118"/>
      <c r="AE300" s="118"/>
      <c r="AF300" s="119"/>
    </row>
    <row r="301" spans="1:32" x14ac:dyDescent="0.3">
      <c r="A301" s="118"/>
      <c r="C301" s="118"/>
      <c r="E301" s="118"/>
      <c r="G301" s="118"/>
      <c r="I301" s="118"/>
      <c r="J301" s="119"/>
      <c r="M301" s="118"/>
      <c r="O301" s="118"/>
      <c r="Q301" s="118"/>
      <c r="S301" s="118"/>
      <c r="U301" s="118"/>
      <c r="W301" s="118"/>
      <c r="Y301" s="118"/>
      <c r="AA301" s="118"/>
      <c r="AC301" s="118"/>
      <c r="AE301" s="118"/>
      <c r="AF301" s="119"/>
    </row>
    <row r="302" spans="1:32" x14ac:dyDescent="0.3">
      <c r="A302" s="118"/>
      <c r="C302" s="118"/>
      <c r="E302" s="118"/>
      <c r="G302" s="118"/>
      <c r="I302" s="118"/>
      <c r="J302" s="119"/>
      <c r="M302" s="118"/>
      <c r="O302" s="118"/>
      <c r="Q302" s="118"/>
      <c r="S302" s="118"/>
      <c r="U302" s="118"/>
      <c r="W302" s="118"/>
      <c r="Y302" s="118"/>
      <c r="AA302" s="118"/>
      <c r="AC302" s="118"/>
      <c r="AE302" s="118"/>
      <c r="AF302" s="119"/>
    </row>
    <row r="303" spans="1:32" x14ac:dyDescent="0.3">
      <c r="A303" s="118"/>
      <c r="C303" s="118"/>
      <c r="E303" s="118"/>
      <c r="G303" s="118"/>
      <c r="I303" s="118"/>
      <c r="J303" s="119"/>
      <c r="M303" s="118"/>
      <c r="O303" s="118"/>
      <c r="Q303" s="118"/>
      <c r="S303" s="118"/>
      <c r="U303" s="118"/>
      <c r="W303" s="118"/>
      <c r="Y303" s="118"/>
      <c r="AA303" s="118"/>
      <c r="AC303" s="118"/>
      <c r="AE303" s="118"/>
      <c r="AF303" s="119"/>
    </row>
    <row r="304" spans="1:32" x14ac:dyDescent="0.3">
      <c r="A304" s="118"/>
      <c r="C304" s="118"/>
      <c r="E304" s="118"/>
      <c r="G304" s="118"/>
      <c r="I304" s="118"/>
      <c r="J304" s="119"/>
      <c r="M304" s="118"/>
      <c r="O304" s="118"/>
      <c r="Q304" s="118"/>
      <c r="S304" s="118"/>
      <c r="U304" s="118"/>
      <c r="W304" s="118"/>
      <c r="Y304" s="118"/>
      <c r="AA304" s="118"/>
      <c r="AC304" s="118"/>
      <c r="AE304" s="118"/>
      <c r="AF304" s="119"/>
    </row>
    <row r="305" spans="1:32" x14ac:dyDescent="0.3">
      <c r="A305" s="118"/>
      <c r="C305" s="118"/>
      <c r="E305" s="118"/>
      <c r="G305" s="118"/>
      <c r="I305" s="118"/>
      <c r="J305" s="119"/>
      <c r="M305" s="118"/>
      <c r="O305" s="118"/>
      <c r="Q305" s="118"/>
      <c r="S305" s="118"/>
      <c r="U305" s="118"/>
      <c r="W305" s="118"/>
      <c r="Y305" s="118"/>
      <c r="AA305" s="118"/>
      <c r="AC305" s="118"/>
      <c r="AE305" s="118"/>
      <c r="AF305" s="119"/>
    </row>
    <row r="306" spans="1:32" x14ac:dyDescent="0.3">
      <c r="A306" s="118"/>
      <c r="C306" s="118"/>
      <c r="E306" s="118"/>
      <c r="G306" s="118"/>
      <c r="I306" s="118"/>
      <c r="J306" s="119"/>
      <c r="M306" s="118"/>
      <c r="O306" s="118"/>
      <c r="Q306" s="118"/>
      <c r="S306" s="118"/>
      <c r="U306" s="118"/>
      <c r="W306" s="118"/>
      <c r="Y306" s="118"/>
      <c r="AA306" s="118"/>
      <c r="AC306" s="118"/>
      <c r="AE306" s="118"/>
      <c r="AF306" s="119"/>
    </row>
    <row r="307" spans="1:32" x14ac:dyDescent="0.3">
      <c r="A307" s="118"/>
      <c r="C307" s="118"/>
      <c r="E307" s="118"/>
      <c r="G307" s="118"/>
      <c r="I307" s="118"/>
      <c r="J307" s="119"/>
      <c r="M307" s="118"/>
      <c r="O307" s="118"/>
      <c r="Q307" s="118"/>
      <c r="S307" s="118"/>
      <c r="U307" s="118"/>
      <c r="W307" s="118"/>
      <c r="Y307" s="118"/>
      <c r="AA307" s="118"/>
      <c r="AC307" s="118"/>
      <c r="AE307" s="118"/>
      <c r="AF307" s="119"/>
    </row>
    <row r="308" spans="1:32" x14ac:dyDescent="0.3">
      <c r="A308" s="118"/>
      <c r="C308" s="118"/>
      <c r="E308" s="118"/>
      <c r="G308" s="118"/>
      <c r="I308" s="118"/>
      <c r="J308" s="119"/>
      <c r="M308" s="118"/>
      <c r="O308" s="118"/>
      <c r="Q308" s="118"/>
      <c r="S308" s="118"/>
      <c r="U308" s="118"/>
      <c r="W308" s="118"/>
      <c r="Y308" s="118"/>
      <c r="AA308" s="118"/>
      <c r="AC308" s="118"/>
      <c r="AE308" s="118"/>
      <c r="AF308" s="119"/>
    </row>
    <row r="309" spans="1:32" x14ac:dyDescent="0.3">
      <c r="A309" s="118"/>
      <c r="C309" s="118"/>
      <c r="E309" s="118"/>
      <c r="G309" s="118"/>
      <c r="I309" s="118"/>
      <c r="J309" s="119"/>
      <c r="M309" s="118"/>
      <c r="O309" s="118"/>
      <c r="Q309" s="118"/>
      <c r="S309" s="118"/>
      <c r="U309" s="118"/>
      <c r="W309" s="118"/>
      <c r="Y309" s="118"/>
      <c r="AA309" s="118"/>
      <c r="AC309" s="118"/>
      <c r="AE309" s="118"/>
      <c r="AF309" s="119"/>
    </row>
    <row r="310" spans="1:32" x14ac:dyDescent="0.3">
      <c r="A310" s="118"/>
      <c r="C310" s="118"/>
      <c r="E310" s="118"/>
      <c r="G310" s="118"/>
      <c r="I310" s="118"/>
      <c r="J310" s="119"/>
      <c r="M310" s="118"/>
      <c r="O310" s="118"/>
      <c r="Q310" s="118"/>
      <c r="S310" s="118"/>
      <c r="U310" s="118"/>
      <c r="W310" s="118"/>
      <c r="Y310" s="118"/>
      <c r="AA310" s="118"/>
      <c r="AC310" s="118"/>
      <c r="AE310" s="118"/>
      <c r="AF310" s="119"/>
    </row>
    <row r="311" spans="1:32" x14ac:dyDescent="0.3">
      <c r="A311" s="118"/>
      <c r="C311" s="118"/>
      <c r="E311" s="118"/>
      <c r="G311" s="118"/>
      <c r="I311" s="118"/>
      <c r="J311" s="119"/>
      <c r="M311" s="118"/>
      <c r="O311" s="118"/>
      <c r="Q311" s="118"/>
      <c r="S311" s="118"/>
      <c r="U311" s="118"/>
      <c r="W311" s="118"/>
      <c r="Y311" s="118"/>
      <c r="AA311" s="118"/>
      <c r="AC311" s="118"/>
      <c r="AE311" s="118"/>
      <c r="AF311" s="119"/>
    </row>
    <row r="312" spans="1:32" x14ac:dyDescent="0.3">
      <c r="A312" s="118"/>
      <c r="C312" s="118"/>
      <c r="E312" s="118"/>
      <c r="G312" s="118"/>
      <c r="I312" s="118"/>
      <c r="J312" s="119"/>
      <c r="M312" s="118"/>
      <c r="O312" s="118"/>
      <c r="Q312" s="118"/>
      <c r="S312" s="118"/>
      <c r="U312" s="118"/>
      <c r="W312" s="118"/>
      <c r="Y312" s="118"/>
      <c r="AA312" s="118"/>
      <c r="AC312" s="118"/>
      <c r="AE312" s="118"/>
      <c r="AF312" s="119"/>
    </row>
    <row r="313" spans="1:32" x14ac:dyDescent="0.3">
      <c r="A313" s="118"/>
      <c r="C313" s="118"/>
      <c r="E313" s="118"/>
      <c r="G313" s="118"/>
      <c r="I313" s="118"/>
      <c r="J313" s="119"/>
      <c r="M313" s="118"/>
      <c r="O313" s="118"/>
      <c r="Q313" s="118"/>
      <c r="S313" s="118"/>
      <c r="U313" s="118"/>
      <c r="W313" s="118"/>
      <c r="Y313" s="118"/>
      <c r="AA313" s="118"/>
      <c r="AC313" s="118"/>
      <c r="AE313" s="118"/>
      <c r="AF313" s="119"/>
    </row>
    <row r="314" spans="1:32" x14ac:dyDescent="0.3">
      <c r="A314" s="118"/>
      <c r="C314" s="118"/>
      <c r="E314" s="118"/>
      <c r="G314" s="118"/>
      <c r="I314" s="118"/>
      <c r="J314" s="119"/>
      <c r="M314" s="118"/>
      <c r="O314" s="118"/>
      <c r="Q314" s="118"/>
      <c r="S314" s="118"/>
      <c r="U314" s="118"/>
      <c r="W314" s="118"/>
      <c r="Y314" s="118"/>
      <c r="AA314" s="118"/>
      <c r="AC314" s="118"/>
      <c r="AE314" s="118"/>
      <c r="AF314" s="119"/>
    </row>
    <row r="315" spans="1:32" x14ac:dyDescent="0.3">
      <c r="A315" s="118"/>
      <c r="C315" s="118"/>
      <c r="E315" s="118"/>
      <c r="G315" s="118"/>
      <c r="I315" s="118"/>
      <c r="J315" s="119"/>
      <c r="M315" s="118"/>
      <c r="O315" s="118"/>
      <c r="Q315" s="118"/>
      <c r="S315" s="118"/>
      <c r="U315" s="118"/>
      <c r="W315" s="118"/>
      <c r="Y315" s="118"/>
      <c r="AA315" s="118"/>
      <c r="AC315" s="118"/>
      <c r="AE315" s="118"/>
      <c r="AF315" s="119"/>
    </row>
    <row r="316" spans="1:32" x14ac:dyDescent="0.3">
      <c r="A316" s="118"/>
      <c r="C316" s="118"/>
      <c r="E316" s="118"/>
      <c r="G316" s="118"/>
      <c r="I316" s="118"/>
      <c r="J316" s="119"/>
      <c r="M316" s="118"/>
      <c r="O316" s="118"/>
      <c r="Q316" s="118"/>
      <c r="S316" s="118"/>
      <c r="U316" s="118"/>
      <c r="W316" s="118"/>
      <c r="Y316" s="118"/>
      <c r="AA316" s="118"/>
      <c r="AC316" s="118"/>
      <c r="AE316" s="118"/>
      <c r="AF316" s="119"/>
    </row>
    <row r="317" spans="1:32" x14ac:dyDescent="0.3">
      <c r="A317" s="118"/>
      <c r="C317" s="118"/>
      <c r="E317" s="118"/>
      <c r="G317" s="118"/>
      <c r="I317" s="118"/>
      <c r="J317" s="119"/>
      <c r="M317" s="118"/>
      <c r="O317" s="118"/>
      <c r="Q317" s="118"/>
      <c r="S317" s="118"/>
      <c r="U317" s="118"/>
      <c r="W317" s="118"/>
      <c r="Y317" s="118"/>
      <c r="AA317" s="118"/>
      <c r="AC317" s="118"/>
      <c r="AE317" s="118"/>
      <c r="AF317" s="119"/>
    </row>
    <row r="318" spans="1:32" x14ac:dyDescent="0.3">
      <c r="A318" s="118"/>
      <c r="C318" s="118"/>
      <c r="E318" s="118"/>
      <c r="G318" s="118"/>
      <c r="I318" s="118"/>
      <c r="J318" s="119"/>
      <c r="M318" s="118"/>
      <c r="O318" s="118"/>
      <c r="Q318" s="118"/>
      <c r="S318" s="118"/>
      <c r="U318" s="118"/>
      <c r="W318" s="118"/>
      <c r="Y318" s="118"/>
      <c r="AA318" s="118"/>
      <c r="AC318" s="118"/>
      <c r="AE318" s="118"/>
      <c r="AF318" s="119"/>
    </row>
    <row r="319" spans="1:32" x14ac:dyDescent="0.3">
      <c r="A319" s="118"/>
      <c r="C319" s="118"/>
      <c r="E319" s="118"/>
      <c r="G319" s="118"/>
      <c r="I319" s="118"/>
      <c r="J319" s="119"/>
      <c r="M319" s="118"/>
      <c r="O319" s="118"/>
      <c r="Q319" s="118"/>
      <c r="S319" s="118"/>
      <c r="U319" s="118"/>
      <c r="W319" s="118"/>
      <c r="Y319" s="118"/>
      <c r="AA319" s="118"/>
      <c r="AC319" s="118"/>
      <c r="AE319" s="118"/>
      <c r="AF319" s="119"/>
    </row>
    <row r="320" spans="1:32" x14ac:dyDescent="0.3">
      <c r="A320" s="118"/>
      <c r="C320" s="118"/>
      <c r="E320" s="118"/>
      <c r="G320" s="118"/>
      <c r="I320" s="118"/>
      <c r="J320" s="119"/>
      <c r="M320" s="118"/>
      <c r="O320" s="118"/>
      <c r="Q320" s="118"/>
      <c r="S320" s="118"/>
      <c r="U320" s="118"/>
      <c r="W320" s="118"/>
      <c r="Y320" s="118"/>
      <c r="AA320" s="118"/>
      <c r="AC320" s="118"/>
      <c r="AE320" s="118"/>
      <c r="AF320" s="119"/>
    </row>
    <row r="321" spans="1:32" x14ac:dyDescent="0.3">
      <c r="A321" s="118"/>
      <c r="C321" s="118"/>
      <c r="E321" s="118"/>
      <c r="G321" s="118"/>
      <c r="I321" s="118"/>
      <c r="J321" s="119"/>
      <c r="M321" s="118"/>
      <c r="O321" s="118"/>
      <c r="Q321" s="118"/>
      <c r="S321" s="118"/>
      <c r="U321" s="118"/>
      <c r="W321" s="118"/>
      <c r="Y321" s="118"/>
      <c r="AA321" s="118"/>
      <c r="AC321" s="118"/>
      <c r="AE321" s="118"/>
      <c r="AF321" s="119"/>
    </row>
    <row r="322" spans="1:32" x14ac:dyDescent="0.3">
      <c r="A322" s="118"/>
      <c r="C322" s="118"/>
      <c r="E322" s="118"/>
      <c r="G322" s="118"/>
      <c r="I322" s="118"/>
      <c r="J322" s="119"/>
      <c r="M322" s="118"/>
      <c r="O322" s="118"/>
      <c r="Q322" s="118"/>
      <c r="S322" s="118"/>
      <c r="U322" s="118"/>
      <c r="W322" s="118"/>
      <c r="Y322" s="118"/>
      <c r="AA322" s="118"/>
      <c r="AC322" s="118"/>
      <c r="AE322" s="118"/>
      <c r="AF322" s="119"/>
    </row>
    <row r="323" spans="1:32" x14ac:dyDescent="0.3">
      <c r="A323" s="118"/>
      <c r="C323" s="118"/>
      <c r="E323" s="118"/>
      <c r="G323" s="118"/>
      <c r="I323" s="118"/>
      <c r="J323" s="119"/>
      <c r="M323" s="118"/>
      <c r="O323" s="118"/>
      <c r="Q323" s="118"/>
      <c r="S323" s="118"/>
      <c r="U323" s="118"/>
      <c r="W323" s="118"/>
      <c r="Y323" s="118"/>
      <c r="AA323" s="118"/>
      <c r="AC323" s="118"/>
      <c r="AE323" s="118"/>
      <c r="AF323" s="119"/>
    </row>
    <row r="324" spans="1:32" x14ac:dyDescent="0.3">
      <c r="A324" s="118"/>
      <c r="C324" s="118"/>
      <c r="E324" s="118"/>
      <c r="G324" s="118"/>
      <c r="I324" s="118"/>
      <c r="J324" s="119"/>
      <c r="M324" s="118"/>
      <c r="O324" s="118"/>
      <c r="Q324" s="118"/>
      <c r="S324" s="118"/>
      <c r="U324" s="118"/>
      <c r="W324" s="118"/>
      <c r="Y324" s="118"/>
      <c r="AA324" s="118"/>
      <c r="AC324" s="118"/>
      <c r="AE324" s="118"/>
      <c r="AF324" s="119"/>
    </row>
    <row r="325" spans="1:32" x14ac:dyDescent="0.3">
      <c r="A325" s="118"/>
      <c r="C325" s="118"/>
      <c r="E325" s="118"/>
      <c r="G325" s="118"/>
      <c r="I325" s="118"/>
      <c r="J325" s="119"/>
      <c r="M325" s="118"/>
      <c r="O325" s="118"/>
      <c r="Q325" s="118"/>
      <c r="S325" s="118"/>
      <c r="U325" s="118"/>
      <c r="W325" s="118"/>
      <c r="Y325" s="118"/>
      <c r="AA325" s="118"/>
      <c r="AC325" s="118"/>
      <c r="AE325" s="118"/>
      <c r="AF325" s="119"/>
    </row>
    <row r="326" spans="1:32" x14ac:dyDescent="0.3">
      <c r="A326" s="118"/>
      <c r="C326" s="118"/>
      <c r="E326" s="118"/>
      <c r="G326" s="118"/>
      <c r="I326" s="118"/>
      <c r="J326" s="119"/>
      <c r="M326" s="118"/>
      <c r="O326" s="118"/>
      <c r="Q326" s="118"/>
      <c r="S326" s="118"/>
      <c r="U326" s="118"/>
      <c r="W326" s="118"/>
      <c r="Y326" s="118"/>
      <c r="AA326" s="118"/>
      <c r="AC326" s="118"/>
      <c r="AE326" s="118"/>
      <c r="AF326" s="119"/>
    </row>
    <row r="327" spans="1:32" x14ac:dyDescent="0.3">
      <c r="A327" s="118"/>
      <c r="C327" s="118"/>
      <c r="E327" s="118"/>
      <c r="G327" s="118"/>
      <c r="I327" s="118"/>
      <c r="J327" s="119"/>
      <c r="M327" s="118"/>
      <c r="O327" s="118"/>
      <c r="Q327" s="118"/>
      <c r="S327" s="118"/>
      <c r="U327" s="118"/>
      <c r="W327" s="118"/>
      <c r="Y327" s="118"/>
      <c r="AA327" s="118"/>
      <c r="AC327" s="118"/>
      <c r="AE327" s="118"/>
      <c r="AF327" s="119"/>
    </row>
    <row r="328" spans="1:32" x14ac:dyDescent="0.3">
      <c r="A328" s="118"/>
      <c r="C328" s="118"/>
      <c r="E328" s="118"/>
      <c r="G328" s="118"/>
      <c r="I328" s="118"/>
      <c r="J328" s="119"/>
      <c r="M328" s="118"/>
      <c r="O328" s="118"/>
      <c r="Q328" s="118"/>
      <c r="S328" s="118"/>
      <c r="U328" s="118"/>
      <c r="W328" s="118"/>
      <c r="Y328" s="118"/>
      <c r="AA328" s="118"/>
      <c r="AC328" s="118"/>
      <c r="AE328" s="118"/>
      <c r="AF328" s="119"/>
    </row>
    <row r="329" spans="1:32" x14ac:dyDescent="0.3">
      <c r="A329" s="118"/>
      <c r="C329" s="118"/>
      <c r="E329" s="118"/>
      <c r="G329" s="118"/>
      <c r="I329" s="118"/>
      <c r="J329" s="119"/>
      <c r="M329" s="118"/>
      <c r="O329" s="118"/>
      <c r="Q329" s="118"/>
      <c r="S329" s="118"/>
      <c r="U329" s="118"/>
      <c r="W329" s="118"/>
      <c r="Y329" s="118"/>
      <c r="AA329" s="118"/>
      <c r="AC329" s="118"/>
      <c r="AE329" s="118"/>
      <c r="AF329" s="119"/>
    </row>
    <row r="330" spans="1:32" x14ac:dyDescent="0.3">
      <c r="A330" s="118"/>
      <c r="C330" s="118"/>
      <c r="E330" s="118"/>
      <c r="G330" s="118"/>
      <c r="I330" s="118"/>
      <c r="J330" s="119"/>
      <c r="M330" s="118"/>
      <c r="O330" s="118"/>
      <c r="Q330" s="118"/>
      <c r="S330" s="118"/>
      <c r="U330" s="118"/>
      <c r="W330" s="118"/>
      <c r="Y330" s="118"/>
      <c r="AA330" s="118"/>
      <c r="AC330" s="118"/>
      <c r="AE330" s="118"/>
      <c r="AF330" s="119"/>
    </row>
    <row r="331" spans="1:32" x14ac:dyDescent="0.3">
      <c r="A331" s="118"/>
      <c r="C331" s="118"/>
      <c r="E331" s="118"/>
      <c r="G331" s="118"/>
      <c r="I331" s="118"/>
      <c r="J331" s="119"/>
      <c r="M331" s="118"/>
      <c r="O331" s="118"/>
      <c r="Q331" s="118"/>
      <c r="S331" s="118"/>
      <c r="U331" s="118"/>
      <c r="W331" s="118"/>
      <c r="Y331" s="118"/>
      <c r="AA331" s="118"/>
      <c r="AC331" s="118"/>
      <c r="AE331" s="118"/>
      <c r="AF331" s="119"/>
    </row>
    <row r="332" spans="1:32" x14ac:dyDescent="0.3">
      <c r="A332" s="118"/>
      <c r="C332" s="118"/>
      <c r="E332" s="118"/>
      <c r="G332" s="118"/>
      <c r="I332" s="118"/>
      <c r="J332" s="119"/>
      <c r="M332" s="118"/>
      <c r="O332" s="118"/>
      <c r="Q332" s="118"/>
      <c r="S332" s="118"/>
      <c r="U332" s="118"/>
      <c r="W332" s="118"/>
      <c r="Y332" s="118"/>
      <c r="AA332" s="118"/>
      <c r="AC332" s="118"/>
      <c r="AE332" s="118"/>
      <c r="AF332" s="119"/>
    </row>
    <row r="333" spans="1:32" x14ac:dyDescent="0.3">
      <c r="A333" s="118"/>
      <c r="C333" s="118"/>
      <c r="E333" s="118"/>
      <c r="G333" s="118"/>
      <c r="I333" s="118"/>
      <c r="J333" s="119"/>
      <c r="M333" s="118"/>
      <c r="O333" s="118"/>
      <c r="Q333" s="118"/>
      <c r="S333" s="118"/>
      <c r="U333" s="118"/>
      <c r="W333" s="118"/>
      <c r="Y333" s="118"/>
      <c r="AA333" s="118"/>
      <c r="AC333" s="118"/>
      <c r="AE333" s="118"/>
      <c r="AF333" s="119"/>
    </row>
    <row r="334" spans="1:32" x14ac:dyDescent="0.3">
      <c r="A334" s="118"/>
      <c r="C334" s="118"/>
      <c r="E334" s="118"/>
      <c r="G334" s="118"/>
      <c r="I334" s="118"/>
      <c r="J334" s="119"/>
      <c r="M334" s="118"/>
      <c r="O334" s="118"/>
      <c r="Q334" s="118"/>
      <c r="S334" s="118"/>
      <c r="U334" s="118"/>
      <c r="W334" s="118"/>
      <c r="Y334" s="118"/>
      <c r="AA334" s="118"/>
      <c r="AC334" s="118"/>
      <c r="AE334" s="118"/>
      <c r="AF334" s="119"/>
    </row>
    <row r="335" spans="1:32" x14ac:dyDescent="0.3">
      <c r="A335" s="118"/>
      <c r="C335" s="118"/>
      <c r="E335" s="118"/>
      <c r="G335" s="118"/>
      <c r="I335" s="118"/>
      <c r="J335" s="119"/>
      <c r="M335" s="118"/>
      <c r="O335" s="118"/>
      <c r="Q335" s="118"/>
      <c r="S335" s="118"/>
      <c r="U335" s="118"/>
      <c r="W335" s="118"/>
      <c r="Y335" s="118"/>
      <c r="AA335" s="118"/>
      <c r="AC335" s="118"/>
      <c r="AE335" s="118"/>
      <c r="AF335" s="119"/>
    </row>
    <row r="336" spans="1:32" x14ac:dyDescent="0.3">
      <c r="A336" s="118"/>
      <c r="C336" s="118"/>
      <c r="E336" s="118"/>
      <c r="G336" s="118"/>
      <c r="I336" s="118"/>
      <c r="J336" s="119"/>
      <c r="M336" s="118"/>
      <c r="O336" s="118"/>
      <c r="Q336" s="118"/>
      <c r="S336" s="118"/>
      <c r="U336" s="118"/>
      <c r="W336" s="118"/>
      <c r="Y336" s="118"/>
      <c r="AA336" s="118"/>
      <c r="AC336" s="118"/>
      <c r="AE336" s="118"/>
      <c r="AF336" s="119"/>
    </row>
    <row r="337" spans="1:32" x14ac:dyDescent="0.3">
      <c r="A337" s="118"/>
      <c r="C337" s="118"/>
      <c r="E337" s="118"/>
      <c r="G337" s="118"/>
      <c r="I337" s="118"/>
      <c r="J337" s="119"/>
      <c r="M337" s="118"/>
      <c r="O337" s="118"/>
      <c r="Q337" s="118"/>
      <c r="S337" s="118"/>
      <c r="U337" s="118"/>
      <c r="W337" s="118"/>
      <c r="Y337" s="118"/>
      <c r="AA337" s="118"/>
      <c r="AC337" s="118"/>
      <c r="AE337" s="118"/>
      <c r="AF337" s="119"/>
    </row>
    <row r="338" spans="1:32" x14ac:dyDescent="0.3">
      <c r="A338" s="118"/>
      <c r="C338" s="118"/>
      <c r="E338" s="118"/>
      <c r="G338" s="118"/>
      <c r="I338" s="118"/>
      <c r="J338" s="119"/>
      <c r="M338" s="118"/>
      <c r="O338" s="118"/>
      <c r="Q338" s="118"/>
      <c r="S338" s="118"/>
      <c r="U338" s="118"/>
      <c r="W338" s="118"/>
      <c r="Y338" s="118"/>
      <c r="AA338" s="118"/>
      <c r="AC338" s="118"/>
      <c r="AE338" s="118"/>
      <c r="AF338" s="119"/>
    </row>
    <row r="339" spans="1:32" x14ac:dyDescent="0.3">
      <c r="A339" s="118"/>
      <c r="C339" s="118"/>
      <c r="E339" s="118"/>
      <c r="G339" s="118"/>
      <c r="I339" s="118"/>
      <c r="J339" s="119"/>
      <c r="M339" s="118"/>
      <c r="O339" s="118"/>
      <c r="Q339" s="118"/>
      <c r="S339" s="118"/>
      <c r="U339" s="118"/>
      <c r="W339" s="118"/>
      <c r="Y339" s="118"/>
      <c r="AA339" s="118"/>
      <c r="AC339" s="118"/>
      <c r="AE339" s="118"/>
      <c r="AF339" s="119"/>
    </row>
    <row r="340" spans="1:32" x14ac:dyDescent="0.3">
      <c r="A340" s="118"/>
      <c r="C340" s="118"/>
      <c r="E340" s="118"/>
      <c r="G340" s="118"/>
      <c r="I340" s="118"/>
      <c r="J340" s="119"/>
      <c r="M340" s="118"/>
      <c r="O340" s="118"/>
      <c r="Q340" s="118"/>
      <c r="S340" s="118"/>
      <c r="U340" s="118"/>
      <c r="W340" s="118"/>
      <c r="Y340" s="118"/>
      <c r="AA340" s="118"/>
      <c r="AC340" s="118"/>
      <c r="AE340" s="118"/>
      <c r="AF340" s="119"/>
    </row>
    <row r="341" spans="1:32" x14ac:dyDescent="0.3">
      <c r="A341" s="118"/>
      <c r="C341" s="118"/>
      <c r="E341" s="118"/>
      <c r="G341" s="118"/>
      <c r="I341" s="118"/>
      <c r="J341" s="119"/>
      <c r="M341" s="118"/>
      <c r="O341" s="118"/>
      <c r="Q341" s="118"/>
      <c r="S341" s="118"/>
      <c r="U341" s="118"/>
      <c r="W341" s="118"/>
      <c r="Y341" s="118"/>
      <c r="AA341" s="118"/>
      <c r="AC341" s="118"/>
      <c r="AE341" s="118"/>
      <c r="AF341" s="119"/>
    </row>
    <row r="342" spans="1:32" x14ac:dyDescent="0.3">
      <c r="A342" s="118"/>
      <c r="C342" s="118"/>
      <c r="E342" s="118"/>
      <c r="G342" s="118"/>
      <c r="I342" s="118"/>
      <c r="J342" s="119"/>
      <c r="M342" s="118"/>
      <c r="O342" s="118"/>
      <c r="Q342" s="118"/>
      <c r="S342" s="118"/>
      <c r="U342" s="118"/>
      <c r="W342" s="118"/>
      <c r="Y342" s="118"/>
      <c r="AA342" s="118"/>
      <c r="AC342" s="118"/>
      <c r="AE342" s="118"/>
      <c r="AF342" s="119"/>
    </row>
    <row r="343" spans="1:32" x14ac:dyDescent="0.3">
      <c r="A343" s="118"/>
      <c r="C343" s="118"/>
      <c r="E343" s="118"/>
      <c r="G343" s="118"/>
      <c r="I343" s="118"/>
      <c r="J343" s="119"/>
      <c r="M343" s="118"/>
      <c r="O343" s="118"/>
      <c r="Q343" s="118"/>
      <c r="S343" s="118"/>
      <c r="U343" s="118"/>
      <c r="W343" s="118"/>
      <c r="Y343" s="118"/>
      <c r="AA343" s="118"/>
      <c r="AC343" s="118"/>
      <c r="AE343" s="118"/>
      <c r="AF343" s="119"/>
    </row>
    <row r="344" spans="1:32" x14ac:dyDescent="0.3">
      <c r="A344" s="118"/>
      <c r="C344" s="118"/>
      <c r="E344" s="118"/>
      <c r="G344" s="118"/>
      <c r="I344" s="118"/>
      <c r="J344" s="119"/>
      <c r="M344" s="118"/>
      <c r="O344" s="118"/>
      <c r="Q344" s="118"/>
      <c r="S344" s="118"/>
      <c r="U344" s="118"/>
      <c r="W344" s="118"/>
      <c r="Y344" s="118"/>
      <c r="AA344" s="118"/>
      <c r="AC344" s="118"/>
      <c r="AE344" s="118"/>
      <c r="AF344" s="119"/>
    </row>
    <row r="345" spans="1:32" x14ac:dyDescent="0.3">
      <c r="A345" s="118"/>
      <c r="C345" s="118"/>
      <c r="E345" s="118"/>
      <c r="G345" s="118"/>
      <c r="I345" s="118"/>
      <c r="J345" s="119"/>
      <c r="M345" s="118"/>
      <c r="O345" s="118"/>
      <c r="Q345" s="118"/>
      <c r="S345" s="118"/>
      <c r="U345" s="118"/>
      <c r="W345" s="118"/>
      <c r="Y345" s="118"/>
      <c r="AA345" s="118"/>
      <c r="AC345" s="118"/>
      <c r="AE345" s="118"/>
      <c r="AF345" s="119"/>
    </row>
    <row r="346" spans="1:32" x14ac:dyDescent="0.3">
      <c r="A346" s="118"/>
      <c r="C346" s="118"/>
      <c r="E346" s="118"/>
      <c r="G346" s="118"/>
      <c r="I346" s="118"/>
      <c r="J346" s="119"/>
      <c r="M346" s="118"/>
      <c r="O346" s="118"/>
      <c r="Q346" s="118"/>
      <c r="S346" s="118"/>
      <c r="U346" s="118"/>
      <c r="W346" s="118"/>
      <c r="Y346" s="118"/>
      <c r="AA346" s="118"/>
      <c r="AC346" s="118"/>
      <c r="AE346" s="118"/>
      <c r="AF346" s="119"/>
    </row>
    <row r="347" spans="1:32" x14ac:dyDescent="0.3">
      <c r="A347" s="118"/>
      <c r="C347" s="118"/>
      <c r="E347" s="118"/>
      <c r="G347" s="118"/>
      <c r="I347" s="118"/>
      <c r="J347" s="119"/>
      <c r="M347" s="118"/>
      <c r="O347" s="118"/>
      <c r="Q347" s="118"/>
      <c r="S347" s="118"/>
      <c r="U347" s="118"/>
      <c r="W347" s="118"/>
      <c r="Y347" s="118"/>
      <c r="AA347" s="118"/>
      <c r="AC347" s="118"/>
      <c r="AE347" s="118"/>
      <c r="AF347" s="119"/>
    </row>
    <row r="348" spans="1:32" x14ac:dyDescent="0.3">
      <c r="A348" s="118"/>
      <c r="C348" s="118"/>
      <c r="E348" s="118"/>
      <c r="G348" s="118"/>
      <c r="I348" s="118"/>
      <c r="J348" s="119"/>
      <c r="M348" s="118"/>
      <c r="O348" s="118"/>
      <c r="Q348" s="118"/>
      <c r="S348" s="118"/>
      <c r="U348" s="118"/>
      <c r="W348" s="118"/>
      <c r="Y348" s="118"/>
      <c r="AA348" s="118"/>
      <c r="AC348" s="118"/>
      <c r="AE348" s="118"/>
      <c r="AF348" s="119"/>
    </row>
    <row r="349" spans="1:32" x14ac:dyDescent="0.3">
      <c r="A349" s="118"/>
      <c r="C349" s="118"/>
      <c r="E349" s="118"/>
      <c r="G349" s="118"/>
      <c r="I349" s="118"/>
      <c r="J349" s="119"/>
      <c r="M349" s="118"/>
      <c r="O349" s="118"/>
      <c r="Q349" s="118"/>
      <c r="S349" s="118"/>
      <c r="U349" s="118"/>
      <c r="W349" s="118"/>
      <c r="Y349" s="118"/>
      <c r="AA349" s="118"/>
      <c r="AC349" s="118"/>
      <c r="AE349" s="118"/>
      <c r="AF349" s="119"/>
    </row>
    <row r="350" spans="1:32" x14ac:dyDescent="0.3">
      <c r="A350" s="118"/>
      <c r="C350" s="118"/>
      <c r="E350" s="118"/>
      <c r="G350" s="118"/>
      <c r="I350" s="118"/>
      <c r="J350" s="119"/>
      <c r="M350" s="118"/>
      <c r="O350" s="118"/>
      <c r="Q350" s="118"/>
      <c r="S350" s="118"/>
      <c r="U350" s="118"/>
      <c r="W350" s="118"/>
      <c r="Y350" s="118"/>
      <c r="AA350" s="118"/>
      <c r="AC350" s="118"/>
      <c r="AE350" s="118"/>
      <c r="AF350" s="119"/>
    </row>
    <row r="351" spans="1:32" x14ac:dyDescent="0.3">
      <c r="A351" s="118"/>
      <c r="C351" s="118"/>
      <c r="E351" s="118"/>
      <c r="G351" s="118"/>
      <c r="I351" s="118"/>
      <c r="J351" s="119"/>
      <c r="M351" s="118"/>
      <c r="O351" s="118"/>
      <c r="Q351" s="118"/>
      <c r="S351" s="118"/>
      <c r="U351" s="118"/>
      <c r="W351" s="118"/>
      <c r="Y351" s="118"/>
      <c r="AA351" s="118"/>
      <c r="AC351" s="118"/>
      <c r="AE351" s="118"/>
      <c r="AF351" s="119"/>
    </row>
    <row r="352" spans="1:32" x14ac:dyDescent="0.3">
      <c r="A352" s="118"/>
      <c r="C352" s="118"/>
      <c r="E352" s="118"/>
      <c r="G352" s="118"/>
      <c r="I352" s="118"/>
      <c r="J352" s="119"/>
      <c r="M352" s="118"/>
      <c r="O352" s="118"/>
      <c r="Q352" s="118"/>
      <c r="S352" s="118"/>
      <c r="U352" s="118"/>
      <c r="W352" s="118"/>
      <c r="Y352" s="118"/>
      <c r="AA352" s="118"/>
      <c r="AC352" s="118"/>
      <c r="AE352" s="118"/>
      <c r="AF352" s="119"/>
    </row>
    <row r="353" spans="1:32" x14ac:dyDescent="0.3">
      <c r="A353" s="118"/>
      <c r="C353" s="118"/>
      <c r="E353" s="118"/>
      <c r="G353" s="118"/>
      <c r="I353" s="118"/>
      <c r="J353" s="119"/>
      <c r="M353" s="118"/>
      <c r="O353" s="118"/>
      <c r="Q353" s="118"/>
      <c r="S353" s="118"/>
      <c r="U353" s="118"/>
      <c r="W353" s="118"/>
      <c r="Y353" s="118"/>
      <c r="AA353" s="118"/>
      <c r="AC353" s="118"/>
      <c r="AE353" s="118"/>
      <c r="AF353" s="119"/>
    </row>
    <row r="354" spans="1:32" x14ac:dyDescent="0.3">
      <c r="A354" s="118"/>
      <c r="C354" s="118"/>
      <c r="E354" s="118"/>
      <c r="G354" s="118"/>
      <c r="I354" s="118"/>
      <c r="J354" s="119"/>
      <c r="M354" s="118"/>
      <c r="O354" s="118"/>
      <c r="Q354" s="118"/>
      <c r="S354" s="118"/>
      <c r="U354" s="118"/>
      <c r="W354" s="118"/>
      <c r="Y354" s="118"/>
      <c r="AA354" s="118"/>
      <c r="AC354" s="118"/>
      <c r="AE354" s="118"/>
      <c r="AF354" s="119"/>
    </row>
    <row r="355" spans="1:32" x14ac:dyDescent="0.3">
      <c r="A355" s="118"/>
      <c r="C355" s="118"/>
      <c r="E355" s="118"/>
      <c r="G355" s="118"/>
      <c r="I355" s="118"/>
      <c r="J355" s="119"/>
      <c r="M355" s="118"/>
      <c r="O355" s="118"/>
      <c r="Q355" s="118"/>
      <c r="S355" s="118"/>
      <c r="U355" s="118"/>
      <c r="W355" s="118"/>
      <c r="Y355" s="118"/>
      <c r="AA355" s="118"/>
      <c r="AC355" s="118"/>
      <c r="AE355" s="118"/>
      <c r="AF355" s="119"/>
    </row>
    <row r="356" spans="1:32" x14ac:dyDescent="0.3">
      <c r="A356" s="118"/>
      <c r="C356" s="118"/>
      <c r="E356" s="118"/>
      <c r="G356" s="118"/>
      <c r="I356" s="118"/>
      <c r="J356" s="119"/>
      <c r="M356" s="118"/>
      <c r="O356" s="118"/>
      <c r="Q356" s="118"/>
      <c r="S356" s="118"/>
      <c r="U356" s="118"/>
      <c r="W356" s="118"/>
      <c r="Y356" s="118"/>
      <c r="AA356" s="118"/>
      <c r="AC356" s="118"/>
      <c r="AE356" s="118"/>
      <c r="AF356" s="119"/>
    </row>
    <row r="357" spans="1:32" x14ac:dyDescent="0.3">
      <c r="A357" s="118"/>
      <c r="C357" s="118"/>
      <c r="E357" s="118"/>
      <c r="G357" s="118"/>
      <c r="I357" s="118"/>
      <c r="J357" s="119"/>
      <c r="M357" s="118"/>
      <c r="O357" s="118"/>
      <c r="Q357" s="118"/>
      <c r="S357" s="118"/>
      <c r="U357" s="118"/>
      <c r="W357" s="118"/>
      <c r="Y357" s="118"/>
      <c r="AA357" s="118"/>
      <c r="AC357" s="118"/>
      <c r="AE357" s="118"/>
      <c r="AF357" s="119"/>
    </row>
    <row r="358" spans="1:32" x14ac:dyDescent="0.3">
      <c r="A358" s="118"/>
      <c r="C358" s="118"/>
      <c r="E358" s="118"/>
      <c r="G358" s="118"/>
      <c r="I358" s="118"/>
      <c r="J358" s="119"/>
      <c r="M358" s="118"/>
      <c r="O358" s="118"/>
      <c r="Q358" s="118"/>
      <c r="S358" s="118"/>
      <c r="U358" s="118"/>
      <c r="W358" s="118"/>
      <c r="Y358" s="118"/>
      <c r="AA358" s="118"/>
      <c r="AC358" s="118"/>
      <c r="AE358" s="118"/>
      <c r="AF358" s="119"/>
    </row>
    <row r="359" spans="1:32" x14ac:dyDescent="0.3">
      <c r="A359" s="118"/>
      <c r="C359" s="118"/>
      <c r="E359" s="118"/>
      <c r="G359" s="118"/>
      <c r="I359" s="118"/>
      <c r="J359" s="119"/>
      <c r="M359" s="118"/>
      <c r="O359" s="118"/>
      <c r="Q359" s="118"/>
      <c r="S359" s="118"/>
      <c r="U359" s="118"/>
      <c r="W359" s="118"/>
      <c r="Y359" s="118"/>
      <c r="AA359" s="118"/>
      <c r="AC359" s="118"/>
      <c r="AE359" s="118"/>
      <c r="AF359" s="119"/>
    </row>
    <row r="360" spans="1:32" x14ac:dyDescent="0.3">
      <c r="A360" s="118"/>
      <c r="C360" s="118"/>
      <c r="E360" s="118"/>
      <c r="G360" s="118"/>
      <c r="I360" s="118"/>
      <c r="J360" s="119"/>
      <c r="M360" s="118"/>
      <c r="O360" s="118"/>
      <c r="Q360" s="118"/>
      <c r="S360" s="118"/>
      <c r="U360" s="118"/>
      <c r="W360" s="118"/>
      <c r="Y360" s="118"/>
      <c r="AA360" s="118"/>
      <c r="AC360" s="118"/>
      <c r="AE360" s="118"/>
      <c r="AF360" s="119"/>
    </row>
    <row r="361" spans="1:32" x14ac:dyDescent="0.3">
      <c r="A361" s="118"/>
      <c r="C361" s="118"/>
      <c r="E361" s="118"/>
      <c r="G361" s="118"/>
      <c r="I361" s="118"/>
      <c r="J361" s="119"/>
      <c r="M361" s="118"/>
      <c r="O361" s="118"/>
      <c r="Q361" s="118"/>
      <c r="S361" s="118"/>
      <c r="U361" s="118"/>
      <c r="W361" s="118"/>
      <c r="Y361" s="118"/>
      <c r="AA361" s="118"/>
      <c r="AC361" s="118"/>
      <c r="AE361" s="118"/>
      <c r="AF361" s="119"/>
    </row>
    <row r="362" spans="1:32" x14ac:dyDescent="0.3">
      <c r="A362" s="118"/>
      <c r="C362" s="118"/>
      <c r="E362" s="118"/>
      <c r="G362" s="118"/>
      <c r="I362" s="118"/>
      <c r="J362" s="119"/>
      <c r="M362" s="118"/>
      <c r="O362" s="118"/>
      <c r="Q362" s="118"/>
      <c r="S362" s="118"/>
      <c r="U362" s="118"/>
      <c r="W362" s="118"/>
      <c r="Y362" s="118"/>
      <c r="AA362" s="118"/>
      <c r="AC362" s="118"/>
      <c r="AE362" s="118"/>
      <c r="AF362" s="119"/>
    </row>
    <row r="363" spans="1:32" x14ac:dyDescent="0.3">
      <c r="A363" s="118"/>
      <c r="C363" s="118"/>
      <c r="E363" s="118"/>
      <c r="G363" s="118"/>
      <c r="I363" s="118"/>
      <c r="J363" s="119"/>
      <c r="M363" s="118"/>
      <c r="O363" s="118"/>
      <c r="Q363" s="118"/>
      <c r="S363" s="118"/>
      <c r="U363" s="118"/>
      <c r="W363" s="118"/>
      <c r="Y363" s="118"/>
      <c r="AA363" s="118"/>
      <c r="AC363" s="118"/>
      <c r="AE363" s="118"/>
      <c r="AF363" s="119"/>
    </row>
    <row r="364" spans="1:32" x14ac:dyDescent="0.3">
      <c r="A364" s="118"/>
      <c r="C364" s="118"/>
      <c r="E364" s="118"/>
      <c r="G364" s="118"/>
      <c r="I364" s="118"/>
      <c r="J364" s="119"/>
      <c r="M364" s="118"/>
      <c r="O364" s="118"/>
      <c r="Q364" s="118"/>
      <c r="S364" s="118"/>
      <c r="U364" s="118"/>
      <c r="W364" s="118"/>
      <c r="Y364" s="118"/>
      <c r="AA364" s="118"/>
      <c r="AC364" s="118"/>
      <c r="AE364" s="118"/>
      <c r="AF364" s="119"/>
    </row>
    <row r="365" spans="1:32" x14ac:dyDescent="0.3">
      <c r="A365" s="118"/>
      <c r="C365" s="118"/>
      <c r="E365" s="118"/>
      <c r="G365" s="118"/>
      <c r="I365" s="118"/>
      <c r="J365" s="119"/>
      <c r="M365" s="118"/>
      <c r="O365" s="118"/>
      <c r="Q365" s="118"/>
      <c r="S365" s="118"/>
      <c r="U365" s="118"/>
      <c r="W365" s="118"/>
      <c r="Y365" s="118"/>
      <c r="AA365" s="118"/>
      <c r="AC365" s="118"/>
      <c r="AE365" s="118"/>
      <c r="AF365" s="119"/>
    </row>
    <row r="366" spans="1:32" x14ac:dyDescent="0.3">
      <c r="A366" s="118"/>
      <c r="C366" s="118"/>
      <c r="E366" s="118"/>
      <c r="G366" s="118"/>
      <c r="I366" s="118"/>
      <c r="J366" s="119"/>
      <c r="M366" s="118"/>
      <c r="O366" s="118"/>
      <c r="Q366" s="118"/>
      <c r="S366" s="118"/>
      <c r="U366" s="118"/>
      <c r="W366" s="118"/>
      <c r="Y366" s="118"/>
      <c r="AA366" s="118"/>
      <c r="AC366" s="118"/>
      <c r="AE366" s="118"/>
      <c r="AF366" s="119"/>
    </row>
    <row r="367" spans="1:32" x14ac:dyDescent="0.3">
      <c r="A367" s="118"/>
      <c r="C367" s="118"/>
      <c r="E367" s="118"/>
      <c r="G367" s="118"/>
      <c r="I367" s="118"/>
      <c r="J367" s="119"/>
      <c r="M367" s="118"/>
      <c r="O367" s="118"/>
      <c r="Q367" s="118"/>
      <c r="S367" s="118"/>
      <c r="U367" s="118"/>
      <c r="W367" s="118"/>
      <c r="Y367" s="118"/>
      <c r="AA367" s="118"/>
      <c r="AC367" s="118"/>
      <c r="AE367" s="118"/>
      <c r="AF367" s="119"/>
    </row>
    <row r="368" spans="1:32" x14ac:dyDescent="0.3">
      <c r="A368" s="118"/>
      <c r="C368" s="118"/>
      <c r="E368" s="118"/>
      <c r="G368" s="118"/>
      <c r="I368" s="118"/>
      <c r="J368" s="119"/>
      <c r="M368" s="118"/>
      <c r="O368" s="118"/>
      <c r="Q368" s="118"/>
      <c r="S368" s="118"/>
      <c r="U368" s="118"/>
      <c r="W368" s="118"/>
      <c r="Y368" s="118"/>
      <c r="AA368" s="118"/>
      <c r="AC368" s="118"/>
      <c r="AE368" s="118"/>
      <c r="AF368" s="119"/>
    </row>
    <row r="369" spans="1:32" x14ac:dyDescent="0.3">
      <c r="A369" s="118"/>
      <c r="C369" s="118"/>
      <c r="E369" s="118"/>
      <c r="G369" s="118"/>
      <c r="I369" s="118"/>
      <c r="J369" s="119"/>
      <c r="M369" s="118"/>
      <c r="O369" s="118"/>
      <c r="Q369" s="118"/>
      <c r="S369" s="118"/>
      <c r="U369" s="118"/>
      <c r="W369" s="118"/>
      <c r="Y369" s="118"/>
      <c r="AA369" s="118"/>
      <c r="AC369" s="118"/>
      <c r="AE369" s="118"/>
      <c r="AF369" s="119"/>
    </row>
    <row r="370" spans="1:32" x14ac:dyDescent="0.3">
      <c r="A370" s="118"/>
      <c r="C370" s="118"/>
      <c r="E370" s="118"/>
      <c r="G370" s="118"/>
      <c r="I370" s="118"/>
      <c r="J370" s="119"/>
      <c r="M370" s="118"/>
      <c r="O370" s="118"/>
      <c r="Q370" s="118"/>
      <c r="S370" s="118"/>
      <c r="U370" s="118"/>
      <c r="W370" s="118"/>
      <c r="Y370" s="118"/>
      <c r="AA370" s="118"/>
      <c r="AC370" s="118"/>
      <c r="AE370" s="118"/>
      <c r="AF370" s="119"/>
    </row>
    <row r="371" spans="1:32" x14ac:dyDescent="0.3">
      <c r="A371" s="118"/>
      <c r="C371" s="118"/>
      <c r="E371" s="118"/>
      <c r="G371" s="118"/>
      <c r="I371" s="118"/>
      <c r="J371" s="119"/>
      <c r="M371" s="118"/>
      <c r="O371" s="118"/>
      <c r="Q371" s="118"/>
      <c r="S371" s="118"/>
      <c r="U371" s="118"/>
      <c r="W371" s="118"/>
      <c r="Y371" s="118"/>
      <c r="AA371" s="118"/>
      <c r="AC371" s="118"/>
      <c r="AE371" s="118"/>
      <c r="AF371" s="119"/>
    </row>
    <row r="372" spans="1:32" x14ac:dyDescent="0.3">
      <c r="A372" s="118"/>
      <c r="C372" s="118"/>
      <c r="E372" s="118"/>
      <c r="G372" s="118"/>
      <c r="I372" s="118"/>
      <c r="J372" s="119"/>
      <c r="M372" s="118"/>
      <c r="O372" s="118"/>
      <c r="Q372" s="118"/>
      <c r="S372" s="118"/>
      <c r="U372" s="118"/>
      <c r="W372" s="118"/>
      <c r="Y372" s="118"/>
      <c r="AA372" s="118"/>
      <c r="AC372" s="118"/>
      <c r="AE372" s="118"/>
      <c r="AF372" s="119"/>
    </row>
    <row r="373" spans="1:32" x14ac:dyDescent="0.3">
      <c r="A373" s="118"/>
      <c r="C373" s="118"/>
      <c r="E373" s="118"/>
      <c r="G373" s="118"/>
      <c r="I373" s="118"/>
      <c r="J373" s="119"/>
      <c r="M373" s="118"/>
      <c r="O373" s="118"/>
      <c r="Q373" s="118"/>
      <c r="S373" s="118"/>
      <c r="U373" s="118"/>
      <c r="W373" s="118"/>
      <c r="Y373" s="118"/>
      <c r="AA373" s="118"/>
      <c r="AC373" s="118"/>
      <c r="AE373" s="118"/>
      <c r="AF373" s="119"/>
    </row>
    <row r="374" spans="1:32" x14ac:dyDescent="0.3">
      <c r="A374" s="118"/>
      <c r="C374" s="118"/>
      <c r="E374" s="118"/>
      <c r="G374" s="118"/>
      <c r="I374" s="118"/>
      <c r="J374" s="119"/>
      <c r="M374" s="118"/>
      <c r="O374" s="118"/>
      <c r="Q374" s="118"/>
      <c r="S374" s="118"/>
      <c r="U374" s="118"/>
      <c r="W374" s="118"/>
      <c r="Y374" s="118"/>
      <c r="AA374" s="118"/>
      <c r="AC374" s="118"/>
      <c r="AE374" s="118"/>
      <c r="AF374" s="119"/>
    </row>
    <row r="375" spans="1:32" x14ac:dyDescent="0.3">
      <c r="A375" s="118"/>
      <c r="C375" s="118"/>
      <c r="E375" s="118"/>
      <c r="G375" s="118"/>
      <c r="I375" s="118"/>
      <c r="J375" s="119"/>
      <c r="M375" s="118"/>
      <c r="O375" s="118"/>
      <c r="Q375" s="118"/>
      <c r="S375" s="118"/>
      <c r="U375" s="118"/>
      <c r="W375" s="118"/>
      <c r="Y375" s="118"/>
      <c r="AA375" s="118"/>
      <c r="AC375" s="118"/>
      <c r="AE375" s="118"/>
      <c r="AF375" s="119"/>
    </row>
    <row r="376" spans="1:32" x14ac:dyDescent="0.3">
      <c r="A376" s="118"/>
      <c r="C376" s="118"/>
      <c r="E376" s="118"/>
      <c r="G376" s="118"/>
      <c r="I376" s="118"/>
      <c r="J376" s="119"/>
      <c r="M376" s="118"/>
      <c r="O376" s="118"/>
      <c r="Q376" s="118"/>
      <c r="S376" s="118"/>
      <c r="U376" s="118"/>
      <c r="W376" s="118"/>
      <c r="Y376" s="118"/>
      <c r="AA376" s="118"/>
      <c r="AC376" s="118"/>
      <c r="AE376" s="118"/>
      <c r="AF376" s="119"/>
    </row>
    <row r="377" spans="1:32" x14ac:dyDescent="0.3">
      <c r="A377" s="118"/>
      <c r="C377" s="118"/>
      <c r="E377" s="118"/>
      <c r="G377" s="118"/>
      <c r="I377" s="118"/>
      <c r="J377" s="119"/>
      <c r="M377" s="118"/>
      <c r="O377" s="118"/>
      <c r="Q377" s="118"/>
      <c r="S377" s="118"/>
      <c r="U377" s="118"/>
      <c r="W377" s="118"/>
      <c r="Y377" s="118"/>
      <c r="AA377" s="118"/>
      <c r="AC377" s="118"/>
      <c r="AE377" s="118"/>
      <c r="AF377" s="119"/>
    </row>
    <row r="378" spans="1:32" x14ac:dyDescent="0.3">
      <c r="A378" s="118"/>
      <c r="C378" s="118"/>
      <c r="E378" s="118"/>
      <c r="G378" s="118"/>
      <c r="I378" s="118"/>
      <c r="J378" s="119"/>
      <c r="M378" s="118"/>
      <c r="O378" s="118"/>
      <c r="Q378" s="118"/>
      <c r="S378" s="118"/>
      <c r="U378" s="118"/>
      <c r="W378" s="118"/>
      <c r="Y378" s="118"/>
      <c r="AA378" s="118"/>
      <c r="AC378" s="118"/>
      <c r="AE378" s="118"/>
      <c r="AF378" s="119"/>
    </row>
    <row r="379" spans="1:32" x14ac:dyDescent="0.3">
      <c r="A379" s="118"/>
      <c r="C379" s="118"/>
      <c r="E379" s="118"/>
      <c r="G379" s="118"/>
      <c r="I379" s="118"/>
      <c r="J379" s="119"/>
      <c r="M379" s="118"/>
      <c r="O379" s="118"/>
      <c r="Q379" s="118"/>
      <c r="S379" s="118"/>
      <c r="U379" s="118"/>
      <c r="W379" s="118"/>
      <c r="Y379" s="118"/>
      <c r="AA379" s="118"/>
      <c r="AC379" s="118"/>
      <c r="AE379" s="118"/>
      <c r="AF379" s="119"/>
    </row>
    <row r="380" spans="1:32" x14ac:dyDescent="0.3">
      <c r="A380" s="118"/>
      <c r="C380" s="118"/>
      <c r="E380" s="118"/>
      <c r="G380" s="118"/>
      <c r="I380" s="118"/>
      <c r="J380" s="119"/>
      <c r="M380" s="118"/>
      <c r="O380" s="118"/>
      <c r="Q380" s="118"/>
      <c r="S380" s="118"/>
      <c r="U380" s="118"/>
      <c r="W380" s="118"/>
      <c r="Y380" s="118"/>
      <c r="AA380" s="118"/>
      <c r="AC380" s="118"/>
      <c r="AE380" s="118"/>
      <c r="AF380" s="119"/>
    </row>
    <row r="381" spans="1:32" x14ac:dyDescent="0.3">
      <c r="A381" s="118"/>
      <c r="C381" s="118"/>
      <c r="E381" s="118"/>
      <c r="G381" s="118"/>
      <c r="I381" s="118"/>
      <c r="J381" s="119"/>
      <c r="M381" s="118"/>
      <c r="O381" s="118"/>
      <c r="Q381" s="118"/>
      <c r="S381" s="118"/>
      <c r="U381" s="118"/>
      <c r="W381" s="118"/>
      <c r="Y381" s="118"/>
      <c r="AA381" s="118"/>
      <c r="AC381" s="118"/>
      <c r="AE381" s="118"/>
      <c r="AF381" s="119"/>
    </row>
    <row r="382" spans="1:32" x14ac:dyDescent="0.3">
      <c r="A382" s="118"/>
      <c r="C382" s="118"/>
      <c r="E382" s="118"/>
      <c r="G382" s="118"/>
      <c r="I382" s="118"/>
      <c r="J382" s="119"/>
      <c r="M382" s="118"/>
      <c r="O382" s="118"/>
      <c r="Q382" s="118"/>
      <c r="S382" s="118"/>
      <c r="U382" s="118"/>
      <c r="W382" s="118"/>
      <c r="Y382" s="118"/>
      <c r="AA382" s="118"/>
      <c r="AC382" s="118"/>
      <c r="AE382" s="118"/>
      <c r="AF382" s="119"/>
    </row>
    <row r="383" spans="1:32" x14ac:dyDescent="0.3">
      <c r="A383" s="118"/>
      <c r="C383" s="118"/>
      <c r="E383" s="118"/>
      <c r="G383" s="118"/>
      <c r="I383" s="118"/>
      <c r="J383" s="119"/>
      <c r="M383" s="118"/>
      <c r="O383" s="118"/>
      <c r="Q383" s="118"/>
      <c r="S383" s="118"/>
      <c r="U383" s="118"/>
      <c r="W383" s="118"/>
      <c r="Y383" s="118"/>
      <c r="AA383" s="118"/>
      <c r="AC383" s="118"/>
      <c r="AE383" s="118"/>
      <c r="AF383" s="119"/>
    </row>
    <row r="384" spans="1:32" x14ac:dyDescent="0.3">
      <c r="A384" s="118"/>
      <c r="C384" s="118"/>
      <c r="E384" s="118"/>
      <c r="G384" s="118"/>
      <c r="I384" s="118"/>
      <c r="J384" s="119"/>
      <c r="M384" s="118"/>
      <c r="O384" s="118"/>
      <c r="Q384" s="118"/>
      <c r="S384" s="118"/>
      <c r="U384" s="118"/>
      <c r="W384" s="118"/>
      <c r="Y384" s="118"/>
      <c r="AA384" s="118"/>
      <c r="AC384" s="118"/>
      <c r="AE384" s="118"/>
      <c r="AF384" s="119"/>
    </row>
    <row r="385" spans="1:32" x14ac:dyDescent="0.3">
      <c r="A385" s="118"/>
      <c r="C385" s="118"/>
      <c r="E385" s="118"/>
      <c r="G385" s="118"/>
      <c r="I385" s="118"/>
      <c r="J385" s="119"/>
      <c r="M385" s="118"/>
      <c r="O385" s="118"/>
      <c r="Q385" s="118"/>
      <c r="S385" s="118"/>
      <c r="U385" s="118"/>
      <c r="W385" s="118"/>
      <c r="Y385" s="118"/>
      <c r="AA385" s="118"/>
      <c r="AC385" s="118"/>
      <c r="AE385" s="118"/>
      <c r="AF385" s="119"/>
    </row>
    <row r="386" spans="1:32" x14ac:dyDescent="0.3">
      <c r="A386" s="118"/>
      <c r="C386" s="118"/>
      <c r="E386" s="118"/>
      <c r="G386" s="118"/>
      <c r="I386" s="118"/>
      <c r="J386" s="119"/>
      <c r="M386" s="118"/>
      <c r="O386" s="118"/>
      <c r="Q386" s="118"/>
      <c r="S386" s="118"/>
      <c r="U386" s="118"/>
      <c r="W386" s="118"/>
      <c r="Y386" s="118"/>
      <c r="AA386" s="118"/>
      <c r="AC386" s="118"/>
      <c r="AE386" s="118"/>
      <c r="AF386" s="119"/>
    </row>
    <row r="387" spans="1:32" x14ac:dyDescent="0.3">
      <c r="A387" s="118"/>
      <c r="C387" s="118"/>
      <c r="E387" s="118"/>
      <c r="G387" s="118"/>
      <c r="I387" s="118"/>
      <c r="J387" s="119"/>
      <c r="M387" s="118"/>
      <c r="O387" s="118"/>
      <c r="Q387" s="118"/>
      <c r="S387" s="118"/>
      <c r="U387" s="118"/>
      <c r="W387" s="118"/>
      <c r="Y387" s="118"/>
      <c r="AA387" s="118"/>
      <c r="AC387" s="118"/>
      <c r="AE387" s="118"/>
      <c r="AF387" s="119"/>
    </row>
    <row r="388" spans="1:32" x14ac:dyDescent="0.3">
      <c r="A388" s="118"/>
      <c r="C388" s="118"/>
      <c r="E388" s="118"/>
      <c r="G388" s="118"/>
      <c r="I388" s="118"/>
      <c r="J388" s="119"/>
      <c r="M388" s="118"/>
      <c r="O388" s="118"/>
      <c r="Q388" s="118"/>
      <c r="S388" s="118"/>
      <c r="U388" s="118"/>
      <c r="W388" s="118"/>
      <c r="Y388" s="118"/>
      <c r="AA388" s="118"/>
      <c r="AC388" s="118"/>
      <c r="AE388" s="118"/>
      <c r="AF388" s="119"/>
    </row>
    <row r="389" spans="1:32" x14ac:dyDescent="0.3">
      <c r="A389" s="118"/>
      <c r="C389" s="118"/>
      <c r="E389" s="118"/>
      <c r="G389" s="118"/>
      <c r="I389" s="118"/>
      <c r="J389" s="119"/>
      <c r="M389" s="118"/>
      <c r="O389" s="118"/>
      <c r="Q389" s="118"/>
      <c r="S389" s="118"/>
      <c r="U389" s="118"/>
      <c r="W389" s="118"/>
      <c r="Y389" s="118"/>
      <c r="AA389" s="118"/>
      <c r="AC389" s="118"/>
      <c r="AE389" s="118"/>
      <c r="AF389" s="119"/>
    </row>
    <row r="390" spans="1:32" x14ac:dyDescent="0.3">
      <c r="A390" s="118"/>
      <c r="C390" s="118"/>
      <c r="E390" s="118"/>
      <c r="G390" s="118"/>
      <c r="I390" s="118"/>
      <c r="J390" s="119"/>
      <c r="M390" s="118"/>
      <c r="O390" s="118"/>
      <c r="Q390" s="118"/>
      <c r="S390" s="118"/>
      <c r="U390" s="118"/>
      <c r="W390" s="118"/>
      <c r="Y390" s="118"/>
      <c r="AA390" s="118"/>
      <c r="AC390" s="118"/>
      <c r="AE390" s="118"/>
      <c r="AF390" s="119"/>
    </row>
    <row r="391" spans="1:32" x14ac:dyDescent="0.3">
      <c r="A391" s="118"/>
      <c r="C391" s="118"/>
      <c r="E391" s="118"/>
      <c r="G391" s="118"/>
      <c r="I391" s="118"/>
      <c r="J391" s="119"/>
      <c r="M391" s="118"/>
      <c r="O391" s="118"/>
      <c r="Q391" s="118"/>
      <c r="S391" s="118"/>
      <c r="U391" s="118"/>
      <c r="W391" s="118"/>
      <c r="Y391" s="118"/>
      <c r="AA391" s="118"/>
      <c r="AC391" s="118"/>
      <c r="AE391" s="118"/>
      <c r="AF391" s="119"/>
    </row>
    <row r="392" spans="1:32" x14ac:dyDescent="0.3">
      <c r="A392" s="118"/>
      <c r="C392" s="118"/>
      <c r="E392" s="118"/>
      <c r="G392" s="118"/>
      <c r="I392" s="118"/>
      <c r="J392" s="119"/>
      <c r="M392" s="118"/>
      <c r="O392" s="118"/>
      <c r="Q392" s="118"/>
      <c r="S392" s="118"/>
      <c r="U392" s="118"/>
      <c r="W392" s="118"/>
      <c r="Y392" s="118"/>
      <c r="AA392" s="118"/>
      <c r="AC392" s="118"/>
      <c r="AE392" s="118"/>
      <c r="AF392" s="119"/>
    </row>
    <row r="393" spans="1:32" x14ac:dyDescent="0.3">
      <c r="A393" s="118"/>
      <c r="C393" s="118"/>
      <c r="E393" s="118"/>
      <c r="G393" s="118"/>
      <c r="I393" s="118"/>
      <c r="J393" s="119"/>
      <c r="M393" s="118"/>
      <c r="O393" s="118"/>
      <c r="Q393" s="118"/>
      <c r="S393" s="118"/>
      <c r="U393" s="118"/>
      <c r="W393" s="118"/>
      <c r="Y393" s="118"/>
      <c r="AA393" s="118"/>
      <c r="AC393" s="118"/>
      <c r="AE393" s="118"/>
      <c r="AF393" s="119"/>
    </row>
    <row r="394" spans="1:32" x14ac:dyDescent="0.3">
      <c r="A394" s="118"/>
      <c r="C394" s="118"/>
      <c r="E394" s="118"/>
      <c r="G394" s="118"/>
      <c r="I394" s="118"/>
      <c r="J394" s="119"/>
      <c r="M394" s="118"/>
      <c r="O394" s="118"/>
      <c r="Q394" s="118"/>
      <c r="S394" s="118"/>
      <c r="U394" s="118"/>
      <c r="W394" s="118"/>
      <c r="Y394" s="118"/>
      <c r="AA394" s="118"/>
      <c r="AC394" s="118"/>
      <c r="AE394" s="118"/>
      <c r="AF394" s="119"/>
    </row>
    <row r="395" spans="1:32" x14ac:dyDescent="0.3">
      <c r="A395" s="118"/>
      <c r="C395" s="118"/>
      <c r="E395" s="118"/>
      <c r="G395" s="118"/>
      <c r="I395" s="118"/>
      <c r="J395" s="119"/>
      <c r="M395" s="118"/>
      <c r="O395" s="118"/>
      <c r="Q395" s="118"/>
      <c r="S395" s="118"/>
      <c r="U395" s="118"/>
      <c r="W395" s="118"/>
      <c r="Y395" s="118"/>
      <c r="AA395" s="118"/>
      <c r="AC395" s="118"/>
      <c r="AE395" s="118"/>
      <c r="AF395" s="119"/>
    </row>
    <row r="396" spans="1:32" x14ac:dyDescent="0.3">
      <c r="A396" s="118"/>
      <c r="C396" s="118"/>
      <c r="E396" s="118"/>
      <c r="G396" s="118"/>
      <c r="I396" s="118"/>
      <c r="J396" s="119"/>
      <c r="M396" s="118"/>
      <c r="O396" s="118"/>
      <c r="Q396" s="118"/>
      <c r="S396" s="118"/>
      <c r="U396" s="118"/>
      <c r="W396" s="118"/>
      <c r="Y396" s="118"/>
      <c r="AA396" s="118"/>
      <c r="AC396" s="118"/>
      <c r="AE396" s="118"/>
      <c r="AF396" s="119"/>
    </row>
    <row r="397" spans="1:32" x14ac:dyDescent="0.3">
      <c r="A397" s="118"/>
      <c r="C397" s="118"/>
      <c r="E397" s="118"/>
      <c r="G397" s="118"/>
      <c r="I397" s="118"/>
      <c r="J397" s="119"/>
      <c r="M397" s="118"/>
      <c r="O397" s="118"/>
      <c r="Q397" s="118"/>
      <c r="S397" s="118"/>
      <c r="U397" s="118"/>
      <c r="W397" s="118"/>
      <c r="Y397" s="118"/>
      <c r="AA397" s="118"/>
      <c r="AC397" s="118"/>
      <c r="AE397" s="118"/>
      <c r="AF397" s="119"/>
    </row>
    <row r="398" spans="1:32" x14ac:dyDescent="0.3">
      <c r="A398" s="118"/>
      <c r="C398" s="118"/>
      <c r="E398" s="118"/>
      <c r="G398" s="118"/>
      <c r="I398" s="118"/>
      <c r="J398" s="119"/>
      <c r="M398" s="118"/>
      <c r="O398" s="118"/>
      <c r="Q398" s="118"/>
      <c r="S398" s="118"/>
      <c r="U398" s="118"/>
      <c r="W398" s="118"/>
      <c r="Y398" s="118"/>
      <c r="AA398" s="118"/>
      <c r="AC398" s="118"/>
      <c r="AE398" s="118"/>
      <c r="AF398" s="119"/>
    </row>
    <row r="399" spans="1:32" x14ac:dyDescent="0.3">
      <c r="A399" s="118"/>
      <c r="C399" s="118"/>
      <c r="E399" s="118"/>
      <c r="G399" s="118"/>
      <c r="I399" s="118"/>
      <c r="J399" s="119"/>
      <c r="M399" s="118"/>
      <c r="O399" s="118"/>
      <c r="Q399" s="118"/>
      <c r="S399" s="118"/>
      <c r="U399" s="118"/>
      <c r="W399" s="118"/>
      <c r="Y399" s="118"/>
      <c r="AA399" s="118"/>
      <c r="AC399" s="118"/>
      <c r="AE399" s="118"/>
      <c r="AF399" s="119"/>
    </row>
    <row r="400" spans="1:32" x14ac:dyDescent="0.3">
      <c r="A400" s="118"/>
      <c r="C400" s="118"/>
      <c r="E400" s="118"/>
      <c r="G400" s="118"/>
      <c r="I400" s="118"/>
      <c r="J400" s="119"/>
      <c r="M400" s="118"/>
      <c r="O400" s="118"/>
      <c r="Q400" s="118"/>
      <c r="S400" s="118"/>
      <c r="U400" s="118"/>
      <c r="W400" s="118"/>
      <c r="Y400" s="118"/>
      <c r="AA400" s="118"/>
      <c r="AC400" s="118"/>
      <c r="AE400" s="118"/>
      <c r="AF400" s="119"/>
    </row>
    <row r="401" spans="1:32" x14ac:dyDescent="0.3">
      <c r="A401" s="118"/>
      <c r="C401" s="118"/>
      <c r="E401" s="118"/>
      <c r="G401" s="118"/>
      <c r="I401" s="118"/>
      <c r="J401" s="119"/>
      <c r="M401" s="118"/>
      <c r="O401" s="118"/>
      <c r="Q401" s="118"/>
      <c r="S401" s="118"/>
      <c r="U401" s="118"/>
      <c r="W401" s="118"/>
      <c r="Y401" s="118"/>
      <c r="AA401" s="118"/>
      <c r="AC401" s="118"/>
      <c r="AE401" s="118"/>
      <c r="AF401" s="119"/>
    </row>
    <row r="402" spans="1:32" x14ac:dyDescent="0.3">
      <c r="A402" s="118"/>
      <c r="C402" s="118"/>
      <c r="E402" s="118"/>
      <c r="G402" s="118"/>
      <c r="I402" s="118"/>
      <c r="J402" s="119"/>
      <c r="M402" s="118"/>
      <c r="O402" s="118"/>
      <c r="Q402" s="118"/>
      <c r="S402" s="118"/>
      <c r="U402" s="118"/>
      <c r="W402" s="118"/>
      <c r="Y402" s="118"/>
      <c r="AA402" s="118"/>
      <c r="AC402" s="118"/>
      <c r="AE402" s="118"/>
      <c r="AF402" s="119"/>
    </row>
    <row r="403" spans="1:32" x14ac:dyDescent="0.3">
      <c r="A403" s="118"/>
      <c r="C403" s="118"/>
      <c r="E403" s="118"/>
      <c r="G403" s="118"/>
      <c r="I403" s="118"/>
      <c r="J403" s="119"/>
      <c r="M403" s="118"/>
      <c r="O403" s="118"/>
      <c r="Q403" s="118"/>
      <c r="S403" s="118"/>
      <c r="U403" s="118"/>
      <c r="W403" s="118"/>
      <c r="Y403" s="118"/>
      <c r="AA403" s="118"/>
      <c r="AC403" s="118"/>
      <c r="AE403" s="118"/>
      <c r="AF403" s="119"/>
    </row>
    <row r="404" spans="1:32" x14ac:dyDescent="0.3">
      <c r="A404" s="118"/>
      <c r="C404" s="118"/>
      <c r="E404" s="118"/>
      <c r="G404" s="118"/>
      <c r="I404" s="118"/>
      <c r="J404" s="119"/>
      <c r="M404" s="118"/>
      <c r="O404" s="118"/>
      <c r="Q404" s="118"/>
      <c r="S404" s="118"/>
      <c r="U404" s="118"/>
      <c r="W404" s="118"/>
      <c r="Y404" s="118"/>
      <c r="AA404" s="118"/>
      <c r="AC404" s="118"/>
      <c r="AE404" s="118"/>
      <c r="AF404" s="119"/>
    </row>
    <row r="405" spans="1:32" x14ac:dyDescent="0.3">
      <c r="A405" s="118"/>
      <c r="C405" s="118"/>
      <c r="E405" s="118"/>
      <c r="G405" s="118"/>
      <c r="I405" s="118"/>
      <c r="J405" s="119"/>
      <c r="M405" s="118"/>
      <c r="O405" s="118"/>
      <c r="Q405" s="118"/>
      <c r="S405" s="118"/>
      <c r="U405" s="118"/>
      <c r="W405" s="118"/>
      <c r="Y405" s="118"/>
      <c r="AA405" s="118"/>
      <c r="AC405" s="118"/>
      <c r="AE405" s="118"/>
      <c r="AF405" s="119"/>
    </row>
    <row r="406" spans="1:32" x14ac:dyDescent="0.3">
      <c r="A406" s="118"/>
      <c r="C406" s="118"/>
      <c r="E406" s="118"/>
      <c r="G406" s="118"/>
      <c r="I406" s="118"/>
      <c r="J406" s="119"/>
      <c r="M406" s="118"/>
      <c r="O406" s="118"/>
      <c r="Q406" s="118"/>
      <c r="S406" s="118"/>
      <c r="U406" s="118"/>
      <c r="W406" s="118"/>
      <c r="Y406" s="118"/>
      <c r="AA406" s="118"/>
      <c r="AC406" s="118"/>
      <c r="AE406" s="118"/>
      <c r="AF406" s="119"/>
    </row>
    <row r="407" spans="1:32" x14ac:dyDescent="0.3">
      <c r="A407" s="118"/>
      <c r="C407" s="118"/>
      <c r="E407" s="118"/>
      <c r="G407" s="118"/>
      <c r="I407" s="118"/>
      <c r="J407" s="119"/>
      <c r="M407" s="118"/>
      <c r="O407" s="118"/>
      <c r="Q407" s="118"/>
      <c r="S407" s="118"/>
      <c r="U407" s="118"/>
      <c r="W407" s="118"/>
      <c r="Y407" s="118"/>
      <c r="AA407" s="118"/>
      <c r="AC407" s="118"/>
      <c r="AE407" s="118"/>
      <c r="AF407" s="119"/>
    </row>
    <row r="408" spans="1:32" x14ac:dyDescent="0.3">
      <c r="A408" s="118"/>
      <c r="C408" s="118"/>
      <c r="E408" s="118"/>
      <c r="G408" s="118"/>
      <c r="I408" s="118"/>
      <c r="J408" s="119"/>
      <c r="M408" s="118"/>
      <c r="O408" s="118"/>
      <c r="Q408" s="118"/>
      <c r="S408" s="118"/>
      <c r="U408" s="118"/>
      <c r="W408" s="118"/>
      <c r="Y408" s="118"/>
      <c r="AA408" s="118"/>
      <c r="AC408" s="118"/>
      <c r="AE408" s="118"/>
      <c r="AF408" s="119"/>
    </row>
    <row r="409" spans="1:32" x14ac:dyDescent="0.3">
      <c r="A409" s="118"/>
      <c r="C409" s="118"/>
      <c r="E409" s="118"/>
      <c r="G409" s="118"/>
      <c r="I409" s="118"/>
      <c r="J409" s="119"/>
      <c r="M409" s="118"/>
      <c r="O409" s="118"/>
      <c r="Q409" s="118"/>
      <c r="S409" s="118"/>
      <c r="U409" s="118"/>
      <c r="W409" s="118"/>
      <c r="Y409" s="118"/>
      <c r="AA409" s="118"/>
      <c r="AC409" s="118"/>
      <c r="AE409" s="118"/>
      <c r="AF409" s="119"/>
    </row>
    <row r="410" spans="1:32" x14ac:dyDescent="0.3">
      <c r="A410" s="118"/>
      <c r="C410" s="118"/>
      <c r="E410" s="118"/>
      <c r="G410" s="118"/>
      <c r="I410" s="118"/>
      <c r="J410" s="119"/>
      <c r="M410" s="118"/>
      <c r="O410" s="118"/>
      <c r="Q410" s="118"/>
      <c r="S410" s="118"/>
      <c r="U410" s="118"/>
      <c r="W410" s="118"/>
      <c r="Y410" s="118"/>
      <c r="AA410" s="118"/>
      <c r="AC410" s="118"/>
      <c r="AE410" s="118"/>
      <c r="AF410" s="119"/>
    </row>
    <row r="411" spans="1:32" x14ac:dyDescent="0.3">
      <c r="A411" s="118"/>
      <c r="C411" s="118"/>
      <c r="E411" s="118"/>
      <c r="G411" s="118"/>
      <c r="I411" s="118"/>
      <c r="J411" s="119"/>
      <c r="M411" s="118"/>
      <c r="O411" s="118"/>
      <c r="Q411" s="118"/>
      <c r="S411" s="118"/>
      <c r="U411" s="118"/>
      <c r="W411" s="118"/>
      <c r="Y411" s="118"/>
      <c r="AA411" s="118"/>
      <c r="AC411" s="118"/>
      <c r="AE411" s="118"/>
      <c r="AF411" s="119"/>
    </row>
    <row r="412" spans="1:32" x14ac:dyDescent="0.3">
      <c r="A412" s="118"/>
      <c r="C412" s="118"/>
      <c r="E412" s="118"/>
      <c r="G412" s="118"/>
      <c r="I412" s="118"/>
      <c r="J412" s="119"/>
      <c r="M412" s="118"/>
      <c r="O412" s="118"/>
      <c r="Q412" s="118"/>
      <c r="S412" s="118"/>
      <c r="U412" s="118"/>
      <c r="W412" s="118"/>
      <c r="Y412" s="118"/>
      <c r="AA412" s="118"/>
      <c r="AC412" s="118"/>
      <c r="AE412" s="118"/>
      <c r="AF412" s="119"/>
    </row>
    <row r="413" spans="1:32" x14ac:dyDescent="0.3">
      <c r="A413" s="118"/>
      <c r="C413" s="118"/>
      <c r="E413" s="118"/>
      <c r="G413" s="118"/>
      <c r="I413" s="118"/>
      <c r="J413" s="119"/>
      <c r="M413" s="118"/>
      <c r="O413" s="118"/>
      <c r="Q413" s="118"/>
      <c r="S413" s="118"/>
      <c r="U413" s="118"/>
      <c r="W413" s="118"/>
      <c r="Y413" s="118"/>
      <c r="AA413" s="118"/>
      <c r="AC413" s="118"/>
      <c r="AE413" s="118"/>
      <c r="AF413" s="119"/>
    </row>
    <row r="414" spans="1:32" x14ac:dyDescent="0.3">
      <c r="A414" s="118"/>
      <c r="C414" s="118"/>
      <c r="E414" s="118"/>
      <c r="G414" s="118"/>
      <c r="I414" s="118"/>
      <c r="J414" s="119"/>
      <c r="M414" s="118"/>
      <c r="O414" s="118"/>
      <c r="Q414" s="118"/>
      <c r="S414" s="118"/>
      <c r="U414" s="118"/>
      <c r="W414" s="118"/>
      <c r="Y414" s="118"/>
      <c r="AA414" s="118"/>
      <c r="AC414" s="118"/>
      <c r="AE414" s="118"/>
      <c r="AF414" s="119"/>
    </row>
    <row r="415" spans="1:32" x14ac:dyDescent="0.3">
      <c r="A415" s="118"/>
      <c r="C415" s="118"/>
      <c r="E415" s="118"/>
      <c r="G415" s="118"/>
      <c r="I415" s="118"/>
      <c r="J415" s="119"/>
      <c r="M415" s="118"/>
      <c r="O415" s="118"/>
      <c r="Q415" s="118"/>
      <c r="S415" s="118"/>
      <c r="U415" s="118"/>
      <c r="W415" s="118"/>
      <c r="Y415" s="118"/>
      <c r="AA415" s="118"/>
      <c r="AC415" s="118"/>
      <c r="AE415" s="118"/>
      <c r="AF415" s="119"/>
    </row>
    <row r="416" spans="1:32" x14ac:dyDescent="0.3">
      <c r="A416" s="118"/>
      <c r="C416" s="118"/>
      <c r="E416" s="118"/>
      <c r="G416" s="118"/>
      <c r="I416" s="118"/>
      <c r="J416" s="119"/>
      <c r="M416" s="118"/>
      <c r="O416" s="118"/>
      <c r="Q416" s="118"/>
      <c r="S416" s="118"/>
      <c r="U416" s="118"/>
      <c r="W416" s="118"/>
      <c r="Y416" s="118"/>
      <c r="AA416" s="118"/>
      <c r="AC416" s="118"/>
      <c r="AE416" s="118"/>
      <c r="AF416" s="119"/>
    </row>
    <row r="417" spans="1:32" x14ac:dyDescent="0.3">
      <c r="A417" s="118"/>
      <c r="C417" s="118"/>
      <c r="E417" s="118"/>
      <c r="G417" s="118"/>
      <c r="I417" s="118"/>
      <c r="J417" s="119"/>
      <c r="M417" s="118"/>
      <c r="O417" s="118"/>
      <c r="Q417" s="118"/>
      <c r="S417" s="118"/>
      <c r="U417" s="118"/>
      <c r="W417" s="118"/>
      <c r="Y417" s="118"/>
      <c r="AA417" s="118"/>
      <c r="AC417" s="118"/>
      <c r="AE417" s="118"/>
      <c r="AF417" s="119"/>
    </row>
    <row r="418" spans="1:32" x14ac:dyDescent="0.3">
      <c r="A418" s="118"/>
      <c r="C418" s="118"/>
      <c r="E418" s="118"/>
      <c r="G418" s="118"/>
      <c r="I418" s="118"/>
      <c r="J418" s="119"/>
      <c r="M418" s="118"/>
      <c r="O418" s="118"/>
      <c r="Q418" s="118"/>
      <c r="S418" s="118"/>
      <c r="U418" s="118"/>
      <c r="W418" s="118"/>
      <c r="Y418" s="118"/>
      <c r="AA418" s="118"/>
      <c r="AC418" s="118"/>
      <c r="AE418" s="118"/>
      <c r="AF418" s="119"/>
    </row>
    <row r="419" spans="1:32" x14ac:dyDescent="0.3">
      <c r="A419" s="118"/>
      <c r="C419" s="118"/>
      <c r="E419" s="118"/>
      <c r="G419" s="118"/>
      <c r="I419" s="118"/>
      <c r="J419" s="119"/>
      <c r="M419" s="118"/>
      <c r="O419" s="118"/>
      <c r="Q419" s="118"/>
      <c r="S419" s="118"/>
      <c r="U419" s="118"/>
      <c r="W419" s="118"/>
      <c r="Y419" s="118"/>
      <c r="AA419" s="118"/>
      <c r="AC419" s="118"/>
      <c r="AE419" s="118"/>
      <c r="AF419" s="119"/>
    </row>
    <row r="420" spans="1:32" x14ac:dyDescent="0.3">
      <c r="A420" s="118"/>
      <c r="C420" s="118"/>
      <c r="E420" s="118"/>
      <c r="G420" s="118"/>
      <c r="I420" s="118"/>
      <c r="J420" s="119"/>
      <c r="M420" s="118"/>
      <c r="O420" s="118"/>
      <c r="Q420" s="118"/>
      <c r="S420" s="118"/>
      <c r="U420" s="118"/>
      <c r="W420" s="118"/>
      <c r="Y420" s="118"/>
      <c r="AA420" s="118"/>
      <c r="AC420" s="118"/>
      <c r="AE420" s="118"/>
      <c r="AF420" s="119"/>
    </row>
    <row r="421" spans="1:32" x14ac:dyDescent="0.3">
      <c r="A421" s="118"/>
      <c r="C421" s="118"/>
      <c r="E421" s="118"/>
      <c r="G421" s="118"/>
      <c r="I421" s="118"/>
      <c r="J421" s="119"/>
      <c r="M421" s="118"/>
      <c r="O421" s="118"/>
      <c r="Q421" s="118"/>
      <c r="S421" s="118"/>
      <c r="U421" s="118"/>
      <c r="W421" s="118"/>
      <c r="Y421" s="118"/>
      <c r="AA421" s="118"/>
      <c r="AC421" s="118"/>
      <c r="AE421" s="118"/>
      <c r="AF421" s="119"/>
    </row>
    <row r="422" spans="1:32" x14ac:dyDescent="0.3">
      <c r="A422" s="118"/>
      <c r="C422" s="118"/>
      <c r="E422" s="118"/>
      <c r="G422" s="118"/>
      <c r="I422" s="118"/>
      <c r="J422" s="119"/>
      <c r="M422" s="118"/>
      <c r="O422" s="118"/>
      <c r="Q422" s="118"/>
      <c r="S422" s="118"/>
      <c r="U422" s="118"/>
      <c r="W422" s="118"/>
      <c r="Y422" s="118"/>
      <c r="AA422" s="118"/>
      <c r="AC422" s="118"/>
      <c r="AE422" s="118"/>
      <c r="AF422" s="119"/>
    </row>
    <row r="423" spans="1:32" x14ac:dyDescent="0.3">
      <c r="A423" s="118"/>
      <c r="C423" s="118"/>
      <c r="E423" s="118"/>
      <c r="G423" s="118"/>
      <c r="I423" s="118"/>
      <c r="J423" s="119"/>
      <c r="M423" s="118"/>
      <c r="O423" s="118"/>
      <c r="Q423" s="118"/>
      <c r="S423" s="118"/>
      <c r="U423" s="118"/>
      <c r="W423" s="118"/>
      <c r="Y423" s="118"/>
      <c r="AA423" s="118"/>
      <c r="AC423" s="118"/>
      <c r="AE423" s="118"/>
      <c r="AF423" s="119"/>
    </row>
    <row r="424" spans="1:32" x14ac:dyDescent="0.3">
      <c r="A424" s="118"/>
      <c r="C424" s="118"/>
      <c r="E424" s="118"/>
      <c r="G424" s="118"/>
      <c r="I424" s="118"/>
      <c r="J424" s="119"/>
      <c r="M424" s="118"/>
      <c r="O424" s="118"/>
      <c r="Q424" s="118"/>
      <c r="S424" s="118"/>
      <c r="U424" s="118"/>
      <c r="W424" s="118"/>
      <c r="Y424" s="118"/>
      <c r="AA424" s="118"/>
      <c r="AC424" s="118"/>
      <c r="AE424" s="118"/>
      <c r="AF424" s="119"/>
    </row>
    <row r="425" spans="1:32" x14ac:dyDescent="0.3">
      <c r="A425" s="118"/>
      <c r="C425" s="118"/>
      <c r="E425" s="118"/>
      <c r="G425" s="118"/>
      <c r="I425" s="118"/>
      <c r="J425" s="119"/>
      <c r="M425" s="118"/>
      <c r="O425" s="118"/>
      <c r="Q425" s="118"/>
      <c r="S425" s="118"/>
      <c r="U425" s="118"/>
      <c r="W425" s="118"/>
      <c r="Y425" s="118"/>
      <c r="AA425" s="118"/>
      <c r="AC425" s="118"/>
      <c r="AE425" s="118"/>
      <c r="AF425" s="119"/>
    </row>
    <row r="426" spans="1:32" x14ac:dyDescent="0.3">
      <c r="A426" s="118"/>
      <c r="C426" s="118"/>
      <c r="E426" s="118"/>
      <c r="G426" s="118"/>
      <c r="I426" s="118"/>
      <c r="J426" s="119"/>
      <c r="M426" s="118"/>
      <c r="O426" s="118"/>
      <c r="Q426" s="118"/>
      <c r="S426" s="118"/>
      <c r="U426" s="118"/>
      <c r="W426" s="118"/>
      <c r="Y426" s="118"/>
      <c r="AA426" s="118"/>
      <c r="AC426" s="118"/>
      <c r="AE426" s="118"/>
      <c r="AF426" s="119"/>
    </row>
    <row r="427" spans="1:32" x14ac:dyDescent="0.3">
      <c r="A427" s="118"/>
      <c r="C427" s="118"/>
      <c r="E427" s="118"/>
      <c r="G427" s="118"/>
      <c r="I427" s="118"/>
      <c r="J427" s="119"/>
      <c r="M427" s="118"/>
      <c r="O427" s="118"/>
      <c r="Q427" s="118"/>
      <c r="S427" s="118"/>
      <c r="U427" s="118"/>
      <c r="W427" s="118"/>
      <c r="Y427" s="118"/>
      <c r="AA427" s="118"/>
      <c r="AC427" s="118"/>
      <c r="AE427" s="118"/>
      <c r="AF427" s="119"/>
    </row>
    <row r="428" spans="1:32" x14ac:dyDescent="0.3">
      <c r="A428" s="118"/>
      <c r="C428" s="118"/>
      <c r="E428" s="118"/>
      <c r="G428" s="118"/>
      <c r="I428" s="118"/>
      <c r="J428" s="119"/>
      <c r="M428" s="118"/>
      <c r="O428" s="118"/>
      <c r="Q428" s="118"/>
      <c r="S428" s="118"/>
      <c r="U428" s="118"/>
      <c r="W428" s="118"/>
      <c r="Y428" s="118"/>
      <c r="AA428" s="118"/>
      <c r="AC428" s="118"/>
      <c r="AE428" s="118"/>
      <c r="AF428" s="119"/>
    </row>
    <row r="429" spans="1:32" x14ac:dyDescent="0.3">
      <c r="A429" s="118"/>
      <c r="C429" s="118"/>
      <c r="E429" s="118"/>
      <c r="G429" s="118"/>
      <c r="I429" s="118"/>
      <c r="J429" s="119"/>
      <c r="M429" s="118"/>
      <c r="O429" s="118"/>
      <c r="Q429" s="118"/>
      <c r="S429" s="118"/>
      <c r="U429" s="118"/>
      <c r="W429" s="118"/>
      <c r="Y429" s="118"/>
      <c r="AA429" s="118"/>
      <c r="AC429" s="118"/>
      <c r="AE429" s="118"/>
      <c r="AF429" s="119"/>
    </row>
    <row r="430" spans="1:32" x14ac:dyDescent="0.3">
      <c r="A430" s="118"/>
      <c r="C430" s="118"/>
      <c r="E430" s="118"/>
      <c r="G430" s="118"/>
      <c r="I430" s="118"/>
      <c r="J430" s="119"/>
      <c r="M430" s="118"/>
      <c r="O430" s="118"/>
      <c r="Q430" s="118"/>
      <c r="S430" s="118"/>
      <c r="U430" s="118"/>
      <c r="W430" s="118"/>
      <c r="Y430" s="118"/>
      <c r="AA430" s="118"/>
      <c r="AC430" s="118"/>
      <c r="AE430" s="118"/>
      <c r="AF430" s="119"/>
    </row>
    <row r="431" spans="1:32" x14ac:dyDescent="0.3">
      <c r="A431" s="118"/>
      <c r="C431" s="118"/>
      <c r="E431" s="118"/>
      <c r="G431" s="118"/>
      <c r="I431" s="118"/>
      <c r="J431" s="119"/>
      <c r="M431" s="118"/>
      <c r="O431" s="118"/>
      <c r="Q431" s="118"/>
      <c r="S431" s="118"/>
      <c r="U431" s="118"/>
      <c r="W431" s="118"/>
      <c r="Y431" s="118"/>
      <c r="AA431" s="118"/>
      <c r="AC431" s="118"/>
      <c r="AE431" s="118"/>
      <c r="AF431" s="119"/>
    </row>
    <row r="432" spans="1:32" x14ac:dyDescent="0.3">
      <c r="A432" s="118"/>
      <c r="C432" s="118"/>
      <c r="E432" s="118"/>
      <c r="G432" s="118"/>
      <c r="I432" s="118"/>
      <c r="J432" s="119"/>
      <c r="M432" s="118"/>
      <c r="O432" s="118"/>
      <c r="Q432" s="118"/>
      <c r="S432" s="118"/>
      <c r="U432" s="118"/>
      <c r="W432" s="118"/>
      <c r="Y432" s="118"/>
      <c r="AA432" s="118"/>
      <c r="AC432" s="118"/>
      <c r="AE432" s="118"/>
      <c r="AF432" s="119"/>
    </row>
    <row r="433" spans="1:32" x14ac:dyDescent="0.3">
      <c r="A433" s="118"/>
      <c r="C433" s="118"/>
      <c r="E433" s="118"/>
      <c r="G433" s="118"/>
      <c r="I433" s="118"/>
      <c r="J433" s="119"/>
      <c r="M433" s="118"/>
      <c r="O433" s="118"/>
      <c r="Q433" s="118"/>
      <c r="S433" s="118"/>
      <c r="U433" s="118"/>
      <c r="W433" s="118"/>
      <c r="Y433" s="118"/>
      <c r="AA433" s="118"/>
      <c r="AC433" s="118"/>
      <c r="AE433" s="118"/>
      <c r="AF433" s="119"/>
    </row>
    <row r="434" spans="1:32" x14ac:dyDescent="0.3">
      <c r="A434" s="118"/>
      <c r="C434" s="118"/>
      <c r="E434" s="118"/>
      <c r="G434" s="118"/>
      <c r="I434" s="118"/>
      <c r="J434" s="119"/>
      <c r="M434" s="118"/>
      <c r="O434" s="118"/>
      <c r="Q434" s="118"/>
      <c r="S434" s="118"/>
      <c r="U434" s="118"/>
      <c r="W434" s="118"/>
      <c r="Y434" s="118"/>
      <c r="AA434" s="118"/>
      <c r="AC434" s="118"/>
      <c r="AE434" s="118"/>
      <c r="AF434" s="119"/>
    </row>
    <row r="435" spans="1:32" x14ac:dyDescent="0.3">
      <c r="A435" s="118"/>
      <c r="C435" s="118"/>
      <c r="E435" s="118"/>
      <c r="G435" s="118"/>
      <c r="I435" s="118"/>
      <c r="J435" s="119"/>
      <c r="M435" s="118"/>
      <c r="O435" s="118"/>
      <c r="Q435" s="118"/>
      <c r="S435" s="118"/>
      <c r="U435" s="118"/>
      <c r="W435" s="118"/>
      <c r="Y435" s="118"/>
      <c r="AA435" s="118"/>
      <c r="AC435" s="118"/>
      <c r="AE435" s="118"/>
      <c r="AF435" s="119"/>
    </row>
    <row r="436" spans="1:32" x14ac:dyDescent="0.3">
      <c r="A436" s="118"/>
      <c r="C436" s="118"/>
      <c r="E436" s="118"/>
      <c r="G436" s="118"/>
      <c r="I436" s="118"/>
      <c r="J436" s="119"/>
      <c r="M436" s="118"/>
      <c r="O436" s="118"/>
      <c r="Q436" s="118"/>
      <c r="S436" s="118"/>
      <c r="U436" s="118"/>
      <c r="W436" s="118"/>
      <c r="Y436" s="118"/>
      <c r="AA436" s="118"/>
      <c r="AC436" s="118"/>
      <c r="AE436" s="118"/>
      <c r="AF436" s="119"/>
    </row>
    <row r="437" spans="1:32" x14ac:dyDescent="0.3">
      <c r="A437" s="118"/>
      <c r="C437" s="118"/>
      <c r="E437" s="118"/>
      <c r="G437" s="118"/>
      <c r="I437" s="118"/>
      <c r="J437" s="119"/>
      <c r="M437" s="118"/>
      <c r="O437" s="118"/>
      <c r="Q437" s="118"/>
      <c r="S437" s="118"/>
      <c r="U437" s="118"/>
      <c r="W437" s="118"/>
      <c r="Y437" s="118"/>
      <c r="AA437" s="118"/>
      <c r="AC437" s="118"/>
      <c r="AE437" s="118"/>
      <c r="AF437" s="119"/>
    </row>
    <row r="438" spans="1:32" x14ac:dyDescent="0.3">
      <c r="A438" s="118"/>
      <c r="C438" s="118"/>
      <c r="E438" s="118"/>
      <c r="G438" s="118"/>
      <c r="I438" s="118"/>
      <c r="J438" s="119"/>
      <c r="M438" s="118"/>
      <c r="O438" s="118"/>
      <c r="Q438" s="118"/>
      <c r="S438" s="118"/>
      <c r="U438" s="118"/>
      <c r="W438" s="118"/>
      <c r="Y438" s="118"/>
      <c r="AA438" s="118"/>
      <c r="AC438" s="118"/>
      <c r="AE438" s="118"/>
      <c r="AF438" s="119"/>
    </row>
    <row r="439" spans="1:32" x14ac:dyDescent="0.3">
      <c r="A439" s="118"/>
      <c r="C439" s="118"/>
      <c r="E439" s="118"/>
      <c r="G439" s="118"/>
      <c r="I439" s="118"/>
      <c r="J439" s="119"/>
      <c r="M439" s="118"/>
      <c r="O439" s="118"/>
      <c r="Q439" s="118"/>
      <c r="S439" s="118"/>
      <c r="U439" s="118"/>
      <c r="W439" s="118"/>
      <c r="Y439" s="118"/>
      <c r="AA439" s="118"/>
      <c r="AC439" s="118"/>
      <c r="AE439" s="118"/>
      <c r="AF439" s="119"/>
    </row>
    <row r="440" spans="1:32" x14ac:dyDescent="0.3">
      <c r="A440" s="118"/>
      <c r="C440" s="118"/>
      <c r="E440" s="118"/>
      <c r="G440" s="118"/>
      <c r="I440" s="118"/>
      <c r="J440" s="119"/>
      <c r="M440" s="118"/>
      <c r="O440" s="118"/>
      <c r="Q440" s="118"/>
      <c r="S440" s="118"/>
      <c r="U440" s="118"/>
      <c r="W440" s="118"/>
      <c r="Y440" s="118"/>
      <c r="AA440" s="118"/>
      <c r="AC440" s="118"/>
      <c r="AE440" s="118"/>
      <c r="AF440" s="119"/>
    </row>
    <row r="441" spans="1:32" x14ac:dyDescent="0.3">
      <c r="A441" s="118"/>
      <c r="C441" s="118"/>
      <c r="E441" s="118"/>
      <c r="G441" s="118"/>
      <c r="I441" s="118"/>
      <c r="J441" s="119"/>
      <c r="M441" s="118"/>
      <c r="O441" s="118"/>
      <c r="Q441" s="118"/>
      <c r="S441" s="118"/>
      <c r="U441" s="118"/>
      <c r="W441" s="118"/>
      <c r="Y441" s="118"/>
      <c r="AA441" s="118"/>
      <c r="AC441" s="118"/>
      <c r="AE441" s="118"/>
      <c r="AF441" s="119"/>
    </row>
    <row r="442" spans="1:32" x14ac:dyDescent="0.3">
      <c r="A442" s="118"/>
      <c r="C442" s="118"/>
      <c r="E442" s="118"/>
      <c r="G442" s="118"/>
      <c r="I442" s="118"/>
      <c r="J442" s="119"/>
      <c r="M442" s="118"/>
      <c r="O442" s="118"/>
      <c r="Q442" s="118"/>
      <c r="S442" s="118"/>
      <c r="U442" s="118"/>
      <c r="W442" s="118"/>
      <c r="Y442" s="118"/>
      <c r="AA442" s="118"/>
      <c r="AC442" s="118"/>
      <c r="AE442" s="118"/>
      <c r="AF442" s="119"/>
    </row>
    <row r="443" spans="1:32" x14ac:dyDescent="0.3">
      <c r="A443" s="118"/>
      <c r="C443" s="118"/>
      <c r="E443" s="118"/>
      <c r="G443" s="118"/>
      <c r="I443" s="118"/>
      <c r="J443" s="119"/>
      <c r="M443" s="118"/>
      <c r="O443" s="118"/>
      <c r="Q443" s="118"/>
      <c r="S443" s="118"/>
      <c r="U443" s="118"/>
      <c r="W443" s="118"/>
      <c r="Y443" s="118"/>
      <c r="AA443" s="118"/>
      <c r="AC443" s="118"/>
      <c r="AE443" s="118"/>
      <c r="AF443" s="119"/>
    </row>
    <row r="444" spans="1:32" x14ac:dyDescent="0.3">
      <c r="A444" s="118"/>
      <c r="C444" s="118"/>
      <c r="E444" s="118"/>
      <c r="G444" s="118"/>
      <c r="I444" s="118"/>
      <c r="J444" s="119"/>
      <c r="M444" s="118"/>
      <c r="O444" s="118"/>
      <c r="Q444" s="118"/>
      <c r="S444" s="118"/>
      <c r="U444" s="118"/>
      <c r="W444" s="118"/>
      <c r="Y444" s="118"/>
      <c r="AA444" s="118"/>
      <c r="AC444" s="118"/>
      <c r="AE444" s="118"/>
      <c r="AF444" s="119"/>
    </row>
    <row r="445" spans="1:32" x14ac:dyDescent="0.3">
      <c r="A445" s="118"/>
      <c r="C445" s="118"/>
      <c r="E445" s="118"/>
      <c r="G445" s="118"/>
      <c r="I445" s="118"/>
      <c r="J445" s="119"/>
      <c r="M445" s="118"/>
      <c r="O445" s="118"/>
      <c r="Q445" s="118"/>
      <c r="S445" s="118"/>
      <c r="U445" s="118"/>
      <c r="W445" s="118"/>
      <c r="Y445" s="118"/>
      <c r="AA445" s="118"/>
      <c r="AC445" s="118"/>
      <c r="AE445" s="118"/>
      <c r="AF445" s="119"/>
    </row>
    <row r="446" spans="1:32" x14ac:dyDescent="0.3">
      <c r="A446" s="118"/>
      <c r="C446" s="118"/>
      <c r="E446" s="118"/>
      <c r="G446" s="118"/>
      <c r="I446" s="118"/>
      <c r="J446" s="119"/>
      <c r="M446" s="118"/>
      <c r="O446" s="118"/>
      <c r="Q446" s="118"/>
      <c r="S446" s="118"/>
      <c r="U446" s="118"/>
      <c r="W446" s="118"/>
      <c r="Y446" s="118"/>
      <c r="AA446" s="118"/>
      <c r="AC446" s="118"/>
      <c r="AE446" s="118"/>
      <c r="AF446" s="119"/>
    </row>
    <row r="447" spans="1:32" x14ac:dyDescent="0.3">
      <c r="A447" s="118"/>
      <c r="C447" s="118"/>
      <c r="E447" s="118"/>
      <c r="G447" s="118"/>
      <c r="I447" s="118"/>
      <c r="J447" s="119"/>
      <c r="M447" s="118"/>
      <c r="O447" s="118"/>
      <c r="Q447" s="118"/>
      <c r="S447" s="118"/>
      <c r="U447" s="118"/>
      <c r="W447" s="118"/>
      <c r="Y447" s="118"/>
      <c r="AA447" s="118"/>
      <c r="AC447" s="118"/>
      <c r="AE447" s="118"/>
      <c r="AF447" s="119"/>
    </row>
    <row r="448" spans="1:32" x14ac:dyDescent="0.3">
      <c r="A448" s="118"/>
      <c r="C448" s="118"/>
      <c r="E448" s="118"/>
      <c r="G448" s="118"/>
      <c r="I448" s="118"/>
      <c r="J448" s="119"/>
      <c r="M448" s="118"/>
      <c r="O448" s="118"/>
      <c r="Q448" s="118"/>
      <c r="S448" s="118"/>
      <c r="U448" s="118"/>
      <c r="W448" s="118"/>
      <c r="Y448" s="118"/>
      <c r="AA448" s="118"/>
      <c r="AC448" s="118"/>
      <c r="AE448" s="118"/>
      <c r="AF448" s="119"/>
    </row>
    <row r="449" spans="1:32" x14ac:dyDescent="0.3">
      <c r="A449" s="118"/>
      <c r="C449" s="118"/>
      <c r="E449" s="118"/>
      <c r="G449" s="118"/>
      <c r="I449" s="118"/>
      <c r="J449" s="119"/>
      <c r="M449" s="118"/>
      <c r="O449" s="118"/>
      <c r="Q449" s="118"/>
      <c r="S449" s="118"/>
      <c r="U449" s="118"/>
      <c r="W449" s="118"/>
      <c r="Y449" s="118"/>
      <c r="AA449" s="118"/>
      <c r="AC449" s="118"/>
      <c r="AE449" s="118"/>
      <c r="AF449" s="119"/>
    </row>
    <row r="450" spans="1:32" x14ac:dyDescent="0.3">
      <c r="A450" s="118"/>
      <c r="C450" s="118"/>
      <c r="E450" s="118"/>
      <c r="G450" s="118"/>
      <c r="I450" s="118"/>
      <c r="J450" s="119"/>
      <c r="M450" s="118"/>
      <c r="O450" s="118"/>
      <c r="Q450" s="118"/>
      <c r="S450" s="118"/>
      <c r="U450" s="118"/>
      <c r="W450" s="118"/>
      <c r="Y450" s="118"/>
      <c r="AA450" s="118"/>
      <c r="AC450" s="118"/>
      <c r="AE450" s="118"/>
      <c r="AF450" s="119"/>
    </row>
    <row r="451" spans="1:32" x14ac:dyDescent="0.3">
      <c r="A451" s="118"/>
      <c r="C451" s="118"/>
      <c r="E451" s="118"/>
      <c r="G451" s="118"/>
      <c r="I451" s="118"/>
      <c r="J451" s="119"/>
      <c r="M451" s="118"/>
      <c r="O451" s="118"/>
      <c r="Q451" s="118"/>
      <c r="S451" s="118"/>
      <c r="U451" s="118"/>
      <c r="W451" s="118"/>
      <c r="Y451" s="118"/>
      <c r="AA451" s="118"/>
      <c r="AC451" s="118"/>
      <c r="AE451" s="118"/>
      <c r="AF451" s="119"/>
    </row>
    <row r="452" spans="1:32" x14ac:dyDescent="0.3">
      <c r="A452" s="118"/>
      <c r="C452" s="118"/>
      <c r="E452" s="118"/>
      <c r="G452" s="118"/>
      <c r="I452" s="118"/>
      <c r="J452" s="119"/>
      <c r="M452" s="118"/>
      <c r="O452" s="118"/>
      <c r="Q452" s="118"/>
      <c r="S452" s="118"/>
      <c r="U452" s="118"/>
      <c r="W452" s="118"/>
      <c r="Y452" s="118"/>
      <c r="AA452" s="118"/>
      <c r="AC452" s="118"/>
      <c r="AE452" s="118"/>
      <c r="AF452" s="119"/>
    </row>
    <row r="453" spans="1:32" x14ac:dyDescent="0.3">
      <c r="A453" s="118"/>
      <c r="C453" s="118"/>
      <c r="E453" s="118"/>
      <c r="G453" s="118"/>
      <c r="I453" s="118"/>
      <c r="J453" s="119"/>
      <c r="M453" s="118"/>
      <c r="O453" s="118"/>
      <c r="Q453" s="118"/>
      <c r="S453" s="118"/>
      <c r="U453" s="118"/>
      <c r="W453" s="118"/>
      <c r="Y453" s="118"/>
      <c r="AA453" s="118"/>
      <c r="AC453" s="118"/>
      <c r="AE453" s="118"/>
      <c r="AF453" s="119"/>
    </row>
    <row r="454" spans="1:32" x14ac:dyDescent="0.3">
      <c r="A454" s="118"/>
      <c r="C454" s="118"/>
      <c r="E454" s="118"/>
      <c r="G454" s="118"/>
      <c r="I454" s="118"/>
      <c r="J454" s="119"/>
      <c r="M454" s="118"/>
      <c r="O454" s="118"/>
      <c r="Q454" s="118"/>
      <c r="S454" s="118"/>
      <c r="U454" s="118"/>
      <c r="W454" s="118"/>
      <c r="Y454" s="118"/>
      <c r="AA454" s="118"/>
      <c r="AC454" s="118"/>
      <c r="AE454" s="118"/>
      <c r="AF454" s="119"/>
    </row>
    <row r="455" spans="1:32" x14ac:dyDescent="0.3">
      <c r="A455" s="118"/>
      <c r="C455" s="118"/>
      <c r="E455" s="118"/>
      <c r="G455" s="118"/>
      <c r="I455" s="118"/>
      <c r="J455" s="119"/>
      <c r="M455" s="118"/>
      <c r="O455" s="118"/>
      <c r="Q455" s="118"/>
      <c r="S455" s="118"/>
      <c r="U455" s="118"/>
      <c r="W455" s="118"/>
      <c r="Y455" s="118"/>
      <c r="AA455" s="118"/>
      <c r="AC455" s="118"/>
      <c r="AE455" s="118"/>
      <c r="AF455" s="119"/>
    </row>
    <row r="456" spans="1:32" x14ac:dyDescent="0.3">
      <c r="A456" s="118"/>
      <c r="C456" s="118"/>
      <c r="E456" s="118"/>
      <c r="G456" s="118"/>
      <c r="I456" s="118"/>
      <c r="J456" s="119"/>
      <c r="M456" s="118"/>
      <c r="O456" s="118"/>
      <c r="Q456" s="118"/>
      <c r="S456" s="118"/>
      <c r="U456" s="118"/>
      <c r="W456" s="118"/>
      <c r="Y456" s="118"/>
      <c r="AA456" s="118"/>
      <c r="AC456" s="118"/>
      <c r="AE456" s="118"/>
      <c r="AF456" s="119"/>
    </row>
    <row r="457" spans="1:32" x14ac:dyDescent="0.3">
      <c r="A457" s="118"/>
      <c r="C457" s="118"/>
      <c r="E457" s="118"/>
      <c r="G457" s="118"/>
      <c r="I457" s="118"/>
      <c r="J457" s="119"/>
      <c r="M457" s="118"/>
      <c r="O457" s="118"/>
      <c r="Q457" s="118"/>
      <c r="S457" s="118"/>
      <c r="U457" s="118"/>
      <c r="W457" s="118"/>
      <c r="Y457" s="118"/>
      <c r="AA457" s="118"/>
      <c r="AC457" s="118"/>
      <c r="AE457" s="118"/>
      <c r="AF457" s="119"/>
    </row>
    <row r="458" spans="1:32" x14ac:dyDescent="0.3">
      <c r="A458" s="118"/>
      <c r="C458" s="118"/>
      <c r="E458" s="118"/>
      <c r="G458" s="118"/>
      <c r="I458" s="118"/>
      <c r="J458" s="119"/>
      <c r="M458" s="118"/>
      <c r="O458" s="118"/>
      <c r="Q458" s="118"/>
      <c r="S458" s="118"/>
      <c r="U458" s="118"/>
      <c r="W458" s="118"/>
      <c r="Y458" s="118"/>
      <c r="AA458" s="118"/>
      <c r="AC458" s="118"/>
      <c r="AE458" s="118"/>
      <c r="AF458" s="119"/>
    </row>
    <row r="459" spans="1:32" x14ac:dyDescent="0.3">
      <c r="A459" s="118"/>
      <c r="C459" s="118"/>
      <c r="E459" s="118"/>
      <c r="G459" s="118"/>
      <c r="I459" s="118"/>
      <c r="J459" s="119"/>
      <c r="M459" s="118"/>
      <c r="O459" s="118"/>
      <c r="Q459" s="118"/>
      <c r="S459" s="118"/>
      <c r="U459" s="118"/>
      <c r="W459" s="118"/>
      <c r="Y459" s="118"/>
      <c r="AA459" s="118"/>
      <c r="AC459" s="118"/>
      <c r="AE459" s="118"/>
      <c r="AF459" s="119"/>
    </row>
    <row r="460" spans="1:32" x14ac:dyDescent="0.3">
      <c r="A460" s="118"/>
      <c r="C460" s="118"/>
      <c r="E460" s="118"/>
      <c r="G460" s="118"/>
      <c r="I460" s="118"/>
      <c r="J460" s="119"/>
      <c r="M460" s="118"/>
      <c r="O460" s="118"/>
      <c r="Q460" s="118"/>
      <c r="S460" s="118"/>
      <c r="U460" s="118"/>
      <c r="W460" s="118"/>
      <c r="Y460" s="118"/>
      <c r="AA460" s="118"/>
      <c r="AC460" s="118"/>
      <c r="AE460" s="118"/>
      <c r="AF460" s="119"/>
    </row>
    <row r="461" spans="1:32" x14ac:dyDescent="0.3">
      <c r="A461" s="118"/>
      <c r="C461" s="118"/>
      <c r="E461" s="118"/>
      <c r="G461" s="118"/>
      <c r="I461" s="118"/>
      <c r="J461" s="119"/>
      <c r="M461" s="118"/>
      <c r="O461" s="118"/>
      <c r="Q461" s="118"/>
      <c r="S461" s="118"/>
      <c r="U461" s="118"/>
      <c r="W461" s="118"/>
      <c r="Y461" s="118"/>
      <c r="AA461" s="118"/>
      <c r="AC461" s="118"/>
      <c r="AE461" s="118"/>
      <c r="AF461" s="119"/>
    </row>
    <row r="462" spans="1:32" x14ac:dyDescent="0.3">
      <c r="A462" s="118"/>
      <c r="C462" s="118"/>
      <c r="E462" s="118"/>
      <c r="G462" s="118"/>
      <c r="I462" s="118"/>
      <c r="J462" s="119"/>
      <c r="M462" s="118"/>
      <c r="O462" s="118"/>
      <c r="Q462" s="118"/>
      <c r="S462" s="118"/>
      <c r="U462" s="118"/>
      <c r="W462" s="118"/>
      <c r="Y462" s="118"/>
      <c r="AA462" s="118"/>
      <c r="AC462" s="118"/>
      <c r="AE462" s="118"/>
      <c r="AF462" s="119"/>
    </row>
    <row r="463" spans="1:32" x14ac:dyDescent="0.3">
      <c r="A463" s="118"/>
      <c r="C463" s="118"/>
      <c r="E463" s="118"/>
      <c r="G463" s="118"/>
      <c r="I463" s="118"/>
      <c r="J463" s="119"/>
      <c r="M463" s="118"/>
      <c r="O463" s="118"/>
      <c r="Q463" s="118"/>
      <c r="S463" s="118"/>
      <c r="U463" s="118"/>
      <c r="W463" s="118"/>
      <c r="Y463" s="118"/>
      <c r="AA463" s="118"/>
      <c r="AC463" s="118"/>
      <c r="AE463" s="118"/>
      <c r="AF463" s="119"/>
    </row>
    <row r="464" spans="1:32" x14ac:dyDescent="0.3">
      <c r="A464" s="118"/>
      <c r="C464" s="118"/>
      <c r="E464" s="118"/>
      <c r="G464" s="118"/>
      <c r="I464" s="118"/>
      <c r="J464" s="119"/>
      <c r="M464" s="118"/>
      <c r="O464" s="118"/>
      <c r="Q464" s="118"/>
      <c r="S464" s="118"/>
      <c r="U464" s="118"/>
      <c r="W464" s="118"/>
      <c r="Y464" s="118"/>
      <c r="AA464" s="118"/>
      <c r="AC464" s="118"/>
      <c r="AE464" s="118"/>
      <c r="AF464" s="119"/>
    </row>
    <row r="465" spans="1:32" x14ac:dyDescent="0.3">
      <c r="A465" s="118"/>
      <c r="C465" s="118"/>
      <c r="E465" s="118"/>
      <c r="G465" s="118"/>
      <c r="I465" s="118"/>
      <c r="J465" s="119"/>
      <c r="M465" s="118"/>
      <c r="O465" s="118"/>
      <c r="Q465" s="118"/>
      <c r="S465" s="118"/>
      <c r="U465" s="118"/>
      <c r="W465" s="118"/>
      <c r="Y465" s="118"/>
      <c r="AA465" s="118"/>
      <c r="AC465" s="118"/>
      <c r="AE465" s="118"/>
      <c r="AF465" s="119"/>
    </row>
    <row r="466" spans="1:32" x14ac:dyDescent="0.3">
      <c r="A466" s="118"/>
      <c r="C466" s="118"/>
      <c r="E466" s="118"/>
      <c r="G466" s="118"/>
      <c r="I466" s="118"/>
      <c r="J466" s="119"/>
      <c r="M466" s="118"/>
      <c r="O466" s="118"/>
      <c r="Q466" s="118"/>
      <c r="S466" s="118"/>
      <c r="U466" s="118"/>
      <c r="W466" s="118"/>
      <c r="Y466" s="118"/>
      <c r="AA466" s="118"/>
      <c r="AC466" s="118"/>
      <c r="AE466" s="118"/>
      <c r="AF466" s="119"/>
    </row>
    <row r="467" spans="1:32" x14ac:dyDescent="0.3">
      <c r="A467" s="118"/>
      <c r="C467" s="118"/>
      <c r="E467" s="118"/>
      <c r="G467" s="118"/>
      <c r="I467" s="118"/>
      <c r="J467" s="119"/>
      <c r="M467" s="118"/>
      <c r="O467" s="118"/>
      <c r="Q467" s="118"/>
      <c r="S467" s="118"/>
      <c r="U467" s="118"/>
      <c r="W467" s="118"/>
      <c r="Y467" s="118"/>
      <c r="AA467" s="118"/>
      <c r="AC467" s="118"/>
      <c r="AE467" s="118"/>
      <c r="AF467" s="119"/>
    </row>
    <row r="468" spans="1:32" x14ac:dyDescent="0.3">
      <c r="A468" s="118"/>
      <c r="C468" s="118"/>
      <c r="E468" s="118"/>
      <c r="G468" s="118"/>
      <c r="I468" s="118"/>
      <c r="J468" s="119"/>
      <c r="M468" s="118"/>
      <c r="O468" s="118"/>
      <c r="Q468" s="118"/>
      <c r="S468" s="118"/>
      <c r="U468" s="118"/>
      <c r="W468" s="118"/>
      <c r="Y468" s="118"/>
      <c r="AA468" s="118"/>
      <c r="AC468" s="118"/>
      <c r="AE468" s="118"/>
      <c r="AF468" s="119"/>
    </row>
    <row r="469" spans="1:32" x14ac:dyDescent="0.3">
      <c r="A469" s="118"/>
      <c r="C469" s="118"/>
      <c r="E469" s="118"/>
      <c r="G469" s="118"/>
      <c r="I469" s="118"/>
      <c r="J469" s="119"/>
      <c r="M469" s="118"/>
      <c r="O469" s="118"/>
      <c r="Q469" s="118"/>
      <c r="S469" s="118"/>
      <c r="U469" s="118"/>
      <c r="W469" s="118"/>
      <c r="Y469" s="118"/>
      <c r="AA469" s="118"/>
      <c r="AC469" s="118"/>
      <c r="AE469" s="118"/>
      <c r="AF469" s="119"/>
    </row>
    <row r="470" spans="1:32" x14ac:dyDescent="0.3">
      <c r="A470" s="118"/>
      <c r="C470" s="118"/>
      <c r="E470" s="118"/>
      <c r="G470" s="118"/>
      <c r="I470" s="118"/>
      <c r="J470" s="119"/>
      <c r="M470" s="118"/>
      <c r="O470" s="118"/>
      <c r="Q470" s="118"/>
      <c r="S470" s="118"/>
      <c r="U470" s="118"/>
      <c r="W470" s="118"/>
      <c r="Y470" s="118"/>
      <c r="AA470" s="118"/>
      <c r="AC470" s="118"/>
      <c r="AE470" s="118"/>
      <c r="AF470" s="119"/>
    </row>
    <row r="471" spans="1:32" x14ac:dyDescent="0.3">
      <c r="A471" s="118"/>
      <c r="C471" s="118"/>
      <c r="E471" s="118"/>
      <c r="G471" s="118"/>
      <c r="I471" s="118"/>
      <c r="J471" s="119"/>
      <c r="M471" s="118"/>
      <c r="O471" s="118"/>
      <c r="Q471" s="118"/>
      <c r="S471" s="118"/>
      <c r="U471" s="118"/>
      <c r="W471" s="118"/>
      <c r="Y471" s="118"/>
      <c r="AA471" s="118"/>
      <c r="AC471" s="118"/>
      <c r="AE471" s="118"/>
      <c r="AF471" s="119"/>
    </row>
    <row r="472" spans="1:32" x14ac:dyDescent="0.3">
      <c r="A472" s="118"/>
      <c r="C472" s="118"/>
      <c r="E472" s="118"/>
      <c r="G472" s="118"/>
      <c r="I472" s="118"/>
      <c r="J472" s="119"/>
      <c r="M472" s="118"/>
      <c r="O472" s="118"/>
      <c r="Q472" s="118"/>
      <c r="S472" s="118"/>
      <c r="U472" s="118"/>
      <c r="W472" s="118"/>
      <c r="Y472" s="118"/>
      <c r="AA472" s="118"/>
      <c r="AC472" s="118"/>
      <c r="AE472" s="118"/>
      <c r="AF472" s="119"/>
    </row>
    <row r="473" spans="1:32" x14ac:dyDescent="0.3">
      <c r="A473" s="118"/>
      <c r="C473" s="118"/>
      <c r="E473" s="118"/>
      <c r="G473" s="118"/>
      <c r="I473" s="118"/>
      <c r="J473" s="119"/>
      <c r="M473" s="118"/>
      <c r="O473" s="118"/>
      <c r="Q473" s="118"/>
      <c r="S473" s="118"/>
      <c r="U473" s="118"/>
      <c r="W473" s="118"/>
      <c r="Y473" s="118"/>
      <c r="AA473" s="118"/>
      <c r="AC473" s="118"/>
      <c r="AE473" s="118"/>
      <c r="AF473" s="119"/>
    </row>
    <row r="474" spans="1:32" x14ac:dyDescent="0.3">
      <c r="A474" s="118"/>
      <c r="C474" s="118"/>
      <c r="E474" s="118"/>
      <c r="G474" s="118"/>
      <c r="I474" s="118"/>
      <c r="J474" s="119"/>
      <c r="M474" s="118"/>
      <c r="O474" s="118"/>
      <c r="Q474" s="118"/>
      <c r="S474" s="118"/>
      <c r="U474" s="118"/>
      <c r="W474" s="118"/>
      <c r="Y474" s="118"/>
      <c r="AA474" s="118"/>
      <c r="AC474" s="118"/>
      <c r="AE474" s="118"/>
      <c r="AF474" s="119"/>
    </row>
    <row r="475" spans="1:32" x14ac:dyDescent="0.3">
      <c r="A475" s="118"/>
      <c r="C475" s="118"/>
      <c r="E475" s="118"/>
      <c r="G475" s="118"/>
      <c r="I475" s="118"/>
      <c r="J475" s="119"/>
      <c r="M475" s="118"/>
      <c r="O475" s="118"/>
      <c r="Q475" s="118"/>
      <c r="S475" s="118"/>
      <c r="U475" s="118"/>
      <c r="W475" s="118"/>
      <c r="Y475" s="118"/>
      <c r="AA475" s="118"/>
      <c r="AC475" s="118"/>
      <c r="AE475" s="118"/>
      <c r="AF475" s="119"/>
    </row>
    <row r="476" spans="1:32" x14ac:dyDescent="0.3">
      <c r="A476" s="118"/>
      <c r="C476" s="118"/>
      <c r="E476" s="118"/>
      <c r="G476" s="118"/>
      <c r="I476" s="118"/>
      <c r="J476" s="119"/>
      <c r="M476" s="118"/>
      <c r="O476" s="118"/>
      <c r="Q476" s="118"/>
      <c r="S476" s="118"/>
      <c r="U476" s="118"/>
      <c r="W476" s="118"/>
      <c r="Y476" s="118"/>
      <c r="AA476" s="118"/>
      <c r="AC476" s="118"/>
      <c r="AE476" s="118"/>
      <c r="AF476" s="119"/>
    </row>
    <row r="477" spans="1:32" x14ac:dyDescent="0.3">
      <c r="A477" s="118"/>
      <c r="C477" s="118"/>
      <c r="E477" s="118"/>
      <c r="G477" s="118"/>
      <c r="I477" s="118"/>
      <c r="J477" s="119"/>
      <c r="M477" s="118"/>
      <c r="O477" s="118"/>
      <c r="Q477" s="118"/>
      <c r="S477" s="118"/>
      <c r="U477" s="118"/>
      <c r="W477" s="118"/>
      <c r="Y477" s="118"/>
      <c r="AA477" s="118"/>
      <c r="AC477" s="118"/>
      <c r="AE477" s="118"/>
      <c r="AF477" s="119"/>
    </row>
    <row r="478" spans="1:32" x14ac:dyDescent="0.3">
      <c r="A478" s="118"/>
      <c r="C478" s="118"/>
      <c r="E478" s="118"/>
      <c r="G478" s="118"/>
      <c r="I478" s="118"/>
      <c r="J478" s="119"/>
      <c r="M478" s="118"/>
      <c r="O478" s="118"/>
      <c r="Q478" s="118"/>
      <c r="S478" s="118"/>
      <c r="U478" s="118"/>
      <c r="W478" s="118"/>
      <c r="Y478" s="118"/>
      <c r="AA478" s="118"/>
      <c r="AC478" s="118"/>
      <c r="AE478" s="118"/>
      <c r="AF478" s="119"/>
    </row>
    <row r="479" spans="1:32" x14ac:dyDescent="0.3">
      <c r="A479" s="118"/>
      <c r="C479" s="118"/>
      <c r="E479" s="118"/>
      <c r="G479" s="118"/>
      <c r="I479" s="118"/>
      <c r="J479" s="119"/>
      <c r="M479" s="118"/>
      <c r="O479" s="118"/>
      <c r="Q479" s="118"/>
      <c r="S479" s="118"/>
      <c r="U479" s="118"/>
      <c r="W479" s="118"/>
      <c r="Y479" s="118"/>
      <c r="AA479" s="118"/>
      <c r="AC479" s="118"/>
      <c r="AE479" s="118"/>
      <c r="AF479" s="119"/>
    </row>
    <row r="480" spans="1:32" x14ac:dyDescent="0.3">
      <c r="A480" s="118"/>
      <c r="C480" s="118"/>
      <c r="E480" s="118"/>
      <c r="G480" s="118"/>
      <c r="I480" s="118"/>
      <c r="J480" s="119"/>
      <c r="M480" s="118"/>
      <c r="O480" s="118"/>
      <c r="Q480" s="118"/>
      <c r="S480" s="118"/>
      <c r="U480" s="118"/>
      <c r="W480" s="118"/>
      <c r="Y480" s="118"/>
      <c r="AA480" s="118"/>
      <c r="AC480" s="118"/>
      <c r="AE480" s="118"/>
      <c r="AF480" s="119"/>
    </row>
    <row r="481" spans="1:32" x14ac:dyDescent="0.3">
      <c r="A481" s="118"/>
      <c r="C481" s="118"/>
      <c r="E481" s="118"/>
      <c r="G481" s="118"/>
      <c r="I481" s="118"/>
      <c r="J481" s="119"/>
      <c r="M481" s="118"/>
      <c r="O481" s="118"/>
      <c r="Q481" s="118"/>
      <c r="S481" s="118"/>
      <c r="U481" s="118"/>
      <c r="W481" s="118"/>
      <c r="Y481" s="118"/>
      <c r="AA481" s="118"/>
      <c r="AC481" s="118"/>
      <c r="AE481" s="118"/>
      <c r="AF481" s="119"/>
    </row>
    <row r="482" spans="1:32" x14ac:dyDescent="0.3">
      <c r="A482" s="118"/>
      <c r="C482" s="118"/>
      <c r="E482" s="118"/>
      <c r="G482" s="118"/>
      <c r="I482" s="118"/>
      <c r="J482" s="119"/>
      <c r="M482" s="118"/>
      <c r="O482" s="118"/>
      <c r="Q482" s="118"/>
      <c r="S482" s="118"/>
      <c r="U482" s="118"/>
      <c r="W482" s="118"/>
      <c r="Y482" s="118"/>
      <c r="AA482" s="118"/>
      <c r="AC482" s="118"/>
      <c r="AE482" s="118"/>
      <c r="AF482" s="119"/>
    </row>
    <row r="483" spans="1:32" x14ac:dyDescent="0.3">
      <c r="A483" s="118"/>
      <c r="C483" s="118"/>
      <c r="E483" s="118"/>
      <c r="G483" s="118"/>
      <c r="I483" s="118"/>
      <c r="J483" s="119"/>
      <c r="M483" s="118"/>
      <c r="O483" s="118"/>
      <c r="Q483" s="118"/>
      <c r="S483" s="118"/>
      <c r="U483" s="118"/>
      <c r="W483" s="118"/>
      <c r="Y483" s="118"/>
      <c r="AA483" s="118"/>
      <c r="AC483" s="118"/>
      <c r="AE483" s="118"/>
      <c r="AF483" s="119"/>
    </row>
    <row r="484" spans="1:32" x14ac:dyDescent="0.3">
      <c r="A484" s="118"/>
      <c r="C484" s="118"/>
      <c r="E484" s="118"/>
      <c r="G484" s="118"/>
      <c r="I484" s="118"/>
      <c r="J484" s="119"/>
      <c r="M484" s="118"/>
      <c r="O484" s="118"/>
      <c r="Q484" s="118"/>
      <c r="S484" s="118"/>
      <c r="U484" s="118"/>
      <c r="W484" s="118"/>
      <c r="Y484" s="118"/>
      <c r="AA484" s="118"/>
      <c r="AC484" s="118"/>
      <c r="AE484" s="118"/>
      <c r="AF484" s="119"/>
    </row>
    <row r="485" spans="1:32" x14ac:dyDescent="0.3">
      <c r="A485" s="118"/>
      <c r="C485" s="118"/>
      <c r="E485" s="118"/>
      <c r="G485" s="118"/>
      <c r="I485" s="118"/>
      <c r="J485" s="119"/>
      <c r="M485" s="118"/>
      <c r="O485" s="118"/>
      <c r="Q485" s="118"/>
      <c r="S485" s="118"/>
      <c r="U485" s="118"/>
      <c r="W485" s="118"/>
      <c r="Y485" s="118"/>
      <c r="AA485" s="118"/>
      <c r="AC485" s="118"/>
      <c r="AE485" s="118"/>
      <c r="AF485" s="119"/>
    </row>
    <row r="486" spans="1:32" x14ac:dyDescent="0.3">
      <c r="A486" s="118"/>
      <c r="C486" s="118"/>
      <c r="E486" s="118"/>
      <c r="G486" s="118"/>
      <c r="I486" s="118"/>
      <c r="J486" s="119"/>
      <c r="M486" s="118"/>
      <c r="O486" s="118"/>
      <c r="Q486" s="118"/>
      <c r="S486" s="118"/>
      <c r="U486" s="118"/>
      <c r="W486" s="118"/>
      <c r="Y486" s="118"/>
      <c r="AA486" s="118"/>
      <c r="AC486" s="118"/>
      <c r="AE486" s="118"/>
      <c r="AF486" s="119"/>
    </row>
    <row r="487" spans="1:32" x14ac:dyDescent="0.3">
      <c r="A487" s="118"/>
      <c r="C487" s="118"/>
      <c r="E487" s="118"/>
      <c r="G487" s="118"/>
      <c r="I487" s="118"/>
      <c r="J487" s="119"/>
      <c r="M487" s="118"/>
      <c r="O487" s="118"/>
      <c r="Q487" s="118"/>
      <c r="S487" s="118"/>
      <c r="U487" s="118"/>
      <c r="W487" s="118"/>
      <c r="Y487" s="118"/>
      <c r="AA487" s="118"/>
      <c r="AC487" s="118"/>
      <c r="AE487" s="118"/>
      <c r="AF487" s="119"/>
    </row>
    <row r="488" spans="1:32" x14ac:dyDescent="0.3">
      <c r="A488" s="118"/>
      <c r="C488" s="118"/>
      <c r="E488" s="118"/>
      <c r="G488" s="118"/>
      <c r="I488" s="118"/>
      <c r="J488" s="119"/>
      <c r="M488" s="118"/>
      <c r="O488" s="118"/>
      <c r="Q488" s="118"/>
      <c r="S488" s="118"/>
      <c r="U488" s="118"/>
      <c r="W488" s="118"/>
      <c r="Y488" s="118"/>
      <c r="AA488" s="118"/>
      <c r="AC488" s="118"/>
      <c r="AE488" s="118"/>
      <c r="AF488" s="119"/>
    </row>
    <row r="489" spans="1:32" x14ac:dyDescent="0.3">
      <c r="A489" s="118"/>
      <c r="C489" s="118"/>
      <c r="E489" s="118"/>
      <c r="G489" s="118"/>
      <c r="I489" s="118"/>
      <c r="J489" s="119"/>
      <c r="M489" s="118"/>
      <c r="O489" s="118"/>
      <c r="Q489" s="118"/>
      <c r="S489" s="118"/>
      <c r="U489" s="118"/>
      <c r="W489" s="118"/>
      <c r="Y489" s="118"/>
      <c r="AA489" s="118"/>
      <c r="AC489" s="118"/>
      <c r="AE489" s="118"/>
      <c r="AF489" s="119"/>
    </row>
    <row r="490" spans="1:32" x14ac:dyDescent="0.3">
      <c r="A490" s="118"/>
      <c r="C490" s="118"/>
      <c r="E490" s="118"/>
      <c r="G490" s="118"/>
      <c r="I490" s="118"/>
      <c r="J490" s="119"/>
      <c r="M490" s="118"/>
      <c r="O490" s="118"/>
      <c r="Q490" s="118"/>
      <c r="S490" s="118"/>
      <c r="U490" s="118"/>
      <c r="W490" s="118"/>
      <c r="Y490" s="118"/>
      <c r="AA490" s="118"/>
      <c r="AC490" s="118"/>
      <c r="AE490" s="118"/>
      <c r="AF490" s="119"/>
    </row>
    <row r="491" spans="1:32" x14ac:dyDescent="0.3">
      <c r="A491" s="118"/>
      <c r="C491" s="118"/>
      <c r="E491" s="118"/>
      <c r="G491" s="118"/>
      <c r="I491" s="118"/>
      <c r="J491" s="119"/>
      <c r="M491" s="118"/>
      <c r="O491" s="118"/>
      <c r="Q491" s="118"/>
      <c r="S491" s="118"/>
      <c r="U491" s="118"/>
      <c r="W491" s="118"/>
      <c r="Y491" s="118"/>
      <c r="AA491" s="118"/>
      <c r="AC491" s="118"/>
      <c r="AE491" s="118"/>
      <c r="AF491" s="119"/>
    </row>
    <row r="492" spans="1:32" x14ac:dyDescent="0.3">
      <c r="A492" s="118"/>
      <c r="C492" s="118"/>
      <c r="E492" s="118"/>
      <c r="G492" s="118"/>
      <c r="I492" s="118"/>
      <c r="J492" s="119"/>
      <c r="M492" s="118"/>
      <c r="O492" s="118"/>
      <c r="Q492" s="118"/>
      <c r="S492" s="118"/>
      <c r="U492" s="118"/>
      <c r="W492" s="118"/>
      <c r="Y492" s="118"/>
      <c r="AA492" s="118"/>
      <c r="AC492" s="118"/>
      <c r="AE492" s="118"/>
      <c r="AF492" s="119"/>
    </row>
    <row r="493" spans="1:32" x14ac:dyDescent="0.3">
      <c r="A493" s="118"/>
      <c r="C493" s="118"/>
      <c r="E493" s="118"/>
      <c r="G493" s="118"/>
      <c r="I493" s="118"/>
      <c r="J493" s="119"/>
      <c r="M493" s="118"/>
      <c r="O493" s="118"/>
      <c r="Q493" s="118"/>
      <c r="S493" s="118"/>
      <c r="U493" s="118"/>
      <c r="W493" s="118"/>
      <c r="Y493" s="118"/>
      <c r="AA493" s="118"/>
      <c r="AC493" s="118"/>
      <c r="AE493" s="118"/>
      <c r="AF493" s="119"/>
    </row>
    <row r="494" spans="1:32" x14ac:dyDescent="0.3">
      <c r="A494" s="118"/>
      <c r="C494" s="118"/>
      <c r="E494" s="118"/>
      <c r="G494" s="118"/>
      <c r="I494" s="118"/>
      <c r="J494" s="119"/>
      <c r="M494" s="118"/>
      <c r="O494" s="118"/>
      <c r="Q494" s="118"/>
      <c r="S494" s="118"/>
      <c r="U494" s="118"/>
      <c r="W494" s="118"/>
      <c r="Y494" s="118"/>
      <c r="AA494" s="118"/>
      <c r="AC494" s="118"/>
      <c r="AE494" s="118"/>
      <c r="AF494" s="119"/>
    </row>
    <row r="495" spans="1:32" x14ac:dyDescent="0.3">
      <c r="A495" s="118"/>
      <c r="C495" s="118"/>
      <c r="E495" s="118"/>
      <c r="G495" s="118"/>
      <c r="I495" s="118"/>
      <c r="J495" s="119"/>
      <c r="M495" s="118"/>
      <c r="O495" s="118"/>
      <c r="Q495" s="118"/>
      <c r="S495" s="118"/>
      <c r="U495" s="118"/>
      <c r="W495" s="118"/>
      <c r="Y495" s="118"/>
      <c r="AA495" s="118"/>
      <c r="AC495" s="118"/>
      <c r="AE495" s="118"/>
      <c r="AF495" s="119"/>
    </row>
    <row r="496" spans="1:32" x14ac:dyDescent="0.3">
      <c r="A496" s="118"/>
      <c r="C496" s="118"/>
      <c r="E496" s="118"/>
      <c r="G496" s="118"/>
      <c r="I496" s="118"/>
      <c r="J496" s="119"/>
      <c r="M496" s="118"/>
      <c r="O496" s="118"/>
      <c r="Q496" s="118"/>
      <c r="S496" s="118"/>
      <c r="U496" s="118"/>
      <c r="W496" s="118"/>
      <c r="Y496" s="118"/>
      <c r="AA496" s="118"/>
      <c r="AC496" s="118"/>
      <c r="AE496" s="118"/>
      <c r="AF496" s="119"/>
    </row>
    <row r="497" spans="1:32" x14ac:dyDescent="0.3">
      <c r="A497" s="118"/>
      <c r="C497" s="118"/>
      <c r="E497" s="118"/>
      <c r="G497" s="118"/>
      <c r="I497" s="118"/>
      <c r="J497" s="119"/>
      <c r="M497" s="118"/>
      <c r="O497" s="118"/>
      <c r="Q497" s="118"/>
      <c r="S497" s="118"/>
      <c r="U497" s="118"/>
      <c r="W497" s="118"/>
      <c r="Y497" s="118"/>
      <c r="AA497" s="118"/>
      <c r="AC497" s="118"/>
      <c r="AE497" s="118"/>
      <c r="AF497" s="119"/>
    </row>
    <row r="498" spans="1:32" x14ac:dyDescent="0.3">
      <c r="A498" s="118"/>
      <c r="C498" s="118"/>
      <c r="E498" s="118"/>
      <c r="G498" s="118"/>
      <c r="I498" s="118"/>
      <c r="J498" s="119"/>
      <c r="M498" s="118"/>
      <c r="O498" s="118"/>
      <c r="Q498" s="118"/>
      <c r="S498" s="118"/>
      <c r="U498" s="118"/>
      <c r="W498" s="118"/>
      <c r="Y498" s="118"/>
      <c r="AA498" s="118"/>
      <c r="AC498" s="118"/>
      <c r="AE498" s="118"/>
      <c r="AF498" s="119"/>
    </row>
    <row r="499" spans="1:32" x14ac:dyDescent="0.3">
      <c r="A499" s="118"/>
      <c r="C499" s="118"/>
      <c r="E499" s="118"/>
      <c r="G499" s="118"/>
      <c r="I499" s="118"/>
      <c r="J499" s="119"/>
      <c r="M499" s="118"/>
      <c r="O499" s="118"/>
      <c r="Q499" s="118"/>
      <c r="S499" s="118"/>
      <c r="U499" s="118"/>
      <c r="W499" s="118"/>
      <c r="Y499" s="118"/>
      <c r="AA499" s="118"/>
      <c r="AC499" s="118"/>
      <c r="AE499" s="118"/>
      <c r="AF499" s="119"/>
    </row>
    <row r="500" spans="1:32" x14ac:dyDescent="0.3">
      <c r="A500" s="118"/>
      <c r="C500" s="118"/>
      <c r="E500" s="118"/>
      <c r="G500" s="118"/>
      <c r="I500" s="118"/>
      <c r="J500" s="119"/>
      <c r="M500" s="118"/>
      <c r="O500" s="118"/>
      <c r="Q500" s="118"/>
      <c r="S500" s="118"/>
      <c r="U500" s="118"/>
      <c r="W500" s="118"/>
      <c r="Y500" s="118"/>
      <c r="AA500" s="118"/>
      <c r="AC500" s="118"/>
      <c r="AE500" s="118"/>
      <c r="AF500" s="119"/>
    </row>
    <row r="501" spans="1:32" x14ac:dyDescent="0.3">
      <c r="A501" s="118"/>
      <c r="C501" s="118"/>
      <c r="E501" s="118"/>
      <c r="G501" s="118"/>
      <c r="I501" s="118"/>
      <c r="J501" s="119"/>
      <c r="M501" s="118"/>
      <c r="O501" s="118"/>
      <c r="Q501" s="118"/>
      <c r="S501" s="118"/>
      <c r="U501" s="118"/>
      <c r="W501" s="118"/>
      <c r="Y501" s="118"/>
      <c r="AA501" s="118"/>
      <c r="AC501" s="118"/>
      <c r="AE501" s="118"/>
      <c r="AF501" s="119"/>
    </row>
    <row r="502" spans="1:32" x14ac:dyDescent="0.3">
      <c r="A502" s="118"/>
      <c r="C502" s="118"/>
      <c r="E502" s="118"/>
      <c r="G502" s="118"/>
      <c r="I502" s="118"/>
      <c r="J502" s="119"/>
      <c r="M502" s="118"/>
      <c r="O502" s="118"/>
      <c r="Q502" s="118"/>
      <c r="S502" s="118"/>
      <c r="U502" s="118"/>
      <c r="W502" s="118"/>
      <c r="Y502" s="118"/>
      <c r="AA502" s="118"/>
      <c r="AC502" s="118"/>
      <c r="AE502" s="118"/>
      <c r="AF502" s="119"/>
    </row>
    <row r="503" spans="1:32" x14ac:dyDescent="0.3">
      <c r="A503" s="118"/>
      <c r="C503" s="118"/>
      <c r="E503" s="118"/>
      <c r="G503" s="118"/>
      <c r="I503" s="118"/>
      <c r="J503" s="119"/>
      <c r="M503" s="118"/>
      <c r="O503" s="118"/>
      <c r="Q503" s="118"/>
      <c r="S503" s="118"/>
      <c r="U503" s="118"/>
      <c r="W503" s="118"/>
      <c r="Y503" s="118"/>
      <c r="AA503" s="118"/>
      <c r="AC503" s="118"/>
      <c r="AE503" s="118"/>
      <c r="AF503" s="119"/>
    </row>
    <row r="504" spans="1:32" x14ac:dyDescent="0.3">
      <c r="A504" s="118"/>
      <c r="C504" s="118"/>
      <c r="E504" s="118"/>
      <c r="G504" s="118"/>
      <c r="I504" s="118"/>
      <c r="J504" s="119"/>
      <c r="M504" s="118"/>
      <c r="O504" s="118"/>
      <c r="Q504" s="118"/>
      <c r="S504" s="118"/>
      <c r="U504" s="118"/>
      <c r="W504" s="118"/>
      <c r="Y504" s="118"/>
      <c r="AA504" s="118"/>
      <c r="AC504" s="118"/>
      <c r="AE504" s="118"/>
      <c r="AF504" s="119"/>
    </row>
    <row r="505" spans="1:32" x14ac:dyDescent="0.3">
      <c r="A505" s="118"/>
      <c r="C505" s="118"/>
      <c r="E505" s="118"/>
      <c r="G505" s="118"/>
      <c r="I505" s="118"/>
      <c r="J505" s="119"/>
      <c r="M505" s="118"/>
      <c r="O505" s="118"/>
      <c r="Q505" s="118"/>
      <c r="S505" s="118"/>
      <c r="U505" s="118"/>
      <c r="W505" s="118"/>
      <c r="Y505" s="118"/>
      <c r="AA505" s="118"/>
      <c r="AC505" s="118"/>
      <c r="AE505" s="118"/>
      <c r="AF505" s="119"/>
    </row>
    <row r="506" spans="1:32" x14ac:dyDescent="0.3">
      <c r="A506" s="118"/>
      <c r="C506" s="118"/>
      <c r="E506" s="118"/>
      <c r="G506" s="118"/>
      <c r="I506" s="118"/>
      <c r="J506" s="119"/>
      <c r="M506" s="118"/>
      <c r="O506" s="118"/>
      <c r="Q506" s="118"/>
      <c r="S506" s="118"/>
      <c r="U506" s="118"/>
      <c r="W506" s="118"/>
      <c r="Y506" s="118"/>
      <c r="AA506" s="118"/>
      <c r="AC506" s="118"/>
      <c r="AE506" s="118"/>
      <c r="AF506" s="119"/>
    </row>
    <row r="507" spans="1:32" x14ac:dyDescent="0.3">
      <c r="A507" s="118"/>
      <c r="C507" s="118"/>
      <c r="E507" s="118"/>
      <c r="G507" s="118"/>
      <c r="I507" s="118"/>
      <c r="J507" s="119"/>
      <c r="M507" s="118"/>
      <c r="O507" s="118"/>
      <c r="Q507" s="118"/>
      <c r="S507" s="118"/>
      <c r="U507" s="118"/>
      <c r="W507" s="118"/>
      <c r="Y507" s="118"/>
      <c r="AA507" s="118"/>
      <c r="AC507" s="118"/>
      <c r="AE507" s="118"/>
      <c r="AF507" s="119"/>
    </row>
    <row r="508" spans="1:32" x14ac:dyDescent="0.3">
      <c r="A508" s="118"/>
      <c r="C508" s="118"/>
      <c r="E508" s="118"/>
      <c r="G508" s="118"/>
      <c r="I508" s="118"/>
      <c r="J508" s="119"/>
      <c r="M508" s="118"/>
      <c r="O508" s="118"/>
      <c r="Q508" s="118"/>
      <c r="S508" s="118"/>
      <c r="U508" s="118"/>
      <c r="W508" s="118"/>
      <c r="Y508" s="118"/>
      <c r="AA508" s="118"/>
      <c r="AC508" s="118"/>
      <c r="AE508" s="118"/>
      <c r="AF508" s="119"/>
    </row>
    <row r="509" spans="1:32" x14ac:dyDescent="0.3">
      <c r="A509" s="118"/>
      <c r="C509" s="118"/>
      <c r="E509" s="118"/>
      <c r="G509" s="118"/>
      <c r="I509" s="118"/>
      <c r="J509" s="119"/>
      <c r="M509" s="118"/>
      <c r="O509" s="118"/>
      <c r="Q509" s="118"/>
      <c r="S509" s="118"/>
      <c r="U509" s="118"/>
      <c r="W509" s="118"/>
      <c r="Y509" s="118"/>
      <c r="AA509" s="118"/>
      <c r="AC509" s="118"/>
      <c r="AE509" s="118"/>
      <c r="AF509" s="119"/>
    </row>
    <row r="510" spans="1:32" x14ac:dyDescent="0.3">
      <c r="A510" s="118"/>
      <c r="C510" s="118"/>
      <c r="E510" s="118"/>
      <c r="G510" s="118"/>
      <c r="I510" s="118"/>
      <c r="J510" s="119"/>
      <c r="M510" s="118"/>
      <c r="O510" s="118"/>
      <c r="Q510" s="118"/>
      <c r="S510" s="118"/>
      <c r="U510" s="118"/>
      <c r="W510" s="118"/>
      <c r="Y510" s="118"/>
      <c r="AA510" s="118"/>
      <c r="AC510" s="118"/>
      <c r="AE510" s="118"/>
      <c r="AF510" s="119"/>
    </row>
    <row r="511" spans="1:32" x14ac:dyDescent="0.3">
      <c r="A511" s="118"/>
      <c r="C511" s="118"/>
      <c r="E511" s="118"/>
      <c r="G511" s="118"/>
      <c r="I511" s="118"/>
      <c r="J511" s="119"/>
      <c r="M511" s="118"/>
      <c r="O511" s="118"/>
      <c r="Q511" s="118"/>
      <c r="S511" s="118"/>
      <c r="U511" s="118"/>
      <c r="W511" s="118"/>
      <c r="Y511" s="118"/>
      <c r="AA511" s="118"/>
      <c r="AC511" s="118"/>
      <c r="AE511" s="118"/>
      <c r="AF511" s="119"/>
    </row>
    <row r="512" spans="1:32" x14ac:dyDescent="0.3">
      <c r="A512" s="118"/>
      <c r="C512" s="118"/>
      <c r="E512" s="118"/>
      <c r="G512" s="118"/>
      <c r="I512" s="118"/>
      <c r="J512" s="119"/>
      <c r="M512" s="118"/>
      <c r="O512" s="118"/>
      <c r="Q512" s="118"/>
      <c r="S512" s="118"/>
      <c r="U512" s="118"/>
      <c r="W512" s="118"/>
      <c r="Y512" s="118"/>
      <c r="AA512" s="118"/>
      <c r="AC512" s="118"/>
      <c r="AE512" s="118"/>
      <c r="AF512" s="119"/>
    </row>
    <row r="513" spans="1:32" x14ac:dyDescent="0.3">
      <c r="A513" s="118"/>
      <c r="C513" s="118"/>
      <c r="E513" s="118"/>
      <c r="G513" s="118"/>
      <c r="I513" s="118"/>
      <c r="J513" s="119"/>
      <c r="M513" s="118"/>
      <c r="O513" s="118"/>
      <c r="Q513" s="118"/>
      <c r="S513" s="118"/>
      <c r="U513" s="118"/>
      <c r="W513" s="118"/>
      <c r="Y513" s="118"/>
      <c r="AA513" s="118"/>
      <c r="AC513" s="118"/>
      <c r="AE513" s="118"/>
      <c r="AF513" s="119"/>
    </row>
    <row r="514" spans="1:32" x14ac:dyDescent="0.3">
      <c r="A514" s="118"/>
      <c r="C514" s="118"/>
      <c r="E514" s="118"/>
      <c r="G514" s="118"/>
      <c r="I514" s="118"/>
      <c r="J514" s="119"/>
      <c r="M514" s="118"/>
      <c r="O514" s="118"/>
      <c r="Q514" s="118"/>
      <c r="S514" s="118"/>
      <c r="U514" s="118"/>
      <c r="W514" s="118"/>
      <c r="Y514" s="118"/>
      <c r="AA514" s="118"/>
      <c r="AC514" s="118"/>
      <c r="AE514" s="118"/>
      <c r="AF514" s="119"/>
    </row>
    <row r="515" spans="1:32" x14ac:dyDescent="0.3">
      <c r="A515" s="118"/>
      <c r="C515" s="118"/>
      <c r="E515" s="118"/>
      <c r="G515" s="118"/>
      <c r="I515" s="118"/>
      <c r="J515" s="119"/>
      <c r="M515" s="118"/>
      <c r="O515" s="118"/>
      <c r="Q515" s="118"/>
      <c r="S515" s="118"/>
      <c r="U515" s="118"/>
      <c r="W515" s="118"/>
      <c r="Y515" s="118"/>
      <c r="AA515" s="118"/>
      <c r="AC515" s="118"/>
      <c r="AE515" s="118"/>
      <c r="AF515" s="119"/>
    </row>
    <row r="516" spans="1:32" x14ac:dyDescent="0.3">
      <c r="A516" s="118"/>
      <c r="C516" s="118"/>
      <c r="E516" s="118"/>
      <c r="G516" s="118"/>
      <c r="I516" s="118"/>
      <c r="J516" s="119"/>
      <c r="M516" s="118"/>
      <c r="O516" s="118"/>
      <c r="Q516" s="118"/>
      <c r="S516" s="118"/>
      <c r="U516" s="118"/>
      <c r="W516" s="118"/>
      <c r="Y516" s="118"/>
      <c r="AA516" s="118"/>
      <c r="AC516" s="118"/>
      <c r="AE516" s="118"/>
      <c r="AF516" s="119"/>
    </row>
    <row r="517" spans="1:32" x14ac:dyDescent="0.3">
      <c r="A517" s="118"/>
      <c r="C517" s="118"/>
      <c r="E517" s="118"/>
      <c r="G517" s="118"/>
      <c r="I517" s="118"/>
      <c r="J517" s="119"/>
      <c r="M517" s="118"/>
      <c r="O517" s="118"/>
      <c r="Q517" s="118"/>
      <c r="S517" s="118"/>
      <c r="U517" s="118"/>
      <c r="W517" s="118"/>
      <c r="Y517" s="118"/>
      <c r="AA517" s="118"/>
      <c r="AC517" s="118"/>
      <c r="AE517" s="118"/>
      <c r="AF517" s="119"/>
    </row>
    <row r="518" spans="1:32" x14ac:dyDescent="0.3">
      <c r="A518" s="118"/>
      <c r="C518" s="118"/>
      <c r="E518" s="118"/>
      <c r="G518" s="118"/>
      <c r="I518" s="118"/>
      <c r="J518" s="119"/>
      <c r="M518" s="118"/>
      <c r="O518" s="118"/>
      <c r="Q518" s="118"/>
      <c r="S518" s="118"/>
      <c r="U518" s="118"/>
      <c r="W518" s="118"/>
      <c r="Y518" s="118"/>
      <c r="AA518" s="118"/>
      <c r="AC518" s="118"/>
      <c r="AE518" s="118"/>
      <c r="AF518" s="119"/>
    </row>
    <row r="519" spans="1:32" x14ac:dyDescent="0.3">
      <c r="A519" s="118"/>
      <c r="C519" s="118"/>
      <c r="E519" s="118"/>
      <c r="G519" s="118"/>
      <c r="I519" s="118"/>
      <c r="J519" s="119"/>
      <c r="M519" s="118"/>
      <c r="O519" s="118"/>
      <c r="Q519" s="118"/>
      <c r="S519" s="118"/>
      <c r="U519" s="118"/>
      <c r="W519" s="118"/>
      <c r="Y519" s="118"/>
      <c r="AA519" s="118"/>
      <c r="AC519" s="118"/>
      <c r="AE519" s="118"/>
      <c r="AF519" s="119"/>
    </row>
    <row r="520" spans="1:32" x14ac:dyDescent="0.3">
      <c r="A520" s="118"/>
      <c r="C520" s="118"/>
      <c r="E520" s="118"/>
      <c r="G520" s="118"/>
      <c r="I520" s="118"/>
      <c r="J520" s="119"/>
      <c r="M520" s="118"/>
      <c r="O520" s="118"/>
      <c r="Q520" s="118"/>
      <c r="S520" s="118"/>
      <c r="U520" s="118"/>
      <c r="W520" s="118"/>
      <c r="Y520" s="118"/>
      <c r="AA520" s="118"/>
      <c r="AC520" s="118"/>
      <c r="AE520" s="118"/>
      <c r="AF520" s="119"/>
    </row>
    <row r="521" spans="1:32" x14ac:dyDescent="0.3">
      <c r="A521" s="118"/>
      <c r="C521" s="118"/>
      <c r="E521" s="118"/>
      <c r="G521" s="118"/>
      <c r="I521" s="118"/>
      <c r="J521" s="119"/>
      <c r="M521" s="118"/>
      <c r="O521" s="118"/>
      <c r="Q521" s="118"/>
      <c r="S521" s="118"/>
      <c r="U521" s="118"/>
      <c r="W521" s="118"/>
      <c r="Y521" s="118"/>
      <c r="AA521" s="118"/>
      <c r="AC521" s="118"/>
      <c r="AE521" s="118"/>
      <c r="AF521" s="119"/>
    </row>
    <row r="522" spans="1:32" x14ac:dyDescent="0.3">
      <c r="A522" s="118"/>
      <c r="C522" s="118"/>
      <c r="E522" s="118"/>
      <c r="G522" s="118"/>
      <c r="I522" s="118"/>
      <c r="J522" s="119"/>
      <c r="M522" s="118"/>
      <c r="O522" s="118"/>
      <c r="Q522" s="118"/>
      <c r="S522" s="118"/>
      <c r="U522" s="118"/>
      <c r="W522" s="118"/>
      <c r="Y522" s="118"/>
      <c r="AA522" s="118"/>
      <c r="AC522" s="118"/>
      <c r="AE522" s="118"/>
      <c r="AF522" s="119"/>
    </row>
    <row r="523" spans="1:32" x14ac:dyDescent="0.3">
      <c r="A523" s="118"/>
      <c r="C523" s="118"/>
      <c r="E523" s="118"/>
      <c r="G523" s="118"/>
      <c r="I523" s="118"/>
      <c r="J523" s="119"/>
      <c r="M523" s="118"/>
      <c r="O523" s="118"/>
      <c r="Q523" s="118"/>
      <c r="S523" s="118"/>
      <c r="U523" s="118"/>
      <c r="W523" s="118"/>
      <c r="Y523" s="118"/>
      <c r="AA523" s="118"/>
      <c r="AC523" s="118"/>
      <c r="AE523" s="118"/>
      <c r="AF523" s="119"/>
    </row>
    <row r="524" spans="1:32" x14ac:dyDescent="0.3">
      <c r="A524" s="118"/>
      <c r="C524" s="118"/>
      <c r="E524" s="118"/>
      <c r="G524" s="118"/>
      <c r="I524" s="118"/>
      <c r="J524" s="119"/>
      <c r="M524" s="118"/>
      <c r="O524" s="118"/>
      <c r="Q524" s="118"/>
      <c r="S524" s="118"/>
      <c r="U524" s="118"/>
      <c r="W524" s="118"/>
      <c r="Y524" s="118"/>
      <c r="AA524" s="118"/>
      <c r="AC524" s="118"/>
      <c r="AE524" s="118"/>
      <c r="AF524" s="119"/>
    </row>
    <row r="525" spans="1:32" x14ac:dyDescent="0.3">
      <c r="A525" s="118"/>
      <c r="C525" s="118"/>
      <c r="E525" s="118"/>
      <c r="G525" s="118"/>
      <c r="I525" s="118"/>
      <c r="J525" s="119"/>
      <c r="M525" s="118"/>
      <c r="O525" s="118"/>
      <c r="Q525" s="118"/>
      <c r="S525" s="118"/>
      <c r="U525" s="118"/>
      <c r="W525" s="118"/>
      <c r="Y525" s="118"/>
      <c r="AA525" s="118"/>
      <c r="AC525" s="118"/>
      <c r="AE525" s="118"/>
      <c r="AF525" s="119"/>
    </row>
    <row r="526" spans="1:32" x14ac:dyDescent="0.3">
      <c r="A526" s="118"/>
      <c r="C526" s="118"/>
      <c r="E526" s="118"/>
      <c r="G526" s="118"/>
      <c r="I526" s="118"/>
      <c r="J526" s="119"/>
      <c r="M526" s="118"/>
      <c r="O526" s="118"/>
      <c r="Q526" s="118"/>
      <c r="S526" s="118"/>
      <c r="U526" s="118"/>
      <c r="W526" s="118"/>
      <c r="Y526" s="118"/>
      <c r="AA526" s="118"/>
      <c r="AC526" s="118"/>
      <c r="AE526" s="118"/>
      <c r="AF526" s="119"/>
    </row>
    <row r="527" spans="1:32" x14ac:dyDescent="0.3">
      <c r="A527" s="118"/>
      <c r="C527" s="118"/>
      <c r="E527" s="118"/>
      <c r="G527" s="118"/>
      <c r="I527" s="118"/>
      <c r="J527" s="119"/>
      <c r="M527" s="118"/>
      <c r="O527" s="118"/>
      <c r="Q527" s="118"/>
      <c r="S527" s="118"/>
      <c r="U527" s="118"/>
      <c r="W527" s="118"/>
      <c r="Y527" s="118"/>
      <c r="AA527" s="118"/>
      <c r="AC527" s="118"/>
      <c r="AE527" s="118"/>
      <c r="AF527" s="119"/>
    </row>
    <row r="528" spans="1:32" x14ac:dyDescent="0.3">
      <c r="A528" s="118"/>
      <c r="C528" s="118"/>
      <c r="E528" s="118"/>
      <c r="G528" s="118"/>
      <c r="I528" s="118"/>
      <c r="J528" s="119"/>
      <c r="M528" s="118"/>
      <c r="O528" s="118"/>
      <c r="Q528" s="118"/>
      <c r="S528" s="118"/>
      <c r="U528" s="118"/>
      <c r="W528" s="118"/>
      <c r="Y528" s="118"/>
      <c r="AA528" s="118"/>
      <c r="AC528" s="118"/>
      <c r="AE528" s="118"/>
      <c r="AF528" s="119"/>
    </row>
    <row r="529" spans="1:32" x14ac:dyDescent="0.3">
      <c r="A529" s="118"/>
      <c r="C529" s="118"/>
      <c r="E529" s="118"/>
      <c r="G529" s="118"/>
      <c r="I529" s="118"/>
      <c r="J529" s="119"/>
      <c r="M529" s="118"/>
      <c r="O529" s="118"/>
      <c r="Q529" s="118"/>
      <c r="S529" s="118"/>
      <c r="U529" s="118"/>
      <c r="W529" s="118"/>
      <c r="Y529" s="118"/>
      <c r="AA529" s="118"/>
      <c r="AC529" s="118"/>
      <c r="AE529" s="118"/>
      <c r="AF529" s="119"/>
    </row>
    <row r="530" spans="1:32" x14ac:dyDescent="0.3">
      <c r="A530" s="118"/>
      <c r="C530" s="118"/>
      <c r="E530" s="118"/>
      <c r="G530" s="118"/>
      <c r="I530" s="118"/>
      <c r="J530" s="119"/>
      <c r="M530" s="118"/>
      <c r="O530" s="118"/>
      <c r="Q530" s="118"/>
      <c r="S530" s="118"/>
      <c r="U530" s="118"/>
      <c r="W530" s="118"/>
      <c r="Y530" s="118"/>
      <c r="AA530" s="118"/>
      <c r="AC530" s="118"/>
      <c r="AE530" s="118"/>
      <c r="AF530" s="119"/>
    </row>
    <row r="531" spans="1:32" x14ac:dyDescent="0.3">
      <c r="A531" s="118"/>
      <c r="C531" s="118"/>
      <c r="E531" s="118"/>
      <c r="G531" s="118"/>
      <c r="I531" s="118"/>
      <c r="J531" s="119"/>
      <c r="M531" s="118"/>
      <c r="O531" s="118"/>
      <c r="Q531" s="118"/>
      <c r="S531" s="118"/>
      <c r="U531" s="118"/>
      <c r="W531" s="118"/>
      <c r="Y531" s="118"/>
      <c r="AA531" s="118"/>
      <c r="AC531" s="118"/>
      <c r="AE531" s="118"/>
      <c r="AF531" s="119"/>
    </row>
    <row r="532" spans="1:32" x14ac:dyDescent="0.3">
      <c r="A532" s="118"/>
      <c r="C532" s="118"/>
      <c r="E532" s="118"/>
      <c r="G532" s="118"/>
      <c r="I532" s="118"/>
      <c r="J532" s="119"/>
      <c r="M532" s="118"/>
      <c r="O532" s="118"/>
      <c r="Q532" s="118"/>
      <c r="S532" s="118"/>
      <c r="U532" s="118"/>
      <c r="W532" s="118"/>
      <c r="Y532" s="118"/>
      <c r="AA532" s="118"/>
      <c r="AC532" s="118"/>
      <c r="AE532" s="118"/>
      <c r="AF532" s="119"/>
    </row>
    <row r="533" spans="1:32" x14ac:dyDescent="0.3">
      <c r="A533" s="118"/>
      <c r="C533" s="118"/>
      <c r="E533" s="118"/>
      <c r="G533" s="118"/>
      <c r="I533" s="118"/>
      <c r="J533" s="119"/>
      <c r="M533" s="118"/>
      <c r="O533" s="118"/>
      <c r="Q533" s="118"/>
      <c r="S533" s="118"/>
      <c r="U533" s="118"/>
      <c r="W533" s="118"/>
      <c r="Y533" s="118"/>
      <c r="AA533" s="118"/>
      <c r="AC533" s="118"/>
      <c r="AE533" s="118"/>
      <c r="AF533" s="119"/>
    </row>
    <row r="534" spans="1:32" x14ac:dyDescent="0.3">
      <c r="A534" s="118"/>
      <c r="C534" s="118"/>
      <c r="E534" s="118"/>
      <c r="G534" s="118"/>
      <c r="I534" s="118"/>
      <c r="J534" s="119"/>
      <c r="M534" s="118"/>
      <c r="O534" s="118"/>
      <c r="Q534" s="118"/>
      <c r="S534" s="118"/>
      <c r="U534" s="118"/>
      <c r="W534" s="118"/>
      <c r="Y534" s="118"/>
      <c r="AA534" s="118"/>
      <c r="AC534" s="118"/>
      <c r="AE534" s="118"/>
      <c r="AF534" s="119"/>
    </row>
    <row r="535" spans="1:32" x14ac:dyDescent="0.3">
      <c r="A535" s="118"/>
      <c r="C535" s="118"/>
      <c r="E535" s="118"/>
      <c r="G535" s="118"/>
      <c r="I535" s="118"/>
      <c r="J535" s="119"/>
      <c r="M535" s="118"/>
      <c r="O535" s="118"/>
      <c r="Q535" s="118"/>
      <c r="S535" s="118"/>
      <c r="U535" s="118"/>
      <c r="W535" s="118"/>
      <c r="Y535" s="118"/>
      <c r="AA535" s="118"/>
      <c r="AC535" s="118"/>
      <c r="AE535" s="118"/>
      <c r="AF535" s="119"/>
    </row>
    <row r="536" spans="1:32" x14ac:dyDescent="0.3">
      <c r="A536" s="118"/>
      <c r="C536" s="118"/>
      <c r="E536" s="118"/>
      <c r="G536" s="118"/>
      <c r="I536" s="118"/>
      <c r="J536" s="119"/>
      <c r="M536" s="118"/>
      <c r="O536" s="118"/>
      <c r="Q536" s="118"/>
      <c r="S536" s="118"/>
      <c r="U536" s="118"/>
      <c r="W536" s="118"/>
      <c r="Y536" s="118"/>
      <c r="AA536" s="118"/>
      <c r="AC536" s="118"/>
      <c r="AE536" s="118"/>
      <c r="AF536" s="119"/>
    </row>
    <row r="537" spans="1:32" x14ac:dyDescent="0.3">
      <c r="A537" s="118"/>
      <c r="C537" s="118"/>
      <c r="E537" s="118"/>
      <c r="G537" s="118"/>
      <c r="I537" s="118"/>
      <c r="J537" s="119"/>
      <c r="M537" s="118"/>
      <c r="O537" s="118"/>
      <c r="Q537" s="118"/>
      <c r="S537" s="118"/>
      <c r="U537" s="118"/>
      <c r="W537" s="118"/>
      <c r="Y537" s="118"/>
      <c r="AA537" s="118"/>
      <c r="AC537" s="118"/>
      <c r="AE537" s="118"/>
      <c r="AF537" s="119"/>
    </row>
    <row r="538" spans="1:32" x14ac:dyDescent="0.3">
      <c r="A538" s="118"/>
      <c r="C538" s="118"/>
      <c r="E538" s="118"/>
      <c r="G538" s="118"/>
      <c r="I538" s="118"/>
      <c r="J538" s="119"/>
      <c r="M538" s="118"/>
      <c r="O538" s="118"/>
      <c r="Q538" s="118"/>
      <c r="S538" s="118"/>
      <c r="U538" s="118"/>
      <c r="W538" s="118"/>
      <c r="Y538" s="118"/>
      <c r="AA538" s="118"/>
      <c r="AC538" s="118"/>
      <c r="AE538" s="118"/>
      <c r="AF538" s="119"/>
    </row>
    <row r="539" spans="1:32" x14ac:dyDescent="0.3">
      <c r="A539" s="118"/>
      <c r="C539" s="118"/>
      <c r="E539" s="118"/>
      <c r="G539" s="118"/>
      <c r="I539" s="118"/>
      <c r="J539" s="119"/>
      <c r="M539" s="118"/>
      <c r="O539" s="118"/>
      <c r="Q539" s="118"/>
      <c r="S539" s="118"/>
      <c r="U539" s="118"/>
      <c r="W539" s="118"/>
      <c r="Y539" s="118"/>
      <c r="AA539" s="118"/>
      <c r="AC539" s="118"/>
      <c r="AE539" s="118"/>
      <c r="AF539" s="119"/>
    </row>
    <row r="540" spans="1:32" x14ac:dyDescent="0.3">
      <c r="A540" s="118"/>
      <c r="C540" s="118"/>
      <c r="E540" s="118"/>
      <c r="G540" s="118"/>
      <c r="I540" s="118"/>
      <c r="J540" s="119"/>
      <c r="M540" s="118"/>
      <c r="O540" s="118"/>
      <c r="Q540" s="118"/>
      <c r="S540" s="118"/>
      <c r="U540" s="118"/>
      <c r="W540" s="118"/>
      <c r="Y540" s="118"/>
      <c r="AA540" s="118"/>
      <c r="AC540" s="118"/>
      <c r="AE540" s="118"/>
      <c r="AF540" s="119"/>
    </row>
    <row r="541" spans="1:32" x14ac:dyDescent="0.3">
      <c r="A541" s="118"/>
      <c r="C541" s="118"/>
      <c r="E541" s="118"/>
      <c r="G541" s="118"/>
      <c r="I541" s="118"/>
      <c r="J541" s="119"/>
      <c r="M541" s="118"/>
      <c r="O541" s="118"/>
      <c r="Q541" s="118"/>
      <c r="S541" s="118"/>
      <c r="U541" s="118"/>
      <c r="W541" s="118"/>
      <c r="Y541" s="118"/>
      <c r="AA541" s="118"/>
      <c r="AC541" s="118"/>
      <c r="AE541" s="118"/>
      <c r="AF541" s="119"/>
    </row>
    <row r="542" spans="1:32" x14ac:dyDescent="0.3">
      <c r="A542" s="118"/>
      <c r="C542" s="118"/>
      <c r="E542" s="118"/>
      <c r="G542" s="118"/>
      <c r="I542" s="118"/>
      <c r="J542" s="119"/>
      <c r="M542" s="118"/>
      <c r="O542" s="118"/>
      <c r="Q542" s="118"/>
      <c r="S542" s="118"/>
      <c r="U542" s="118"/>
      <c r="W542" s="118"/>
      <c r="Y542" s="118"/>
      <c r="AA542" s="118"/>
      <c r="AC542" s="118"/>
      <c r="AE542" s="118"/>
      <c r="AF542" s="119"/>
    </row>
    <row r="543" spans="1:32" x14ac:dyDescent="0.3">
      <c r="A543" s="118"/>
      <c r="C543" s="118"/>
      <c r="E543" s="118"/>
      <c r="G543" s="118"/>
      <c r="I543" s="118"/>
      <c r="J543" s="119"/>
      <c r="M543" s="118"/>
      <c r="O543" s="118"/>
      <c r="Q543" s="118"/>
      <c r="S543" s="118"/>
      <c r="U543" s="118"/>
      <c r="W543" s="118"/>
      <c r="Y543" s="118"/>
      <c r="AA543" s="118"/>
      <c r="AC543" s="118"/>
      <c r="AE543" s="118"/>
      <c r="AF543" s="119"/>
    </row>
    <row r="544" spans="1:32" x14ac:dyDescent="0.3">
      <c r="A544" s="118"/>
      <c r="C544" s="118"/>
      <c r="E544" s="118"/>
      <c r="G544" s="118"/>
      <c r="I544" s="118"/>
      <c r="J544" s="119"/>
      <c r="M544" s="118"/>
      <c r="O544" s="118"/>
      <c r="Q544" s="118"/>
      <c r="S544" s="118"/>
      <c r="U544" s="118"/>
      <c r="W544" s="118"/>
      <c r="Y544" s="118"/>
      <c r="AA544" s="118"/>
      <c r="AC544" s="118"/>
      <c r="AE544" s="118"/>
      <c r="AF544" s="119"/>
    </row>
    <row r="545" spans="1:32" x14ac:dyDescent="0.3">
      <c r="A545" s="118"/>
      <c r="C545" s="118"/>
      <c r="E545" s="118"/>
      <c r="G545" s="118"/>
      <c r="I545" s="118"/>
      <c r="J545" s="119"/>
      <c r="M545" s="118"/>
      <c r="O545" s="118"/>
      <c r="Q545" s="118"/>
      <c r="S545" s="118"/>
      <c r="U545" s="118"/>
      <c r="W545" s="118"/>
      <c r="Y545" s="118"/>
      <c r="AA545" s="118"/>
      <c r="AC545" s="118"/>
      <c r="AE545" s="118"/>
      <c r="AF545" s="119"/>
    </row>
    <row r="546" spans="1:32" x14ac:dyDescent="0.3">
      <c r="A546" s="118"/>
      <c r="C546" s="118"/>
      <c r="E546" s="118"/>
      <c r="G546" s="118"/>
      <c r="I546" s="118"/>
      <c r="J546" s="119"/>
      <c r="M546" s="118"/>
      <c r="O546" s="118"/>
      <c r="Q546" s="118"/>
      <c r="S546" s="118"/>
      <c r="U546" s="118"/>
      <c r="W546" s="118"/>
      <c r="Y546" s="118"/>
      <c r="AA546" s="118"/>
      <c r="AC546" s="118"/>
      <c r="AE546" s="118"/>
      <c r="AF546" s="119"/>
    </row>
    <row r="547" spans="1:32" x14ac:dyDescent="0.3">
      <c r="A547" s="118"/>
      <c r="C547" s="118"/>
      <c r="E547" s="118"/>
      <c r="G547" s="118"/>
      <c r="I547" s="118"/>
      <c r="J547" s="119"/>
      <c r="M547" s="118"/>
      <c r="O547" s="118"/>
      <c r="Q547" s="118"/>
      <c r="S547" s="118"/>
      <c r="U547" s="118"/>
      <c r="W547" s="118"/>
      <c r="Y547" s="118"/>
      <c r="AA547" s="118"/>
      <c r="AC547" s="118"/>
      <c r="AE547" s="118"/>
      <c r="AF547" s="119"/>
    </row>
    <row r="548" spans="1:32" x14ac:dyDescent="0.3">
      <c r="A548" s="118"/>
      <c r="C548" s="118"/>
      <c r="E548" s="118"/>
      <c r="G548" s="118"/>
      <c r="I548" s="118"/>
      <c r="J548" s="119"/>
      <c r="M548" s="118"/>
      <c r="O548" s="118"/>
      <c r="Q548" s="118"/>
      <c r="S548" s="118"/>
      <c r="U548" s="118"/>
      <c r="W548" s="118"/>
      <c r="Y548" s="118"/>
      <c r="AA548" s="118"/>
      <c r="AC548" s="118"/>
      <c r="AE548" s="118"/>
      <c r="AF548" s="119"/>
    </row>
    <row r="549" spans="1:32" x14ac:dyDescent="0.3">
      <c r="A549" s="118"/>
      <c r="C549" s="118"/>
      <c r="E549" s="118"/>
      <c r="G549" s="118"/>
      <c r="I549" s="118"/>
      <c r="J549" s="119"/>
      <c r="M549" s="118"/>
      <c r="O549" s="118"/>
      <c r="Q549" s="118"/>
      <c r="S549" s="118"/>
      <c r="U549" s="118"/>
      <c r="W549" s="118"/>
      <c r="Y549" s="118"/>
      <c r="AA549" s="118"/>
      <c r="AC549" s="118"/>
      <c r="AE549" s="118"/>
      <c r="AF549" s="119"/>
    </row>
    <row r="550" spans="1:32" x14ac:dyDescent="0.3">
      <c r="A550" s="118"/>
      <c r="C550" s="118"/>
      <c r="E550" s="118"/>
      <c r="G550" s="118"/>
      <c r="I550" s="118"/>
      <c r="J550" s="119"/>
      <c r="M550" s="118"/>
      <c r="O550" s="118"/>
      <c r="Q550" s="118"/>
      <c r="S550" s="118"/>
      <c r="U550" s="118"/>
      <c r="W550" s="118"/>
      <c r="Y550" s="118"/>
      <c r="AA550" s="118"/>
      <c r="AC550" s="118"/>
      <c r="AE550" s="118"/>
      <c r="AF550" s="119"/>
    </row>
    <row r="551" spans="1:32" x14ac:dyDescent="0.3">
      <c r="A551" s="118"/>
      <c r="C551" s="118"/>
      <c r="E551" s="118"/>
      <c r="G551" s="118"/>
      <c r="I551" s="118"/>
      <c r="J551" s="119"/>
      <c r="M551" s="118"/>
      <c r="O551" s="118"/>
      <c r="Q551" s="118"/>
      <c r="S551" s="118"/>
      <c r="U551" s="118"/>
      <c r="W551" s="118"/>
      <c r="Y551" s="118"/>
      <c r="AA551" s="118"/>
      <c r="AC551" s="118"/>
      <c r="AE551" s="118"/>
      <c r="AF551" s="119"/>
    </row>
    <row r="552" spans="1:32" x14ac:dyDescent="0.3">
      <c r="A552" s="118"/>
      <c r="C552" s="118"/>
      <c r="E552" s="118"/>
      <c r="G552" s="118"/>
      <c r="I552" s="118"/>
      <c r="J552" s="119"/>
      <c r="M552" s="118"/>
      <c r="O552" s="118"/>
      <c r="Q552" s="118"/>
      <c r="S552" s="118"/>
      <c r="U552" s="118"/>
      <c r="W552" s="118"/>
      <c r="Y552" s="118"/>
      <c r="AA552" s="118"/>
      <c r="AC552" s="118"/>
      <c r="AE552" s="118"/>
      <c r="AF552" s="119"/>
    </row>
    <row r="553" spans="1:32" x14ac:dyDescent="0.3">
      <c r="A553" s="118"/>
      <c r="C553" s="118"/>
      <c r="E553" s="118"/>
      <c r="G553" s="118"/>
      <c r="I553" s="118"/>
      <c r="J553" s="119"/>
      <c r="M553" s="118"/>
      <c r="O553" s="118"/>
      <c r="Q553" s="118"/>
      <c r="S553" s="118"/>
      <c r="U553" s="118"/>
      <c r="W553" s="118"/>
      <c r="Y553" s="118"/>
      <c r="AA553" s="118"/>
      <c r="AC553" s="118"/>
      <c r="AE553" s="118"/>
      <c r="AF553" s="119"/>
    </row>
    <row r="554" spans="1:32" x14ac:dyDescent="0.3">
      <c r="A554" s="118"/>
      <c r="C554" s="118"/>
      <c r="E554" s="118"/>
      <c r="G554" s="118"/>
      <c r="I554" s="118"/>
      <c r="J554" s="119"/>
      <c r="M554" s="118"/>
      <c r="O554" s="118"/>
      <c r="Q554" s="118"/>
      <c r="S554" s="118"/>
      <c r="U554" s="118"/>
      <c r="W554" s="118"/>
      <c r="Y554" s="118"/>
      <c r="AA554" s="118"/>
      <c r="AC554" s="118"/>
      <c r="AE554" s="118"/>
      <c r="AF554" s="119"/>
    </row>
    <row r="555" spans="1:32" x14ac:dyDescent="0.3">
      <c r="A555" s="118"/>
      <c r="C555" s="118"/>
      <c r="E555" s="118"/>
      <c r="G555" s="118"/>
      <c r="I555" s="118"/>
      <c r="J555" s="119"/>
      <c r="M555" s="118"/>
      <c r="O555" s="118"/>
      <c r="Q555" s="118"/>
      <c r="S555" s="118"/>
      <c r="U555" s="118"/>
      <c r="W555" s="118"/>
      <c r="Y555" s="118"/>
      <c r="AA555" s="118"/>
      <c r="AC555" s="118"/>
      <c r="AE555" s="118"/>
      <c r="AF555" s="119"/>
    </row>
    <row r="556" spans="1:32" x14ac:dyDescent="0.3">
      <c r="A556" s="118"/>
      <c r="C556" s="118"/>
      <c r="E556" s="118"/>
      <c r="G556" s="118"/>
      <c r="I556" s="118"/>
      <c r="J556" s="119"/>
      <c r="M556" s="118"/>
      <c r="O556" s="118"/>
      <c r="Q556" s="118"/>
      <c r="S556" s="118"/>
      <c r="U556" s="118"/>
      <c r="W556" s="118"/>
      <c r="Y556" s="118"/>
      <c r="AA556" s="118"/>
      <c r="AC556" s="118"/>
      <c r="AE556" s="118"/>
      <c r="AF556" s="119"/>
    </row>
    <row r="557" spans="1:32" x14ac:dyDescent="0.3">
      <c r="A557" s="118"/>
      <c r="C557" s="118"/>
      <c r="E557" s="118"/>
      <c r="G557" s="118"/>
      <c r="I557" s="118"/>
      <c r="J557" s="119"/>
      <c r="M557" s="118"/>
      <c r="O557" s="118"/>
      <c r="Q557" s="118"/>
      <c r="S557" s="118"/>
      <c r="U557" s="118"/>
      <c r="W557" s="118"/>
      <c r="Y557" s="118"/>
      <c r="AA557" s="118"/>
      <c r="AC557" s="118"/>
      <c r="AE557" s="118"/>
      <c r="AF557" s="119"/>
    </row>
    <row r="558" spans="1:32" x14ac:dyDescent="0.3">
      <c r="A558" s="118"/>
      <c r="C558" s="118"/>
      <c r="E558" s="118"/>
      <c r="G558" s="118"/>
      <c r="I558" s="118"/>
      <c r="J558" s="119"/>
      <c r="M558" s="118"/>
      <c r="O558" s="118"/>
      <c r="Q558" s="118"/>
      <c r="S558" s="118"/>
      <c r="U558" s="118"/>
      <c r="W558" s="118"/>
      <c r="Y558" s="118"/>
      <c r="AA558" s="118"/>
      <c r="AC558" s="118"/>
      <c r="AE558" s="118"/>
      <c r="AF558" s="119"/>
    </row>
    <row r="559" spans="1:32" x14ac:dyDescent="0.3">
      <c r="A559" s="118"/>
      <c r="C559" s="118"/>
      <c r="E559" s="118"/>
      <c r="G559" s="118"/>
      <c r="I559" s="118"/>
      <c r="J559" s="119"/>
      <c r="M559" s="118"/>
      <c r="O559" s="118"/>
      <c r="Q559" s="118"/>
      <c r="S559" s="118"/>
      <c r="U559" s="118"/>
      <c r="W559" s="118"/>
      <c r="Y559" s="118"/>
      <c r="AA559" s="118"/>
      <c r="AC559" s="118"/>
      <c r="AE559" s="118"/>
      <c r="AF559" s="119"/>
    </row>
    <row r="560" spans="1:32" x14ac:dyDescent="0.3">
      <c r="A560" s="118"/>
      <c r="C560" s="118"/>
      <c r="E560" s="118"/>
      <c r="G560" s="118"/>
      <c r="I560" s="118"/>
      <c r="J560" s="119"/>
      <c r="M560" s="118"/>
      <c r="O560" s="118"/>
      <c r="Q560" s="118"/>
      <c r="S560" s="118"/>
      <c r="U560" s="118"/>
      <c r="W560" s="118"/>
      <c r="Y560" s="118"/>
      <c r="AA560" s="118"/>
      <c r="AC560" s="118"/>
      <c r="AE560" s="118"/>
      <c r="AF560" s="119"/>
    </row>
    <row r="561" spans="1:32" x14ac:dyDescent="0.3">
      <c r="A561" s="118"/>
      <c r="C561" s="118"/>
      <c r="E561" s="118"/>
      <c r="G561" s="118"/>
      <c r="I561" s="118"/>
      <c r="J561" s="119"/>
      <c r="M561" s="118"/>
      <c r="O561" s="118"/>
      <c r="Q561" s="118"/>
      <c r="S561" s="118"/>
      <c r="U561" s="118"/>
      <c r="W561" s="118"/>
      <c r="Y561" s="118"/>
      <c r="AA561" s="118"/>
      <c r="AC561" s="118"/>
      <c r="AE561" s="118"/>
      <c r="AF561" s="119"/>
    </row>
    <row r="562" spans="1:32" x14ac:dyDescent="0.3">
      <c r="A562" s="118"/>
      <c r="C562" s="118"/>
      <c r="E562" s="118"/>
      <c r="G562" s="118"/>
      <c r="I562" s="118"/>
      <c r="J562" s="119"/>
      <c r="M562" s="118"/>
      <c r="O562" s="118"/>
      <c r="Q562" s="118"/>
      <c r="S562" s="118"/>
      <c r="U562" s="118"/>
      <c r="W562" s="118"/>
      <c r="Y562" s="118"/>
      <c r="AA562" s="118"/>
      <c r="AC562" s="118"/>
      <c r="AE562" s="118"/>
      <c r="AF562" s="119"/>
    </row>
    <row r="563" spans="1:32" x14ac:dyDescent="0.3">
      <c r="A563" s="118"/>
      <c r="C563" s="118"/>
      <c r="E563" s="118"/>
      <c r="G563" s="118"/>
      <c r="I563" s="118"/>
      <c r="J563" s="119"/>
      <c r="M563" s="118"/>
      <c r="O563" s="118"/>
      <c r="Q563" s="118"/>
      <c r="S563" s="118"/>
      <c r="U563" s="118"/>
      <c r="W563" s="118"/>
      <c r="Y563" s="118"/>
      <c r="AA563" s="118"/>
      <c r="AC563" s="118"/>
      <c r="AE563" s="118"/>
      <c r="AF563" s="119"/>
    </row>
    <row r="564" spans="1:32" x14ac:dyDescent="0.3">
      <c r="A564" s="118"/>
      <c r="C564" s="118"/>
      <c r="E564" s="118"/>
      <c r="G564" s="118"/>
      <c r="I564" s="118"/>
      <c r="J564" s="119"/>
      <c r="M564" s="118"/>
      <c r="O564" s="118"/>
      <c r="Q564" s="118"/>
      <c r="S564" s="118"/>
      <c r="U564" s="118"/>
      <c r="W564" s="118"/>
      <c r="Y564" s="118"/>
      <c r="AA564" s="118"/>
      <c r="AC564" s="118"/>
      <c r="AE564" s="118"/>
      <c r="AF564" s="119"/>
    </row>
    <row r="565" spans="1:32" x14ac:dyDescent="0.3">
      <c r="A565" s="118"/>
      <c r="C565" s="118"/>
      <c r="E565" s="118"/>
      <c r="G565" s="118"/>
      <c r="I565" s="118"/>
      <c r="J565" s="119"/>
      <c r="M565" s="118"/>
      <c r="O565" s="118"/>
      <c r="Q565" s="118"/>
      <c r="S565" s="118"/>
      <c r="U565" s="118"/>
      <c r="W565" s="118"/>
      <c r="Y565" s="118"/>
      <c r="AA565" s="118"/>
      <c r="AC565" s="118"/>
      <c r="AE565" s="118"/>
      <c r="AF565" s="119"/>
    </row>
    <row r="566" spans="1:32" x14ac:dyDescent="0.3">
      <c r="A566" s="118"/>
      <c r="C566" s="118"/>
      <c r="E566" s="118"/>
      <c r="G566" s="118"/>
      <c r="I566" s="118"/>
      <c r="J566" s="119"/>
      <c r="M566" s="118"/>
      <c r="O566" s="118"/>
      <c r="Q566" s="118"/>
      <c r="S566" s="118"/>
      <c r="U566" s="118"/>
      <c r="W566" s="118"/>
      <c r="Y566" s="118"/>
      <c r="AA566" s="118"/>
      <c r="AC566" s="118"/>
      <c r="AE566" s="118"/>
      <c r="AF566" s="119"/>
    </row>
    <row r="567" spans="1:32" x14ac:dyDescent="0.3">
      <c r="A567" s="118"/>
      <c r="C567" s="118"/>
      <c r="E567" s="118"/>
      <c r="G567" s="118"/>
      <c r="I567" s="118"/>
      <c r="J567" s="119"/>
      <c r="M567" s="118"/>
      <c r="O567" s="118"/>
      <c r="Q567" s="118"/>
      <c r="S567" s="118"/>
      <c r="U567" s="118"/>
      <c r="W567" s="118"/>
      <c r="Y567" s="118"/>
      <c r="AA567" s="118"/>
      <c r="AC567" s="118"/>
      <c r="AE567" s="118"/>
      <c r="AF567" s="119"/>
    </row>
    <row r="568" spans="1:32" x14ac:dyDescent="0.3">
      <c r="A568" s="118"/>
      <c r="C568" s="118"/>
      <c r="E568" s="118"/>
      <c r="G568" s="118"/>
      <c r="I568" s="118"/>
      <c r="J568" s="119"/>
      <c r="M568" s="118"/>
      <c r="O568" s="118"/>
      <c r="Q568" s="118"/>
      <c r="S568" s="118"/>
      <c r="U568" s="118"/>
      <c r="W568" s="118"/>
      <c r="Y568" s="118"/>
      <c r="AA568" s="118"/>
      <c r="AC568" s="118"/>
      <c r="AE568" s="118"/>
      <c r="AF568" s="119"/>
    </row>
    <row r="569" spans="1:32" x14ac:dyDescent="0.3">
      <c r="A569" s="118"/>
      <c r="C569" s="118"/>
      <c r="E569" s="118"/>
      <c r="G569" s="118"/>
      <c r="I569" s="118"/>
      <c r="J569" s="119"/>
      <c r="M569" s="118"/>
      <c r="O569" s="118"/>
      <c r="Q569" s="118"/>
      <c r="S569" s="118"/>
      <c r="U569" s="118"/>
      <c r="W569" s="118"/>
      <c r="Y569" s="118"/>
      <c r="AA569" s="118"/>
      <c r="AC569" s="118"/>
      <c r="AE569" s="118"/>
      <c r="AF569" s="119"/>
    </row>
    <row r="570" spans="1:32" x14ac:dyDescent="0.3">
      <c r="A570" s="118"/>
      <c r="C570" s="118"/>
      <c r="E570" s="118"/>
      <c r="G570" s="118"/>
      <c r="I570" s="118"/>
      <c r="J570" s="119"/>
      <c r="M570" s="118"/>
      <c r="O570" s="118"/>
      <c r="Q570" s="118"/>
      <c r="S570" s="118"/>
      <c r="U570" s="118"/>
      <c r="W570" s="118"/>
      <c r="Y570" s="118"/>
      <c r="AA570" s="118"/>
      <c r="AC570" s="118"/>
      <c r="AE570" s="118"/>
      <c r="AF570" s="119"/>
    </row>
    <row r="571" spans="1:32" x14ac:dyDescent="0.3">
      <c r="A571" s="118"/>
      <c r="C571" s="118"/>
      <c r="E571" s="118"/>
      <c r="G571" s="118"/>
      <c r="I571" s="118"/>
      <c r="J571" s="119"/>
      <c r="M571" s="118"/>
      <c r="O571" s="118"/>
      <c r="Q571" s="118"/>
      <c r="S571" s="118"/>
      <c r="U571" s="118"/>
      <c r="W571" s="118"/>
      <c r="Y571" s="118"/>
      <c r="AA571" s="118"/>
      <c r="AC571" s="118"/>
      <c r="AE571" s="118"/>
      <c r="AF571" s="119"/>
    </row>
    <row r="572" spans="1:32" x14ac:dyDescent="0.3">
      <c r="A572" s="118"/>
      <c r="C572" s="118"/>
      <c r="E572" s="118"/>
      <c r="G572" s="118"/>
      <c r="I572" s="118"/>
      <c r="J572" s="119"/>
      <c r="M572" s="118"/>
      <c r="O572" s="118"/>
      <c r="Q572" s="118"/>
      <c r="S572" s="118"/>
      <c r="U572" s="118"/>
      <c r="W572" s="118"/>
      <c r="Y572" s="118"/>
      <c r="AA572" s="118"/>
      <c r="AC572" s="118"/>
      <c r="AE572" s="118"/>
      <c r="AF572" s="119"/>
    </row>
    <row r="573" spans="1:32" x14ac:dyDescent="0.3">
      <c r="A573" s="118"/>
      <c r="C573" s="118"/>
      <c r="E573" s="118"/>
      <c r="G573" s="118"/>
      <c r="I573" s="118"/>
      <c r="J573" s="119"/>
      <c r="M573" s="118"/>
      <c r="O573" s="118"/>
      <c r="Q573" s="118"/>
      <c r="S573" s="118"/>
      <c r="U573" s="118"/>
      <c r="W573" s="118"/>
      <c r="Y573" s="118"/>
      <c r="AA573" s="118"/>
      <c r="AC573" s="118"/>
      <c r="AE573" s="118"/>
      <c r="AF573" s="119"/>
    </row>
    <row r="574" spans="1:32" x14ac:dyDescent="0.3">
      <c r="A574" s="118"/>
      <c r="C574" s="118"/>
      <c r="E574" s="118"/>
      <c r="G574" s="118"/>
      <c r="I574" s="118"/>
      <c r="J574" s="119"/>
      <c r="M574" s="118"/>
      <c r="O574" s="118"/>
      <c r="Q574" s="118"/>
      <c r="S574" s="118"/>
      <c r="U574" s="118"/>
      <c r="W574" s="118"/>
      <c r="Y574" s="118"/>
      <c r="AA574" s="118"/>
      <c r="AC574" s="118"/>
      <c r="AE574" s="118"/>
      <c r="AF574" s="119"/>
    </row>
    <row r="575" spans="1:32" x14ac:dyDescent="0.3">
      <c r="A575" s="118"/>
      <c r="C575" s="118"/>
      <c r="E575" s="118"/>
      <c r="G575" s="118"/>
      <c r="I575" s="118"/>
      <c r="J575" s="119"/>
      <c r="M575" s="118"/>
      <c r="O575" s="118"/>
      <c r="Q575" s="118"/>
      <c r="S575" s="118"/>
      <c r="U575" s="118"/>
      <c r="W575" s="118"/>
      <c r="Y575" s="118"/>
      <c r="AA575" s="118"/>
      <c r="AC575" s="118"/>
      <c r="AE575" s="118"/>
      <c r="AF575" s="119"/>
    </row>
    <row r="576" spans="1:32" x14ac:dyDescent="0.3">
      <c r="A576" s="118"/>
      <c r="C576" s="118"/>
      <c r="E576" s="118"/>
      <c r="G576" s="118"/>
      <c r="I576" s="118"/>
      <c r="J576" s="119"/>
      <c r="M576" s="118"/>
      <c r="O576" s="118"/>
      <c r="Q576" s="118"/>
      <c r="S576" s="118"/>
      <c r="U576" s="118"/>
      <c r="W576" s="118"/>
      <c r="Y576" s="118"/>
      <c r="AA576" s="118"/>
      <c r="AC576" s="118"/>
      <c r="AE576" s="118"/>
      <c r="AF576" s="119"/>
    </row>
    <row r="577" spans="1:32" x14ac:dyDescent="0.3">
      <c r="A577" s="118"/>
      <c r="C577" s="118"/>
      <c r="E577" s="118"/>
      <c r="G577" s="118"/>
      <c r="I577" s="118"/>
      <c r="J577" s="119"/>
      <c r="M577" s="118"/>
      <c r="O577" s="118"/>
      <c r="Q577" s="118"/>
      <c r="S577" s="118"/>
      <c r="U577" s="118"/>
      <c r="W577" s="118"/>
      <c r="Y577" s="118"/>
      <c r="AA577" s="118"/>
      <c r="AC577" s="118"/>
      <c r="AE577" s="118"/>
      <c r="AF577" s="119"/>
    </row>
    <row r="578" spans="1:32" x14ac:dyDescent="0.3">
      <c r="A578" s="118"/>
      <c r="C578" s="118"/>
      <c r="E578" s="118"/>
      <c r="G578" s="118"/>
      <c r="I578" s="118"/>
      <c r="J578" s="119"/>
      <c r="M578" s="118"/>
      <c r="O578" s="118"/>
      <c r="Q578" s="118"/>
      <c r="S578" s="118"/>
      <c r="U578" s="118"/>
      <c r="W578" s="118"/>
      <c r="Y578" s="118"/>
      <c r="AA578" s="118"/>
      <c r="AC578" s="118"/>
      <c r="AE578" s="118"/>
      <c r="AF578" s="119"/>
    </row>
    <row r="579" spans="1:32" x14ac:dyDescent="0.3">
      <c r="A579" s="118"/>
      <c r="C579" s="118"/>
      <c r="E579" s="118"/>
      <c r="G579" s="118"/>
      <c r="I579" s="118"/>
      <c r="J579" s="119"/>
      <c r="M579" s="118"/>
      <c r="O579" s="118"/>
      <c r="Q579" s="118"/>
      <c r="S579" s="118"/>
      <c r="U579" s="118"/>
      <c r="W579" s="118"/>
      <c r="Y579" s="118"/>
      <c r="AA579" s="118"/>
      <c r="AC579" s="118"/>
      <c r="AE579" s="118"/>
      <c r="AF579" s="119"/>
    </row>
    <row r="580" spans="1:32" x14ac:dyDescent="0.3">
      <c r="A580" s="118"/>
      <c r="C580" s="118"/>
      <c r="E580" s="118"/>
      <c r="G580" s="118"/>
      <c r="I580" s="118"/>
      <c r="J580" s="119"/>
      <c r="M580" s="118"/>
      <c r="O580" s="118"/>
      <c r="Q580" s="118"/>
      <c r="S580" s="118"/>
      <c r="U580" s="118"/>
      <c r="W580" s="118"/>
      <c r="Y580" s="118"/>
      <c r="AA580" s="118"/>
      <c r="AC580" s="118"/>
      <c r="AE580" s="118"/>
      <c r="AF580" s="119"/>
    </row>
    <row r="581" spans="1:32" x14ac:dyDescent="0.3">
      <c r="A581" s="118"/>
      <c r="C581" s="118"/>
      <c r="E581" s="118"/>
      <c r="G581" s="118"/>
      <c r="I581" s="118"/>
      <c r="J581" s="119"/>
      <c r="M581" s="118"/>
      <c r="O581" s="118"/>
      <c r="Q581" s="118"/>
      <c r="S581" s="118"/>
      <c r="U581" s="118"/>
      <c r="W581" s="118"/>
      <c r="Y581" s="118"/>
      <c r="AA581" s="118"/>
      <c r="AC581" s="118"/>
      <c r="AE581" s="118"/>
      <c r="AF581" s="119"/>
    </row>
    <row r="582" spans="1:32" x14ac:dyDescent="0.3">
      <c r="A582" s="118"/>
      <c r="C582" s="118"/>
      <c r="E582" s="118"/>
      <c r="G582" s="118"/>
      <c r="I582" s="118"/>
      <c r="J582" s="119"/>
      <c r="M582" s="118"/>
      <c r="O582" s="118"/>
      <c r="Q582" s="118"/>
      <c r="S582" s="118"/>
      <c r="U582" s="118"/>
      <c r="W582" s="118"/>
      <c r="Y582" s="118"/>
      <c r="AA582" s="118"/>
      <c r="AC582" s="118"/>
      <c r="AE582" s="118"/>
      <c r="AF582" s="119"/>
    </row>
    <row r="583" spans="1:32" x14ac:dyDescent="0.3">
      <c r="A583" s="118"/>
      <c r="C583" s="118"/>
      <c r="E583" s="118"/>
      <c r="G583" s="118"/>
      <c r="I583" s="118"/>
      <c r="J583" s="119"/>
      <c r="M583" s="118"/>
      <c r="O583" s="118"/>
      <c r="Q583" s="118"/>
      <c r="S583" s="118"/>
      <c r="U583" s="118"/>
      <c r="W583" s="118"/>
      <c r="Y583" s="118"/>
      <c r="AA583" s="118"/>
      <c r="AC583" s="118"/>
      <c r="AE583" s="118"/>
      <c r="AF583" s="119"/>
    </row>
    <row r="584" spans="1:32" x14ac:dyDescent="0.3">
      <c r="A584" s="118"/>
      <c r="C584" s="118"/>
      <c r="E584" s="118"/>
      <c r="G584" s="118"/>
      <c r="I584" s="118"/>
      <c r="J584" s="119"/>
      <c r="M584" s="118"/>
      <c r="O584" s="118"/>
      <c r="Q584" s="118"/>
      <c r="S584" s="118"/>
      <c r="U584" s="118"/>
      <c r="W584" s="118"/>
      <c r="Y584" s="118"/>
      <c r="AA584" s="118"/>
      <c r="AC584" s="118"/>
      <c r="AE584" s="118"/>
      <c r="AF584" s="119"/>
    </row>
    <row r="585" spans="1:32" x14ac:dyDescent="0.3">
      <c r="A585" s="118"/>
      <c r="C585" s="118"/>
      <c r="E585" s="118"/>
      <c r="G585" s="118"/>
      <c r="I585" s="118"/>
      <c r="J585" s="119"/>
      <c r="M585" s="118"/>
      <c r="O585" s="118"/>
      <c r="Q585" s="118"/>
      <c r="S585" s="118"/>
      <c r="U585" s="118"/>
      <c r="W585" s="118"/>
      <c r="Y585" s="118"/>
      <c r="AA585" s="118"/>
      <c r="AC585" s="118"/>
      <c r="AE585" s="118"/>
      <c r="AF585" s="119"/>
    </row>
    <row r="586" spans="1:32" x14ac:dyDescent="0.3">
      <c r="A586" s="118"/>
      <c r="C586" s="118"/>
      <c r="E586" s="118"/>
      <c r="G586" s="118"/>
      <c r="I586" s="118"/>
      <c r="J586" s="119"/>
      <c r="M586" s="118"/>
      <c r="O586" s="118"/>
      <c r="Q586" s="118"/>
      <c r="S586" s="118"/>
      <c r="U586" s="118"/>
      <c r="W586" s="118"/>
      <c r="Y586" s="118"/>
      <c r="AA586" s="118"/>
      <c r="AC586" s="118"/>
      <c r="AE586" s="118"/>
      <c r="AF586" s="119"/>
    </row>
    <row r="587" spans="1:32" x14ac:dyDescent="0.3">
      <c r="A587" s="118"/>
      <c r="C587" s="118"/>
      <c r="E587" s="118"/>
      <c r="G587" s="118"/>
      <c r="I587" s="118"/>
      <c r="J587" s="119"/>
      <c r="M587" s="118"/>
      <c r="O587" s="118"/>
      <c r="Q587" s="118"/>
      <c r="S587" s="118"/>
      <c r="U587" s="118"/>
      <c r="W587" s="118"/>
      <c r="Y587" s="118"/>
      <c r="AA587" s="118"/>
      <c r="AC587" s="118"/>
      <c r="AE587" s="118"/>
      <c r="AF587" s="119"/>
    </row>
    <row r="588" spans="1:32" x14ac:dyDescent="0.3">
      <c r="A588" s="118"/>
      <c r="C588" s="118"/>
      <c r="E588" s="118"/>
      <c r="G588" s="118"/>
      <c r="I588" s="118"/>
      <c r="J588" s="119"/>
      <c r="M588" s="118"/>
      <c r="O588" s="118"/>
      <c r="Q588" s="118"/>
      <c r="S588" s="118"/>
      <c r="U588" s="118"/>
      <c r="W588" s="118"/>
      <c r="Y588" s="118"/>
      <c r="AA588" s="118"/>
      <c r="AC588" s="118"/>
      <c r="AE588" s="118"/>
      <c r="AF588" s="119"/>
    </row>
    <row r="589" spans="1:32" x14ac:dyDescent="0.3">
      <c r="A589" s="118"/>
      <c r="C589" s="118"/>
      <c r="E589" s="118"/>
      <c r="G589" s="118"/>
      <c r="I589" s="118"/>
      <c r="J589" s="119"/>
      <c r="M589" s="118"/>
      <c r="O589" s="118"/>
      <c r="Q589" s="118"/>
      <c r="S589" s="118"/>
      <c r="U589" s="118"/>
      <c r="W589" s="118"/>
      <c r="Y589" s="118"/>
      <c r="AA589" s="118"/>
      <c r="AC589" s="118"/>
      <c r="AE589" s="118"/>
      <c r="AF589" s="119"/>
    </row>
    <row r="590" spans="1:32" x14ac:dyDescent="0.3">
      <c r="A590" s="118"/>
      <c r="C590" s="118"/>
      <c r="E590" s="118"/>
      <c r="G590" s="118"/>
      <c r="I590" s="118"/>
      <c r="J590" s="119"/>
      <c r="M590" s="118"/>
      <c r="O590" s="118"/>
      <c r="Q590" s="118"/>
      <c r="S590" s="118"/>
      <c r="U590" s="118"/>
      <c r="W590" s="118"/>
      <c r="Y590" s="118"/>
      <c r="AA590" s="118"/>
      <c r="AC590" s="118"/>
      <c r="AE590" s="118"/>
      <c r="AF590" s="119"/>
    </row>
    <row r="591" spans="1:32" x14ac:dyDescent="0.3">
      <c r="A591" s="118"/>
      <c r="C591" s="118"/>
      <c r="E591" s="118"/>
      <c r="G591" s="118"/>
      <c r="I591" s="118"/>
      <c r="J591" s="119"/>
      <c r="M591" s="118"/>
      <c r="O591" s="118"/>
      <c r="Q591" s="118"/>
      <c r="S591" s="118"/>
      <c r="U591" s="118"/>
      <c r="W591" s="118"/>
      <c r="Y591" s="118"/>
      <c r="AA591" s="118"/>
      <c r="AC591" s="118"/>
      <c r="AE591" s="118"/>
      <c r="AF591" s="119"/>
    </row>
    <row r="592" spans="1:32" x14ac:dyDescent="0.3">
      <c r="A592" s="118"/>
      <c r="C592" s="118"/>
      <c r="E592" s="118"/>
      <c r="G592" s="118"/>
      <c r="I592" s="118"/>
      <c r="J592" s="119"/>
      <c r="M592" s="118"/>
      <c r="O592" s="118"/>
      <c r="Q592" s="118"/>
      <c r="S592" s="118"/>
      <c r="U592" s="118"/>
      <c r="W592" s="118"/>
      <c r="Y592" s="118"/>
      <c r="AA592" s="118"/>
      <c r="AC592" s="118"/>
      <c r="AE592" s="118"/>
      <c r="AF592" s="119"/>
    </row>
    <row r="593" spans="1:32" x14ac:dyDescent="0.3">
      <c r="A593" s="118"/>
      <c r="C593" s="118"/>
      <c r="E593" s="118"/>
      <c r="G593" s="118"/>
      <c r="I593" s="118"/>
      <c r="J593" s="119"/>
      <c r="M593" s="118"/>
      <c r="O593" s="118"/>
      <c r="Q593" s="118"/>
      <c r="S593" s="118"/>
      <c r="U593" s="118"/>
      <c r="W593" s="118"/>
      <c r="Y593" s="118"/>
      <c r="AA593" s="118"/>
      <c r="AC593" s="118"/>
      <c r="AE593" s="118"/>
      <c r="AF593" s="119"/>
    </row>
    <row r="594" spans="1:32" x14ac:dyDescent="0.3">
      <c r="A594" s="118"/>
      <c r="C594" s="118"/>
      <c r="E594" s="118"/>
      <c r="G594" s="118"/>
      <c r="I594" s="118"/>
      <c r="J594" s="119"/>
      <c r="M594" s="118"/>
      <c r="O594" s="118"/>
      <c r="Q594" s="118"/>
      <c r="S594" s="118"/>
      <c r="U594" s="118"/>
      <c r="W594" s="118"/>
      <c r="Y594" s="118"/>
      <c r="AA594" s="118"/>
      <c r="AC594" s="118"/>
      <c r="AE594" s="118"/>
      <c r="AF594" s="119"/>
    </row>
    <row r="595" spans="1:32" x14ac:dyDescent="0.3">
      <c r="A595" s="118"/>
      <c r="C595" s="118"/>
      <c r="E595" s="118"/>
      <c r="G595" s="118"/>
      <c r="I595" s="118"/>
      <c r="J595" s="119"/>
      <c r="M595" s="118"/>
      <c r="O595" s="118"/>
      <c r="Q595" s="118"/>
      <c r="S595" s="118"/>
      <c r="U595" s="118"/>
      <c r="W595" s="118"/>
      <c r="Y595" s="118"/>
      <c r="AA595" s="118"/>
      <c r="AC595" s="118"/>
      <c r="AE595" s="118"/>
      <c r="AF595" s="119"/>
    </row>
    <row r="596" spans="1:32" x14ac:dyDescent="0.3">
      <c r="A596" s="118"/>
      <c r="C596" s="118"/>
      <c r="E596" s="118"/>
      <c r="G596" s="118"/>
      <c r="I596" s="118"/>
      <c r="J596" s="119"/>
      <c r="M596" s="118"/>
      <c r="O596" s="118"/>
      <c r="Q596" s="118"/>
      <c r="S596" s="118"/>
      <c r="U596" s="118"/>
      <c r="W596" s="118"/>
      <c r="Y596" s="118"/>
      <c r="AA596" s="118"/>
      <c r="AC596" s="118"/>
      <c r="AE596" s="118"/>
      <c r="AF596" s="119"/>
    </row>
    <row r="597" spans="1:32" x14ac:dyDescent="0.3">
      <c r="A597" s="118"/>
      <c r="C597" s="118"/>
      <c r="E597" s="118"/>
      <c r="G597" s="118"/>
      <c r="I597" s="118"/>
      <c r="J597" s="119"/>
      <c r="M597" s="118"/>
      <c r="O597" s="118"/>
      <c r="Q597" s="118"/>
      <c r="S597" s="118"/>
      <c r="U597" s="118"/>
      <c r="W597" s="118"/>
      <c r="Y597" s="118"/>
      <c r="AA597" s="118"/>
      <c r="AC597" s="118"/>
      <c r="AE597" s="118"/>
      <c r="AF597" s="119"/>
    </row>
    <row r="598" spans="1:32" x14ac:dyDescent="0.3">
      <c r="A598" s="118"/>
      <c r="C598" s="118"/>
      <c r="E598" s="118"/>
      <c r="G598" s="118"/>
      <c r="I598" s="118"/>
      <c r="J598" s="119"/>
      <c r="M598" s="118"/>
      <c r="O598" s="118"/>
      <c r="Q598" s="118"/>
      <c r="S598" s="118"/>
      <c r="U598" s="118"/>
      <c r="W598" s="118"/>
      <c r="Y598" s="118"/>
      <c r="AA598" s="118"/>
      <c r="AC598" s="118"/>
      <c r="AE598" s="118"/>
      <c r="AF598" s="119"/>
    </row>
    <row r="599" spans="1:32" x14ac:dyDescent="0.3">
      <c r="A599" s="118"/>
      <c r="C599" s="118"/>
      <c r="E599" s="118"/>
      <c r="G599" s="118"/>
      <c r="I599" s="118"/>
      <c r="J599" s="119"/>
      <c r="M599" s="118"/>
      <c r="O599" s="118"/>
      <c r="Q599" s="118"/>
      <c r="S599" s="118"/>
      <c r="U599" s="118"/>
      <c r="W599" s="118"/>
      <c r="Y599" s="118"/>
      <c r="AA599" s="118"/>
      <c r="AC599" s="118"/>
      <c r="AE599" s="118"/>
      <c r="AF599" s="119"/>
    </row>
    <row r="600" spans="1:32" x14ac:dyDescent="0.3">
      <c r="A600" s="118"/>
      <c r="C600" s="118"/>
      <c r="E600" s="118"/>
      <c r="G600" s="118"/>
      <c r="I600" s="118"/>
      <c r="J600" s="119"/>
      <c r="M600" s="118"/>
      <c r="O600" s="118"/>
      <c r="Q600" s="118"/>
      <c r="S600" s="118"/>
      <c r="U600" s="118"/>
      <c r="W600" s="118"/>
      <c r="Y600" s="118"/>
      <c r="AA600" s="118"/>
      <c r="AC600" s="118"/>
      <c r="AE600" s="118"/>
      <c r="AF600" s="119"/>
    </row>
    <row r="601" spans="1:32" x14ac:dyDescent="0.3">
      <c r="A601" s="118"/>
      <c r="C601" s="118"/>
      <c r="E601" s="118"/>
      <c r="G601" s="118"/>
      <c r="I601" s="118"/>
      <c r="J601" s="119"/>
      <c r="M601" s="118"/>
      <c r="O601" s="118"/>
      <c r="Q601" s="118"/>
      <c r="S601" s="118"/>
      <c r="U601" s="118"/>
      <c r="W601" s="118"/>
      <c r="Y601" s="118"/>
      <c r="AA601" s="118"/>
      <c r="AC601" s="118"/>
      <c r="AE601" s="118"/>
      <c r="AF601" s="119"/>
    </row>
    <row r="602" spans="1:32" x14ac:dyDescent="0.3">
      <c r="A602" s="118"/>
      <c r="C602" s="118"/>
      <c r="E602" s="118"/>
      <c r="G602" s="118"/>
      <c r="I602" s="118"/>
      <c r="J602" s="119"/>
      <c r="M602" s="118"/>
      <c r="O602" s="118"/>
      <c r="Q602" s="118"/>
      <c r="S602" s="118"/>
      <c r="U602" s="118"/>
      <c r="W602" s="118"/>
      <c r="Y602" s="118"/>
      <c r="AA602" s="118"/>
      <c r="AC602" s="118"/>
      <c r="AE602" s="118"/>
      <c r="AF602" s="119"/>
    </row>
    <row r="603" spans="1:32" x14ac:dyDescent="0.3">
      <c r="A603" s="118"/>
      <c r="C603" s="118"/>
      <c r="E603" s="118"/>
      <c r="G603" s="118"/>
      <c r="I603" s="118"/>
      <c r="J603" s="119"/>
      <c r="M603" s="118"/>
      <c r="O603" s="118"/>
      <c r="Q603" s="118"/>
      <c r="S603" s="118"/>
      <c r="U603" s="118"/>
      <c r="W603" s="118"/>
      <c r="Y603" s="118"/>
      <c r="AA603" s="118"/>
      <c r="AC603" s="118"/>
      <c r="AE603" s="118"/>
      <c r="AF603" s="119"/>
    </row>
    <row r="604" spans="1:32" x14ac:dyDescent="0.3">
      <c r="A604" s="118"/>
      <c r="C604" s="118"/>
      <c r="E604" s="118"/>
      <c r="G604" s="118"/>
      <c r="I604" s="118"/>
      <c r="J604" s="119"/>
      <c r="M604" s="118"/>
      <c r="O604" s="118"/>
      <c r="Q604" s="118"/>
      <c r="S604" s="118"/>
      <c r="U604" s="118"/>
      <c r="W604" s="118"/>
      <c r="Y604" s="118"/>
      <c r="AA604" s="118"/>
      <c r="AC604" s="118"/>
      <c r="AE604" s="118"/>
      <c r="AF604" s="119"/>
    </row>
    <row r="605" spans="1:32" x14ac:dyDescent="0.3">
      <c r="A605" s="118"/>
      <c r="C605" s="118"/>
      <c r="E605" s="118"/>
      <c r="G605" s="118"/>
      <c r="I605" s="118"/>
      <c r="J605" s="119"/>
      <c r="M605" s="118"/>
      <c r="O605" s="118"/>
      <c r="Q605" s="118"/>
      <c r="S605" s="118"/>
      <c r="U605" s="118"/>
      <c r="W605" s="118"/>
      <c r="Y605" s="118"/>
      <c r="AA605" s="118"/>
      <c r="AC605" s="118"/>
      <c r="AE605" s="118"/>
      <c r="AF605" s="119"/>
    </row>
    <row r="606" spans="1:32" x14ac:dyDescent="0.3">
      <c r="A606" s="118"/>
      <c r="C606" s="118"/>
      <c r="E606" s="118"/>
      <c r="G606" s="118"/>
      <c r="I606" s="118"/>
      <c r="J606" s="119"/>
      <c r="M606" s="118"/>
      <c r="O606" s="118"/>
      <c r="Q606" s="118"/>
      <c r="S606" s="118"/>
      <c r="U606" s="118"/>
      <c r="W606" s="118"/>
      <c r="Y606" s="118"/>
      <c r="AA606" s="118"/>
      <c r="AC606" s="118"/>
      <c r="AE606" s="118"/>
      <c r="AF606" s="119"/>
    </row>
    <row r="607" spans="1:32" x14ac:dyDescent="0.3">
      <c r="A607" s="118"/>
      <c r="C607" s="118"/>
      <c r="E607" s="118"/>
      <c r="G607" s="118"/>
      <c r="I607" s="118"/>
      <c r="J607" s="119"/>
      <c r="M607" s="118"/>
      <c r="O607" s="118"/>
      <c r="Q607" s="118"/>
      <c r="S607" s="118"/>
      <c r="U607" s="118"/>
      <c r="W607" s="118"/>
      <c r="Y607" s="118"/>
      <c r="AA607" s="118"/>
      <c r="AC607" s="118"/>
      <c r="AE607" s="118"/>
      <c r="AF607" s="119"/>
    </row>
    <row r="608" spans="1:32" x14ac:dyDescent="0.3">
      <c r="A608" s="118"/>
      <c r="C608" s="118"/>
      <c r="E608" s="118"/>
      <c r="G608" s="118"/>
      <c r="I608" s="118"/>
      <c r="J608" s="119"/>
      <c r="M608" s="118"/>
      <c r="O608" s="118"/>
      <c r="Q608" s="118"/>
      <c r="S608" s="118"/>
      <c r="U608" s="118"/>
      <c r="W608" s="118"/>
      <c r="Y608" s="118"/>
      <c r="AA608" s="118"/>
      <c r="AC608" s="118"/>
      <c r="AE608" s="118"/>
      <c r="AF608" s="119"/>
    </row>
    <row r="609" spans="1:32" x14ac:dyDescent="0.3">
      <c r="A609" s="118"/>
      <c r="C609" s="118"/>
      <c r="E609" s="118"/>
      <c r="G609" s="118"/>
      <c r="I609" s="118"/>
      <c r="J609" s="119"/>
      <c r="M609" s="118"/>
      <c r="O609" s="118"/>
      <c r="Q609" s="118"/>
      <c r="S609" s="118"/>
      <c r="U609" s="118"/>
      <c r="W609" s="118"/>
      <c r="Y609" s="118"/>
      <c r="AA609" s="118"/>
      <c r="AC609" s="118"/>
      <c r="AE609" s="118"/>
      <c r="AF609" s="119"/>
    </row>
    <row r="610" spans="1:32" x14ac:dyDescent="0.3">
      <c r="A610" s="118"/>
      <c r="C610" s="118"/>
      <c r="E610" s="118"/>
      <c r="G610" s="118"/>
      <c r="I610" s="118"/>
      <c r="J610" s="119"/>
      <c r="M610" s="118"/>
      <c r="O610" s="118"/>
      <c r="Q610" s="118"/>
      <c r="S610" s="118"/>
      <c r="U610" s="118"/>
      <c r="W610" s="118"/>
      <c r="Y610" s="118"/>
      <c r="AA610" s="118"/>
      <c r="AC610" s="118"/>
      <c r="AE610" s="118"/>
      <c r="AF610" s="119"/>
    </row>
    <row r="611" spans="1:32" x14ac:dyDescent="0.3">
      <c r="A611" s="118"/>
      <c r="C611" s="118"/>
      <c r="E611" s="118"/>
      <c r="G611" s="118"/>
      <c r="I611" s="118"/>
      <c r="J611" s="119"/>
      <c r="M611" s="118"/>
      <c r="O611" s="118"/>
      <c r="Q611" s="118"/>
      <c r="S611" s="118"/>
      <c r="U611" s="118"/>
      <c r="W611" s="118"/>
      <c r="Y611" s="118"/>
      <c r="AA611" s="118"/>
      <c r="AC611" s="118"/>
      <c r="AE611" s="118"/>
      <c r="AF611" s="119"/>
    </row>
    <row r="612" spans="1:32" x14ac:dyDescent="0.3">
      <c r="A612" s="118"/>
      <c r="C612" s="118"/>
      <c r="E612" s="118"/>
      <c r="G612" s="118"/>
      <c r="I612" s="118"/>
      <c r="J612" s="119"/>
      <c r="M612" s="118"/>
      <c r="O612" s="118"/>
      <c r="Q612" s="118"/>
      <c r="S612" s="118"/>
      <c r="U612" s="118"/>
      <c r="W612" s="118"/>
      <c r="Y612" s="118"/>
      <c r="AA612" s="118"/>
      <c r="AC612" s="118"/>
      <c r="AE612" s="118"/>
      <c r="AF612" s="119"/>
    </row>
    <row r="613" spans="1:32" x14ac:dyDescent="0.3">
      <c r="A613" s="118"/>
      <c r="C613" s="118"/>
      <c r="E613" s="118"/>
      <c r="G613" s="118"/>
      <c r="I613" s="118"/>
      <c r="J613" s="119"/>
      <c r="M613" s="118"/>
      <c r="O613" s="118"/>
      <c r="Q613" s="118"/>
      <c r="S613" s="118"/>
      <c r="U613" s="118"/>
      <c r="W613" s="118"/>
      <c r="Y613" s="118"/>
      <c r="AA613" s="118"/>
      <c r="AC613" s="118"/>
      <c r="AE613" s="118"/>
      <c r="AF613" s="119"/>
    </row>
    <row r="614" spans="1:32" x14ac:dyDescent="0.3">
      <c r="A614" s="118"/>
      <c r="C614" s="118"/>
      <c r="E614" s="118"/>
      <c r="G614" s="118"/>
      <c r="I614" s="118"/>
      <c r="J614" s="119"/>
      <c r="M614" s="118"/>
      <c r="O614" s="118"/>
      <c r="Q614" s="118"/>
      <c r="S614" s="118"/>
      <c r="U614" s="118"/>
      <c r="W614" s="118"/>
      <c r="Y614" s="118"/>
      <c r="AA614" s="118"/>
      <c r="AC614" s="118"/>
      <c r="AE614" s="118"/>
      <c r="AF614" s="119"/>
    </row>
    <row r="615" spans="1:32" x14ac:dyDescent="0.3">
      <c r="A615" s="118"/>
      <c r="C615" s="118"/>
      <c r="E615" s="118"/>
      <c r="G615" s="118"/>
      <c r="I615" s="118"/>
      <c r="J615" s="119"/>
      <c r="M615" s="118"/>
      <c r="O615" s="118"/>
      <c r="Q615" s="118"/>
      <c r="S615" s="118"/>
      <c r="U615" s="118"/>
      <c r="W615" s="118"/>
      <c r="Y615" s="118"/>
      <c r="AA615" s="118"/>
      <c r="AC615" s="118"/>
      <c r="AE615" s="118"/>
      <c r="AF615" s="119"/>
    </row>
    <row r="616" spans="1:32" x14ac:dyDescent="0.3">
      <c r="A616" s="118"/>
      <c r="C616" s="118"/>
      <c r="E616" s="118"/>
      <c r="G616" s="118"/>
      <c r="I616" s="118"/>
      <c r="J616" s="119"/>
      <c r="M616" s="118"/>
      <c r="O616" s="118"/>
      <c r="Q616" s="118"/>
      <c r="S616" s="118"/>
      <c r="U616" s="118"/>
      <c r="W616" s="118"/>
      <c r="Y616" s="118"/>
      <c r="AA616" s="118"/>
      <c r="AC616" s="118"/>
      <c r="AE616" s="118"/>
      <c r="AF616" s="119"/>
    </row>
    <row r="617" spans="1:32" x14ac:dyDescent="0.3">
      <c r="A617" s="118"/>
      <c r="C617" s="118"/>
      <c r="E617" s="118"/>
      <c r="G617" s="118"/>
      <c r="I617" s="118"/>
      <c r="J617" s="119"/>
      <c r="M617" s="118"/>
      <c r="O617" s="118"/>
      <c r="Q617" s="118"/>
      <c r="S617" s="118"/>
      <c r="U617" s="118"/>
      <c r="W617" s="118"/>
      <c r="Y617" s="118"/>
      <c r="AA617" s="118"/>
      <c r="AC617" s="118"/>
      <c r="AE617" s="118"/>
      <c r="AF617" s="119"/>
    </row>
    <row r="618" spans="1:32" x14ac:dyDescent="0.3">
      <c r="A618" s="118"/>
      <c r="C618" s="118"/>
      <c r="E618" s="118"/>
      <c r="G618" s="118"/>
      <c r="I618" s="118"/>
      <c r="J618" s="119"/>
      <c r="M618" s="118"/>
      <c r="O618" s="118"/>
      <c r="Q618" s="118"/>
      <c r="S618" s="118"/>
      <c r="U618" s="118"/>
      <c r="W618" s="118"/>
      <c r="Y618" s="118"/>
      <c r="AA618" s="118"/>
      <c r="AC618" s="118"/>
      <c r="AE618" s="118"/>
      <c r="AF618" s="119"/>
    </row>
    <row r="619" spans="1:32" x14ac:dyDescent="0.3">
      <c r="A619" s="118"/>
      <c r="C619" s="118"/>
      <c r="E619" s="118"/>
      <c r="G619" s="118"/>
      <c r="I619" s="118"/>
      <c r="J619" s="119"/>
      <c r="M619" s="118"/>
      <c r="O619" s="118"/>
      <c r="Q619" s="118"/>
      <c r="S619" s="118"/>
      <c r="U619" s="118"/>
      <c r="W619" s="118"/>
      <c r="Y619" s="118"/>
      <c r="AA619" s="118"/>
      <c r="AC619" s="118"/>
      <c r="AE619" s="118"/>
      <c r="AF619" s="119"/>
    </row>
    <row r="620" spans="1:32" x14ac:dyDescent="0.3">
      <c r="A620" s="118"/>
      <c r="C620" s="118"/>
      <c r="E620" s="118"/>
      <c r="G620" s="118"/>
      <c r="I620" s="118"/>
      <c r="J620" s="119"/>
      <c r="M620" s="118"/>
      <c r="O620" s="118"/>
      <c r="Q620" s="118"/>
      <c r="S620" s="118"/>
      <c r="U620" s="118"/>
      <c r="W620" s="118"/>
      <c r="Y620" s="118"/>
      <c r="AA620" s="118"/>
      <c r="AC620" s="118"/>
      <c r="AE620" s="118"/>
      <c r="AF620" s="119"/>
    </row>
    <row r="621" spans="1:32" x14ac:dyDescent="0.3">
      <c r="A621" s="118"/>
      <c r="C621" s="118"/>
      <c r="E621" s="118"/>
      <c r="G621" s="118"/>
      <c r="I621" s="118"/>
      <c r="J621" s="119"/>
      <c r="M621" s="118"/>
      <c r="O621" s="118"/>
      <c r="Q621" s="118"/>
      <c r="S621" s="118"/>
      <c r="U621" s="118"/>
      <c r="W621" s="118"/>
      <c r="Y621" s="118"/>
      <c r="AA621" s="118"/>
      <c r="AC621" s="118"/>
      <c r="AE621" s="118"/>
      <c r="AF621" s="119"/>
    </row>
    <row r="622" spans="1:32" x14ac:dyDescent="0.3">
      <c r="A622" s="118"/>
      <c r="C622" s="118"/>
      <c r="E622" s="118"/>
      <c r="G622" s="118"/>
      <c r="I622" s="118"/>
      <c r="J622" s="119"/>
      <c r="M622" s="118"/>
      <c r="O622" s="118"/>
      <c r="Q622" s="118"/>
      <c r="S622" s="118"/>
      <c r="U622" s="118"/>
      <c r="W622" s="118"/>
      <c r="Y622" s="118"/>
      <c r="AA622" s="118"/>
      <c r="AC622" s="118"/>
      <c r="AE622" s="118"/>
      <c r="AF622" s="119"/>
    </row>
    <row r="623" spans="1:32" x14ac:dyDescent="0.3">
      <c r="A623" s="118"/>
      <c r="C623" s="118"/>
      <c r="E623" s="118"/>
      <c r="G623" s="118"/>
      <c r="I623" s="118"/>
      <c r="J623" s="119"/>
      <c r="M623" s="118"/>
      <c r="O623" s="118"/>
      <c r="Q623" s="118"/>
      <c r="S623" s="118"/>
      <c r="U623" s="118"/>
      <c r="W623" s="118"/>
      <c r="Y623" s="118"/>
      <c r="AA623" s="118"/>
      <c r="AC623" s="118"/>
      <c r="AE623" s="118"/>
      <c r="AF623" s="119"/>
    </row>
    <row r="624" spans="1:32" x14ac:dyDescent="0.3">
      <c r="A624" s="118"/>
      <c r="C624" s="118"/>
      <c r="E624" s="118"/>
      <c r="G624" s="118"/>
      <c r="I624" s="118"/>
      <c r="J624" s="119"/>
      <c r="M624" s="118"/>
      <c r="O624" s="118"/>
      <c r="Q624" s="118"/>
      <c r="S624" s="118"/>
      <c r="U624" s="118"/>
      <c r="W624" s="118"/>
      <c r="Y624" s="118"/>
      <c r="AA624" s="118"/>
      <c r="AC624" s="118"/>
      <c r="AE624" s="118"/>
      <c r="AF624" s="119"/>
    </row>
    <row r="625" spans="1:32" x14ac:dyDescent="0.3">
      <c r="A625" s="118"/>
      <c r="C625" s="118"/>
      <c r="E625" s="118"/>
      <c r="G625" s="118"/>
      <c r="I625" s="118"/>
      <c r="J625" s="119"/>
      <c r="M625" s="118"/>
      <c r="O625" s="118"/>
      <c r="Q625" s="118"/>
      <c r="S625" s="118"/>
      <c r="U625" s="118"/>
      <c r="W625" s="118"/>
      <c r="Y625" s="118"/>
      <c r="AA625" s="118"/>
      <c r="AC625" s="118"/>
      <c r="AE625" s="118"/>
      <c r="AF625" s="119"/>
    </row>
    <row r="626" spans="1:32" x14ac:dyDescent="0.3">
      <c r="A626" s="118"/>
      <c r="C626" s="118"/>
      <c r="E626" s="118"/>
      <c r="G626" s="118"/>
      <c r="I626" s="118"/>
      <c r="J626" s="119"/>
      <c r="M626" s="118"/>
      <c r="O626" s="118"/>
      <c r="Q626" s="118"/>
      <c r="S626" s="118"/>
      <c r="U626" s="118"/>
      <c r="W626" s="118"/>
      <c r="Y626" s="118"/>
      <c r="AA626" s="118"/>
      <c r="AC626" s="118"/>
      <c r="AE626" s="118"/>
      <c r="AF626" s="119"/>
    </row>
    <row r="627" spans="1:32" x14ac:dyDescent="0.3">
      <c r="A627" s="118"/>
      <c r="C627" s="118"/>
      <c r="E627" s="118"/>
      <c r="G627" s="118"/>
      <c r="I627" s="118"/>
      <c r="J627" s="119"/>
      <c r="M627" s="118"/>
      <c r="O627" s="118"/>
      <c r="Q627" s="118"/>
      <c r="S627" s="118"/>
      <c r="U627" s="118"/>
      <c r="W627" s="118"/>
      <c r="Y627" s="118"/>
      <c r="AA627" s="118"/>
      <c r="AC627" s="118"/>
      <c r="AE627" s="118"/>
      <c r="AF627" s="119"/>
    </row>
    <row r="628" spans="1:32" x14ac:dyDescent="0.3">
      <c r="A628" s="118"/>
      <c r="C628" s="118"/>
      <c r="E628" s="118"/>
      <c r="G628" s="118"/>
      <c r="I628" s="118"/>
      <c r="J628" s="119"/>
      <c r="M628" s="118"/>
      <c r="O628" s="118"/>
      <c r="Q628" s="118"/>
      <c r="S628" s="118"/>
      <c r="U628" s="118"/>
      <c r="W628" s="118"/>
      <c r="Y628" s="118"/>
      <c r="AA628" s="118"/>
      <c r="AC628" s="118"/>
      <c r="AE628" s="118"/>
      <c r="AF628" s="119"/>
    </row>
    <row r="629" spans="1:32" x14ac:dyDescent="0.3">
      <c r="A629" s="118"/>
      <c r="C629" s="118"/>
      <c r="E629" s="118"/>
      <c r="G629" s="118"/>
      <c r="I629" s="118"/>
      <c r="J629" s="119"/>
      <c r="M629" s="118"/>
      <c r="O629" s="118"/>
      <c r="Q629" s="118"/>
      <c r="S629" s="118"/>
      <c r="U629" s="118"/>
      <c r="W629" s="118"/>
      <c r="Y629" s="118"/>
      <c r="AA629" s="118"/>
      <c r="AC629" s="118"/>
      <c r="AE629" s="118"/>
      <c r="AF629" s="119"/>
    </row>
    <row r="630" spans="1:32" x14ac:dyDescent="0.3">
      <c r="A630" s="118"/>
      <c r="C630" s="118"/>
      <c r="E630" s="118"/>
      <c r="G630" s="118"/>
      <c r="I630" s="118"/>
      <c r="J630" s="119"/>
      <c r="M630" s="118"/>
      <c r="O630" s="118"/>
      <c r="Q630" s="118"/>
      <c r="S630" s="118"/>
      <c r="U630" s="118"/>
      <c r="W630" s="118"/>
      <c r="Y630" s="118"/>
      <c r="AA630" s="118"/>
      <c r="AC630" s="118"/>
      <c r="AE630" s="118"/>
      <c r="AF630" s="119"/>
    </row>
    <row r="631" spans="1:32" x14ac:dyDescent="0.3">
      <c r="A631" s="118"/>
      <c r="C631" s="118"/>
      <c r="E631" s="118"/>
      <c r="G631" s="118"/>
      <c r="I631" s="118"/>
      <c r="J631" s="119"/>
      <c r="M631" s="118"/>
      <c r="O631" s="118"/>
      <c r="Q631" s="118"/>
      <c r="S631" s="118"/>
      <c r="U631" s="118"/>
      <c r="W631" s="118"/>
      <c r="Y631" s="118"/>
      <c r="AA631" s="118"/>
      <c r="AC631" s="118"/>
      <c r="AE631" s="118"/>
      <c r="AF631" s="119"/>
    </row>
    <row r="632" spans="1:32" x14ac:dyDescent="0.3">
      <c r="A632" s="118"/>
      <c r="C632" s="118"/>
      <c r="E632" s="118"/>
      <c r="G632" s="118"/>
      <c r="I632" s="118"/>
      <c r="J632" s="119"/>
      <c r="M632" s="118"/>
      <c r="O632" s="118"/>
      <c r="Q632" s="118"/>
      <c r="S632" s="118"/>
      <c r="U632" s="118"/>
      <c r="W632" s="118"/>
      <c r="Y632" s="118"/>
      <c r="AA632" s="118"/>
      <c r="AC632" s="118"/>
      <c r="AE632" s="118"/>
      <c r="AF632" s="119"/>
    </row>
    <row r="633" spans="1:32" x14ac:dyDescent="0.3">
      <c r="A633" s="118"/>
      <c r="C633" s="118"/>
      <c r="E633" s="118"/>
      <c r="G633" s="118"/>
      <c r="I633" s="118"/>
      <c r="J633" s="119"/>
      <c r="M633" s="118"/>
      <c r="O633" s="118"/>
      <c r="Q633" s="118"/>
      <c r="S633" s="118"/>
      <c r="U633" s="118"/>
      <c r="W633" s="118"/>
      <c r="Y633" s="118"/>
      <c r="AA633" s="118"/>
      <c r="AC633" s="118"/>
      <c r="AE633" s="118"/>
      <c r="AF633" s="119"/>
    </row>
    <row r="634" spans="1:32" x14ac:dyDescent="0.3">
      <c r="A634" s="118"/>
      <c r="C634" s="118"/>
      <c r="E634" s="118"/>
      <c r="G634" s="118"/>
      <c r="I634" s="118"/>
      <c r="J634" s="119"/>
      <c r="M634" s="118"/>
      <c r="O634" s="118"/>
      <c r="Q634" s="118"/>
      <c r="S634" s="118"/>
      <c r="U634" s="118"/>
      <c r="W634" s="118"/>
      <c r="Y634" s="118"/>
      <c r="AA634" s="118"/>
      <c r="AC634" s="118"/>
      <c r="AE634" s="118"/>
      <c r="AF634" s="119"/>
    </row>
    <row r="635" spans="1:32" x14ac:dyDescent="0.3">
      <c r="A635" s="118"/>
      <c r="C635" s="118"/>
      <c r="E635" s="118"/>
      <c r="G635" s="118"/>
      <c r="I635" s="118"/>
      <c r="J635" s="119"/>
      <c r="M635" s="118"/>
      <c r="O635" s="118"/>
      <c r="Q635" s="118"/>
      <c r="S635" s="118"/>
      <c r="U635" s="118"/>
      <c r="W635" s="118"/>
      <c r="Y635" s="118"/>
      <c r="AA635" s="118"/>
      <c r="AC635" s="118"/>
      <c r="AE635" s="118"/>
      <c r="AF635" s="119"/>
    </row>
    <row r="636" spans="1:32" x14ac:dyDescent="0.3">
      <c r="A636" s="118"/>
      <c r="C636" s="118"/>
      <c r="E636" s="118"/>
      <c r="G636" s="118"/>
      <c r="I636" s="118"/>
      <c r="J636" s="119"/>
      <c r="M636" s="118"/>
      <c r="O636" s="118"/>
      <c r="Q636" s="118"/>
      <c r="S636" s="118"/>
      <c r="U636" s="118"/>
      <c r="W636" s="118"/>
      <c r="Y636" s="118"/>
      <c r="AA636" s="118"/>
      <c r="AC636" s="118"/>
      <c r="AE636" s="118"/>
      <c r="AF636" s="119"/>
    </row>
    <row r="637" spans="1:32" x14ac:dyDescent="0.3">
      <c r="A637" s="118"/>
      <c r="C637" s="118"/>
      <c r="E637" s="118"/>
      <c r="G637" s="118"/>
      <c r="I637" s="118"/>
      <c r="J637" s="119"/>
      <c r="M637" s="118"/>
      <c r="O637" s="118"/>
      <c r="Q637" s="118"/>
      <c r="S637" s="118"/>
      <c r="U637" s="118"/>
      <c r="W637" s="118"/>
      <c r="Y637" s="118"/>
      <c r="AA637" s="118"/>
      <c r="AC637" s="118"/>
      <c r="AE637" s="118"/>
      <c r="AF637" s="119"/>
    </row>
    <row r="638" spans="1:32" x14ac:dyDescent="0.3">
      <c r="A638" s="118"/>
      <c r="C638" s="118"/>
      <c r="E638" s="118"/>
      <c r="G638" s="118"/>
      <c r="I638" s="118"/>
      <c r="J638" s="119"/>
      <c r="M638" s="118"/>
      <c r="O638" s="118"/>
      <c r="Q638" s="118"/>
      <c r="S638" s="118"/>
      <c r="U638" s="118"/>
      <c r="W638" s="118"/>
      <c r="Y638" s="118"/>
      <c r="AA638" s="118"/>
      <c r="AC638" s="118"/>
      <c r="AE638" s="118"/>
      <c r="AF638" s="119"/>
    </row>
    <row r="639" spans="1:32" x14ac:dyDescent="0.3">
      <c r="A639" s="118"/>
      <c r="C639" s="118"/>
      <c r="E639" s="118"/>
      <c r="G639" s="118"/>
      <c r="I639" s="118"/>
      <c r="J639" s="119"/>
      <c r="M639" s="118"/>
      <c r="O639" s="118"/>
      <c r="Q639" s="118"/>
      <c r="S639" s="118"/>
      <c r="U639" s="118"/>
      <c r="W639" s="118"/>
      <c r="Y639" s="118"/>
      <c r="AA639" s="118"/>
      <c r="AC639" s="118"/>
      <c r="AE639" s="118"/>
      <c r="AF639" s="119"/>
    </row>
    <row r="640" spans="1:32" x14ac:dyDescent="0.3">
      <c r="A640" s="118"/>
      <c r="C640" s="118"/>
      <c r="E640" s="118"/>
      <c r="G640" s="118"/>
      <c r="I640" s="118"/>
      <c r="J640" s="119"/>
      <c r="M640" s="118"/>
      <c r="O640" s="118"/>
      <c r="Q640" s="118"/>
      <c r="S640" s="118"/>
      <c r="U640" s="118"/>
      <c r="W640" s="118"/>
      <c r="Y640" s="118"/>
      <c r="AA640" s="118"/>
      <c r="AC640" s="118"/>
      <c r="AE640" s="118"/>
      <c r="AF640" s="119"/>
    </row>
    <row r="641" spans="1:32" x14ac:dyDescent="0.3">
      <c r="A641" s="118"/>
      <c r="C641" s="118"/>
      <c r="E641" s="118"/>
      <c r="G641" s="118"/>
      <c r="I641" s="118"/>
      <c r="J641" s="119"/>
      <c r="M641" s="118"/>
      <c r="O641" s="118"/>
      <c r="Q641" s="118"/>
      <c r="S641" s="118"/>
      <c r="U641" s="118"/>
      <c r="W641" s="118"/>
      <c r="Y641" s="118"/>
      <c r="AA641" s="118"/>
      <c r="AC641" s="118"/>
      <c r="AE641" s="118"/>
      <c r="AF641" s="119"/>
    </row>
    <row r="642" spans="1:32" x14ac:dyDescent="0.3">
      <c r="A642" s="118"/>
      <c r="C642" s="118"/>
      <c r="E642" s="118"/>
      <c r="G642" s="118"/>
      <c r="I642" s="118"/>
      <c r="J642" s="119"/>
      <c r="M642" s="118"/>
      <c r="O642" s="118"/>
      <c r="Q642" s="118"/>
      <c r="S642" s="118"/>
      <c r="U642" s="118"/>
      <c r="W642" s="118"/>
      <c r="Y642" s="118"/>
      <c r="AA642" s="118"/>
      <c r="AC642" s="118"/>
      <c r="AE642" s="118"/>
      <c r="AF642" s="119"/>
    </row>
    <row r="643" spans="1:32" x14ac:dyDescent="0.3">
      <c r="A643" s="118"/>
      <c r="C643" s="118"/>
      <c r="E643" s="118"/>
      <c r="G643" s="118"/>
      <c r="I643" s="118"/>
      <c r="J643" s="119"/>
      <c r="M643" s="118"/>
      <c r="O643" s="118"/>
      <c r="Q643" s="118"/>
      <c r="S643" s="118"/>
      <c r="U643" s="118"/>
      <c r="W643" s="118"/>
      <c r="Y643" s="118"/>
      <c r="AA643" s="118"/>
      <c r="AC643" s="118"/>
      <c r="AE643" s="118"/>
      <c r="AF643" s="119"/>
    </row>
    <row r="644" spans="1:32" x14ac:dyDescent="0.3">
      <c r="A644" s="118"/>
      <c r="C644" s="118"/>
      <c r="E644" s="118"/>
      <c r="G644" s="118"/>
      <c r="I644" s="118"/>
      <c r="J644" s="119"/>
      <c r="M644" s="118"/>
      <c r="O644" s="118"/>
      <c r="Q644" s="118"/>
      <c r="S644" s="118"/>
      <c r="U644" s="118"/>
      <c r="W644" s="118"/>
      <c r="Y644" s="118"/>
      <c r="AA644" s="118"/>
      <c r="AC644" s="118"/>
      <c r="AE644" s="118"/>
      <c r="AF644" s="119"/>
    </row>
    <row r="645" spans="1:32" x14ac:dyDescent="0.3">
      <c r="A645" s="118"/>
      <c r="C645" s="118"/>
      <c r="E645" s="118"/>
      <c r="G645" s="118"/>
      <c r="I645" s="118"/>
      <c r="J645" s="119"/>
      <c r="M645" s="118"/>
      <c r="O645" s="118"/>
      <c r="Q645" s="118"/>
      <c r="S645" s="118"/>
      <c r="U645" s="118"/>
      <c r="W645" s="118"/>
      <c r="Y645" s="118"/>
      <c r="AA645" s="118"/>
      <c r="AC645" s="118"/>
      <c r="AE645" s="118"/>
      <c r="AF645" s="119"/>
    </row>
    <row r="646" spans="1:32" x14ac:dyDescent="0.3">
      <c r="A646" s="118"/>
      <c r="C646" s="118"/>
      <c r="E646" s="118"/>
      <c r="G646" s="118"/>
      <c r="I646" s="118"/>
      <c r="J646" s="119"/>
      <c r="M646" s="118"/>
      <c r="O646" s="118"/>
      <c r="Q646" s="118"/>
      <c r="S646" s="118"/>
      <c r="U646" s="118"/>
      <c r="W646" s="118"/>
      <c r="Y646" s="118"/>
      <c r="AA646" s="118"/>
      <c r="AC646" s="118"/>
      <c r="AE646" s="118"/>
      <c r="AF646" s="119"/>
    </row>
    <row r="647" spans="1:32" x14ac:dyDescent="0.3">
      <c r="A647" s="118"/>
      <c r="C647" s="118"/>
      <c r="E647" s="118"/>
      <c r="G647" s="118"/>
      <c r="I647" s="118"/>
      <c r="J647" s="119"/>
      <c r="M647" s="118"/>
      <c r="O647" s="118"/>
      <c r="Q647" s="118"/>
      <c r="S647" s="118"/>
      <c r="U647" s="118"/>
      <c r="W647" s="118"/>
      <c r="Y647" s="118"/>
      <c r="AA647" s="118"/>
      <c r="AC647" s="118"/>
      <c r="AE647" s="118"/>
      <c r="AF647" s="119"/>
    </row>
    <row r="648" spans="1:32" x14ac:dyDescent="0.3">
      <c r="A648" s="118"/>
      <c r="C648" s="118"/>
      <c r="E648" s="118"/>
      <c r="G648" s="118"/>
      <c r="I648" s="118"/>
      <c r="J648" s="119"/>
      <c r="M648" s="118"/>
      <c r="O648" s="118"/>
      <c r="Q648" s="118"/>
      <c r="S648" s="118"/>
      <c r="U648" s="118"/>
      <c r="W648" s="118"/>
      <c r="Y648" s="118"/>
      <c r="AA648" s="118"/>
      <c r="AC648" s="118"/>
      <c r="AE648" s="118"/>
      <c r="AF648" s="119"/>
    </row>
    <row r="649" spans="1:32" x14ac:dyDescent="0.3">
      <c r="A649" s="118"/>
      <c r="C649" s="118"/>
      <c r="E649" s="118"/>
      <c r="G649" s="118"/>
      <c r="I649" s="118"/>
      <c r="J649" s="119"/>
      <c r="M649" s="118"/>
      <c r="O649" s="118"/>
      <c r="Q649" s="118"/>
      <c r="S649" s="118"/>
      <c r="U649" s="118"/>
      <c r="W649" s="118"/>
      <c r="Y649" s="118"/>
      <c r="AA649" s="118"/>
      <c r="AC649" s="118"/>
      <c r="AE649" s="118"/>
      <c r="AF649" s="119"/>
    </row>
    <row r="650" spans="1:32" x14ac:dyDescent="0.3">
      <c r="A650" s="118"/>
      <c r="C650" s="118"/>
      <c r="E650" s="118"/>
      <c r="G650" s="118"/>
      <c r="I650" s="118"/>
      <c r="J650" s="119"/>
      <c r="M650" s="118"/>
      <c r="O650" s="118"/>
      <c r="Q650" s="118"/>
      <c r="S650" s="118"/>
      <c r="U650" s="118"/>
      <c r="W650" s="118"/>
      <c r="Y650" s="118"/>
      <c r="AA650" s="118"/>
      <c r="AC650" s="118"/>
      <c r="AE650" s="118"/>
      <c r="AF650" s="119"/>
    </row>
    <row r="651" spans="1:32" x14ac:dyDescent="0.3">
      <c r="A651" s="118"/>
      <c r="C651" s="118"/>
      <c r="E651" s="118"/>
      <c r="G651" s="118"/>
      <c r="I651" s="118"/>
      <c r="J651" s="119"/>
      <c r="M651" s="118"/>
      <c r="O651" s="118"/>
      <c r="Q651" s="118"/>
      <c r="S651" s="118"/>
      <c r="U651" s="118"/>
      <c r="W651" s="118"/>
      <c r="Y651" s="118"/>
      <c r="AA651" s="118"/>
      <c r="AC651" s="118"/>
      <c r="AE651" s="118"/>
      <c r="AF651" s="119"/>
    </row>
    <row r="652" spans="1:32" x14ac:dyDescent="0.3">
      <c r="A652" s="118"/>
      <c r="C652" s="118"/>
      <c r="E652" s="118"/>
      <c r="G652" s="118"/>
      <c r="I652" s="118"/>
      <c r="J652" s="119"/>
      <c r="M652" s="118"/>
      <c r="O652" s="118"/>
      <c r="Q652" s="118"/>
      <c r="S652" s="118"/>
      <c r="U652" s="118"/>
      <c r="W652" s="118"/>
      <c r="Y652" s="118"/>
      <c r="AA652" s="118"/>
      <c r="AC652" s="118"/>
      <c r="AE652" s="118"/>
      <c r="AF652" s="119"/>
    </row>
    <row r="653" spans="1:32" x14ac:dyDescent="0.3">
      <c r="A653" s="118"/>
      <c r="C653" s="118"/>
      <c r="E653" s="118"/>
      <c r="G653" s="118"/>
      <c r="I653" s="118"/>
      <c r="J653" s="119"/>
      <c r="M653" s="118"/>
      <c r="O653" s="118"/>
      <c r="Q653" s="118"/>
      <c r="S653" s="118"/>
      <c r="U653" s="118"/>
      <c r="W653" s="118"/>
      <c r="Y653" s="118"/>
      <c r="AA653" s="118"/>
      <c r="AC653" s="118"/>
      <c r="AE653" s="118"/>
      <c r="AF653" s="119"/>
    </row>
    <row r="654" spans="1:32" x14ac:dyDescent="0.3">
      <c r="A654" s="118"/>
      <c r="C654" s="118"/>
      <c r="E654" s="118"/>
      <c r="G654" s="118"/>
      <c r="I654" s="118"/>
      <c r="J654" s="119"/>
      <c r="M654" s="118"/>
      <c r="O654" s="118"/>
      <c r="Q654" s="118"/>
      <c r="S654" s="118"/>
      <c r="U654" s="118"/>
      <c r="W654" s="118"/>
      <c r="Y654" s="118"/>
      <c r="AA654" s="118"/>
      <c r="AC654" s="118"/>
      <c r="AE654" s="118"/>
      <c r="AF654" s="119"/>
    </row>
    <row r="655" spans="1:32" x14ac:dyDescent="0.3">
      <c r="A655" s="118"/>
      <c r="C655" s="118"/>
      <c r="E655" s="118"/>
      <c r="G655" s="118"/>
      <c r="I655" s="118"/>
      <c r="J655" s="119"/>
      <c r="M655" s="118"/>
      <c r="O655" s="118"/>
      <c r="Q655" s="118"/>
      <c r="S655" s="118"/>
      <c r="U655" s="118"/>
      <c r="W655" s="118"/>
      <c r="Y655" s="118"/>
      <c r="AA655" s="118"/>
      <c r="AC655" s="118"/>
      <c r="AE655" s="118"/>
      <c r="AF655" s="119"/>
    </row>
    <row r="656" spans="1:32" x14ac:dyDescent="0.3">
      <c r="A656" s="118"/>
      <c r="C656" s="118"/>
      <c r="E656" s="118"/>
      <c r="G656" s="118"/>
      <c r="I656" s="118"/>
      <c r="J656" s="119"/>
      <c r="M656" s="118"/>
      <c r="O656" s="118"/>
      <c r="Q656" s="118"/>
      <c r="S656" s="118"/>
      <c r="U656" s="118"/>
      <c r="W656" s="118"/>
      <c r="Y656" s="118"/>
      <c r="AA656" s="118"/>
      <c r="AC656" s="118"/>
      <c r="AE656" s="118"/>
      <c r="AF656" s="119"/>
    </row>
    <row r="657" spans="1:32" x14ac:dyDescent="0.3">
      <c r="A657" s="118"/>
      <c r="C657" s="118"/>
      <c r="E657" s="118"/>
      <c r="G657" s="118"/>
      <c r="I657" s="118"/>
      <c r="J657" s="119"/>
      <c r="M657" s="118"/>
      <c r="O657" s="118"/>
      <c r="Q657" s="118"/>
      <c r="S657" s="118"/>
      <c r="U657" s="118"/>
      <c r="W657" s="118"/>
      <c r="Y657" s="118"/>
      <c r="AA657" s="118"/>
      <c r="AC657" s="118"/>
      <c r="AE657" s="118"/>
      <c r="AF657" s="119"/>
    </row>
    <row r="658" spans="1:32" x14ac:dyDescent="0.3">
      <c r="A658" s="118"/>
      <c r="C658" s="118"/>
      <c r="E658" s="118"/>
      <c r="G658" s="118"/>
      <c r="I658" s="118"/>
      <c r="J658" s="119"/>
      <c r="M658" s="118"/>
      <c r="O658" s="118"/>
      <c r="Q658" s="118"/>
      <c r="S658" s="118"/>
      <c r="U658" s="118"/>
      <c r="W658" s="118"/>
      <c r="Y658" s="118"/>
      <c r="AA658" s="118"/>
      <c r="AC658" s="118"/>
      <c r="AE658" s="118"/>
      <c r="AF658" s="119"/>
    </row>
    <row r="659" spans="1:32" x14ac:dyDescent="0.3">
      <c r="A659" s="118"/>
      <c r="C659" s="118"/>
      <c r="E659" s="118"/>
      <c r="G659" s="118"/>
      <c r="I659" s="118"/>
      <c r="J659" s="119"/>
      <c r="M659" s="118"/>
      <c r="O659" s="118"/>
      <c r="Q659" s="118"/>
      <c r="S659" s="118"/>
      <c r="U659" s="118"/>
      <c r="W659" s="118"/>
      <c r="Y659" s="118"/>
      <c r="AA659" s="118"/>
      <c r="AC659" s="118"/>
      <c r="AE659" s="118"/>
      <c r="AF659" s="119"/>
    </row>
    <row r="660" spans="1:32" x14ac:dyDescent="0.3">
      <c r="A660" s="118"/>
      <c r="C660" s="118"/>
      <c r="E660" s="118"/>
      <c r="G660" s="118"/>
      <c r="I660" s="118"/>
      <c r="J660" s="119"/>
      <c r="M660" s="118"/>
      <c r="O660" s="118"/>
      <c r="Q660" s="118"/>
      <c r="S660" s="118"/>
      <c r="U660" s="118"/>
      <c r="W660" s="118"/>
      <c r="Y660" s="118"/>
      <c r="AA660" s="118"/>
      <c r="AC660" s="118"/>
      <c r="AE660" s="118"/>
      <c r="AF660" s="119"/>
    </row>
    <row r="661" spans="1:32" x14ac:dyDescent="0.3">
      <c r="A661" s="118"/>
      <c r="C661" s="118"/>
      <c r="E661" s="118"/>
      <c r="G661" s="118"/>
      <c r="I661" s="118"/>
      <c r="J661" s="119"/>
      <c r="M661" s="118"/>
      <c r="O661" s="118"/>
      <c r="Q661" s="118"/>
      <c r="S661" s="118"/>
      <c r="U661" s="118"/>
      <c r="W661" s="118"/>
      <c r="Y661" s="118"/>
      <c r="AA661" s="118"/>
      <c r="AC661" s="118"/>
      <c r="AE661" s="118"/>
      <c r="AF661" s="119"/>
    </row>
    <row r="662" spans="1:32" x14ac:dyDescent="0.3">
      <c r="A662" s="118"/>
      <c r="C662" s="118"/>
      <c r="E662" s="118"/>
      <c r="G662" s="118"/>
      <c r="I662" s="118"/>
      <c r="J662" s="119"/>
      <c r="M662" s="118"/>
      <c r="O662" s="118"/>
      <c r="Q662" s="118"/>
      <c r="S662" s="118"/>
      <c r="U662" s="118"/>
      <c r="W662" s="118"/>
      <c r="Y662" s="118"/>
      <c r="AA662" s="118"/>
      <c r="AC662" s="118"/>
      <c r="AE662" s="118"/>
      <c r="AF662" s="119"/>
    </row>
    <row r="663" spans="1:32" x14ac:dyDescent="0.3">
      <c r="A663" s="118"/>
      <c r="C663" s="118"/>
      <c r="E663" s="118"/>
      <c r="G663" s="118"/>
      <c r="I663" s="118"/>
      <c r="J663" s="119"/>
      <c r="M663" s="118"/>
      <c r="O663" s="118"/>
      <c r="Q663" s="118"/>
      <c r="S663" s="118"/>
      <c r="U663" s="118"/>
      <c r="W663" s="118"/>
      <c r="Y663" s="118"/>
      <c r="AA663" s="118"/>
      <c r="AC663" s="118"/>
      <c r="AE663" s="118"/>
      <c r="AF663" s="119"/>
    </row>
    <row r="664" spans="1:32" x14ac:dyDescent="0.3">
      <c r="A664" s="118"/>
      <c r="C664" s="118"/>
      <c r="E664" s="118"/>
      <c r="G664" s="118"/>
      <c r="I664" s="118"/>
      <c r="J664" s="119"/>
      <c r="M664" s="118"/>
      <c r="O664" s="118"/>
      <c r="Q664" s="118"/>
      <c r="S664" s="118"/>
      <c r="U664" s="118"/>
      <c r="W664" s="118"/>
      <c r="Y664" s="118"/>
      <c r="AA664" s="118"/>
      <c r="AC664" s="118"/>
      <c r="AE664" s="118"/>
      <c r="AF664" s="119"/>
    </row>
    <row r="665" spans="1:32" x14ac:dyDescent="0.3">
      <c r="A665" s="118"/>
      <c r="C665" s="118"/>
      <c r="E665" s="118"/>
      <c r="G665" s="118"/>
      <c r="I665" s="118"/>
      <c r="J665" s="119"/>
      <c r="M665" s="118"/>
      <c r="O665" s="118"/>
      <c r="Q665" s="118"/>
      <c r="S665" s="118"/>
      <c r="U665" s="118"/>
      <c r="W665" s="118"/>
      <c r="Y665" s="118"/>
      <c r="AA665" s="118"/>
      <c r="AC665" s="118"/>
      <c r="AE665" s="118"/>
      <c r="AF665" s="119"/>
    </row>
    <row r="666" spans="1:32" x14ac:dyDescent="0.3">
      <c r="A666" s="118"/>
      <c r="C666" s="118"/>
      <c r="E666" s="118"/>
      <c r="G666" s="118"/>
      <c r="I666" s="118"/>
      <c r="J666" s="119"/>
      <c r="M666" s="118"/>
      <c r="O666" s="118"/>
      <c r="Q666" s="118"/>
      <c r="S666" s="118"/>
      <c r="U666" s="118"/>
      <c r="W666" s="118"/>
      <c r="Y666" s="118"/>
      <c r="AA666" s="118"/>
      <c r="AC666" s="118"/>
      <c r="AE666" s="118"/>
      <c r="AF666" s="119"/>
    </row>
    <row r="667" spans="1:32" x14ac:dyDescent="0.3">
      <c r="A667" s="118"/>
      <c r="C667" s="118"/>
      <c r="E667" s="118"/>
      <c r="G667" s="118"/>
      <c r="I667" s="118"/>
      <c r="J667" s="119"/>
      <c r="M667" s="118"/>
      <c r="O667" s="118"/>
      <c r="Q667" s="118"/>
      <c r="S667" s="118"/>
      <c r="U667" s="118"/>
      <c r="W667" s="118"/>
      <c r="Y667" s="118"/>
      <c r="AA667" s="118"/>
      <c r="AC667" s="118"/>
      <c r="AE667" s="118"/>
      <c r="AF667" s="119"/>
    </row>
    <row r="668" spans="1:32" x14ac:dyDescent="0.3">
      <c r="A668" s="118"/>
      <c r="C668" s="118"/>
      <c r="E668" s="118"/>
      <c r="G668" s="118"/>
      <c r="I668" s="118"/>
      <c r="J668" s="119"/>
      <c r="M668" s="118"/>
      <c r="O668" s="118"/>
      <c r="Q668" s="118"/>
      <c r="S668" s="118"/>
      <c r="U668" s="118"/>
      <c r="W668" s="118"/>
      <c r="Y668" s="118"/>
      <c r="AA668" s="118"/>
      <c r="AC668" s="118"/>
      <c r="AE668" s="118"/>
      <c r="AF668" s="119"/>
    </row>
    <row r="669" spans="1:32" x14ac:dyDescent="0.3">
      <c r="A669" s="118"/>
      <c r="C669" s="118"/>
      <c r="E669" s="118"/>
      <c r="G669" s="118"/>
      <c r="I669" s="118"/>
      <c r="J669" s="119"/>
      <c r="M669" s="118"/>
      <c r="O669" s="118"/>
      <c r="Q669" s="118"/>
      <c r="S669" s="118"/>
      <c r="U669" s="118"/>
      <c r="W669" s="118"/>
      <c r="Y669" s="118"/>
      <c r="AA669" s="118"/>
      <c r="AC669" s="118"/>
      <c r="AE669" s="118"/>
      <c r="AF669" s="119"/>
    </row>
    <row r="670" spans="1:32" x14ac:dyDescent="0.3">
      <c r="A670" s="118"/>
      <c r="C670" s="118"/>
      <c r="E670" s="118"/>
      <c r="G670" s="118"/>
      <c r="I670" s="118"/>
      <c r="J670" s="119"/>
      <c r="M670" s="118"/>
      <c r="O670" s="118"/>
      <c r="Q670" s="118"/>
      <c r="S670" s="118"/>
      <c r="U670" s="118"/>
      <c r="W670" s="118"/>
      <c r="Y670" s="118"/>
      <c r="AA670" s="118"/>
      <c r="AC670" s="118"/>
      <c r="AE670" s="118"/>
      <c r="AF670" s="119"/>
    </row>
    <row r="671" spans="1:32" x14ac:dyDescent="0.3">
      <c r="A671" s="118"/>
      <c r="C671" s="118"/>
      <c r="E671" s="118"/>
      <c r="G671" s="118"/>
      <c r="I671" s="118"/>
      <c r="J671" s="119"/>
      <c r="M671" s="118"/>
      <c r="O671" s="118"/>
      <c r="Q671" s="118"/>
      <c r="S671" s="118"/>
      <c r="U671" s="118"/>
      <c r="W671" s="118"/>
      <c r="Y671" s="118"/>
      <c r="AA671" s="118"/>
      <c r="AC671" s="118"/>
      <c r="AE671" s="118"/>
      <c r="AF671" s="119"/>
    </row>
    <row r="672" spans="1:32" x14ac:dyDescent="0.3">
      <c r="A672" s="118"/>
      <c r="C672" s="118"/>
      <c r="E672" s="118"/>
      <c r="G672" s="118"/>
      <c r="I672" s="118"/>
      <c r="J672" s="119"/>
      <c r="M672" s="118"/>
      <c r="O672" s="118"/>
      <c r="Q672" s="118"/>
      <c r="S672" s="118"/>
      <c r="U672" s="118"/>
      <c r="W672" s="118"/>
      <c r="Y672" s="118"/>
      <c r="AA672" s="118"/>
      <c r="AC672" s="118"/>
      <c r="AE672" s="118"/>
      <c r="AF672" s="119"/>
    </row>
    <row r="673" spans="1:32" x14ac:dyDescent="0.3">
      <c r="A673" s="118"/>
      <c r="C673" s="118"/>
      <c r="E673" s="118"/>
      <c r="G673" s="118"/>
      <c r="I673" s="118"/>
      <c r="J673" s="119"/>
      <c r="M673" s="118"/>
      <c r="O673" s="118"/>
      <c r="Q673" s="118"/>
      <c r="S673" s="118"/>
      <c r="U673" s="118"/>
      <c r="W673" s="118"/>
      <c r="Y673" s="118"/>
      <c r="AA673" s="118"/>
      <c r="AC673" s="118"/>
      <c r="AE673" s="118"/>
      <c r="AF673" s="119"/>
    </row>
    <row r="674" spans="1:32" x14ac:dyDescent="0.3">
      <c r="A674" s="118"/>
      <c r="C674" s="118"/>
      <c r="E674" s="118"/>
      <c r="G674" s="118"/>
      <c r="I674" s="118"/>
      <c r="J674" s="119"/>
      <c r="M674" s="118"/>
      <c r="O674" s="118"/>
      <c r="Q674" s="118"/>
      <c r="S674" s="118"/>
      <c r="U674" s="118"/>
      <c r="W674" s="118"/>
      <c r="Y674" s="118"/>
      <c r="AA674" s="118"/>
      <c r="AC674" s="118"/>
      <c r="AE674" s="118"/>
      <c r="AF674" s="119"/>
    </row>
    <row r="675" spans="1:32" x14ac:dyDescent="0.3">
      <c r="A675" s="118"/>
      <c r="C675" s="118"/>
      <c r="E675" s="118"/>
      <c r="G675" s="118"/>
      <c r="I675" s="118"/>
      <c r="J675" s="119"/>
      <c r="M675" s="118"/>
      <c r="O675" s="118"/>
      <c r="Q675" s="118"/>
      <c r="S675" s="118"/>
      <c r="U675" s="118"/>
      <c r="W675" s="118"/>
      <c r="Y675" s="118"/>
      <c r="AA675" s="118"/>
      <c r="AC675" s="118"/>
      <c r="AE675" s="118"/>
      <c r="AF675" s="119"/>
    </row>
    <row r="676" spans="1:32" x14ac:dyDescent="0.3">
      <c r="A676" s="118"/>
      <c r="C676" s="118"/>
      <c r="E676" s="118"/>
      <c r="G676" s="118"/>
      <c r="I676" s="118"/>
      <c r="J676" s="119"/>
      <c r="M676" s="118"/>
      <c r="O676" s="118"/>
      <c r="Q676" s="118"/>
      <c r="S676" s="118"/>
      <c r="U676" s="118"/>
      <c r="W676" s="118"/>
      <c r="Y676" s="118"/>
      <c r="AA676" s="118"/>
      <c r="AC676" s="118"/>
      <c r="AE676" s="118"/>
      <c r="AF676" s="119"/>
    </row>
    <row r="677" spans="1:32" x14ac:dyDescent="0.3">
      <c r="A677" s="118"/>
      <c r="C677" s="118"/>
      <c r="E677" s="118"/>
      <c r="G677" s="118"/>
      <c r="I677" s="118"/>
      <c r="J677" s="119"/>
      <c r="M677" s="118"/>
      <c r="O677" s="118"/>
      <c r="Q677" s="118"/>
      <c r="S677" s="118"/>
      <c r="U677" s="118"/>
      <c r="W677" s="118"/>
      <c r="Y677" s="118"/>
      <c r="AA677" s="118"/>
      <c r="AC677" s="118"/>
      <c r="AE677" s="118"/>
      <c r="AF677" s="119"/>
    </row>
    <row r="678" spans="1:32" x14ac:dyDescent="0.3">
      <c r="A678" s="118"/>
      <c r="C678" s="118"/>
      <c r="E678" s="118"/>
      <c r="G678" s="118"/>
      <c r="I678" s="118"/>
      <c r="J678" s="119"/>
      <c r="M678" s="118"/>
      <c r="O678" s="118"/>
      <c r="Q678" s="118"/>
      <c r="S678" s="118"/>
      <c r="U678" s="118"/>
      <c r="W678" s="118"/>
      <c r="Y678" s="118"/>
      <c r="AA678" s="118"/>
      <c r="AC678" s="118"/>
      <c r="AE678" s="118"/>
      <c r="AF678" s="119"/>
    </row>
    <row r="679" spans="1:32" x14ac:dyDescent="0.3">
      <c r="A679" s="118"/>
      <c r="C679" s="118"/>
      <c r="E679" s="118"/>
      <c r="G679" s="118"/>
      <c r="I679" s="118"/>
      <c r="J679" s="119"/>
      <c r="M679" s="118"/>
      <c r="O679" s="118"/>
      <c r="Q679" s="118"/>
      <c r="S679" s="118"/>
      <c r="U679" s="118"/>
      <c r="W679" s="118"/>
      <c r="Y679" s="118"/>
      <c r="AA679" s="118"/>
      <c r="AC679" s="118"/>
      <c r="AE679" s="118"/>
      <c r="AF679" s="119"/>
    </row>
    <row r="680" spans="1:32" x14ac:dyDescent="0.3">
      <c r="A680" s="118"/>
      <c r="C680" s="118"/>
      <c r="E680" s="118"/>
      <c r="G680" s="118"/>
      <c r="I680" s="118"/>
      <c r="J680" s="119"/>
      <c r="M680" s="118"/>
      <c r="O680" s="118"/>
      <c r="Q680" s="118"/>
      <c r="S680" s="118"/>
      <c r="U680" s="118"/>
      <c r="W680" s="118"/>
      <c r="Y680" s="118"/>
      <c r="AA680" s="118"/>
      <c r="AC680" s="118"/>
      <c r="AE680" s="118"/>
      <c r="AF680" s="119"/>
    </row>
    <row r="681" spans="1:32" x14ac:dyDescent="0.3">
      <c r="A681" s="118"/>
      <c r="C681" s="118"/>
      <c r="E681" s="118"/>
      <c r="G681" s="118"/>
      <c r="I681" s="118"/>
      <c r="J681" s="119"/>
      <c r="M681" s="118"/>
      <c r="O681" s="118"/>
      <c r="Q681" s="118"/>
      <c r="S681" s="118"/>
      <c r="U681" s="118"/>
      <c r="W681" s="118"/>
      <c r="Y681" s="118"/>
      <c r="AA681" s="118"/>
      <c r="AC681" s="118"/>
      <c r="AE681" s="118"/>
      <c r="AF681" s="119"/>
    </row>
    <row r="682" spans="1:32" x14ac:dyDescent="0.3">
      <c r="A682" s="118"/>
      <c r="C682" s="118"/>
      <c r="E682" s="118"/>
      <c r="G682" s="118"/>
      <c r="I682" s="118"/>
      <c r="J682" s="119"/>
      <c r="M682" s="118"/>
      <c r="O682" s="118"/>
      <c r="Q682" s="118"/>
      <c r="S682" s="118"/>
      <c r="U682" s="118"/>
      <c r="W682" s="118"/>
      <c r="Y682" s="118"/>
      <c r="AA682" s="118"/>
      <c r="AC682" s="118"/>
      <c r="AE682" s="118"/>
      <c r="AF682" s="119"/>
    </row>
    <row r="683" spans="1:32" x14ac:dyDescent="0.3">
      <c r="A683" s="118"/>
      <c r="C683" s="118"/>
      <c r="E683" s="118"/>
      <c r="G683" s="118"/>
      <c r="I683" s="118"/>
      <c r="J683" s="119"/>
      <c r="M683" s="118"/>
      <c r="O683" s="118"/>
      <c r="Q683" s="118"/>
      <c r="S683" s="118"/>
      <c r="U683" s="118"/>
      <c r="W683" s="118"/>
      <c r="Y683" s="118"/>
      <c r="AA683" s="118"/>
      <c r="AC683" s="118"/>
      <c r="AE683" s="118"/>
      <c r="AF683" s="119"/>
    </row>
    <row r="684" spans="1:32" x14ac:dyDescent="0.3">
      <c r="A684" s="118"/>
      <c r="C684" s="118"/>
      <c r="E684" s="118"/>
      <c r="G684" s="118"/>
      <c r="I684" s="118"/>
      <c r="J684" s="119"/>
      <c r="M684" s="118"/>
      <c r="O684" s="118"/>
      <c r="Q684" s="118"/>
      <c r="S684" s="118"/>
      <c r="U684" s="118"/>
      <c r="W684" s="118"/>
      <c r="Y684" s="118"/>
      <c r="AA684" s="118"/>
      <c r="AC684" s="118"/>
      <c r="AE684" s="118"/>
      <c r="AF684" s="119"/>
    </row>
    <row r="685" spans="1:32" x14ac:dyDescent="0.3">
      <c r="A685" s="118"/>
      <c r="C685" s="118"/>
      <c r="E685" s="118"/>
      <c r="G685" s="118"/>
      <c r="I685" s="118"/>
      <c r="J685" s="119"/>
      <c r="M685" s="118"/>
      <c r="O685" s="118"/>
      <c r="Q685" s="118"/>
      <c r="S685" s="118"/>
      <c r="U685" s="118"/>
      <c r="W685" s="118"/>
      <c r="Y685" s="118"/>
      <c r="AA685" s="118"/>
      <c r="AC685" s="118"/>
      <c r="AE685" s="118"/>
      <c r="AF685" s="119"/>
    </row>
    <row r="686" spans="1:32" x14ac:dyDescent="0.3">
      <c r="A686" s="118"/>
      <c r="C686" s="118"/>
      <c r="E686" s="118"/>
      <c r="G686" s="118"/>
      <c r="I686" s="118"/>
      <c r="J686" s="119"/>
      <c r="M686" s="118"/>
      <c r="O686" s="118"/>
      <c r="Q686" s="118"/>
      <c r="S686" s="118"/>
      <c r="U686" s="118"/>
      <c r="W686" s="118"/>
      <c r="Y686" s="118"/>
      <c r="AA686" s="118"/>
      <c r="AC686" s="118"/>
      <c r="AE686" s="118"/>
      <c r="AF686" s="119"/>
    </row>
    <row r="687" spans="1:32" x14ac:dyDescent="0.3">
      <c r="A687" s="118"/>
      <c r="C687" s="118"/>
      <c r="E687" s="118"/>
      <c r="G687" s="118"/>
      <c r="I687" s="118"/>
      <c r="J687" s="119"/>
      <c r="M687" s="118"/>
      <c r="O687" s="118"/>
      <c r="Q687" s="118"/>
      <c r="S687" s="118"/>
      <c r="U687" s="118"/>
      <c r="W687" s="118"/>
      <c r="Y687" s="118"/>
      <c r="AA687" s="118"/>
      <c r="AC687" s="118"/>
      <c r="AE687" s="118"/>
      <c r="AF687" s="119"/>
    </row>
    <row r="688" spans="1:32" x14ac:dyDescent="0.3">
      <c r="A688" s="118"/>
      <c r="C688" s="118"/>
      <c r="E688" s="118"/>
      <c r="G688" s="118"/>
      <c r="I688" s="118"/>
      <c r="J688" s="119"/>
      <c r="M688" s="118"/>
      <c r="O688" s="118"/>
      <c r="Q688" s="118"/>
      <c r="S688" s="118"/>
      <c r="U688" s="118"/>
      <c r="W688" s="118"/>
      <c r="Y688" s="118"/>
      <c r="AA688" s="118"/>
      <c r="AC688" s="118"/>
      <c r="AE688" s="118"/>
      <c r="AF688" s="119"/>
    </row>
    <row r="689" spans="1:32" x14ac:dyDescent="0.3">
      <c r="A689" s="118"/>
      <c r="C689" s="118"/>
      <c r="E689" s="118"/>
      <c r="G689" s="118"/>
      <c r="I689" s="118"/>
      <c r="J689" s="119"/>
      <c r="M689" s="118"/>
      <c r="O689" s="118"/>
      <c r="Q689" s="118"/>
      <c r="S689" s="118"/>
      <c r="U689" s="118"/>
      <c r="W689" s="118"/>
      <c r="Y689" s="118"/>
      <c r="AA689" s="118"/>
      <c r="AC689" s="118"/>
      <c r="AE689" s="118"/>
      <c r="AF689" s="119"/>
    </row>
    <row r="690" spans="1:32" x14ac:dyDescent="0.3">
      <c r="A690" s="118"/>
      <c r="C690" s="118"/>
      <c r="E690" s="118"/>
      <c r="G690" s="118"/>
      <c r="I690" s="118"/>
      <c r="J690" s="119"/>
      <c r="M690" s="118"/>
      <c r="O690" s="118"/>
      <c r="Q690" s="118"/>
      <c r="S690" s="118"/>
      <c r="U690" s="118"/>
      <c r="W690" s="118"/>
      <c r="Y690" s="118"/>
      <c r="AA690" s="118"/>
      <c r="AC690" s="118"/>
      <c r="AE690" s="118"/>
      <c r="AF690" s="119"/>
    </row>
    <row r="691" spans="1:32" x14ac:dyDescent="0.3">
      <c r="A691" s="118"/>
      <c r="C691" s="118"/>
      <c r="E691" s="118"/>
      <c r="G691" s="118"/>
      <c r="I691" s="118"/>
      <c r="J691" s="119"/>
      <c r="M691" s="118"/>
      <c r="O691" s="118"/>
      <c r="Q691" s="118"/>
      <c r="S691" s="118"/>
      <c r="U691" s="118"/>
      <c r="W691" s="118"/>
      <c r="Y691" s="118"/>
      <c r="AA691" s="118"/>
      <c r="AC691" s="118"/>
      <c r="AE691" s="118"/>
      <c r="AF691" s="119"/>
    </row>
    <row r="692" spans="1:32" x14ac:dyDescent="0.3">
      <c r="A692" s="118"/>
      <c r="C692" s="118"/>
      <c r="E692" s="118"/>
      <c r="G692" s="118"/>
      <c r="I692" s="118"/>
      <c r="J692" s="119"/>
      <c r="M692" s="118"/>
      <c r="O692" s="118"/>
      <c r="Q692" s="118"/>
      <c r="S692" s="118"/>
      <c r="U692" s="118"/>
      <c r="W692" s="118"/>
      <c r="Y692" s="118"/>
      <c r="AA692" s="118"/>
      <c r="AC692" s="118"/>
      <c r="AE692" s="118"/>
      <c r="AF692" s="119"/>
    </row>
    <row r="693" spans="1:32" x14ac:dyDescent="0.3">
      <c r="A693" s="118"/>
      <c r="C693" s="118"/>
      <c r="E693" s="118"/>
      <c r="G693" s="118"/>
      <c r="I693" s="118"/>
      <c r="J693" s="119"/>
      <c r="M693" s="118"/>
      <c r="O693" s="118"/>
      <c r="Q693" s="118"/>
      <c r="S693" s="118"/>
      <c r="U693" s="118"/>
      <c r="W693" s="118"/>
      <c r="Y693" s="118"/>
      <c r="AA693" s="118"/>
      <c r="AC693" s="118"/>
      <c r="AE693" s="118"/>
      <c r="AF693" s="119"/>
    </row>
    <row r="694" spans="1:32" x14ac:dyDescent="0.3">
      <c r="A694" s="118"/>
      <c r="C694" s="118"/>
      <c r="E694" s="118"/>
      <c r="G694" s="118"/>
      <c r="I694" s="118"/>
      <c r="J694" s="119"/>
      <c r="M694" s="118"/>
      <c r="O694" s="118"/>
      <c r="Q694" s="118"/>
      <c r="S694" s="118"/>
      <c r="U694" s="118"/>
      <c r="W694" s="118"/>
      <c r="Y694" s="118"/>
      <c r="AA694" s="118"/>
      <c r="AC694" s="118"/>
      <c r="AE694" s="118"/>
      <c r="AF694" s="119"/>
    </row>
    <row r="695" spans="1:32" x14ac:dyDescent="0.3">
      <c r="A695" s="118"/>
      <c r="C695" s="118"/>
      <c r="E695" s="118"/>
      <c r="G695" s="118"/>
      <c r="I695" s="118"/>
      <c r="J695" s="119"/>
      <c r="M695" s="118"/>
      <c r="O695" s="118"/>
      <c r="Q695" s="118"/>
      <c r="S695" s="118"/>
      <c r="U695" s="118"/>
      <c r="W695" s="118"/>
      <c r="Y695" s="118"/>
      <c r="AA695" s="118"/>
      <c r="AC695" s="118"/>
      <c r="AE695" s="118"/>
      <c r="AF695" s="119"/>
    </row>
    <row r="696" spans="1:32" x14ac:dyDescent="0.3">
      <c r="A696" s="118"/>
      <c r="C696" s="118"/>
      <c r="E696" s="118"/>
      <c r="G696" s="118"/>
      <c r="I696" s="118"/>
      <c r="J696" s="119"/>
      <c r="M696" s="118"/>
      <c r="O696" s="118"/>
      <c r="Q696" s="118"/>
      <c r="S696" s="118"/>
      <c r="U696" s="118"/>
      <c r="W696" s="118"/>
      <c r="Y696" s="118"/>
      <c r="AA696" s="118"/>
      <c r="AC696" s="118"/>
      <c r="AE696" s="118"/>
      <c r="AF696" s="119"/>
    </row>
    <row r="697" spans="1:32" x14ac:dyDescent="0.3">
      <c r="A697" s="118"/>
      <c r="C697" s="118"/>
      <c r="E697" s="118"/>
      <c r="G697" s="118"/>
      <c r="I697" s="118"/>
      <c r="J697" s="119"/>
      <c r="M697" s="118"/>
      <c r="O697" s="118"/>
      <c r="Q697" s="118"/>
      <c r="S697" s="118"/>
      <c r="U697" s="118"/>
      <c r="W697" s="118"/>
      <c r="Y697" s="118"/>
      <c r="AA697" s="118"/>
      <c r="AC697" s="118"/>
      <c r="AE697" s="118"/>
      <c r="AF697" s="119"/>
    </row>
    <row r="698" spans="1:32" x14ac:dyDescent="0.3">
      <c r="A698" s="118"/>
      <c r="C698" s="118"/>
      <c r="E698" s="118"/>
      <c r="G698" s="118"/>
      <c r="I698" s="118"/>
      <c r="J698" s="119"/>
      <c r="M698" s="118"/>
      <c r="O698" s="118"/>
      <c r="Q698" s="118"/>
      <c r="S698" s="118"/>
      <c r="U698" s="118"/>
      <c r="W698" s="118"/>
      <c r="Y698" s="118"/>
      <c r="AA698" s="118"/>
      <c r="AC698" s="118"/>
      <c r="AE698" s="118"/>
      <c r="AF698" s="119"/>
    </row>
    <row r="699" spans="1:32" x14ac:dyDescent="0.3">
      <c r="A699" s="118"/>
      <c r="C699" s="118"/>
      <c r="E699" s="118"/>
      <c r="G699" s="118"/>
      <c r="I699" s="118"/>
      <c r="J699" s="119"/>
      <c r="M699" s="118"/>
      <c r="O699" s="118"/>
      <c r="Q699" s="118"/>
      <c r="S699" s="118"/>
      <c r="U699" s="118"/>
      <c r="W699" s="118"/>
      <c r="Y699" s="118"/>
      <c r="AA699" s="118"/>
      <c r="AC699" s="118"/>
      <c r="AE699" s="118"/>
      <c r="AF699" s="119"/>
    </row>
    <row r="700" spans="1:32" x14ac:dyDescent="0.3">
      <c r="A700" s="118"/>
      <c r="C700" s="118"/>
      <c r="E700" s="118"/>
      <c r="G700" s="118"/>
      <c r="I700" s="118"/>
      <c r="J700" s="119"/>
      <c r="M700" s="118"/>
      <c r="O700" s="118"/>
      <c r="Q700" s="118"/>
      <c r="S700" s="118"/>
      <c r="U700" s="118"/>
      <c r="W700" s="118"/>
      <c r="Y700" s="118"/>
      <c r="AA700" s="118"/>
      <c r="AC700" s="118"/>
      <c r="AE700" s="118"/>
      <c r="AF700" s="119"/>
    </row>
    <row r="701" spans="1:32" x14ac:dyDescent="0.3">
      <c r="A701" s="118"/>
      <c r="C701" s="118"/>
      <c r="E701" s="118"/>
      <c r="G701" s="118"/>
      <c r="I701" s="118"/>
      <c r="J701" s="119"/>
      <c r="M701" s="118"/>
      <c r="O701" s="118"/>
      <c r="Q701" s="118"/>
      <c r="S701" s="118"/>
      <c r="U701" s="118"/>
      <c r="W701" s="118"/>
      <c r="Y701" s="118"/>
      <c r="AA701" s="118"/>
      <c r="AC701" s="118"/>
      <c r="AE701" s="118"/>
      <c r="AF701" s="119"/>
    </row>
    <row r="702" spans="1:32" x14ac:dyDescent="0.3">
      <c r="A702" s="118"/>
      <c r="C702" s="118"/>
      <c r="E702" s="118"/>
      <c r="G702" s="118"/>
      <c r="I702" s="118"/>
      <c r="J702" s="119"/>
      <c r="M702" s="118"/>
      <c r="O702" s="118"/>
      <c r="Q702" s="118"/>
      <c r="S702" s="118"/>
      <c r="U702" s="118"/>
      <c r="W702" s="118"/>
      <c r="Y702" s="118"/>
      <c r="AA702" s="118"/>
      <c r="AC702" s="118"/>
      <c r="AE702" s="118"/>
      <c r="AF702" s="119"/>
    </row>
    <row r="703" spans="1:32" x14ac:dyDescent="0.3">
      <c r="A703" s="118"/>
      <c r="C703" s="118"/>
      <c r="E703" s="118"/>
      <c r="G703" s="118"/>
      <c r="I703" s="118"/>
      <c r="J703" s="119"/>
      <c r="M703" s="118"/>
      <c r="O703" s="118"/>
      <c r="Q703" s="118"/>
      <c r="S703" s="118"/>
      <c r="U703" s="118"/>
      <c r="W703" s="118"/>
      <c r="Y703" s="118"/>
      <c r="AA703" s="118"/>
      <c r="AC703" s="118"/>
      <c r="AE703" s="118"/>
      <c r="AF703" s="119"/>
    </row>
    <row r="704" spans="1:32" x14ac:dyDescent="0.3">
      <c r="A704" s="118"/>
      <c r="C704" s="118"/>
      <c r="E704" s="118"/>
      <c r="G704" s="118"/>
      <c r="I704" s="118"/>
      <c r="J704" s="119"/>
      <c r="M704" s="118"/>
      <c r="O704" s="118"/>
      <c r="Q704" s="118"/>
      <c r="S704" s="118"/>
      <c r="U704" s="118"/>
      <c r="W704" s="118"/>
      <c r="Y704" s="118"/>
      <c r="AA704" s="118"/>
      <c r="AC704" s="118"/>
      <c r="AE704" s="118"/>
      <c r="AF704" s="119"/>
    </row>
    <row r="705" spans="1:32" x14ac:dyDescent="0.3">
      <c r="A705" s="118"/>
      <c r="C705" s="118"/>
      <c r="E705" s="118"/>
      <c r="G705" s="118"/>
      <c r="I705" s="118"/>
      <c r="J705" s="119"/>
      <c r="M705" s="118"/>
      <c r="O705" s="118"/>
      <c r="Q705" s="118"/>
      <c r="S705" s="118"/>
      <c r="U705" s="118"/>
      <c r="W705" s="118"/>
      <c r="Y705" s="118"/>
      <c r="AA705" s="118"/>
      <c r="AC705" s="118"/>
      <c r="AE705" s="118"/>
      <c r="AF705" s="119"/>
    </row>
    <row r="706" spans="1:32" x14ac:dyDescent="0.3">
      <c r="A706" s="118"/>
      <c r="C706" s="118"/>
      <c r="E706" s="118"/>
      <c r="G706" s="118"/>
      <c r="I706" s="118"/>
      <c r="J706" s="119"/>
      <c r="M706" s="118"/>
      <c r="O706" s="118"/>
      <c r="Q706" s="118"/>
      <c r="S706" s="118"/>
      <c r="U706" s="118"/>
      <c r="W706" s="118"/>
      <c r="Y706" s="118"/>
      <c r="AA706" s="118"/>
      <c r="AC706" s="118"/>
      <c r="AE706" s="118"/>
      <c r="AF706" s="119"/>
    </row>
    <row r="707" spans="1:32" x14ac:dyDescent="0.3">
      <c r="A707" s="118"/>
      <c r="C707" s="118"/>
      <c r="E707" s="118"/>
      <c r="G707" s="118"/>
      <c r="I707" s="118"/>
      <c r="J707" s="119"/>
      <c r="M707" s="118"/>
      <c r="O707" s="118"/>
      <c r="Q707" s="118"/>
      <c r="S707" s="118"/>
      <c r="U707" s="118"/>
      <c r="W707" s="118"/>
      <c r="Y707" s="118"/>
      <c r="AA707" s="118"/>
      <c r="AC707" s="118"/>
      <c r="AE707" s="118"/>
      <c r="AF707" s="119"/>
    </row>
    <row r="708" spans="1:32" x14ac:dyDescent="0.3">
      <c r="A708" s="118"/>
      <c r="C708" s="118"/>
      <c r="E708" s="118"/>
      <c r="G708" s="118"/>
      <c r="I708" s="118"/>
      <c r="J708" s="119"/>
      <c r="M708" s="118"/>
      <c r="O708" s="118"/>
      <c r="Q708" s="118"/>
      <c r="S708" s="118"/>
      <c r="U708" s="118"/>
      <c r="W708" s="118"/>
      <c r="Y708" s="118"/>
      <c r="AA708" s="118"/>
      <c r="AC708" s="118"/>
      <c r="AE708" s="118"/>
      <c r="AF708" s="119"/>
    </row>
    <row r="709" spans="1:32" x14ac:dyDescent="0.3">
      <c r="A709" s="118"/>
      <c r="C709" s="118"/>
      <c r="E709" s="118"/>
      <c r="G709" s="118"/>
      <c r="I709" s="118"/>
      <c r="J709" s="119"/>
      <c r="M709" s="118"/>
      <c r="O709" s="118"/>
      <c r="Q709" s="118"/>
      <c r="S709" s="118"/>
      <c r="U709" s="118"/>
      <c r="W709" s="118"/>
      <c r="Y709" s="118"/>
      <c r="AA709" s="118"/>
      <c r="AC709" s="118"/>
      <c r="AE709" s="118"/>
      <c r="AF709" s="119"/>
    </row>
    <row r="710" spans="1:32" x14ac:dyDescent="0.3">
      <c r="A710" s="118"/>
      <c r="C710" s="118"/>
      <c r="E710" s="118"/>
      <c r="G710" s="118"/>
      <c r="I710" s="118"/>
      <c r="J710" s="119"/>
      <c r="M710" s="118"/>
      <c r="O710" s="118"/>
      <c r="Q710" s="118"/>
      <c r="S710" s="118"/>
      <c r="U710" s="118"/>
      <c r="W710" s="118"/>
      <c r="Y710" s="118"/>
      <c r="AA710" s="118"/>
      <c r="AC710" s="118"/>
      <c r="AE710" s="118"/>
      <c r="AF710" s="119"/>
    </row>
    <row r="711" spans="1:32" x14ac:dyDescent="0.3">
      <c r="A711" s="118"/>
      <c r="C711" s="118"/>
      <c r="E711" s="118"/>
      <c r="G711" s="118"/>
      <c r="I711" s="118"/>
      <c r="J711" s="119"/>
      <c r="M711" s="118"/>
      <c r="O711" s="118"/>
      <c r="Q711" s="118"/>
      <c r="S711" s="118"/>
      <c r="U711" s="118"/>
      <c r="W711" s="118"/>
      <c r="Y711" s="118"/>
      <c r="AA711" s="118"/>
      <c r="AC711" s="118"/>
      <c r="AE711" s="118"/>
      <c r="AF711" s="119"/>
    </row>
    <row r="712" spans="1:32" x14ac:dyDescent="0.3">
      <c r="A712" s="118"/>
      <c r="C712" s="118"/>
      <c r="E712" s="118"/>
      <c r="G712" s="118"/>
      <c r="I712" s="118"/>
      <c r="J712" s="119"/>
      <c r="M712" s="118"/>
      <c r="O712" s="118"/>
      <c r="Q712" s="118"/>
      <c r="S712" s="118"/>
      <c r="U712" s="118"/>
      <c r="W712" s="118"/>
      <c r="Y712" s="118"/>
      <c r="AA712" s="118"/>
      <c r="AC712" s="118"/>
      <c r="AE712" s="118"/>
      <c r="AF712" s="119"/>
    </row>
    <row r="713" spans="1:32" x14ac:dyDescent="0.3">
      <c r="A713" s="118"/>
      <c r="C713" s="118"/>
      <c r="E713" s="118"/>
      <c r="G713" s="118"/>
      <c r="I713" s="118"/>
      <c r="J713" s="119"/>
      <c r="M713" s="118"/>
      <c r="O713" s="118"/>
      <c r="Q713" s="118"/>
      <c r="S713" s="118"/>
      <c r="U713" s="118"/>
      <c r="W713" s="118"/>
      <c r="Y713" s="118"/>
      <c r="AA713" s="118"/>
      <c r="AC713" s="118"/>
      <c r="AE713" s="118"/>
      <c r="AF713" s="119"/>
    </row>
    <row r="714" spans="1:32" x14ac:dyDescent="0.3">
      <c r="A714" s="118"/>
      <c r="C714" s="118"/>
      <c r="E714" s="118"/>
      <c r="G714" s="118"/>
      <c r="I714" s="118"/>
      <c r="J714" s="119"/>
      <c r="M714" s="118"/>
      <c r="O714" s="118"/>
      <c r="Q714" s="118"/>
      <c r="S714" s="118"/>
      <c r="U714" s="118"/>
      <c r="W714" s="118"/>
      <c r="Y714" s="118"/>
      <c r="AA714" s="118"/>
      <c r="AC714" s="118"/>
      <c r="AE714" s="118"/>
      <c r="AF714" s="119"/>
    </row>
    <row r="715" spans="1:32" x14ac:dyDescent="0.3">
      <c r="A715" s="118"/>
      <c r="C715" s="118"/>
      <c r="E715" s="118"/>
      <c r="G715" s="118"/>
      <c r="I715" s="118"/>
      <c r="J715" s="119"/>
      <c r="M715" s="118"/>
      <c r="O715" s="118"/>
      <c r="Q715" s="118"/>
      <c r="S715" s="118"/>
      <c r="U715" s="118"/>
      <c r="W715" s="118"/>
      <c r="Y715" s="118"/>
      <c r="AA715" s="118"/>
      <c r="AC715" s="118"/>
      <c r="AE715" s="118"/>
      <c r="AF715" s="119"/>
    </row>
    <row r="716" spans="1:32" x14ac:dyDescent="0.3">
      <c r="A716" s="118"/>
      <c r="C716" s="118"/>
      <c r="E716" s="118"/>
      <c r="G716" s="118"/>
      <c r="I716" s="118"/>
      <c r="J716" s="119"/>
      <c r="M716" s="118"/>
      <c r="O716" s="118"/>
      <c r="Q716" s="118"/>
      <c r="S716" s="118"/>
      <c r="U716" s="118"/>
      <c r="W716" s="118"/>
      <c r="Y716" s="118"/>
      <c r="AA716" s="118"/>
      <c r="AC716" s="118"/>
      <c r="AE716" s="118"/>
      <c r="AF716" s="119"/>
    </row>
    <row r="717" spans="1:32" x14ac:dyDescent="0.3">
      <c r="A717" s="118"/>
      <c r="C717" s="118"/>
      <c r="E717" s="118"/>
      <c r="G717" s="118"/>
      <c r="I717" s="118"/>
      <c r="J717" s="119"/>
      <c r="M717" s="118"/>
      <c r="O717" s="118"/>
      <c r="Q717" s="118"/>
      <c r="S717" s="118"/>
      <c r="U717" s="118"/>
      <c r="W717" s="118"/>
      <c r="Y717" s="118"/>
      <c r="AA717" s="118"/>
      <c r="AC717" s="118"/>
      <c r="AE717" s="118"/>
      <c r="AF717" s="119"/>
    </row>
    <row r="718" spans="1:32" x14ac:dyDescent="0.3">
      <c r="A718" s="118"/>
      <c r="C718" s="118"/>
      <c r="E718" s="118"/>
      <c r="G718" s="118"/>
      <c r="I718" s="118"/>
      <c r="J718" s="119"/>
      <c r="M718" s="118"/>
      <c r="O718" s="118"/>
      <c r="Q718" s="118"/>
      <c r="S718" s="118"/>
      <c r="U718" s="118"/>
      <c r="W718" s="118"/>
      <c r="Y718" s="118"/>
      <c r="AA718" s="118"/>
      <c r="AC718" s="118"/>
      <c r="AE718" s="118"/>
      <c r="AF718" s="119"/>
    </row>
    <row r="719" spans="1:32" x14ac:dyDescent="0.3">
      <c r="A719" s="118"/>
      <c r="C719" s="118"/>
      <c r="E719" s="118"/>
      <c r="G719" s="118"/>
      <c r="I719" s="118"/>
      <c r="J719" s="119"/>
      <c r="M719" s="118"/>
      <c r="O719" s="118"/>
      <c r="Q719" s="118"/>
      <c r="S719" s="118"/>
      <c r="U719" s="118"/>
      <c r="W719" s="118"/>
      <c r="Y719" s="118"/>
      <c r="AA719" s="118"/>
      <c r="AC719" s="118"/>
      <c r="AE719" s="118"/>
      <c r="AF719" s="119"/>
    </row>
    <row r="720" spans="1:32" x14ac:dyDescent="0.3">
      <c r="A720" s="118"/>
      <c r="C720" s="118"/>
      <c r="E720" s="118"/>
      <c r="G720" s="118"/>
      <c r="I720" s="118"/>
      <c r="J720" s="119"/>
      <c r="M720" s="118"/>
      <c r="O720" s="118"/>
      <c r="Q720" s="118"/>
      <c r="S720" s="118"/>
      <c r="U720" s="118"/>
      <c r="W720" s="118"/>
      <c r="Y720" s="118"/>
      <c r="AA720" s="118"/>
      <c r="AC720" s="118"/>
      <c r="AE720" s="118"/>
      <c r="AF720" s="119"/>
    </row>
    <row r="721" spans="1:32" x14ac:dyDescent="0.3">
      <c r="A721" s="118"/>
      <c r="C721" s="118"/>
      <c r="E721" s="118"/>
      <c r="G721" s="118"/>
      <c r="I721" s="118"/>
      <c r="J721" s="119"/>
      <c r="M721" s="118"/>
      <c r="O721" s="118"/>
      <c r="Q721" s="118"/>
      <c r="S721" s="118"/>
      <c r="U721" s="118"/>
      <c r="W721" s="118"/>
      <c r="Y721" s="118"/>
      <c r="AA721" s="118"/>
      <c r="AC721" s="118"/>
      <c r="AE721" s="118"/>
      <c r="AF721" s="119"/>
    </row>
    <row r="722" spans="1:32" x14ac:dyDescent="0.3">
      <c r="A722" s="118"/>
      <c r="C722" s="118"/>
      <c r="E722" s="118"/>
      <c r="G722" s="118"/>
      <c r="I722" s="118"/>
      <c r="J722" s="119"/>
      <c r="M722" s="118"/>
      <c r="O722" s="118"/>
      <c r="Q722" s="118"/>
      <c r="S722" s="118"/>
      <c r="U722" s="118"/>
      <c r="W722" s="118"/>
      <c r="Y722" s="118"/>
      <c r="AA722" s="118"/>
      <c r="AC722" s="118"/>
      <c r="AE722" s="118"/>
      <c r="AF722" s="119"/>
    </row>
    <row r="723" spans="1:32" x14ac:dyDescent="0.3">
      <c r="A723" s="118"/>
      <c r="C723" s="118"/>
      <c r="E723" s="118"/>
      <c r="G723" s="118"/>
      <c r="I723" s="118"/>
      <c r="J723" s="119"/>
      <c r="M723" s="118"/>
      <c r="O723" s="118"/>
      <c r="Q723" s="118"/>
      <c r="S723" s="118"/>
      <c r="U723" s="118"/>
      <c r="W723" s="118"/>
      <c r="Y723" s="118"/>
      <c r="AA723" s="118"/>
      <c r="AC723" s="118"/>
      <c r="AE723" s="118"/>
      <c r="AF723" s="119"/>
    </row>
    <row r="724" spans="1:32" x14ac:dyDescent="0.3">
      <c r="A724" s="118"/>
      <c r="C724" s="118"/>
      <c r="E724" s="118"/>
      <c r="G724" s="118"/>
      <c r="I724" s="118"/>
      <c r="J724" s="119"/>
      <c r="M724" s="118"/>
      <c r="O724" s="118"/>
      <c r="Q724" s="118"/>
      <c r="S724" s="118"/>
      <c r="U724" s="118"/>
      <c r="W724" s="118"/>
      <c r="Y724" s="118"/>
      <c r="AA724" s="118"/>
      <c r="AC724" s="118"/>
      <c r="AE724" s="118"/>
      <c r="AF724" s="119"/>
    </row>
    <row r="725" spans="1:32" x14ac:dyDescent="0.3">
      <c r="A725" s="118"/>
      <c r="C725" s="118"/>
      <c r="E725" s="118"/>
      <c r="G725" s="118"/>
      <c r="I725" s="118"/>
      <c r="J725" s="119"/>
      <c r="M725" s="118"/>
      <c r="O725" s="118"/>
      <c r="Q725" s="118"/>
      <c r="S725" s="118"/>
      <c r="U725" s="118"/>
      <c r="W725" s="118"/>
      <c r="Y725" s="118"/>
      <c r="AA725" s="118"/>
      <c r="AC725" s="118"/>
      <c r="AE725" s="118"/>
      <c r="AF725" s="119"/>
    </row>
    <row r="726" spans="1:32" x14ac:dyDescent="0.3">
      <c r="A726" s="118"/>
      <c r="C726" s="118"/>
      <c r="E726" s="118"/>
      <c r="G726" s="118"/>
      <c r="I726" s="118"/>
      <c r="J726" s="119"/>
      <c r="M726" s="118"/>
      <c r="O726" s="118"/>
      <c r="Q726" s="118"/>
      <c r="S726" s="118"/>
      <c r="U726" s="118"/>
      <c r="W726" s="118"/>
      <c r="Y726" s="118"/>
      <c r="AA726" s="118"/>
      <c r="AC726" s="118"/>
      <c r="AE726" s="118"/>
      <c r="AF726" s="119"/>
    </row>
    <row r="727" spans="1:32" x14ac:dyDescent="0.3">
      <c r="A727" s="118"/>
      <c r="C727" s="118"/>
      <c r="E727" s="118"/>
      <c r="G727" s="118"/>
      <c r="I727" s="118"/>
      <c r="J727" s="119"/>
      <c r="M727" s="118"/>
      <c r="O727" s="118"/>
      <c r="Q727" s="118"/>
      <c r="S727" s="118"/>
      <c r="U727" s="118"/>
      <c r="W727" s="118"/>
      <c r="Y727" s="118"/>
      <c r="AA727" s="118"/>
      <c r="AC727" s="118"/>
      <c r="AE727" s="118"/>
      <c r="AF727" s="119"/>
    </row>
    <row r="728" spans="1:32" x14ac:dyDescent="0.3">
      <c r="A728" s="118"/>
      <c r="C728" s="118"/>
      <c r="E728" s="118"/>
      <c r="G728" s="118"/>
      <c r="I728" s="118"/>
      <c r="J728" s="119"/>
      <c r="M728" s="118"/>
      <c r="O728" s="118"/>
      <c r="Q728" s="118"/>
      <c r="S728" s="118"/>
      <c r="U728" s="118"/>
      <c r="W728" s="118"/>
      <c r="Y728" s="118"/>
      <c r="AA728" s="118"/>
      <c r="AC728" s="118"/>
      <c r="AE728" s="118"/>
      <c r="AF728" s="119"/>
    </row>
    <row r="729" spans="1:32" x14ac:dyDescent="0.3">
      <c r="A729" s="118"/>
      <c r="C729" s="118"/>
      <c r="E729" s="118"/>
      <c r="G729" s="118"/>
      <c r="I729" s="118"/>
      <c r="J729" s="119"/>
      <c r="M729" s="118"/>
      <c r="O729" s="118"/>
      <c r="Q729" s="118"/>
      <c r="S729" s="118"/>
      <c r="U729" s="118"/>
      <c r="W729" s="118"/>
      <c r="Y729" s="118"/>
      <c r="AA729" s="118"/>
      <c r="AC729" s="118"/>
      <c r="AE729" s="118"/>
      <c r="AF729" s="119"/>
    </row>
    <row r="730" spans="1:32" x14ac:dyDescent="0.3">
      <c r="A730" s="118"/>
      <c r="C730" s="118"/>
      <c r="E730" s="118"/>
      <c r="G730" s="118"/>
      <c r="I730" s="118"/>
      <c r="J730" s="119"/>
      <c r="M730" s="118"/>
      <c r="O730" s="118"/>
      <c r="Q730" s="118"/>
      <c r="S730" s="118"/>
      <c r="U730" s="118"/>
      <c r="W730" s="118"/>
      <c r="Y730" s="118"/>
      <c r="AA730" s="118"/>
      <c r="AC730" s="118"/>
      <c r="AE730" s="118"/>
      <c r="AF730" s="119"/>
    </row>
    <row r="731" spans="1:32" x14ac:dyDescent="0.3">
      <c r="A731" s="118"/>
      <c r="C731" s="118"/>
      <c r="E731" s="118"/>
      <c r="G731" s="118"/>
      <c r="I731" s="118"/>
      <c r="J731" s="119"/>
      <c r="M731" s="118"/>
      <c r="O731" s="118"/>
      <c r="Q731" s="118"/>
      <c r="S731" s="118"/>
      <c r="U731" s="118"/>
      <c r="W731" s="118"/>
      <c r="Y731" s="118"/>
      <c r="AA731" s="118"/>
      <c r="AC731" s="118"/>
      <c r="AE731" s="118"/>
      <c r="AF731" s="119"/>
    </row>
    <row r="732" spans="1:32" x14ac:dyDescent="0.3">
      <c r="A732" s="118"/>
      <c r="C732" s="118"/>
      <c r="E732" s="118"/>
      <c r="G732" s="118"/>
      <c r="I732" s="118"/>
      <c r="J732" s="119"/>
      <c r="M732" s="118"/>
      <c r="O732" s="118"/>
      <c r="Q732" s="118"/>
      <c r="S732" s="118"/>
      <c r="U732" s="118"/>
      <c r="W732" s="118"/>
      <c r="Y732" s="118"/>
      <c r="AA732" s="118"/>
      <c r="AC732" s="118"/>
      <c r="AE732" s="118"/>
      <c r="AF732" s="119"/>
    </row>
    <row r="733" spans="1:32" x14ac:dyDescent="0.3">
      <c r="A733" s="118"/>
      <c r="C733" s="118"/>
      <c r="E733" s="118"/>
      <c r="G733" s="118"/>
      <c r="I733" s="118"/>
      <c r="J733" s="119"/>
      <c r="M733" s="118"/>
      <c r="O733" s="118"/>
      <c r="Q733" s="118"/>
      <c r="S733" s="118"/>
      <c r="U733" s="118"/>
      <c r="W733" s="118"/>
      <c r="Y733" s="118"/>
      <c r="AA733" s="118"/>
      <c r="AC733" s="118"/>
      <c r="AE733" s="118"/>
      <c r="AF733" s="119"/>
    </row>
    <row r="734" spans="1:32" x14ac:dyDescent="0.3">
      <c r="A734" s="118"/>
      <c r="C734" s="118"/>
      <c r="E734" s="118"/>
      <c r="G734" s="118"/>
      <c r="I734" s="118"/>
      <c r="J734" s="119"/>
      <c r="M734" s="118"/>
      <c r="O734" s="118"/>
      <c r="Q734" s="118"/>
      <c r="S734" s="118"/>
      <c r="U734" s="118"/>
      <c r="W734" s="118"/>
      <c r="Y734" s="118"/>
      <c r="AA734" s="118"/>
      <c r="AC734" s="118"/>
      <c r="AE734" s="118"/>
      <c r="AF734" s="119"/>
    </row>
    <row r="735" spans="1:32" x14ac:dyDescent="0.3">
      <c r="A735" s="118"/>
      <c r="C735" s="118"/>
      <c r="E735" s="118"/>
      <c r="G735" s="118"/>
      <c r="I735" s="118"/>
      <c r="J735" s="119"/>
      <c r="M735" s="118"/>
      <c r="O735" s="118"/>
      <c r="Q735" s="118"/>
      <c r="S735" s="118"/>
      <c r="U735" s="118"/>
      <c r="W735" s="118"/>
      <c r="Y735" s="118"/>
      <c r="AA735" s="118"/>
      <c r="AC735" s="118"/>
      <c r="AE735" s="118"/>
      <c r="AF735" s="119"/>
    </row>
    <row r="736" spans="1:32" x14ac:dyDescent="0.3">
      <c r="A736" s="118"/>
      <c r="C736" s="118"/>
      <c r="E736" s="118"/>
      <c r="G736" s="118"/>
      <c r="I736" s="118"/>
      <c r="J736" s="119"/>
      <c r="M736" s="118"/>
      <c r="O736" s="118"/>
      <c r="Q736" s="118"/>
      <c r="S736" s="118"/>
      <c r="U736" s="118"/>
      <c r="W736" s="118"/>
      <c r="Y736" s="118"/>
      <c r="AA736" s="118"/>
      <c r="AC736" s="118"/>
      <c r="AE736" s="118"/>
      <c r="AF736" s="119"/>
    </row>
    <row r="737" spans="1:32" x14ac:dyDescent="0.3">
      <c r="A737" s="118"/>
      <c r="C737" s="118"/>
      <c r="E737" s="118"/>
      <c r="G737" s="118"/>
      <c r="I737" s="118"/>
      <c r="J737" s="119"/>
      <c r="M737" s="118"/>
      <c r="O737" s="118"/>
      <c r="Q737" s="118"/>
      <c r="S737" s="118"/>
      <c r="U737" s="118"/>
      <c r="W737" s="118"/>
      <c r="Y737" s="118"/>
      <c r="AA737" s="118"/>
      <c r="AC737" s="118"/>
      <c r="AE737" s="118"/>
      <c r="AF737" s="119"/>
    </row>
    <row r="738" spans="1:32" x14ac:dyDescent="0.3">
      <c r="A738" s="118"/>
      <c r="C738" s="118"/>
      <c r="E738" s="118"/>
      <c r="G738" s="118"/>
      <c r="I738" s="118"/>
      <c r="J738" s="119"/>
      <c r="M738" s="118"/>
      <c r="O738" s="118"/>
      <c r="Q738" s="118"/>
      <c r="S738" s="118"/>
      <c r="U738" s="118"/>
      <c r="W738" s="118"/>
      <c r="Y738" s="118"/>
      <c r="AA738" s="118"/>
      <c r="AC738" s="118"/>
      <c r="AE738" s="118"/>
      <c r="AF738" s="119"/>
    </row>
    <row r="739" spans="1:32" x14ac:dyDescent="0.3">
      <c r="A739" s="118"/>
      <c r="C739" s="118"/>
      <c r="E739" s="118"/>
      <c r="G739" s="118"/>
      <c r="I739" s="118"/>
      <c r="J739" s="119"/>
      <c r="M739" s="118"/>
      <c r="O739" s="118"/>
      <c r="Q739" s="118"/>
      <c r="S739" s="118"/>
      <c r="U739" s="118"/>
      <c r="W739" s="118"/>
      <c r="Y739" s="118"/>
      <c r="AA739" s="118"/>
      <c r="AC739" s="118"/>
      <c r="AE739" s="118"/>
      <c r="AF739" s="119"/>
    </row>
    <row r="740" spans="1:32" x14ac:dyDescent="0.3">
      <c r="A740" s="118"/>
      <c r="C740" s="118"/>
      <c r="E740" s="118"/>
      <c r="G740" s="118"/>
      <c r="I740" s="118"/>
      <c r="J740" s="119"/>
      <c r="M740" s="118"/>
      <c r="O740" s="118"/>
      <c r="Q740" s="118"/>
      <c r="S740" s="118"/>
      <c r="U740" s="118"/>
      <c r="W740" s="118"/>
      <c r="Y740" s="118"/>
      <c r="AA740" s="118"/>
      <c r="AC740" s="118"/>
      <c r="AE740" s="118"/>
      <c r="AF740" s="119"/>
    </row>
    <row r="741" spans="1:32" x14ac:dyDescent="0.3">
      <c r="A741" s="118"/>
      <c r="C741" s="118"/>
      <c r="E741" s="118"/>
      <c r="G741" s="118"/>
      <c r="I741" s="118"/>
      <c r="J741" s="119"/>
      <c r="M741" s="118"/>
      <c r="O741" s="118"/>
      <c r="Q741" s="118"/>
      <c r="S741" s="118"/>
      <c r="U741" s="118"/>
      <c r="W741" s="118"/>
      <c r="Y741" s="118"/>
      <c r="AA741" s="118"/>
      <c r="AC741" s="118"/>
      <c r="AE741" s="118"/>
      <c r="AF741" s="119"/>
    </row>
    <row r="742" spans="1:32" x14ac:dyDescent="0.3">
      <c r="A742" s="118"/>
      <c r="C742" s="118"/>
      <c r="E742" s="118"/>
      <c r="G742" s="118"/>
      <c r="I742" s="118"/>
      <c r="J742" s="119"/>
      <c r="M742" s="118"/>
      <c r="O742" s="118"/>
      <c r="Q742" s="118"/>
      <c r="S742" s="118"/>
      <c r="U742" s="118"/>
      <c r="W742" s="118"/>
      <c r="Y742" s="118"/>
      <c r="AA742" s="118"/>
      <c r="AC742" s="118"/>
      <c r="AE742" s="118"/>
      <c r="AF742" s="119"/>
    </row>
    <row r="743" spans="1:32" x14ac:dyDescent="0.3">
      <c r="A743" s="118"/>
      <c r="C743" s="118"/>
      <c r="E743" s="118"/>
      <c r="G743" s="118"/>
      <c r="I743" s="118"/>
      <c r="J743" s="119"/>
      <c r="M743" s="118"/>
      <c r="O743" s="118"/>
      <c r="Q743" s="118"/>
      <c r="S743" s="118"/>
      <c r="U743" s="118"/>
      <c r="W743" s="118"/>
      <c r="Y743" s="118"/>
      <c r="AA743" s="118"/>
      <c r="AC743" s="118"/>
      <c r="AE743" s="118"/>
      <c r="AF743" s="119"/>
    </row>
    <row r="744" spans="1:32" x14ac:dyDescent="0.3">
      <c r="A744" s="118"/>
      <c r="C744" s="118"/>
      <c r="E744" s="118"/>
      <c r="G744" s="118"/>
      <c r="I744" s="118"/>
      <c r="J744" s="119"/>
      <c r="M744" s="118"/>
      <c r="O744" s="118"/>
      <c r="Q744" s="118"/>
      <c r="S744" s="118"/>
      <c r="U744" s="118"/>
      <c r="W744" s="118"/>
      <c r="Y744" s="118"/>
      <c r="AA744" s="118"/>
      <c r="AC744" s="118"/>
      <c r="AE744" s="118"/>
      <c r="AF744" s="119"/>
    </row>
    <row r="745" spans="1:32" x14ac:dyDescent="0.3">
      <c r="A745" s="118"/>
      <c r="C745" s="118"/>
      <c r="E745" s="118"/>
      <c r="G745" s="118"/>
      <c r="I745" s="118"/>
      <c r="J745" s="119"/>
      <c r="M745" s="118"/>
      <c r="O745" s="118"/>
      <c r="Q745" s="118"/>
      <c r="S745" s="118"/>
      <c r="U745" s="118"/>
      <c r="W745" s="118"/>
      <c r="Y745" s="118"/>
      <c r="AA745" s="118"/>
      <c r="AC745" s="118"/>
      <c r="AE745" s="118"/>
      <c r="AF745" s="119"/>
    </row>
    <row r="746" spans="1:32" x14ac:dyDescent="0.3">
      <c r="A746" s="118"/>
      <c r="C746" s="118"/>
      <c r="E746" s="118"/>
      <c r="G746" s="118"/>
      <c r="I746" s="118"/>
      <c r="J746" s="119"/>
      <c r="M746" s="118"/>
      <c r="O746" s="118"/>
      <c r="Q746" s="118"/>
      <c r="S746" s="118"/>
      <c r="U746" s="118"/>
      <c r="W746" s="118"/>
      <c r="Y746" s="118"/>
      <c r="AA746" s="118"/>
      <c r="AC746" s="118"/>
      <c r="AE746" s="118"/>
      <c r="AF746" s="119"/>
    </row>
    <row r="747" spans="1:32" x14ac:dyDescent="0.3">
      <c r="A747" s="118"/>
      <c r="C747" s="118"/>
      <c r="E747" s="118"/>
      <c r="G747" s="118"/>
      <c r="I747" s="118"/>
      <c r="J747" s="119"/>
      <c r="M747" s="118"/>
      <c r="O747" s="118"/>
      <c r="Q747" s="118"/>
      <c r="S747" s="118"/>
      <c r="U747" s="118"/>
      <c r="W747" s="118"/>
      <c r="Y747" s="118"/>
      <c r="AA747" s="118"/>
      <c r="AC747" s="118"/>
      <c r="AE747" s="118"/>
      <c r="AF747" s="119"/>
    </row>
    <row r="748" spans="1:32" x14ac:dyDescent="0.3">
      <c r="A748" s="118"/>
      <c r="C748" s="118"/>
      <c r="E748" s="118"/>
      <c r="G748" s="118"/>
      <c r="I748" s="118"/>
      <c r="J748" s="119"/>
      <c r="M748" s="118"/>
      <c r="O748" s="118"/>
      <c r="Q748" s="118"/>
      <c r="S748" s="118"/>
      <c r="U748" s="118"/>
      <c r="W748" s="118"/>
      <c r="Y748" s="118"/>
      <c r="AA748" s="118"/>
      <c r="AC748" s="118"/>
      <c r="AE748" s="118"/>
      <c r="AF748" s="119"/>
    </row>
    <row r="749" spans="1:32" x14ac:dyDescent="0.3">
      <c r="A749" s="118"/>
      <c r="C749" s="118"/>
      <c r="E749" s="118"/>
      <c r="G749" s="118"/>
      <c r="I749" s="118"/>
      <c r="J749" s="119"/>
      <c r="M749" s="118"/>
      <c r="O749" s="118"/>
      <c r="Q749" s="118"/>
      <c r="S749" s="118"/>
      <c r="U749" s="118"/>
      <c r="W749" s="118"/>
      <c r="Y749" s="118"/>
      <c r="AA749" s="118"/>
      <c r="AC749" s="118"/>
      <c r="AE749" s="118"/>
      <c r="AF749" s="119"/>
    </row>
    <row r="750" spans="1:32" x14ac:dyDescent="0.3">
      <c r="A750" s="118"/>
      <c r="C750" s="118"/>
      <c r="E750" s="118"/>
      <c r="G750" s="118"/>
      <c r="I750" s="118"/>
      <c r="J750" s="119"/>
      <c r="M750" s="118"/>
      <c r="O750" s="118"/>
      <c r="Q750" s="118"/>
      <c r="S750" s="118"/>
      <c r="U750" s="118"/>
      <c r="W750" s="118"/>
      <c r="Y750" s="118"/>
      <c r="AA750" s="118"/>
      <c r="AC750" s="118"/>
      <c r="AE750" s="118"/>
      <c r="AF750" s="119"/>
    </row>
    <row r="751" spans="1:32" x14ac:dyDescent="0.3">
      <c r="A751" s="118"/>
      <c r="C751" s="118"/>
      <c r="E751" s="118"/>
      <c r="G751" s="118"/>
      <c r="I751" s="118"/>
      <c r="J751" s="119"/>
      <c r="M751" s="118"/>
      <c r="O751" s="118"/>
      <c r="Q751" s="118"/>
      <c r="S751" s="118"/>
      <c r="U751" s="118"/>
      <c r="W751" s="118"/>
      <c r="Y751" s="118"/>
      <c r="AA751" s="118"/>
      <c r="AC751" s="118"/>
      <c r="AE751" s="118"/>
      <c r="AF751" s="119"/>
    </row>
    <row r="752" spans="1:32" x14ac:dyDescent="0.3">
      <c r="A752" s="118"/>
      <c r="C752" s="118"/>
      <c r="E752" s="118"/>
      <c r="G752" s="118"/>
      <c r="I752" s="118"/>
      <c r="J752" s="119"/>
      <c r="M752" s="118"/>
      <c r="O752" s="118"/>
      <c r="Q752" s="118"/>
      <c r="S752" s="118"/>
      <c r="U752" s="118"/>
      <c r="W752" s="118"/>
      <c r="Y752" s="118"/>
      <c r="AA752" s="118"/>
      <c r="AC752" s="118"/>
      <c r="AE752" s="118"/>
      <c r="AF752" s="119"/>
    </row>
    <row r="753" spans="1:32" x14ac:dyDescent="0.3">
      <c r="A753" s="118"/>
      <c r="C753" s="118"/>
      <c r="E753" s="118"/>
      <c r="G753" s="118"/>
      <c r="I753" s="118"/>
      <c r="J753" s="119"/>
      <c r="M753" s="118"/>
      <c r="O753" s="118"/>
      <c r="Q753" s="118"/>
      <c r="S753" s="118"/>
      <c r="U753" s="118"/>
      <c r="W753" s="118"/>
      <c r="Y753" s="118"/>
      <c r="AA753" s="118"/>
      <c r="AC753" s="118"/>
      <c r="AE753" s="118"/>
      <c r="AF753" s="119"/>
    </row>
    <row r="754" spans="1:32" x14ac:dyDescent="0.3">
      <c r="A754" s="118"/>
      <c r="C754" s="118"/>
      <c r="E754" s="118"/>
      <c r="G754" s="118"/>
      <c r="I754" s="118"/>
      <c r="J754" s="119"/>
      <c r="M754" s="118"/>
      <c r="O754" s="118"/>
      <c r="Q754" s="118"/>
      <c r="S754" s="118"/>
      <c r="U754" s="118"/>
      <c r="W754" s="118"/>
      <c r="Y754" s="118"/>
      <c r="AA754" s="118"/>
      <c r="AC754" s="118"/>
      <c r="AE754" s="118"/>
      <c r="AF754" s="119"/>
    </row>
    <row r="755" spans="1:32" x14ac:dyDescent="0.3">
      <c r="A755" s="118"/>
      <c r="C755" s="118"/>
      <c r="E755" s="118"/>
      <c r="G755" s="118"/>
      <c r="I755" s="118"/>
      <c r="J755" s="119"/>
      <c r="M755" s="118"/>
      <c r="O755" s="118"/>
      <c r="Q755" s="118"/>
      <c r="S755" s="118"/>
      <c r="U755" s="118"/>
      <c r="W755" s="118"/>
      <c r="Y755" s="118"/>
      <c r="AA755" s="118"/>
      <c r="AC755" s="118"/>
      <c r="AE755" s="118"/>
      <c r="AF755" s="119"/>
    </row>
    <row r="756" spans="1:32" x14ac:dyDescent="0.3">
      <c r="A756" s="118"/>
      <c r="C756" s="118"/>
      <c r="E756" s="118"/>
      <c r="G756" s="118"/>
      <c r="I756" s="118"/>
      <c r="J756" s="119"/>
      <c r="M756" s="118"/>
      <c r="O756" s="118"/>
      <c r="Q756" s="118"/>
      <c r="S756" s="118"/>
      <c r="U756" s="118"/>
      <c r="W756" s="118"/>
      <c r="Y756" s="118"/>
      <c r="AA756" s="118"/>
      <c r="AC756" s="118"/>
      <c r="AE756" s="118"/>
      <c r="AF756" s="119"/>
    </row>
    <row r="757" spans="1:32" x14ac:dyDescent="0.3">
      <c r="A757" s="118"/>
      <c r="C757" s="118"/>
      <c r="E757" s="118"/>
      <c r="G757" s="118"/>
      <c r="I757" s="118"/>
      <c r="J757" s="119"/>
      <c r="M757" s="118"/>
      <c r="O757" s="118"/>
      <c r="Q757" s="118"/>
      <c r="S757" s="118"/>
      <c r="U757" s="118"/>
      <c r="W757" s="118"/>
      <c r="Y757" s="118"/>
      <c r="AA757" s="118"/>
      <c r="AC757" s="118"/>
      <c r="AE757" s="118"/>
      <c r="AF757" s="119"/>
    </row>
    <row r="758" spans="1:32" x14ac:dyDescent="0.3">
      <c r="A758" s="118"/>
      <c r="C758" s="118"/>
      <c r="E758" s="118"/>
      <c r="G758" s="118"/>
      <c r="I758" s="118"/>
      <c r="J758" s="119"/>
      <c r="M758" s="118"/>
      <c r="O758" s="118"/>
      <c r="Q758" s="118"/>
      <c r="S758" s="118"/>
      <c r="U758" s="118"/>
      <c r="W758" s="118"/>
      <c r="Y758" s="118"/>
      <c r="AA758" s="118"/>
      <c r="AC758" s="118"/>
      <c r="AE758" s="118"/>
      <c r="AF758" s="119"/>
    </row>
    <row r="759" spans="1:32" x14ac:dyDescent="0.3">
      <c r="A759" s="118"/>
      <c r="C759" s="118"/>
      <c r="E759" s="118"/>
      <c r="G759" s="118"/>
      <c r="I759" s="118"/>
      <c r="J759" s="119"/>
      <c r="M759" s="118"/>
      <c r="O759" s="118"/>
      <c r="Q759" s="118"/>
      <c r="S759" s="118"/>
      <c r="U759" s="118"/>
      <c r="W759" s="118"/>
      <c r="Y759" s="118"/>
      <c r="AA759" s="118"/>
      <c r="AC759" s="118"/>
      <c r="AE759" s="118"/>
      <c r="AF759" s="119"/>
    </row>
    <row r="760" spans="1:32" x14ac:dyDescent="0.3">
      <c r="A760" s="118"/>
      <c r="C760" s="118"/>
      <c r="E760" s="118"/>
      <c r="G760" s="118"/>
      <c r="I760" s="118"/>
      <c r="J760" s="119"/>
      <c r="M760" s="118"/>
      <c r="O760" s="118"/>
      <c r="Q760" s="118"/>
      <c r="S760" s="118"/>
      <c r="U760" s="118"/>
      <c r="W760" s="118"/>
      <c r="Y760" s="118"/>
      <c r="AA760" s="118"/>
      <c r="AC760" s="118"/>
      <c r="AE760" s="118"/>
      <c r="AF760" s="119"/>
    </row>
    <row r="761" spans="1:32" x14ac:dyDescent="0.3">
      <c r="A761" s="118"/>
      <c r="C761" s="118"/>
      <c r="E761" s="118"/>
      <c r="G761" s="118"/>
      <c r="I761" s="118"/>
      <c r="J761" s="119"/>
      <c r="M761" s="118"/>
      <c r="O761" s="118"/>
      <c r="Q761" s="118"/>
      <c r="S761" s="118"/>
      <c r="U761" s="118"/>
      <c r="W761" s="118"/>
      <c r="Y761" s="118"/>
      <c r="AA761" s="118"/>
      <c r="AC761" s="118"/>
      <c r="AE761" s="118"/>
      <c r="AF761" s="119"/>
    </row>
    <row r="762" spans="1:32" x14ac:dyDescent="0.3">
      <c r="A762" s="118"/>
      <c r="C762" s="118"/>
      <c r="E762" s="118"/>
      <c r="G762" s="118"/>
      <c r="I762" s="118"/>
      <c r="J762" s="119"/>
      <c r="M762" s="118"/>
      <c r="O762" s="118"/>
      <c r="Q762" s="118"/>
      <c r="S762" s="118"/>
      <c r="U762" s="118"/>
      <c r="W762" s="118"/>
      <c r="Y762" s="118"/>
      <c r="AA762" s="118"/>
      <c r="AC762" s="118"/>
      <c r="AE762" s="118"/>
      <c r="AF762" s="119"/>
    </row>
    <row r="763" spans="1:32" x14ac:dyDescent="0.3">
      <c r="A763" s="118"/>
      <c r="C763" s="118"/>
      <c r="E763" s="118"/>
      <c r="G763" s="118"/>
      <c r="I763" s="118"/>
      <c r="J763" s="119"/>
      <c r="M763" s="118"/>
      <c r="O763" s="118"/>
      <c r="Q763" s="118"/>
      <c r="S763" s="118"/>
      <c r="U763" s="118"/>
      <c r="W763" s="118"/>
      <c r="Y763" s="118"/>
      <c r="AA763" s="118"/>
      <c r="AC763" s="118"/>
      <c r="AE763" s="118"/>
      <c r="AF763" s="119"/>
    </row>
    <row r="764" spans="1:32" x14ac:dyDescent="0.3">
      <c r="A764" s="118"/>
      <c r="C764" s="118"/>
      <c r="E764" s="118"/>
      <c r="G764" s="118"/>
      <c r="I764" s="118"/>
      <c r="J764" s="119"/>
      <c r="M764" s="118"/>
      <c r="O764" s="118"/>
      <c r="Q764" s="118"/>
      <c r="S764" s="118"/>
      <c r="U764" s="118"/>
      <c r="W764" s="118"/>
      <c r="Y764" s="118"/>
      <c r="AA764" s="118"/>
      <c r="AC764" s="118"/>
      <c r="AE764" s="118"/>
      <c r="AF764" s="119"/>
    </row>
    <row r="765" spans="1:32" x14ac:dyDescent="0.3">
      <c r="A765" s="118"/>
      <c r="C765" s="118"/>
      <c r="E765" s="118"/>
      <c r="G765" s="118"/>
      <c r="I765" s="118"/>
      <c r="J765" s="119"/>
      <c r="M765" s="118"/>
      <c r="O765" s="118"/>
      <c r="Q765" s="118"/>
      <c r="S765" s="118"/>
      <c r="U765" s="118"/>
      <c r="W765" s="118"/>
      <c r="Y765" s="118"/>
      <c r="AA765" s="118"/>
      <c r="AC765" s="118"/>
      <c r="AE765" s="118"/>
      <c r="AF765" s="119"/>
    </row>
    <row r="766" spans="1:32" x14ac:dyDescent="0.3">
      <c r="A766" s="118"/>
      <c r="C766" s="118"/>
      <c r="E766" s="118"/>
      <c r="G766" s="118"/>
      <c r="I766" s="118"/>
      <c r="J766" s="119"/>
      <c r="M766" s="118"/>
      <c r="O766" s="118"/>
      <c r="Q766" s="118"/>
      <c r="S766" s="118"/>
      <c r="U766" s="118"/>
      <c r="W766" s="118"/>
      <c r="Y766" s="118"/>
      <c r="AA766" s="118"/>
      <c r="AC766" s="118"/>
      <c r="AE766" s="118"/>
      <c r="AF766" s="119"/>
    </row>
    <row r="767" spans="1:32" x14ac:dyDescent="0.3">
      <c r="A767" s="118"/>
      <c r="C767" s="118"/>
      <c r="E767" s="118"/>
      <c r="G767" s="118"/>
      <c r="I767" s="118"/>
      <c r="J767" s="119"/>
      <c r="M767" s="118"/>
      <c r="O767" s="118"/>
      <c r="Q767" s="118"/>
      <c r="S767" s="118"/>
      <c r="U767" s="118"/>
      <c r="W767" s="118"/>
      <c r="Y767" s="118"/>
      <c r="AA767" s="118"/>
      <c r="AC767" s="118"/>
      <c r="AE767" s="118"/>
      <c r="AF767" s="119"/>
    </row>
    <row r="768" spans="1:32" x14ac:dyDescent="0.3">
      <c r="A768" s="118"/>
      <c r="C768" s="118"/>
      <c r="E768" s="118"/>
      <c r="G768" s="118"/>
      <c r="I768" s="118"/>
      <c r="J768" s="119"/>
      <c r="M768" s="118"/>
      <c r="O768" s="118"/>
      <c r="Q768" s="118"/>
      <c r="S768" s="118"/>
      <c r="U768" s="118"/>
      <c r="W768" s="118"/>
      <c r="Y768" s="118"/>
      <c r="AA768" s="118"/>
      <c r="AC768" s="118"/>
      <c r="AE768" s="118"/>
      <c r="AF768" s="119"/>
    </row>
    <row r="769" spans="1:32" x14ac:dyDescent="0.3">
      <c r="A769" s="118"/>
      <c r="C769" s="118"/>
      <c r="E769" s="118"/>
      <c r="G769" s="118"/>
      <c r="I769" s="118"/>
      <c r="J769" s="119"/>
      <c r="M769" s="118"/>
      <c r="O769" s="118"/>
      <c r="Q769" s="118"/>
      <c r="S769" s="118"/>
      <c r="U769" s="118"/>
      <c r="W769" s="118"/>
      <c r="Y769" s="118"/>
      <c r="AA769" s="118"/>
      <c r="AC769" s="118"/>
      <c r="AE769" s="118"/>
      <c r="AF769" s="119"/>
    </row>
    <row r="770" spans="1:32" x14ac:dyDescent="0.3">
      <c r="A770" s="118"/>
      <c r="C770" s="118"/>
      <c r="E770" s="118"/>
      <c r="G770" s="118"/>
      <c r="I770" s="118"/>
      <c r="J770" s="119"/>
      <c r="M770" s="118"/>
      <c r="O770" s="118"/>
      <c r="Q770" s="118"/>
      <c r="S770" s="118"/>
      <c r="U770" s="118"/>
      <c r="W770" s="118"/>
      <c r="Y770" s="118"/>
      <c r="AA770" s="118"/>
      <c r="AC770" s="118"/>
      <c r="AE770" s="118"/>
      <c r="AF770" s="119"/>
    </row>
    <row r="771" spans="1:32" x14ac:dyDescent="0.3">
      <c r="A771" s="118"/>
      <c r="C771" s="118"/>
      <c r="E771" s="118"/>
      <c r="G771" s="118"/>
      <c r="I771" s="118"/>
      <c r="J771" s="119"/>
      <c r="M771" s="118"/>
      <c r="O771" s="118"/>
      <c r="Q771" s="118"/>
      <c r="S771" s="118"/>
      <c r="U771" s="118"/>
      <c r="W771" s="118"/>
      <c r="Y771" s="118"/>
      <c r="AA771" s="118"/>
      <c r="AC771" s="118"/>
      <c r="AE771" s="118"/>
      <c r="AF771" s="119"/>
    </row>
    <row r="772" spans="1:32" x14ac:dyDescent="0.3">
      <c r="A772" s="118"/>
      <c r="C772" s="118"/>
      <c r="E772" s="118"/>
      <c r="G772" s="118"/>
      <c r="I772" s="118"/>
      <c r="J772" s="119"/>
      <c r="M772" s="118"/>
      <c r="O772" s="118"/>
      <c r="Q772" s="118"/>
      <c r="S772" s="118"/>
      <c r="U772" s="118"/>
      <c r="W772" s="118"/>
      <c r="Y772" s="118"/>
      <c r="AA772" s="118"/>
      <c r="AC772" s="118"/>
      <c r="AE772" s="118"/>
      <c r="AF772" s="119"/>
    </row>
    <row r="773" spans="1:32" x14ac:dyDescent="0.3">
      <c r="A773" s="118"/>
      <c r="C773" s="118"/>
      <c r="E773" s="118"/>
      <c r="G773" s="118"/>
      <c r="I773" s="118"/>
      <c r="J773" s="119"/>
      <c r="M773" s="118"/>
      <c r="O773" s="118"/>
      <c r="Q773" s="118"/>
      <c r="S773" s="118"/>
      <c r="U773" s="118"/>
      <c r="W773" s="118"/>
      <c r="Y773" s="118"/>
      <c r="AA773" s="118"/>
      <c r="AC773" s="118"/>
      <c r="AE773" s="118"/>
      <c r="AF773" s="119"/>
    </row>
    <row r="774" spans="1:32" x14ac:dyDescent="0.3">
      <c r="A774" s="118"/>
      <c r="C774" s="118"/>
      <c r="E774" s="118"/>
      <c r="G774" s="118"/>
      <c r="I774" s="118"/>
      <c r="J774" s="119"/>
      <c r="M774" s="118"/>
      <c r="O774" s="118"/>
      <c r="Q774" s="118"/>
      <c r="S774" s="118"/>
      <c r="U774" s="118"/>
      <c r="W774" s="118"/>
      <c r="Y774" s="118"/>
      <c r="AA774" s="118"/>
      <c r="AC774" s="118"/>
      <c r="AE774" s="118"/>
      <c r="AF774" s="119"/>
    </row>
    <row r="775" spans="1:32" x14ac:dyDescent="0.3">
      <c r="A775" s="118"/>
      <c r="C775" s="118"/>
      <c r="E775" s="118"/>
      <c r="G775" s="118"/>
      <c r="I775" s="118"/>
      <c r="J775" s="119"/>
      <c r="M775" s="118"/>
      <c r="O775" s="118"/>
      <c r="Q775" s="118"/>
      <c r="S775" s="118"/>
      <c r="U775" s="118"/>
      <c r="W775" s="118"/>
      <c r="Y775" s="118"/>
      <c r="AA775" s="118"/>
      <c r="AC775" s="118"/>
      <c r="AE775" s="118"/>
      <c r="AF775" s="119"/>
    </row>
    <row r="776" spans="1:32" x14ac:dyDescent="0.3">
      <c r="A776" s="118"/>
      <c r="C776" s="118"/>
      <c r="E776" s="118"/>
      <c r="G776" s="118"/>
      <c r="I776" s="118"/>
      <c r="J776" s="119"/>
      <c r="M776" s="118"/>
      <c r="O776" s="118"/>
      <c r="Q776" s="118"/>
      <c r="S776" s="118"/>
      <c r="U776" s="118"/>
      <c r="W776" s="118"/>
      <c r="Y776" s="118"/>
      <c r="AA776" s="118"/>
      <c r="AC776" s="118"/>
      <c r="AE776" s="118"/>
      <c r="AF776" s="119"/>
    </row>
    <row r="777" spans="1:32" x14ac:dyDescent="0.3">
      <c r="A777" s="118"/>
      <c r="C777" s="118"/>
      <c r="E777" s="118"/>
      <c r="G777" s="118"/>
      <c r="I777" s="118"/>
      <c r="J777" s="119"/>
      <c r="M777" s="118"/>
      <c r="O777" s="118"/>
      <c r="Q777" s="118"/>
      <c r="S777" s="118"/>
      <c r="U777" s="118"/>
      <c r="W777" s="118"/>
      <c r="Y777" s="118"/>
      <c r="AA777" s="118"/>
      <c r="AC777" s="118"/>
      <c r="AE777" s="118"/>
      <c r="AF777" s="119"/>
    </row>
    <row r="778" spans="1:32" x14ac:dyDescent="0.3">
      <c r="A778" s="118"/>
      <c r="C778" s="118"/>
      <c r="E778" s="118"/>
      <c r="G778" s="118"/>
      <c r="I778" s="118"/>
      <c r="J778" s="119"/>
      <c r="M778" s="118"/>
      <c r="O778" s="118"/>
      <c r="Q778" s="118"/>
      <c r="S778" s="118"/>
      <c r="U778" s="118"/>
      <c r="W778" s="118"/>
      <c r="Y778" s="118"/>
      <c r="AA778" s="118"/>
      <c r="AC778" s="118"/>
      <c r="AE778" s="118"/>
      <c r="AF778" s="119"/>
    </row>
    <row r="779" spans="1:32" x14ac:dyDescent="0.3">
      <c r="A779" s="118"/>
      <c r="C779" s="118"/>
      <c r="E779" s="118"/>
      <c r="G779" s="118"/>
      <c r="I779" s="118"/>
      <c r="J779" s="119"/>
      <c r="M779" s="118"/>
      <c r="O779" s="118"/>
      <c r="Q779" s="118"/>
      <c r="S779" s="118"/>
      <c r="U779" s="118"/>
      <c r="W779" s="118"/>
      <c r="Y779" s="118"/>
      <c r="AA779" s="118"/>
      <c r="AC779" s="118"/>
      <c r="AE779" s="118"/>
      <c r="AF779" s="119"/>
    </row>
    <row r="780" spans="1:32" x14ac:dyDescent="0.3">
      <c r="A780" s="118"/>
      <c r="C780" s="118"/>
      <c r="E780" s="118"/>
      <c r="G780" s="118"/>
      <c r="I780" s="118"/>
      <c r="J780" s="119"/>
      <c r="M780" s="118"/>
      <c r="O780" s="118"/>
      <c r="Q780" s="118"/>
      <c r="S780" s="118"/>
      <c r="U780" s="118"/>
      <c r="W780" s="118"/>
      <c r="Y780" s="118"/>
      <c r="AA780" s="118"/>
      <c r="AC780" s="118"/>
      <c r="AE780" s="118"/>
      <c r="AF780" s="119"/>
    </row>
    <row r="781" spans="1:32" x14ac:dyDescent="0.3">
      <c r="A781" s="118"/>
      <c r="C781" s="118"/>
      <c r="E781" s="118"/>
      <c r="G781" s="118"/>
      <c r="I781" s="118"/>
      <c r="J781" s="119"/>
      <c r="M781" s="118"/>
      <c r="O781" s="118"/>
      <c r="Q781" s="118"/>
      <c r="S781" s="118"/>
      <c r="U781" s="118"/>
      <c r="W781" s="118"/>
      <c r="Y781" s="118"/>
      <c r="AA781" s="118"/>
      <c r="AC781" s="118"/>
      <c r="AE781" s="118"/>
      <c r="AF781" s="119"/>
    </row>
    <row r="782" spans="1:32" x14ac:dyDescent="0.3">
      <c r="A782" s="118"/>
      <c r="C782" s="118"/>
      <c r="E782" s="118"/>
      <c r="G782" s="118"/>
      <c r="I782" s="118"/>
      <c r="J782" s="119"/>
      <c r="M782" s="118"/>
      <c r="O782" s="118"/>
      <c r="Q782" s="118"/>
      <c r="S782" s="118"/>
      <c r="U782" s="118"/>
      <c r="W782" s="118"/>
      <c r="Y782" s="118"/>
      <c r="AA782" s="118"/>
      <c r="AC782" s="118"/>
      <c r="AE782" s="118"/>
      <c r="AF782" s="119"/>
    </row>
    <row r="783" spans="1:32" x14ac:dyDescent="0.3">
      <c r="A783" s="118"/>
      <c r="C783" s="118"/>
      <c r="E783" s="118"/>
      <c r="G783" s="118"/>
      <c r="I783" s="118"/>
      <c r="J783" s="119"/>
      <c r="M783" s="118"/>
      <c r="O783" s="118"/>
      <c r="Q783" s="118"/>
      <c r="S783" s="118"/>
      <c r="U783" s="118"/>
      <c r="W783" s="118"/>
      <c r="Y783" s="118"/>
      <c r="AA783" s="118"/>
      <c r="AC783" s="118"/>
      <c r="AE783" s="118"/>
      <c r="AF783" s="119"/>
    </row>
    <row r="784" spans="1:32" x14ac:dyDescent="0.3">
      <c r="A784" s="118"/>
      <c r="C784" s="118"/>
      <c r="E784" s="118"/>
      <c r="G784" s="118"/>
      <c r="I784" s="118"/>
      <c r="J784" s="119"/>
      <c r="M784" s="118"/>
      <c r="O784" s="118"/>
      <c r="Q784" s="118"/>
      <c r="S784" s="118"/>
      <c r="U784" s="118"/>
      <c r="W784" s="118"/>
      <c r="Y784" s="118"/>
      <c r="AA784" s="118"/>
      <c r="AC784" s="118"/>
      <c r="AE784" s="118"/>
      <c r="AF784" s="119"/>
    </row>
    <row r="785" spans="1:32" x14ac:dyDescent="0.3">
      <c r="A785" s="118"/>
      <c r="C785" s="118"/>
      <c r="E785" s="118"/>
      <c r="G785" s="118"/>
      <c r="I785" s="118"/>
      <c r="J785" s="119"/>
      <c r="M785" s="118"/>
      <c r="O785" s="118"/>
      <c r="Q785" s="118"/>
      <c r="S785" s="118"/>
      <c r="U785" s="118"/>
      <c r="W785" s="118"/>
      <c r="Y785" s="118"/>
      <c r="AA785" s="118"/>
      <c r="AC785" s="118"/>
      <c r="AE785" s="118"/>
      <c r="AF785" s="119"/>
    </row>
    <row r="786" spans="1:32" x14ac:dyDescent="0.3">
      <c r="A786" s="118"/>
      <c r="C786" s="118"/>
      <c r="E786" s="118"/>
      <c r="G786" s="118"/>
      <c r="I786" s="118"/>
      <c r="J786" s="119"/>
      <c r="M786" s="118"/>
      <c r="O786" s="118"/>
      <c r="Q786" s="118"/>
      <c r="S786" s="118"/>
      <c r="U786" s="118"/>
      <c r="W786" s="118"/>
      <c r="Y786" s="118"/>
      <c r="AA786" s="118"/>
      <c r="AC786" s="118"/>
      <c r="AE786" s="118"/>
      <c r="AF786" s="119"/>
    </row>
    <row r="787" spans="1:32" x14ac:dyDescent="0.3">
      <c r="A787" s="118"/>
      <c r="C787" s="118"/>
      <c r="E787" s="118"/>
      <c r="G787" s="118"/>
      <c r="I787" s="118"/>
      <c r="J787" s="119"/>
      <c r="M787" s="118"/>
      <c r="O787" s="118"/>
      <c r="Q787" s="118"/>
      <c r="S787" s="118"/>
      <c r="U787" s="118"/>
      <c r="W787" s="118"/>
      <c r="Y787" s="118"/>
      <c r="AA787" s="118"/>
      <c r="AC787" s="118"/>
      <c r="AE787" s="118"/>
      <c r="AF787" s="119"/>
    </row>
    <row r="788" spans="1:32" x14ac:dyDescent="0.3">
      <c r="A788" s="118"/>
      <c r="C788" s="118"/>
      <c r="E788" s="118"/>
      <c r="G788" s="118"/>
      <c r="I788" s="118"/>
      <c r="J788" s="119"/>
      <c r="M788" s="118"/>
      <c r="O788" s="118"/>
      <c r="Q788" s="118"/>
      <c r="S788" s="118"/>
      <c r="U788" s="118"/>
      <c r="W788" s="118"/>
      <c r="Y788" s="118"/>
      <c r="AA788" s="118"/>
      <c r="AC788" s="118"/>
      <c r="AE788" s="118"/>
      <c r="AF788" s="119"/>
    </row>
    <row r="789" spans="1:32" x14ac:dyDescent="0.3">
      <c r="A789" s="118"/>
      <c r="C789" s="118"/>
      <c r="E789" s="118"/>
      <c r="G789" s="118"/>
      <c r="I789" s="118"/>
      <c r="J789" s="119"/>
      <c r="M789" s="118"/>
      <c r="O789" s="118"/>
      <c r="Q789" s="118"/>
      <c r="S789" s="118"/>
      <c r="U789" s="118"/>
      <c r="W789" s="118"/>
      <c r="Y789" s="118"/>
      <c r="AA789" s="118"/>
      <c r="AC789" s="118"/>
      <c r="AE789" s="118"/>
      <c r="AF789" s="119"/>
    </row>
    <row r="790" spans="1:32" x14ac:dyDescent="0.3">
      <c r="A790" s="118"/>
      <c r="C790" s="118"/>
      <c r="E790" s="118"/>
      <c r="G790" s="118"/>
      <c r="I790" s="118"/>
      <c r="J790" s="119"/>
      <c r="M790" s="118"/>
      <c r="O790" s="118"/>
      <c r="Q790" s="118"/>
      <c r="S790" s="118"/>
      <c r="U790" s="118"/>
      <c r="W790" s="118"/>
      <c r="Y790" s="118"/>
      <c r="AA790" s="118"/>
      <c r="AC790" s="118"/>
      <c r="AE790" s="118"/>
      <c r="AF790" s="119"/>
    </row>
    <row r="791" spans="1:32" x14ac:dyDescent="0.3">
      <c r="A791" s="118"/>
      <c r="C791" s="118"/>
      <c r="E791" s="118"/>
      <c r="G791" s="118"/>
      <c r="I791" s="118"/>
      <c r="J791" s="119"/>
      <c r="M791" s="118"/>
      <c r="O791" s="118"/>
      <c r="Q791" s="118"/>
      <c r="S791" s="118"/>
      <c r="U791" s="118"/>
      <c r="W791" s="118"/>
      <c r="Y791" s="118"/>
      <c r="AA791" s="118"/>
      <c r="AC791" s="118"/>
      <c r="AE791" s="118"/>
      <c r="AF791" s="119"/>
    </row>
    <row r="792" spans="1:32" x14ac:dyDescent="0.3">
      <c r="A792" s="118"/>
      <c r="C792" s="118"/>
      <c r="E792" s="118"/>
      <c r="G792" s="118"/>
      <c r="I792" s="118"/>
      <c r="J792" s="119"/>
      <c r="M792" s="118"/>
      <c r="O792" s="118"/>
      <c r="Q792" s="118"/>
      <c r="S792" s="118"/>
      <c r="U792" s="118"/>
      <c r="W792" s="118"/>
      <c r="Y792" s="118"/>
      <c r="AA792" s="118"/>
      <c r="AC792" s="118"/>
      <c r="AE792" s="118"/>
      <c r="AF792" s="119"/>
    </row>
    <row r="793" spans="1:32" x14ac:dyDescent="0.3">
      <c r="A793" s="118"/>
      <c r="C793" s="118"/>
      <c r="E793" s="118"/>
      <c r="G793" s="118"/>
      <c r="I793" s="118"/>
      <c r="J793" s="119"/>
      <c r="M793" s="118"/>
      <c r="O793" s="118"/>
      <c r="Q793" s="118"/>
      <c r="S793" s="118"/>
      <c r="U793" s="118"/>
      <c r="W793" s="118"/>
      <c r="Y793" s="118"/>
      <c r="AA793" s="118"/>
      <c r="AC793" s="118"/>
      <c r="AE793" s="118"/>
      <c r="AF793" s="119"/>
    </row>
    <row r="794" spans="1:32" x14ac:dyDescent="0.3">
      <c r="A794" s="118"/>
      <c r="C794" s="118"/>
      <c r="E794" s="118"/>
      <c r="G794" s="118"/>
      <c r="I794" s="118"/>
      <c r="J794" s="119"/>
      <c r="M794" s="118"/>
      <c r="O794" s="118"/>
      <c r="Q794" s="118"/>
      <c r="S794" s="118"/>
      <c r="U794" s="118"/>
      <c r="W794" s="118"/>
      <c r="Y794" s="118"/>
      <c r="AA794" s="118"/>
      <c r="AC794" s="118"/>
      <c r="AE794" s="118"/>
      <c r="AF794" s="119"/>
    </row>
    <row r="795" spans="1:32" x14ac:dyDescent="0.3">
      <c r="A795" s="118"/>
      <c r="C795" s="118"/>
      <c r="E795" s="118"/>
      <c r="G795" s="118"/>
      <c r="I795" s="118"/>
      <c r="J795" s="119"/>
      <c r="M795" s="118"/>
      <c r="O795" s="118"/>
      <c r="Q795" s="118"/>
      <c r="S795" s="118"/>
      <c r="U795" s="118"/>
      <c r="W795" s="118"/>
      <c r="Y795" s="118"/>
      <c r="AA795" s="118"/>
      <c r="AC795" s="118"/>
      <c r="AE795" s="118"/>
      <c r="AF795" s="119"/>
    </row>
    <row r="796" spans="1:32" x14ac:dyDescent="0.3">
      <c r="A796" s="118"/>
      <c r="C796" s="118"/>
      <c r="E796" s="118"/>
      <c r="G796" s="118"/>
      <c r="I796" s="118"/>
      <c r="J796" s="119"/>
      <c r="M796" s="118"/>
      <c r="O796" s="118"/>
      <c r="Q796" s="118"/>
      <c r="S796" s="118"/>
      <c r="U796" s="118"/>
      <c r="W796" s="118"/>
      <c r="Y796" s="118"/>
      <c r="AA796" s="118"/>
      <c r="AC796" s="118"/>
      <c r="AE796" s="118"/>
      <c r="AF796" s="119"/>
    </row>
    <row r="797" spans="1:32" x14ac:dyDescent="0.3">
      <c r="A797" s="118"/>
      <c r="C797" s="118"/>
      <c r="E797" s="118"/>
      <c r="G797" s="118"/>
      <c r="I797" s="118"/>
      <c r="J797" s="119"/>
      <c r="M797" s="118"/>
      <c r="O797" s="118"/>
      <c r="Q797" s="118"/>
      <c r="S797" s="118"/>
      <c r="U797" s="118"/>
      <c r="W797" s="118"/>
      <c r="Y797" s="118"/>
      <c r="AA797" s="118"/>
      <c r="AC797" s="118"/>
      <c r="AE797" s="118"/>
      <c r="AF797" s="119"/>
    </row>
    <row r="798" spans="1:32" x14ac:dyDescent="0.3">
      <c r="A798" s="118"/>
      <c r="C798" s="118"/>
      <c r="E798" s="118"/>
      <c r="G798" s="118"/>
      <c r="I798" s="118"/>
      <c r="J798" s="119"/>
      <c r="M798" s="118"/>
      <c r="O798" s="118"/>
      <c r="Q798" s="118"/>
      <c r="S798" s="118"/>
      <c r="U798" s="118"/>
      <c r="W798" s="118"/>
      <c r="Y798" s="118"/>
      <c r="AA798" s="118"/>
      <c r="AC798" s="118"/>
      <c r="AE798" s="118"/>
      <c r="AF798" s="119"/>
    </row>
    <row r="799" spans="1:32" x14ac:dyDescent="0.3">
      <c r="A799" s="118"/>
      <c r="C799" s="118"/>
      <c r="E799" s="118"/>
      <c r="G799" s="118"/>
      <c r="I799" s="118"/>
      <c r="J799" s="119"/>
      <c r="M799" s="118"/>
      <c r="O799" s="118"/>
      <c r="Q799" s="118"/>
      <c r="S799" s="118"/>
      <c r="U799" s="118"/>
      <c r="W799" s="118"/>
      <c r="Y799" s="118"/>
      <c r="AA799" s="118"/>
      <c r="AC799" s="118"/>
      <c r="AE799" s="118"/>
      <c r="AF799" s="119"/>
    </row>
    <row r="800" spans="1:32" x14ac:dyDescent="0.3">
      <c r="A800" s="118"/>
      <c r="C800" s="118"/>
      <c r="E800" s="118"/>
      <c r="G800" s="118"/>
      <c r="I800" s="118"/>
      <c r="J800" s="119"/>
      <c r="M800" s="118"/>
      <c r="O800" s="118"/>
      <c r="Q800" s="118"/>
      <c r="S800" s="118"/>
      <c r="U800" s="118"/>
      <c r="W800" s="118"/>
      <c r="Y800" s="118"/>
      <c r="AA800" s="118"/>
      <c r="AC800" s="118"/>
      <c r="AE800" s="118"/>
      <c r="AF800" s="119"/>
    </row>
    <row r="801" spans="1:32" x14ac:dyDescent="0.3">
      <c r="A801" s="118"/>
      <c r="C801" s="118"/>
      <c r="E801" s="118"/>
      <c r="G801" s="118"/>
      <c r="I801" s="118"/>
      <c r="J801" s="119"/>
      <c r="M801" s="118"/>
      <c r="O801" s="118"/>
      <c r="Q801" s="118"/>
      <c r="S801" s="118"/>
      <c r="U801" s="118"/>
      <c r="W801" s="118"/>
      <c r="Y801" s="118"/>
      <c r="AA801" s="118"/>
      <c r="AC801" s="118"/>
      <c r="AE801" s="118"/>
      <c r="AF801" s="119"/>
    </row>
    <row r="802" spans="1:32" x14ac:dyDescent="0.3">
      <c r="A802" s="118"/>
      <c r="C802" s="118"/>
      <c r="E802" s="118"/>
      <c r="G802" s="118"/>
      <c r="I802" s="118"/>
      <c r="J802" s="119"/>
      <c r="M802" s="118"/>
      <c r="O802" s="118"/>
      <c r="Q802" s="118"/>
      <c r="S802" s="118"/>
      <c r="U802" s="118"/>
      <c r="W802" s="118"/>
      <c r="Y802" s="118"/>
      <c r="AA802" s="118"/>
      <c r="AC802" s="118"/>
      <c r="AE802" s="118"/>
      <c r="AF802" s="119"/>
    </row>
    <row r="803" spans="1:32" x14ac:dyDescent="0.3">
      <c r="A803" s="118"/>
      <c r="C803" s="118"/>
      <c r="E803" s="118"/>
      <c r="G803" s="118"/>
      <c r="I803" s="118"/>
      <c r="J803" s="119"/>
      <c r="M803" s="118"/>
      <c r="O803" s="118"/>
      <c r="Q803" s="118"/>
      <c r="S803" s="118"/>
      <c r="U803" s="118"/>
      <c r="W803" s="118"/>
      <c r="Y803" s="118"/>
      <c r="AA803" s="118"/>
      <c r="AC803" s="118"/>
      <c r="AE803" s="118"/>
      <c r="AF803" s="119"/>
    </row>
    <row r="804" spans="1:32" x14ac:dyDescent="0.3">
      <c r="A804" s="118"/>
      <c r="C804" s="118"/>
      <c r="E804" s="118"/>
      <c r="G804" s="118"/>
      <c r="I804" s="118"/>
      <c r="J804" s="119"/>
      <c r="M804" s="118"/>
      <c r="O804" s="118"/>
      <c r="Q804" s="118"/>
      <c r="S804" s="118"/>
      <c r="U804" s="118"/>
      <c r="W804" s="118"/>
      <c r="Y804" s="118"/>
      <c r="AA804" s="118"/>
      <c r="AC804" s="118"/>
      <c r="AE804" s="118"/>
      <c r="AF804" s="119"/>
    </row>
    <row r="805" spans="1:32" x14ac:dyDescent="0.3">
      <c r="A805" s="118"/>
      <c r="C805" s="118"/>
      <c r="E805" s="118"/>
      <c r="G805" s="118"/>
      <c r="I805" s="118"/>
      <c r="J805" s="119"/>
      <c r="M805" s="118"/>
      <c r="O805" s="118"/>
      <c r="Q805" s="118"/>
      <c r="S805" s="118"/>
      <c r="U805" s="118"/>
      <c r="W805" s="118"/>
      <c r="Y805" s="118"/>
      <c r="AA805" s="118"/>
      <c r="AC805" s="118"/>
      <c r="AE805" s="118"/>
      <c r="AF805" s="119"/>
    </row>
    <row r="806" spans="1:32" x14ac:dyDescent="0.3">
      <c r="A806" s="118"/>
      <c r="C806" s="118"/>
      <c r="E806" s="118"/>
      <c r="G806" s="118"/>
      <c r="I806" s="118"/>
      <c r="J806" s="119"/>
      <c r="M806" s="118"/>
      <c r="O806" s="118"/>
      <c r="Q806" s="118"/>
      <c r="S806" s="118"/>
      <c r="U806" s="118"/>
      <c r="W806" s="118"/>
      <c r="Y806" s="118"/>
      <c r="AA806" s="118"/>
      <c r="AC806" s="118"/>
      <c r="AE806" s="118"/>
      <c r="AF806" s="119"/>
    </row>
    <row r="807" spans="1:32" x14ac:dyDescent="0.3">
      <c r="A807" s="118"/>
      <c r="C807" s="118"/>
      <c r="E807" s="118"/>
      <c r="G807" s="118"/>
      <c r="I807" s="118"/>
      <c r="J807" s="119"/>
      <c r="M807" s="118"/>
      <c r="O807" s="118"/>
      <c r="Q807" s="118"/>
      <c r="S807" s="118"/>
      <c r="U807" s="118"/>
      <c r="W807" s="118"/>
      <c r="Y807" s="118"/>
      <c r="AA807" s="118"/>
      <c r="AC807" s="118"/>
      <c r="AE807" s="118"/>
      <c r="AF807" s="119"/>
    </row>
    <row r="808" spans="1:32" x14ac:dyDescent="0.3">
      <c r="A808" s="118"/>
      <c r="C808" s="118"/>
      <c r="E808" s="118"/>
      <c r="G808" s="118"/>
      <c r="I808" s="118"/>
      <c r="J808" s="119"/>
      <c r="M808" s="118"/>
      <c r="O808" s="118"/>
      <c r="Q808" s="118"/>
      <c r="S808" s="118"/>
      <c r="U808" s="118"/>
      <c r="W808" s="118"/>
      <c r="Y808" s="118"/>
      <c r="AA808" s="118"/>
      <c r="AC808" s="118"/>
      <c r="AE808" s="118"/>
      <c r="AF808" s="119"/>
    </row>
    <row r="809" spans="1:32" x14ac:dyDescent="0.3">
      <c r="A809" s="118"/>
      <c r="C809" s="118"/>
      <c r="E809" s="118"/>
      <c r="G809" s="118"/>
      <c r="I809" s="118"/>
      <c r="J809" s="119"/>
      <c r="M809" s="118"/>
      <c r="O809" s="118"/>
      <c r="Q809" s="118"/>
      <c r="S809" s="118"/>
      <c r="U809" s="118"/>
      <c r="W809" s="118"/>
      <c r="Y809" s="118"/>
      <c r="AA809" s="118"/>
      <c r="AC809" s="118"/>
      <c r="AE809" s="118"/>
      <c r="AF809" s="119"/>
    </row>
    <row r="810" spans="1:32" x14ac:dyDescent="0.3">
      <c r="A810" s="118"/>
      <c r="C810" s="118"/>
      <c r="E810" s="118"/>
      <c r="G810" s="118"/>
      <c r="I810" s="118"/>
      <c r="J810" s="119"/>
      <c r="M810" s="118"/>
      <c r="O810" s="118"/>
      <c r="Q810" s="118"/>
      <c r="S810" s="118"/>
      <c r="U810" s="118"/>
      <c r="W810" s="118"/>
      <c r="Y810" s="118"/>
      <c r="AA810" s="118"/>
      <c r="AC810" s="118"/>
      <c r="AE810" s="118"/>
      <c r="AF810" s="119"/>
    </row>
    <row r="811" spans="1:32" x14ac:dyDescent="0.3">
      <c r="A811" s="118"/>
      <c r="C811" s="118"/>
      <c r="E811" s="118"/>
      <c r="G811" s="118"/>
      <c r="I811" s="118"/>
      <c r="J811" s="119"/>
      <c r="M811" s="118"/>
      <c r="O811" s="118"/>
      <c r="Q811" s="118"/>
      <c r="S811" s="118"/>
      <c r="U811" s="118"/>
      <c r="W811" s="118"/>
      <c r="Y811" s="118"/>
      <c r="AA811" s="118"/>
      <c r="AC811" s="118"/>
      <c r="AE811" s="118"/>
      <c r="AF811" s="119"/>
    </row>
    <row r="812" spans="1:32" x14ac:dyDescent="0.3">
      <c r="A812" s="118"/>
      <c r="C812" s="118"/>
      <c r="E812" s="118"/>
      <c r="G812" s="118"/>
      <c r="I812" s="118"/>
      <c r="J812" s="119"/>
      <c r="M812" s="118"/>
      <c r="O812" s="118"/>
      <c r="Q812" s="118"/>
      <c r="S812" s="118"/>
      <c r="U812" s="118"/>
      <c r="W812" s="118"/>
      <c r="Y812" s="118"/>
      <c r="AA812" s="118"/>
      <c r="AC812" s="118"/>
      <c r="AE812" s="118"/>
      <c r="AF812" s="119"/>
    </row>
    <row r="813" spans="1:32" x14ac:dyDescent="0.3">
      <c r="A813" s="118"/>
      <c r="C813" s="118"/>
      <c r="E813" s="118"/>
      <c r="G813" s="118"/>
      <c r="I813" s="118"/>
      <c r="J813" s="119"/>
      <c r="M813" s="118"/>
      <c r="O813" s="118"/>
      <c r="Q813" s="118"/>
      <c r="S813" s="118"/>
      <c r="U813" s="118"/>
      <c r="W813" s="118"/>
      <c r="Y813" s="118"/>
      <c r="AA813" s="118"/>
      <c r="AC813" s="118"/>
      <c r="AE813" s="118"/>
      <c r="AF813" s="119"/>
    </row>
    <row r="814" spans="1:32" x14ac:dyDescent="0.3">
      <c r="A814" s="118"/>
      <c r="C814" s="118"/>
      <c r="E814" s="118"/>
      <c r="G814" s="118"/>
      <c r="I814" s="118"/>
      <c r="J814" s="119"/>
      <c r="M814" s="118"/>
      <c r="O814" s="118"/>
      <c r="Q814" s="118"/>
      <c r="S814" s="118"/>
      <c r="U814" s="118"/>
      <c r="W814" s="118"/>
      <c r="Y814" s="118"/>
      <c r="AA814" s="118"/>
      <c r="AC814" s="118"/>
      <c r="AE814" s="118"/>
      <c r="AF814" s="119"/>
    </row>
    <row r="815" spans="1:32" x14ac:dyDescent="0.3">
      <c r="A815" s="118"/>
      <c r="C815" s="118"/>
      <c r="E815" s="118"/>
      <c r="G815" s="118"/>
      <c r="I815" s="118"/>
      <c r="J815" s="119"/>
      <c r="M815" s="118"/>
      <c r="O815" s="118"/>
      <c r="Q815" s="118"/>
      <c r="S815" s="118"/>
      <c r="U815" s="118"/>
      <c r="W815" s="118"/>
      <c r="Y815" s="118"/>
      <c r="AA815" s="118"/>
      <c r="AC815" s="118"/>
      <c r="AE815" s="118"/>
      <c r="AF815" s="119"/>
    </row>
    <row r="816" spans="1:32" x14ac:dyDescent="0.3">
      <c r="A816" s="118"/>
      <c r="C816" s="118"/>
      <c r="E816" s="118"/>
      <c r="G816" s="118"/>
      <c r="I816" s="118"/>
      <c r="J816" s="119"/>
      <c r="M816" s="118"/>
      <c r="O816" s="118"/>
      <c r="Q816" s="118"/>
      <c r="S816" s="118"/>
      <c r="U816" s="118"/>
      <c r="W816" s="118"/>
      <c r="Y816" s="118"/>
      <c r="AA816" s="118"/>
      <c r="AC816" s="118"/>
      <c r="AE816" s="118"/>
      <c r="AF816" s="119"/>
    </row>
    <row r="817" spans="1:32" x14ac:dyDescent="0.3">
      <c r="A817" s="118"/>
      <c r="C817" s="118"/>
      <c r="E817" s="118"/>
      <c r="G817" s="118"/>
      <c r="I817" s="118"/>
      <c r="J817" s="119"/>
      <c r="M817" s="118"/>
      <c r="O817" s="118"/>
      <c r="Q817" s="118"/>
      <c r="S817" s="118"/>
      <c r="U817" s="118"/>
      <c r="W817" s="118"/>
      <c r="Y817" s="118"/>
      <c r="AA817" s="118"/>
      <c r="AC817" s="118"/>
      <c r="AE817" s="118"/>
      <c r="AF817" s="119"/>
    </row>
    <row r="818" spans="1:32" x14ac:dyDescent="0.3">
      <c r="A818" s="118"/>
      <c r="C818" s="118"/>
      <c r="E818" s="118"/>
      <c r="G818" s="118"/>
      <c r="I818" s="118"/>
      <c r="J818" s="119"/>
      <c r="M818" s="118"/>
      <c r="O818" s="118"/>
      <c r="Q818" s="118"/>
      <c r="S818" s="118"/>
      <c r="U818" s="118"/>
      <c r="W818" s="118"/>
      <c r="Y818" s="118"/>
      <c r="AA818" s="118"/>
      <c r="AC818" s="118"/>
      <c r="AE818" s="118"/>
      <c r="AF818" s="119"/>
    </row>
    <row r="819" spans="1:32" x14ac:dyDescent="0.3">
      <c r="A819" s="118"/>
      <c r="C819" s="118"/>
      <c r="E819" s="118"/>
      <c r="G819" s="118"/>
      <c r="I819" s="118"/>
      <c r="J819" s="119"/>
      <c r="M819" s="118"/>
      <c r="O819" s="118"/>
      <c r="Q819" s="118"/>
      <c r="S819" s="118"/>
      <c r="U819" s="118"/>
      <c r="W819" s="118"/>
      <c r="Y819" s="118"/>
      <c r="AA819" s="118"/>
      <c r="AC819" s="118"/>
      <c r="AE819" s="118"/>
      <c r="AF819" s="119"/>
    </row>
    <row r="820" spans="1:32" x14ac:dyDescent="0.3">
      <c r="A820" s="118"/>
      <c r="C820" s="118"/>
      <c r="E820" s="118"/>
      <c r="G820" s="118"/>
      <c r="I820" s="118"/>
      <c r="J820" s="119"/>
      <c r="M820" s="118"/>
      <c r="O820" s="118"/>
      <c r="Q820" s="118"/>
      <c r="S820" s="118"/>
      <c r="U820" s="118"/>
      <c r="W820" s="118"/>
      <c r="Y820" s="118"/>
      <c r="AA820" s="118"/>
      <c r="AC820" s="118"/>
      <c r="AE820" s="118"/>
      <c r="AF820" s="119"/>
    </row>
    <row r="821" spans="1:32" x14ac:dyDescent="0.3">
      <c r="A821" s="118"/>
      <c r="C821" s="118"/>
      <c r="E821" s="118"/>
      <c r="G821" s="118"/>
      <c r="I821" s="118"/>
      <c r="J821" s="119"/>
      <c r="M821" s="118"/>
      <c r="O821" s="118"/>
      <c r="Q821" s="118"/>
      <c r="S821" s="118"/>
      <c r="U821" s="118"/>
      <c r="W821" s="118"/>
      <c r="Y821" s="118"/>
      <c r="AA821" s="118"/>
      <c r="AC821" s="118"/>
      <c r="AE821" s="118"/>
      <c r="AF821" s="119"/>
    </row>
    <row r="822" spans="1:32" x14ac:dyDescent="0.3">
      <c r="A822" s="118"/>
      <c r="C822" s="118"/>
      <c r="E822" s="118"/>
      <c r="G822" s="118"/>
      <c r="I822" s="118"/>
      <c r="J822" s="119"/>
      <c r="M822" s="118"/>
      <c r="O822" s="118"/>
      <c r="Q822" s="118"/>
      <c r="S822" s="118"/>
      <c r="U822" s="118"/>
      <c r="W822" s="118"/>
      <c r="Y822" s="118"/>
      <c r="AA822" s="118"/>
      <c r="AC822" s="118"/>
      <c r="AE822" s="118"/>
      <c r="AF822" s="119"/>
    </row>
    <row r="823" spans="1:32" x14ac:dyDescent="0.3">
      <c r="A823" s="118"/>
      <c r="C823" s="118"/>
      <c r="E823" s="118"/>
      <c r="G823" s="118"/>
      <c r="I823" s="118"/>
      <c r="J823" s="119"/>
      <c r="M823" s="118"/>
      <c r="O823" s="118"/>
      <c r="Q823" s="118"/>
      <c r="S823" s="118"/>
      <c r="U823" s="118"/>
      <c r="W823" s="118"/>
      <c r="Y823" s="118"/>
      <c r="AA823" s="118"/>
      <c r="AC823" s="118"/>
      <c r="AE823" s="118"/>
      <c r="AF823" s="119"/>
    </row>
    <row r="824" spans="1:32" x14ac:dyDescent="0.3">
      <c r="A824" s="118"/>
      <c r="C824" s="118"/>
      <c r="E824" s="118"/>
      <c r="G824" s="118"/>
      <c r="I824" s="118"/>
      <c r="J824" s="119"/>
      <c r="M824" s="118"/>
      <c r="O824" s="118"/>
      <c r="Q824" s="118"/>
      <c r="S824" s="118"/>
      <c r="U824" s="118"/>
      <c r="W824" s="118"/>
      <c r="Y824" s="118"/>
      <c r="AA824" s="118"/>
      <c r="AC824" s="118"/>
      <c r="AE824" s="118"/>
      <c r="AF824" s="119"/>
    </row>
    <row r="825" spans="1:32" x14ac:dyDescent="0.3">
      <c r="A825" s="118"/>
      <c r="C825" s="118"/>
      <c r="E825" s="118"/>
      <c r="G825" s="118"/>
      <c r="I825" s="118"/>
      <c r="J825" s="119"/>
      <c r="M825" s="118"/>
      <c r="O825" s="118"/>
      <c r="Q825" s="118"/>
      <c r="S825" s="118"/>
      <c r="U825" s="118"/>
      <c r="W825" s="118"/>
      <c r="Y825" s="118"/>
      <c r="AA825" s="118"/>
      <c r="AC825" s="118"/>
      <c r="AE825" s="118"/>
      <c r="AF825" s="119"/>
    </row>
    <row r="826" spans="1:32" x14ac:dyDescent="0.3">
      <c r="A826" s="118"/>
      <c r="C826" s="118"/>
      <c r="E826" s="118"/>
      <c r="G826" s="118"/>
      <c r="I826" s="118"/>
      <c r="J826" s="119"/>
      <c r="M826" s="118"/>
      <c r="O826" s="118"/>
      <c r="Q826" s="118"/>
      <c r="S826" s="118"/>
      <c r="U826" s="118"/>
      <c r="W826" s="118"/>
      <c r="Y826" s="118"/>
      <c r="AA826" s="118"/>
      <c r="AC826" s="118"/>
      <c r="AE826" s="118"/>
      <c r="AF826" s="119"/>
    </row>
    <row r="827" spans="1:32" x14ac:dyDescent="0.3">
      <c r="A827" s="118"/>
      <c r="C827" s="118"/>
      <c r="E827" s="118"/>
      <c r="G827" s="118"/>
      <c r="I827" s="118"/>
      <c r="J827" s="119"/>
      <c r="M827" s="118"/>
      <c r="O827" s="118"/>
      <c r="Q827" s="118"/>
      <c r="S827" s="118"/>
      <c r="U827" s="118"/>
      <c r="W827" s="118"/>
      <c r="Y827" s="118"/>
      <c r="AA827" s="118"/>
      <c r="AC827" s="118"/>
      <c r="AE827" s="118"/>
      <c r="AF827" s="119"/>
    </row>
    <row r="828" spans="1:32" x14ac:dyDescent="0.3">
      <c r="A828" s="118"/>
      <c r="C828" s="118"/>
      <c r="E828" s="118"/>
      <c r="G828" s="118"/>
      <c r="I828" s="118"/>
      <c r="J828" s="119"/>
      <c r="M828" s="118"/>
      <c r="O828" s="118"/>
      <c r="Q828" s="118"/>
      <c r="S828" s="118"/>
      <c r="U828" s="118"/>
      <c r="W828" s="118"/>
      <c r="Y828" s="118"/>
      <c r="AA828" s="118"/>
      <c r="AC828" s="118"/>
      <c r="AE828" s="118"/>
      <c r="AF828" s="119"/>
    </row>
    <row r="829" spans="1:32" x14ac:dyDescent="0.3">
      <c r="A829" s="118"/>
      <c r="C829" s="118"/>
      <c r="E829" s="118"/>
      <c r="G829" s="118"/>
      <c r="I829" s="118"/>
      <c r="J829" s="119"/>
      <c r="M829" s="118"/>
      <c r="O829" s="118"/>
      <c r="Q829" s="118"/>
      <c r="S829" s="118"/>
      <c r="U829" s="118"/>
      <c r="W829" s="118"/>
      <c r="Y829" s="118"/>
      <c r="AA829" s="118"/>
      <c r="AC829" s="118"/>
      <c r="AE829" s="118"/>
      <c r="AF829" s="119"/>
    </row>
    <row r="830" spans="1:32" x14ac:dyDescent="0.3">
      <c r="A830" s="118"/>
      <c r="C830" s="118"/>
      <c r="E830" s="118"/>
      <c r="G830" s="118"/>
      <c r="I830" s="118"/>
      <c r="J830" s="119"/>
      <c r="M830" s="118"/>
      <c r="O830" s="118"/>
      <c r="Q830" s="118"/>
      <c r="S830" s="118"/>
      <c r="U830" s="118"/>
      <c r="W830" s="118"/>
      <c r="Y830" s="118"/>
      <c r="AA830" s="118"/>
      <c r="AC830" s="118"/>
      <c r="AE830" s="118"/>
      <c r="AF830" s="119"/>
    </row>
    <row r="831" spans="1:32" x14ac:dyDescent="0.3">
      <c r="A831" s="118"/>
      <c r="C831" s="118"/>
      <c r="E831" s="118"/>
      <c r="G831" s="118"/>
      <c r="I831" s="118"/>
      <c r="J831" s="119"/>
      <c r="M831" s="118"/>
      <c r="O831" s="118"/>
      <c r="Q831" s="118"/>
      <c r="S831" s="118"/>
      <c r="U831" s="118"/>
      <c r="W831" s="118"/>
      <c r="Y831" s="118"/>
      <c r="AA831" s="118"/>
      <c r="AC831" s="118"/>
      <c r="AE831" s="118"/>
      <c r="AF831" s="119"/>
    </row>
    <row r="832" spans="1:32" x14ac:dyDescent="0.3">
      <c r="A832" s="118"/>
      <c r="C832" s="118"/>
      <c r="E832" s="118"/>
      <c r="G832" s="118"/>
      <c r="I832" s="118"/>
      <c r="J832" s="119"/>
      <c r="M832" s="118"/>
      <c r="O832" s="118"/>
      <c r="Q832" s="118"/>
      <c r="S832" s="118"/>
      <c r="U832" s="118"/>
      <c r="W832" s="118"/>
      <c r="Y832" s="118"/>
      <c r="AA832" s="118"/>
      <c r="AC832" s="118"/>
      <c r="AE832" s="118"/>
      <c r="AF832" s="119"/>
    </row>
    <row r="833" spans="1:32" x14ac:dyDescent="0.3">
      <c r="A833" s="118"/>
      <c r="C833" s="118"/>
      <c r="E833" s="118"/>
      <c r="G833" s="118"/>
      <c r="I833" s="118"/>
      <c r="J833" s="119"/>
      <c r="M833" s="118"/>
      <c r="O833" s="118"/>
      <c r="Q833" s="118"/>
      <c r="S833" s="118"/>
      <c r="U833" s="118"/>
      <c r="W833" s="118"/>
      <c r="Y833" s="118"/>
      <c r="AA833" s="118"/>
      <c r="AC833" s="118"/>
      <c r="AE833" s="118"/>
      <c r="AF833" s="119"/>
    </row>
    <row r="834" spans="1:32" x14ac:dyDescent="0.3">
      <c r="A834" s="118"/>
      <c r="C834" s="118"/>
      <c r="E834" s="118"/>
      <c r="G834" s="118"/>
      <c r="I834" s="118"/>
      <c r="J834" s="119"/>
      <c r="M834" s="118"/>
      <c r="O834" s="118"/>
      <c r="Q834" s="118"/>
      <c r="S834" s="118"/>
      <c r="U834" s="118"/>
      <c r="W834" s="118"/>
      <c r="Y834" s="118"/>
      <c r="AA834" s="118"/>
      <c r="AC834" s="118"/>
      <c r="AE834" s="118"/>
      <c r="AF834" s="119"/>
    </row>
    <row r="835" spans="1:32" x14ac:dyDescent="0.3">
      <c r="A835" s="118"/>
      <c r="C835" s="118"/>
      <c r="E835" s="118"/>
      <c r="G835" s="118"/>
      <c r="I835" s="118"/>
      <c r="J835" s="119"/>
      <c r="M835" s="118"/>
      <c r="O835" s="118"/>
      <c r="Q835" s="118"/>
      <c r="S835" s="118"/>
      <c r="U835" s="118"/>
      <c r="W835" s="118"/>
      <c r="Y835" s="118"/>
      <c r="AA835" s="118"/>
      <c r="AC835" s="118"/>
      <c r="AE835" s="118"/>
      <c r="AF835" s="119"/>
    </row>
    <row r="836" spans="1:32" x14ac:dyDescent="0.3">
      <c r="A836" s="118"/>
      <c r="C836" s="118"/>
      <c r="E836" s="118"/>
      <c r="G836" s="118"/>
      <c r="I836" s="118"/>
      <c r="J836" s="119"/>
      <c r="M836" s="118"/>
      <c r="O836" s="118"/>
      <c r="Q836" s="118"/>
      <c r="S836" s="118"/>
      <c r="U836" s="118"/>
      <c r="W836" s="118"/>
      <c r="Y836" s="118"/>
      <c r="AA836" s="118"/>
      <c r="AC836" s="118"/>
      <c r="AE836" s="118"/>
      <c r="AF836" s="119"/>
    </row>
    <row r="837" spans="1:32" x14ac:dyDescent="0.3">
      <c r="A837" s="118"/>
      <c r="C837" s="118"/>
      <c r="E837" s="118"/>
      <c r="G837" s="118"/>
      <c r="I837" s="118"/>
      <c r="J837" s="119"/>
      <c r="M837" s="118"/>
      <c r="O837" s="118"/>
      <c r="Q837" s="118"/>
      <c r="S837" s="118"/>
      <c r="U837" s="118"/>
      <c r="W837" s="118"/>
      <c r="Y837" s="118"/>
      <c r="AA837" s="118"/>
      <c r="AC837" s="118"/>
      <c r="AE837" s="118"/>
      <c r="AF837" s="119"/>
    </row>
    <row r="838" spans="1:32" x14ac:dyDescent="0.3">
      <c r="A838" s="118"/>
      <c r="C838" s="118"/>
      <c r="E838" s="118"/>
      <c r="G838" s="118"/>
      <c r="I838" s="118"/>
      <c r="J838" s="119"/>
      <c r="M838" s="118"/>
      <c r="O838" s="118"/>
      <c r="Q838" s="118"/>
      <c r="S838" s="118"/>
      <c r="U838" s="118"/>
      <c r="W838" s="118"/>
      <c r="Y838" s="118"/>
      <c r="AA838" s="118"/>
      <c r="AC838" s="118"/>
      <c r="AE838" s="118"/>
      <c r="AF838" s="119"/>
    </row>
    <row r="839" spans="1:32" x14ac:dyDescent="0.3">
      <c r="A839" s="118"/>
      <c r="C839" s="118"/>
      <c r="E839" s="118"/>
      <c r="G839" s="118"/>
      <c r="I839" s="118"/>
      <c r="J839" s="119"/>
      <c r="M839" s="118"/>
      <c r="O839" s="118"/>
      <c r="Q839" s="118"/>
      <c r="S839" s="118"/>
      <c r="U839" s="118"/>
      <c r="W839" s="118"/>
      <c r="Y839" s="118"/>
      <c r="AA839" s="118"/>
      <c r="AC839" s="118"/>
      <c r="AE839" s="118"/>
      <c r="AF839" s="119"/>
    </row>
    <row r="840" spans="1:32" x14ac:dyDescent="0.3">
      <c r="A840" s="118"/>
      <c r="C840" s="118"/>
      <c r="E840" s="118"/>
      <c r="G840" s="118"/>
      <c r="I840" s="118"/>
      <c r="J840" s="119"/>
      <c r="M840" s="118"/>
      <c r="O840" s="118"/>
      <c r="Q840" s="118"/>
      <c r="S840" s="118"/>
      <c r="U840" s="118"/>
      <c r="W840" s="118"/>
      <c r="Y840" s="118"/>
      <c r="AA840" s="118"/>
      <c r="AC840" s="118"/>
      <c r="AE840" s="118"/>
      <c r="AF840" s="119"/>
    </row>
    <row r="841" spans="1:32" x14ac:dyDescent="0.3">
      <c r="A841" s="118"/>
      <c r="C841" s="118"/>
      <c r="E841" s="118"/>
      <c r="G841" s="118"/>
      <c r="I841" s="118"/>
      <c r="J841" s="119"/>
      <c r="M841" s="118"/>
      <c r="O841" s="118"/>
      <c r="Q841" s="118"/>
      <c r="S841" s="118"/>
      <c r="U841" s="118"/>
      <c r="W841" s="118"/>
      <c r="Y841" s="118"/>
      <c r="AA841" s="118"/>
      <c r="AC841" s="118"/>
      <c r="AE841" s="118"/>
      <c r="AF841" s="119"/>
    </row>
    <row r="842" spans="1:32" x14ac:dyDescent="0.3">
      <c r="A842" s="118"/>
      <c r="C842" s="118"/>
      <c r="E842" s="118"/>
      <c r="G842" s="118"/>
      <c r="I842" s="118"/>
      <c r="J842" s="119"/>
      <c r="M842" s="118"/>
      <c r="O842" s="118"/>
      <c r="Q842" s="118"/>
      <c r="S842" s="118"/>
      <c r="U842" s="118"/>
      <c r="W842" s="118"/>
      <c r="Y842" s="118"/>
      <c r="AA842" s="118"/>
      <c r="AC842" s="118"/>
      <c r="AE842" s="118"/>
      <c r="AF842" s="119"/>
    </row>
    <row r="843" spans="1:32" x14ac:dyDescent="0.3">
      <c r="A843" s="118"/>
      <c r="C843" s="118"/>
      <c r="E843" s="118"/>
      <c r="G843" s="118"/>
      <c r="I843" s="118"/>
      <c r="J843" s="119"/>
      <c r="M843" s="118"/>
      <c r="O843" s="118"/>
      <c r="Q843" s="118"/>
      <c r="S843" s="118"/>
      <c r="U843" s="118"/>
      <c r="W843" s="118"/>
      <c r="Y843" s="118"/>
      <c r="AA843" s="118"/>
      <c r="AC843" s="118"/>
      <c r="AE843" s="118"/>
      <c r="AF843" s="119"/>
    </row>
    <row r="844" spans="1:32" x14ac:dyDescent="0.3">
      <c r="A844" s="118"/>
      <c r="C844" s="118"/>
      <c r="E844" s="118"/>
      <c r="G844" s="118"/>
      <c r="I844" s="118"/>
      <c r="J844" s="119"/>
      <c r="M844" s="118"/>
      <c r="O844" s="118"/>
      <c r="Q844" s="118"/>
      <c r="S844" s="118"/>
      <c r="U844" s="118"/>
      <c r="W844" s="118"/>
      <c r="Y844" s="118"/>
      <c r="AA844" s="118"/>
      <c r="AC844" s="118"/>
      <c r="AE844" s="118"/>
      <c r="AF844" s="119"/>
    </row>
    <row r="845" spans="1:32" x14ac:dyDescent="0.3">
      <c r="A845" s="118"/>
      <c r="C845" s="118"/>
      <c r="E845" s="118"/>
      <c r="G845" s="118"/>
      <c r="I845" s="118"/>
      <c r="J845" s="119"/>
      <c r="M845" s="118"/>
      <c r="O845" s="118"/>
      <c r="Q845" s="118"/>
      <c r="S845" s="118"/>
      <c r="U845" s="118"/>
      <c r="W845" s="118"/>
      <c r="Y845" s="118"/>
      <c r="AA845" s="118"/>
      <c r="AC845" s="118"/>
      <c r="AE845" s="118"/>
      <c r="AF845" s="119"/>
    </row>
    <row r="846" spans="1:32" x14ac:dyDescent="0.3">
      <c r="A846" s="118"/>
      <c r="C846" s="118"/>
      <c r="E846" s="118"/>
      <c r="G846" s="118"/>
      <c r="I846" s="118"/>
      <c r="J846" s="119"/>
      <c r="M846" s="118"/>
      <c r="O846" s="118"/>
      <c r="Q846" s="118"/>
      <c r="S846" s="118"/>
      <c r="U846" s="118"/>
      <c r="W846" s="118"/>
      <c r="Y846" s="118"/>
      <c r="AA846" s="118"/>
      <c r="AC846" s="118"/>
      <c r="AE846" s="118"/>
      <c r="AF846" s="119"/>
    </row>
    <row r="847" spans="1:32" x14ac:dyDescent="0.3">
      <c r="A847" s="118"/>
      <c r="C847" s="118"/>
      <c r="E847" s="118"/>
      <c r="G847" s="118"/>
      <c r="I847" s="118"/>
      <c r="J847" s="119"/>
      <c r="M847" s="118"/>
      <c r="O847" s="118"/>
      <c r="Q847" s="118"/>
      <c r="S847" s="118"/>
      <c r="U847" s="118"/>
      <c r="W847" s="118"/>
      <c r="Y847" s="118"/>
      <c r="AA847" s="118"/>
      <c r="AC847" s="118"/>
      <c r="AE847" s="118"/>
      <c r="AF847" s="119"/>
    </row>
    <row r="848" spans="1:32" x14ac:dyDescent="0.3">
      <c r="A848" s="118"/>
      <c r="C848" s="118"/>
      <c r="E848" s="118"/>
      <c r="G848" s="118"/>
      <c r="I848" s="118"/>
      <c r="J848" s="119"/>
      <c r="M848" s="118"/>
      <c r="O848" s="118"/>
      <c r="Q848" s="118"/>
      <c r="S848" s="118"/>
      <c r="U848" s="118"/>
      <c r="W848" s="118"/>
      <c r="Y848" s="118"/>
      <c r="AA848" s="118"/>
      <c r="AC848" s="118"/>
      <c r="AE848" s="118"/>
      <c r="AF848" s="119"/>
    </row>
    <row r="849" spans="1:32" x14ac:dyDescent="0.3">
      <c r="A849" s="118"/>
      <c r="C849" s="118"/>
      <c r="E849" s="118"/>
      <c r="G849" s="118"/>
      <c r="I849" s="118"/>
      <c r="J849" s="119"/>
      <c r="M849" s="118"/>
      <c r="O849" s="118"/>
      <c r="Q849" s="118"/>
      <c r="S849" s="118"/>
      <c r="U849" s="118"/>
      <c r="W849" s="118"/>
      <c r="Y849" s="118"/>
      <c r="AA849" s="118"/>
      <c r="AC849" s="118"/>
      <c r="AE849" s="118"/>
      <c r="AF849" s="119"/>
    </row>
    <row r="850" spans="1:32" x14ac:dyDescent="0.3">
      <c r="A850" s="118"/>
      <c r="C850" s="118"/>
      <c r="E850" s="118"/>
      <c r="G850" s="118"/>
      <c r="I850" s="118"/>
      <c r="J850" s="119"/>
      <c r="M850" s="118"/>
      <c r="O850" s="118"/>
      <c r="Q850" s="118"/>
      <c r="S850" s="118"/>
      <c r="U850" s="118"/>
      <c r="W850" s="118"/>
      <c r="Y850" s="118"/>
      <c r="AA850" s="118"/>
      <c r="AC850" s="118"/>
      <c r="AE850" s="118"/>
      <c r="AF850" s="119"/>
    </row>
    <row r="851" spans="1:32" x14ac:dyDescent="0.3">
      <c r="A851" s="118"/>
      <c r="C851" s="118"/>
      <c r="E851" s="118"/>
      <c r="G851" s="118"/>
      <c r="I851" s="118"/>
      <c r="J851" s="119"/>
      <c r="M851" s="118"/>
      <c r="O851" s="118"/>
      <c r="Q851" s="118"/>
      <c r="S851" s="118"/>
      <c r="U851" s="118"/>
      <c r="W851" s="118"/>
      <c r="Y851" s="118"/>
      <c r="AA851" s="118"/>
      <c r="AC851" s="118"/>
      <c r="AE851" s="118"/>
      <c r="AF851" s="119"/>
    </row>
    <row r="852" spans="1:32" x14ac:dyDescent="0.3">
      <c r="A852" s="118"/>
      <c r="C852" s="118"/>
      <c r="E852" s="118"/>
      <c r="G852" s="118"/>
      <c r="I852" s="118"/>
      <c r="J852" s="119"/>
      <c r="M852" s="118"/>
      <c r="O852" s="118"/>
      <c r="Q852" s="118"/>
      <c r="S852" s="118"/>
      <c r="U852" s="118"/>
      <c r="W852" s="118"/>
      <c r="Y852" s="118"/>
      <c r="AA852" s="118"/>
      <c r="AC852" s="118"/>
      <c r="AE852" s="118"/>
      <c r="AF852" s="119"/>
    </row>
    <row r="853" spans="1:32" x14ac:dyDescent="0.3">
      <c r="A853" s="118"/>
      <c r="C853" s="118"/>
      <c r="E853" s="118"/>
      <c r="G853" s="118"/>
      <c r="I853" s="118"/>
      <c r="J853" s="119"/>
      <c r="M853" s="118"/>
      <c r="O853" s="118"/>
      <c r="Q853" s="118"/>
      <c r="S853" s="118"/>
      <c r="U853" s="118"/>
      <c r="W853" s="118"/>
      <c r="Y853" s="118"/>
      <c r="AA853" s="118"/>
      <c r="AC853" s="118"/>
      <c r="AE853" s="118"/>
      <c r="AF853" s="119"/>
    </row>
    <row r="854" spans="1:32" x14ac:dyDescent="0.3">
      <c r="A854" s="118"/>
      <c r="C854" s="118"/>
      <c r="E854" s="118"/>
      <c r="G854" s="118"/>
      <c r="I854" s="118"/>
      <c r="J854" s="119"/>
      <c r="M854" s="118"/>
      <c r="O854" s="118"/>
      <c r="Q854" s="118"/>
      <c r="S854" s="118"/>
      <c r="U854" s="118"/>
      <c r="W854" s="118"/>
      <c r="Y854" s="118"/>
      <c r="AA854" s="118"/>
      <c r="AC854" s="118"/>
      <c r="AE854" s="118"/>
      <c r="AF854" s="119"/>
    </row>
    <row r="855" spans="1:32" x14ac:dyDescent="0.3">
      <c r="A855" s="118"/>
      <c r="C855" s="118"/>
      <c r="E855" s="118"/>
      <c r="G855" s="118"/>
      <c r="I855" s="118"/>
      <c r="J855" s="119"/>
      <c r="M855" s="118"/>
      <c r="O855" s="118"/>
      <c r="Q855" s="118"/>
      <c r="S855" s="118"/>
      <c r="U855" s="118"/>
      <c r="W855" s="118"/>
      <c r="Y855" s="118"/>
      <c r="AA855" s="118"/>
      <c r="AC855" s="118"/>
      <c r="AE855" s="118"/>
      <c r="AF855" s="119"/>
    </row>
    <row r="856" spans="1:32" x14ac:dyDescent="0.3">
      <c r="A856" s="118"/>
      <c r="C856" s="118"/>
      <c r="E856" s="118"/>
      <c r="G856" s="118"/>
      <c r="I856" s="118"/>
      <c r="J856" s="119"/>
      <c r="M856" s="118"/>
      <c r="O856" s="118"/>
      <c r="Q856" s="118"/>
      <c r="S856" s="118"/>
      <c r="U856" s="118"/>
      <c r="W856" s="118"/>
      <c r="Y856" s="118"/>
      <c r="AA856" s="118"/>
      <c r="AC856" s="118"/>
      <c r="AE856" s="118"/>
      <c r="AF856" s="119"/>
    </row>
    <row r="857" spans="1:32" x14ac:dyDescent="0.3">
      <c r="A857" s="118"/>
      <c r="C857" s="118"/>
      <c r="E857" s="118"/>
      <c r="G857" s="118"/>
      <c r="I857" s="118"/>
      <c r="J857" s="119"/>
      <c r="M857" s="118"/>
      <c r="O857" s="118"/>
      <c r="Q857" s="118"/>
      <c r="S857" s="118"/>
      <c r="U857" s="118"/>
      <c r="W857" s="118"/>
      <c r="Y857" s="118"/>
      <c r="AA857" s="118"/>
      <c r="AC857" s="118"/>
      <c r="AE857" s="118"/>
      <c r="AF857" s="119"/>
    </row>
    <row r="858" spans="1:32" x14ac:dyDescent="0.3">
      <c r="A858" s="118"/>
      <c r="C858" s="118"/>
      <c r="E858" s="118"/>
      <c r="G858" s="118"/>
      <c r="I858" s="118"/>
      <c r="J858" s="119"/>
      <c r="M858" s="118"/>
      <c r="O858" s="118"/>
      <c r="Q858" s="118"/>
      <c r="S858" s="118"/>
      <c r="U858" s="118"/>
      <c r="W858" s="118"/>
      <c r="Y858" s="118"/>
      <c r="AA858" s="118"/>
      <c r="AC858" s="118"/>
      <c r="AE858" s="118"/>
      <c r="AF858" s="119"/>
    </row>
    <row r="859" spans="1:32" x14ac:dyDescent="0.3">
      <c r="A859" s="118"/>
      <c r="C859" s="118"/>
      <c r="E859" s="118"/>
      <c r="G859" s="118"/>
      <c r="I859" s="118"/>
      <c r="J859" s="119"/>
      <c r="M859" s="118"/>
      <c r="O859" s="118"/>
      <c r="Q859" s="118"/>
      <c r="S859" s="118"/>
      <c r="U859" s="118"/>
      <c r="W859" s="118"/>
      <c r="Y859" s="118"/>
      <c r="AA859" s="118"/>
      <c r="AC859" s="118"/>
      <c r="AE859" s="118"/>
      <c r="AF859" s="119"/>
    </row>
    <row r="860" spans="1:32" x14ac:dyDescent="0.3">
      <c r="A860" s="118"/>
      <c r="C860" s="118"/>
      <c r="E860" s="118"/>
      <c r="G860" s="118"/>
      <c r="I860" s="118"/>
      <c r="J860" s="119"/>
      <c r="M860" s="118"/>
      <c r="O860" s="118"/>
      <c r="Q860" s="118"/>
      <c r="S860" s="118"/>
      <c r="U860" s="118"/>
      <c r="W860" s="118"/>
      <c r="Y860" s="118"/>
      <c r="AA860" s="118"/>
      <c r="AC860" s="118"/>
      <c r="AE860" s="118"/>
      <c r="AF860" s="119"/>
    </row>
    <row r="861" spans="1:32" x14ac:dyDescent="0.3">
      <c r="A861" s="118"/>
      <c r="C861" s="118"/>
      <c r="E861" s="118"/>
      <c r="G861" s="118"/>
      <c r="I861" s="118"/>
      <c r="J861" s="119"/>
      <c r="M861" s="118"/>
      <c r="O861" s="118"/>
      <c r="Q861" s="118"/>
      <c r="S861" s="118"/>
      <c r="U861" s="118"/>
      <c r="W861" s="118"/>
      <c r="Y861" s="118"/>
      <c r="AA861" s="118"/>
      <c r="AC861" s="118"/>
      <c r="AE861" s="118"/>
      <c r="AF861" s="119"/>
    </row>
    <row r="862" spans="1:32" x14ac:dyDescent="0.3">
      <c r="A862" s="118"/>
      <c r="C862" s="118"/>
      <c r="E862" s="118"/>
      <c r="G862" s="118"/>
      <c r="I862" s="118"/>
      <c r="J862" s="119"/>
      <c r="M862" s="118"/>
      <c r="O862" s="118"/>
      <c r="Q862" s="118"/>
      <c r="S862" s="118"/>
      <c r="U862" s="118"/>
      <c r="W862" s="118"/>
      <c r="Y862" s="118"/>
      <c r="AA862" s="118"/>
      <c r="AC862" s="118"/>
      <c r="AE862" s="118"/>
      <c r="AF862" s="119"/>
    </row>
    <row r="863" spans="1:32" x14ac:dyDescent="0.3">
      <c r="A863" s="118"/>
      <c r="C863" s="118"/>
      <c r="E863" s="118"/>
      <c r="G863" s="118"/>
      <c r="I863" s="118"/>
      <c r="J863" s="119"/>
      <c r="M863" s="118"/>
      <c r="O863" s="118"/>
      <c r="Q863" s="118"/>
      <c r="S863" s="118"/>
      <c r="U863" s="118"/>
      <c r="W863" s="118"/>
      <c r="Y863" s="118"/>
      <c r="AA863" s="118"/>
      <c r="AC863" s="118"/>
      <c r="AE863" s="118"/>
      <c r="AF863" s="119"/>
    </row>
    <row r="864" spans="1:32" x14ac:dyDescent="0.3">
      <c r="A864" s="118"/>
      <c r="C864" s="118"/>
      <c r="E864" s="118"/>
      <c r="G864" s="118"/>
      <c r="I864" s="118"/>
      <c r="J864" s="119"/>
      <c r="M864" s="118"/>
      <c r="O864" s="118"/>
      <c r="Q864" s="118"/>
      <c r="S864" s="118"/>
      <c r="U864" s="118"/>
      <c r="W864" s="118"/>
      <c r="Y864" s="118"/>
      <c r="AA864" s="118"/>
      <c r="AC864" s="118"/>
      <c r="AE864" s="118"/>
      <c r="AF864" s="119"/>
    </row>
    <row r="865" spans="1:32" x14ac:dyDescent="0.3">
      <c r="A865" s="118"/>
      <c r="C865" s="118"/>
      <c r="E865" s="118"/>
      <c r="G865" s="118"/>
      <c r="I865" s="118"/>
      <c r="J865" s="119"/>
      <c r="M865" s="118"/>
      <c r="O865" s="118"/>
      <c r="Q865" s="118"/>
      <c r="S865" s="118"/>
      <c r="U865" s="118"/>
      <c r="W865" s="118"/>
      <c r="Y865" s="118"/>
      <c r="AA865" s="118"/>
      <c r="AC865" s="118"/>
      <c r="AE865" s="118"/>
      <c r="AF865" s="119"/>
    </row>
    <row r="866" spans="1:32" x14ac:dyDescent="0.3">
      <c r="A866" s="118"/>
      <c r="C866" s="118"/>
      <c r="E866" s="118"/>
      <c r="G866" s="118"/>
      <c r="I866" s="118"/>
      <c r="J866" s="119"/>
      <c r="M866" s="118"/>
      <c r="O866" s="118"/>
      <c r="Q866" s="118"/>
      <c r="S866" s="118"/>
      <c r="U866" s="118"/>
      <c r="W866" s="118"/>
      <c r="Y866" s="118"/>
      <c r="AA866" s="118"/>
      <c r="AC866" s="118"/>
      <c r="AE866" s="118"/>
      <c r="AF866" s="119"/>
    </row>
    <row r="867" spans="1:32" x14ac:dyDescent="0.3">
      <c r="A867" s="118"/>
      <c r="C867" s="118"/>
      <c r="E867" s="118"/>
      <c r="G867" s="118"/>
      <c r="I867" s="118"/>
      <c r="J867" s="119"/>
      <c r="M867" s="118"/>
      <c r="O867" s="118"/>
      <c r="Q867" s="118"/>
      <c r="S867" s="118"/>
      <c r="U867" s="118"/>
      <c r="W867" s="118"/>
      <c r="Y867" s="118"/>
      <c r="AA867" s="118"/>
      <c r="AC867" s="118"/>
      <c r="AE867" s="118"/>
      <c r="AF867" s="119"/>
    </row>
    <row r="868" spans="1:32" x14ac:dyDescent="0.3">
      <c r="A868" s="118"/>
      <c r="C868" s="118"/>
      <c r="E868" s="118"/>
      <c r="G868" s="118"/>
      <c r="I868" s="118"/>
      <c r="J868" s="119"/>
      <c r="M868" s="118"/>
      <c r="O868" s="118"/>
      <c r="Q868" s="118"/>
      <c r="S868" s="118"/>
      <c r="U868" s="118"/>
      <c r="W868" s="118"/>
      <c r="Y868" s="118"/>
      <c r="AA868" s="118"/>
      <c r="AC868" s="118"/>
      <c r="AE868" s="118"/>
      <c r="AF868" s="119"/>
    </row>
    <row r="869" spans="1:32" x14ac:dyDescent="0.3">
      <c r="A869" s="118"/>
      <c r="C869" s="118"/>
      <c r="E869" s="118"/>
      <c r="G869" s="118"/>
      <c r="I869" s="118"/>
      <c r="J869" s="119"/>
      <c r="M869" s="118"/>
      <c r="O869" s="118"/>
      <c r="Q869" s="118"/>
      <c r="S869" s="118"/>
      <c r="U869" s="118"/>
      <c r="W869" s="118"/>
      <c r="Y869" s="118"/>
      <c r="AA869" s="118"/>
      <c r="AC869" s="118"/>
      <c r="AE869" s="118"/>
      <c r="AF869" s="119"/>
    </row>
    <row r="870" spans="1:32" x14ac:dyDescent="0.3">
      <c r="A870" s="118"/>
      <c r="C870" s="118"/>
      <c r="E870" s="118"/>
      <c r="G870" s="118"/>
      <c r="I870" s="118"/>
      <c r="J870" s="119"/>
      <c r="M870" s="118"/>
      <c r="O870" s="118"/>
      <c r="Q870" s="118"/>
      <c r="S870" s="118"/>
      <c r="U870" s="118"/>
      <c r="W870" s="118"/>
      <c r="Y870" s="118"/>
      <c r="AA870" s="118"/>
      <c r="AC870" s="118"/>
      <c r="AE870" s="118"/>
      <c r="AF870" s="119"/>
    </row>
    <row r="871" spans="1:32" x14ac:dyDescent="0.3">
      <c r="A871" s="118"/>
      <c r="C871" s="118"/>
      <c r="E871" s="118"/>
      <c r="G871" s="118"/>
      <c r="I871" s="118"/>
      <c r="J871" s="119"/>
      <c r="M871" s="118"/>
      <c r="O871" s="118"/>
      <c r="Q871" s="118"/>
      <c r="S871" s="118"/>
      <c r="U871" s="118"/>
      <c r="W871" s="118"/>
      <c r="Y871" s="118"/>
      <c r="AA871" s="118"/>
      <c r="AC871" s="118"/>
      <c r="AE871" s="118"/>
      <c r="AF871" s="119"/>
    </row>
    <row r="872" spans="1:32" x14ac:dyDescent="0.3">
      <c r="A872" s="118"/>
      <c r="C872" s="118"/>
      <c r="E872" s="118"/>
      <c r="G872" s="118"/>
      <c r="I872" s="118"/>
      <c r="J872" s="119"/>
      <c r="M872" s="118"/>
      <c r="O872" s="118"/>
      <c r="Q872" s="118"/>
      <c r="S872" s="118"/>
      <c r="U872" s="118"/>
      <c r="W872" s="118"/>
      <c r="Y872" s="118"/>
      <c r="AA872" s="118"/>
      <c r="AC872" s="118"/>
      <c r="AE872" s="118"/>
      <c r="AF872" s="119"/>
    </row>
    <row r="873" spans="1:32" x14ac:dyDescent="0.3">
      <c r="A873" s="118"/>
      <c r="C873" s="118"/>
      <c r="E873" s="118"/>
      <c r="G873" s="118"/>
      <c r="I873" s="118"/>
      <c r="J873" s="119"/>
      <c r="M873" s="118"/>
      <c r="O873" s="118"/>
      <c r="Q873" s="118"/>
      <c r="S873" s="118"/>
      <c r="U873" s="118"/>
      <c r="W873" s="118"/>
      <c r="Y873" s="118"/>
      <c r="AA873" s="118"/>
      <c r="AC873" s="118"/>
      <c r="AE873" s="118"/>
      <c r="AF873" s="119"/>
    </row>
    <row r="874" spans="1:32" x14ac:dyDescent="0.3">
      <c r="A874" s="118"/>
      <c r="C874" s="118"/>
      <c r="E874" s="118"/>
      <c r="G874" s="118"/>
      <c r="I874" s="118"/>
      <c r="J874" s="119"/>
      <c r="M874" s="118"/>
      <c r="O874" s="118"/>
      <c r="Q874" s="118"/>
      <c r="S874" s="118"/>
      <c r="U874" s="118"/>
      <c r="W874" s="118"/>
      <c r="Y874" s="118"/>
      <c r="AA874" s="118"/>
      <c r="AC874" s="118"/>
      <c r="AE874" s="118"/>
      <c r="AF874" s="119"/>
    </row>
    <row r="875" spans="1:32" x14ac:dyDescent="0.3">
      <c r="A875" s="118"/>
      <c r="C875" s="118"/>
      <c r="E875" s="118"/>
      <c r="G875" s="118"/>
      <c r="I875" s="118"/>
      <c r="J875" s="119"/>
      <c r="M875" s="118"/>
      <c r="O875" s="118"/>
      <c r="Q875" s="118"/>
      <c r="S875" s="118"/>
      <c r="U875" s="118"/>
      <c r="W875" s="118"/>
      <c r="Y875" s="118"/>
      <c r="AA875" s="118"/>
      <c r="AC875" s="118"/>
      <c r="AE875" s="118"/>
      <c r="AF875" s="119"/>
    </row>
    <row r="876" spans="1:32" x14ac:dyDescent="0.3">
      <c r="A876" s="118"/>
      <c r="C876" s="118"/>
      <c r="E876" s="118"/>
      <c r="G876" s="118"/>
      <c r="I876" s="118"/>
      <c r="J876" s="119"/>
      <c r="M876" s="118"/>
      <c r="O876" s="118"/>
      <c r="Q876" s="118"/>
      <c r="S876" s="118"/>
      <c r="U876" s="118"/>
      <c r="W876" s="118"/>
      <c r="Y876" s="118"/>
      <c r="AA876" s="118"/>
      <c r="AC876" s="118"/>
      <c r="AE876" s="118"/>
      <c r="AF876" s="119"/>
    </row>
    <row r="877" spans="1:32" x14ac:dyDescent="0.3">
      <c r="A877" s="118"/>
      <c r="C877" s="118"/>
      <c r="E877" s="118"/>
      <c r="G877" s="118"/>
      <c r="I877" s="118"/>
      <c r="J877" s="119"/>
      <c r="M877" s="118"/>
      <c r="O877" s="118"/>
      <c r="Q877" s="118"/>
      <c r="S877" s="118"/>
      <c r="U877" s="118"/>
      <c r="W877" s="118"/>
      <c r="Y877" s="118"/>
      <c r="AA877" s="118"/>
      <c r="AC877" s="118"/>
      <c r="AE877" s="118"/>
      <c r="AF877" s="119"/>
    </row>
    <row r="878" spans="1:32" x14ac:dyDescent="0.3">
      <c r="A878" s="118"/>
      <c r="C878" s="118"/>
      <c r="E878" s="118"/>
      <c r="G878" s="118"/>
      <c r="I878" s="118"/>
      <c r="J878" s="119"/>
      <c r="M878" s="118"/>
      <c r="O878" s="118"/>
      <c r="Q878" s="118"/>
      <c r="S878" s="118"/>
      <c r="U878" s="118"/>
      <c r="W878" s="118"/>
      <c r="Y878" s="118"/>
      <c r="AA878" s="118"/>
      <c r="AC878" s="118"/>
      <c r="AE878" s="118"/>
      <c r="AF878" s="119"/>
    </row>
    <row r="879" spans="1:32" x14ac:dyDescent="0.3">
      <c r="A879" s="118"/>
      <c r="C879" s="118"/>
      <c r="E879" s="118"/>
      <c r="G879" s="118"/>
      <c r="I879" s="118"/>
      <c r="J879" s="119"/>
      <c r="M879" s="118"/>
      <c r="O879" s="118"/>
      <c r="Q879" s="118"/>
      <c r="S879" s="118"/>
      <c r="U879" s="118"/>
      <c r="W879" s="118"/>
      <c r="Y879" s="118"/>
      <c r="AA879" s="118"/>
      <c r="AC879" s="118"/>
      <c r="AE879" s="118"/>
      <c r="AF879" s="119"/>
    </row>
    <row r="880" spans="1:32" x14ac:dyDescent="0.3">
      <c r="A880" s="118"/>
      <c r="C880" s="118"/>
      <c r="E880" s="118"/>
      <c r="G880" s="118"/>
      <c r="I880" s="118"/>
      <c r="J880" s="119"/>
      <c r="M880" s="118"/>
      <c r="O880" s="118"/>
      <c r="Q880" s="118"/>
      <c r="S880" s="118"/>
      <c r="U880" s="118"/>
      <c r="W880" s="118"/>
      <c r="Y880" s="118"/>
      <c r="AA880" s="118"/>
      <c r="AC880" s="118"/>
      <c r="AE880" s="118"/>
      <c r="AF880" s="119"/>
    </row>
    <row r="881" spans="1:32" x14ac:dyDescent="0.3">
      <c r="A881" s="118"/>
      <c r="C881" s="118"/>
      <c r="E881" s="118"/>
      <c r="G881" s="118"/>
      <c r="I881" s="118"/>
      <c r="J881" s="119"/>
      <c r="M881" s="118"/>
      <c r="O881" s="118"/>
      <c r="Q881" s="118"/>
      <c r="S881" s="118"/>
      <c r="U881" s="118"/>
      <c r="W881" s="118"/>
      <c r="Y881" s="118"/>
      <c r="AA881" s="118"/>
      <c r="AC881" s="118"/>
      <c r="AE881" s="118"/>
      <c r="AF881" s="119"/>
    </row>
    <row r="882" spans="1:32" x14ac:dyDescent="0.3">
      <c r="A882" s="118"/>
      <c r="C882" s="118"/>
      <c r="E882" s="118"/>
      <c r="G882" s="118"/>
      <c r="I882" s="118"/>
      <c r="J882" s="119"/>
      <c r="M882" s="118"/>
      <c r="O882" s="118"/>
      <c r="Q882" s="118"/>
      <c r="S882" s="118"/>
      <c r="U882" s="118"/>
      <c r="W882" s="118"/>
      <c r="Y882" s="118"/>
      <c r="AA882" s="118"/>
      <c r="AC882" s="118"/>
      <c r="AE882" s="118"/>
      <c r="AF882" s="119"/>
    </row>
    <row r="883" spans="1:32" x14ac:dyDescent="0.3">
      <c r="A883" s="118"/>
      <c r="C883" s="118"/>
      <c r="E883" s="118"/>
      <c r="G883" s="118"/>
      <c r="I883" s="118"/>
      <c r="J883" s="119"/>
      <c r="M883" s="118"/>
      <c r="O883" s="118"/>
      <c r="Q883" s="118"/>
      <c r="S883" s="118"/>
      <c r="U883" s="118"/>
      <c r="W883" s="118"/>
      <c r="Y883" s="118"/>
      <c r="AA883" s="118"/>
      <c r="AC883" s="118"/>
      <c r="AE883" s="118"/>
      <c r="AF883" s="119"/>
    </row>
    <row r="884" spans="1:32" x14ac:dyDescent="0.3">
      <c r="A884" s="118"/>
      <c r="C884" s="118"/>
      <c r="E884" s="118"/>
      <c r="G884" s="118"/>
      <c r="I884" s="118"/>
      <c r="J884" s="119"/>
      <c r="M884" s="118"/>
      <c r="O884" s="118"/>
      <c r="Q884" s="118"/>
      <c r="S884" s="118"/>
      <c r="U884" s="118"/>
      <c r="W884" s="118"/>
      <c r="Y884" s="118"/>
      <c r="AA884" s="118"/>
      <c r="AC884" s="118"/>
      <c r="AE884" s="118"/>
      <c r="AF884" s="119"/>
    </row>
    <row r="885" spans="1:32" x14ac:dyDescent="0.3">
      <c r="A885" s="118"/>
      <c r="C885" s="118"/>
      <c r="E885" s="118"/>
      <c r="G885" s="118"/>
      <c r="I885" s="118"/>
      <c r="J885" s="119"/>
      <c r="M885" s="118"/>
      <c r="O885" s="118"/>
      <c r="Q885" s="118"/>
      <c r="S885" s="118"/>
      <c r="U885" s="118"/>
      <c r="W885" s="118"/>
      <c r="Y885" s="118"/>
      <c r="AA885" s="118"/>
      <c r="AC885" s="118"/>
      <c r="AE885" s="118"/>
      <c r="AF885" s="119"/>
    </row>
    <row r="886" spans="1:32" x14ac:dyDescent="0.3">
      <c r="A886" s="118"/>
      <c r="C886" s="118"/>
      <c r="E886" s="118"/>
      <c r="G886" s="118"/>
      <c r="I886" s="118"/>
      <c r="J886" s="119"/>
      <c r="M886" s="118"/>
      <c r="O886" s="118"/>
      <c r="Q886" s="118"/>
      <c r="S886" s="118"/>
      <c r="U886" s="118"/>
      <c r="W886" s="118"/>
      <c r="Y886" s="118"/>
      <c r="AA886" s="118"/>
      <c r="AC886" s="118"/>
      <c r="AE886" s="118"/>
      <c r="AF886" s="119"/>
    </row>
    <row r="887" spans="1:32" x14ac:dyDescent="0.3">
      <c r="A887" s="118"/>
      <c r="C887" s="118"/>
      <c r="E887" s="118"/>
      <c r="G887" s="118"/>
      <c r="I887" s="118"/>
      <c r="J887" s="119"/>
      <c r="M887" s="118"/>
      <c r="O887" s="118"/>
      <c r="Q887" s="118"/>
      <c r="S887" s="118"/>
      <c r="U887" s="118"/>
      <c r="W887" s="118"/>
      <c r="Y887" s="118"/>
      <c r="AA887" s="118"/>
      <c r="AC887" s="118"/>
      <c r="AE887" s="118"/>
      <c r="AF887" s="119"/>
    </row>
    <row r="888" spans="1:32" x14ac:dyDescent="0.3">
      <c r="A888" s="118"/>
      <c r="C888" s="118"/>
      <c r="E888" s="118"/>
      <c r="G888" s="118"/>
      <c r="I888" s="118"/>
      <c r="J888" s="119"/>
      <c r="M888" s="118"/>
      <c r="O888" s="118"/>
      <c r="Q888" s="118"/>
      <c r="S888" s="118"/>
      <c r="U888" s="118"/>
      <c r="W888" s="118"/>
      <c r="Y888" s="118"/>
      <c r="AA888" s="118"/>
      <c r="AC888" s="118"/>
      <c r="AE888" s="118"/>
      <c r="AF888" s="119"/>
    </row>
    <row r="889" spans="1:32" x14ac:dyDescent="0.3">
      <c r="A889" s="118"/>
      <c r="C889" s="118"/>
      <c r="E889" s="118"/>
      <c r="G889" s="118"/>
      <c r="I889" s="118"/>
      <c r="J889" s="119"/>
      <c r="M889" s="118"/>
      <c r="O889" s="118"/>
      <c r="Q889" s="118"/>
      <c r="S889" s="118"/>
      <c r="U889" s="118"/>
      <c r="W889" s="118"/>
      <c r="Y889" s="118"/>
      <c r="AA889" s="118"/>
      <c r="AC889" s="118"/>
      <c r="AE889" s="118"/>
      <c r="AF889" s="119"/>
    </row>
    <row r="890" spans="1:32" x14ac:dyDescent="0.3">
      <c r="A890" s="118"/>
      <c r="C890" s="118"/>
      <c r="E890" s="118"/>
      <c r="G890" s="118"/>
      <c r="I890" s="118"/>
      <c r="J890" s="119"/>
      <c r="M890" s="118"/>
      <c r="O890" s="118"/>
      <c r="Q890" s="118"/>
      <c r="S890" s="118"/>
      <c r="U890" s="118"/>
      <c r="W890" s="118"/>
      <c r="Y890" s="118"/>
      <c r="AA890" s="118"/>
      <c r="AC890" s="118"/>
      <c r="AE890" s="118"/>
      <c r="AF890" s="119"/>
    </row>
    <row r="891" spans="1:32" x14ac:dyDescent="0.3">
      <c r="A891" s="118"/>
      <c r="C891" s="118"/>
      <c r="E891" s="118"/>
      <c r="G891" s="118"/>
      <c r="I891" s="118"/>
      <c r="J891" s="119"/>
      <c r="M891" s="118"/>
      <c r="O891" s="118"/>
      <c r="Q891" s="118"/>
      <c r="S891" s="118"/>
      <c r="U891" s="118"/>
      <c r="W891" s="118"/>
      <c r="Y891" s="118"/>
      <c r="AA891" s="118"/>
      <c r="AC891" s="118"/>
      <c r="AE891" s="118"/>
      <c r="AF891" s="119"/>
    </row>
    <row r="892" spans="1:32" x14ac:dyDescent="0.3">
      <c r="A892" s="118"/>
      <c r="C892" s="118"/>
      <c r="E892" s="118"/>
      <c r="G892" s="118"/>
      <c r="I892" s="118"/>
      <c r="J892" s="119"/>
      <c r="M892" s="118"/>
      <c r="O892" s="118"/>
      <c r="Q892" s="118"/>
      <c r="S892" s="118"/>
      <c r="U892" s="118"/>
      <c r="W892" s="118"/>
      <c r="Y892" s="118"/>
      <c r="AA892" s="118"/>
      <c r="AC892" s="118"/>
      <c r="AE892" s="118"/>
      <c r="AF892" s="119"/>
    </row>
    <row r="893" spans="1:32" x14ac:dyDescent="0.3">
      <c r="A893" s="118"/>
      <c r="C893" s="118"/>
      <c r="E893" s="118"/>
      <c r="G893" s="118"/>
      <c r="I893" s="118"/>
      <c r="J893" s="119"/>
      <c r="M893" s="118"/>
      <c r="O893" s="118"/>
      <c r="Q893" s="118"/>
      <c r="S893" s="118"/>
      <c r="U893" s="118"/>
      <c r="W893" s="118"/>
      <c r="Y893" s="118"/>
      <c r="AA893" s="118"/>
      <c r="AC893" s="118"/>
      <c r="AE893" s="118"/>
      <c r="AF893" s="119"/>
    </row>
    <row r="894" spans="1:32" x14ac:dyDescent="0.3">
      <c r="A894" s="118"/>
      <c r="C894" s="118"/>
      <c r="E894" s="118"/>
      <c r="G894" s="118"/>
      <c r="I894" s="118"/>
      <c r="J894" s="119"/>
      <c r="M894" s="118"/>
      <c r="O894" s="118"/>
      <c r="Q894" s="118"/>
      <c r="S894" s="118"/>
      <c r="U894" s="118"/>
      <c r="W894" s="118"/>
      <c r="Y894" s="118"/>
      <c r="AA894" s="118"/>
      <c r="AC894" s="118"/>
      <c r="AE894" s="118"/>
      <c r="AF894" s="119"/>
    </row>
    <row r="895" spans="1:32" x14ac:dyDescent="0.3">
      <c r="A895" s="118"/>
      <c r="C895" s="118"/>
      <c r="E895" s="118"/>
      <c r="G895" s="118"/>
      <c r="I895" s="118"/>
      <c r="J895" s="119"/>
      <c r="M895" s="118"/>
      <c r="O895" s="118"/>
      <c r="Q895" s="118"/>
      <c r="S895" s="118"/>
      <c r="U895" s="118"/>
      <c r="W895" s="118"/>
      <c r="Y895" s="118"/>
      <c r="AA895" s="118"/>
      <c r="AC895" s="118"/>
      <c r="AE895" s="118"/>
      <c r="AF895" s="119"/>
    </row>
    <row r="896" spans="1:32" x14ac:dyDescent="0.3">
      <c r="A896" s="118"/>
      <c r="C896" s="118"/>
      <c r="E896" s="118"/>
      <c r="G896" s="118"/>
      <c r="I896" s="118"/>
      <c r="J896" s="119"/>
      <c r="M896" s="118"/>
      <c r="O896" s="118"/>
      <c r="Q896" s="118"/>
      <c r="S896" s="118"/>
      <c r="U896" s="118"/>
      <c r="W896" s="118"/>
      <c r="Y896" s="118"/>
      <c r="AA896" s="118"/>
      <c r="AC896" s="118"/>
      <c r="AE896" s="118"/>
      <c r="AF896" s="119"/>
    </row>
    <row r="897" spans="1:32" x14ac:dyDescent="0.3">
      <c r="A897" s="118"/>
      <c r="C897" s="118"/>
      <c r="E897" s="118"/>
      <c r="G897" s="118"/>
      <c r="I897" s="118"/>
      <c r="J897" s="119"/>
      <c r="M897" s="118"/>
      <c r="O897" s="118"/>
      <c r="Q897" s="118"/>
      <c r="S897" s="118"/>
      <c r="U897" s="118"/>
      <c r="W897" s="118"/>
      <c r="Y897" s="118"/>
      <c r="AA897" s="118"/>
      <c r="AC897" s="118"/>
      <c r="AE897" s="118"/>
      <c r="AF897" s="119"/>
    </row>
    <row r="898" spans="1:32" x14ac:dyDescent="0.3">
      <c r="A898" s="118"/>
      <c r="C898" s="118"/>
      <c r="E898" s="118"/>
      <c r="G898" s="118"/>
      <c r="I898" s="118"/>
      <c r="J898" s="119"/>
      <c r="M898" s="118"/>
      <c r="O898" s="118"/>
      <c r="Q898" s="118"/>
      <c r="S898" s="118"/>
      <c r="U898" s="118"/>
      <c r="W898" s="118"/>
      <c r="Y898" s="118"/>
      <c r="AA898" s="118"/>
      <c r="AC898" s="118"/>
      <c r="AE898" s="118"/>
      <c r="AF898" s="119"/>
    </row>
    <row r="899" spans="1:32" x14ac:dyDescent="0.3">
      <c r="A899" s="118"/>
      <c r="C899" s="118"/>
      <c r="E899" s="118"/>
      <c r="G899" s="118"/>
      <c r="I899" s="118"/>
      <c r="J899" s="119"/>
      <c r="M899" s="118"/>
      <c r="O899" s="118"/>
      <c r="Q899" s="118"/>
      <c r="S899" s="118"/>
      <c r="U899" s="118"/>
      <c r="W899" s="118"/>
      <c r="Y899" s="118"/>
      <c r="AA899" s="118"/>
      <c r="AC899" s="118"/>
      <c r="AE899" s="118"/>
      <c r="AF899" s="119"/>
    </row>
    <row r="900" spans="1:32" x14ac:dyDescent="0.3">
      <c r="A900" s="118"/>
      <c r="C900" s="118"/>
      <c r="E900" s="118"/>
      <c r="G900" s="118"/>
      <c r="I900" s="118"/>
      <c r="J900" s="119"/>
      <c r="M900" s="118"/>
      <c r="O900" s="118"/>
      <c r="Q900" s="118"/>
      <c r="S900" s="118"/>
      <c r="U900" s="118"/>
      <c r="W900" s="118"/>
      <c r="Y900" s="118"/>
      <c r="AA900" s="118"/>
      <c r="AC900" s="118"/>
      <c r="AE900" s="118"/>
      <c r="AF900" s="119"/>
    </row>
    <row r="901" spans="1:32" x14ac:dyDescent="0.3">
      <c r="A901" s="118"/>
      <c r="C901" s="118"/>
      <c r="E901" s="118"/>
      <c r="G901" s="118"/>
      <c r="I901" s="118"/>
      <c r="J901" s="119"/>
      <c r="M901" s="118"/>
      <c r="O901" s="118"/>
      <c r="Q901" s="118"/>
      <c r="S901" s="118"/>
      <c r="U901" s="118"/>
      <c r="W901" s="118"/>
      <c r="Y901" s="118"/>
      <c r="AA901" s="118"/>
      <c r="AC901" s="118"/>
      <c r="AE901" s="118"/>
      <c r="AF901" s="119"/>
    </row>
    <row r="902" spans="1:32" x14ac:dyDescent="0.3">
      <c r="A902" s="118"/>
      <c r="C902" s="118"/>
      <c r="E902" s="118"/>
      <c r="G902" s="118"/>
      <c r="I902" s="118"/>
      <c r="J902" s="119"/>
      <c r="M902" s="118"/>
      <c r="O902" s="118"/>
      <c r="Q902" s="118"/>
      <c r="S902" s="118"/>
      <c r="U902" s="118"/>
      <c r="W902" s="118"/>
      <c r="Y902" s="118"/>
      <c r="AA902" s="118"/>
      <c r="AC902" s="118"/>
      <c r="AE902" s="118"/>
      <c r="AF902" s="119"/>
    </row>
    <row r="903" spans="1:32" x14ac:dyDescent="0.3">
      <c r="A903" s="118"/>
      <c r="C903" s="118"/>
      <c r="E903" s="118"/>
      <c r="G903" s="118"/>
      <c r="I903" s="118"/>
      <c r="J903" s="119"/>
      <c r="M903" s="118"/>
      <c r="O903" s="118"/>
      <c r="Q903" s="118"/>
      <c r="S903" s="118"/>
      <c r="U903" s="118"/>
      <c r="W903" s="118"/>
      <c r="Y903" s="118"/>
      <c r="AA903" s="118"/>
      <c r="AC903" s="118"/>
      <c r="AE903" s="118"/>
      <c r="AF903" s="119"/>
    </row>
    <row r="904" spans="1:32" x14ac:dyDescent="0.3">
      <c r="A904" s="118"/>
      <c r="C904" s="118"/>
      <c r="E904" s="118"/>
      <c r="G904" s="118"/>
      <c r="I904" s="118"/>
      <c r="J904" s="119"/>
      <c r="M904" s="118"/>
      <c r="O904" s="118"/>
      <c r="Q904" s="118"/>
      <c r="S904" s="118"/>
      <c r="U904" s="118"/>
      <c r="W904" s="118"/>
      <c r="Y904" s="118"/>
      <c r="AA904" s="118"/>
      <c r="AC904" s="118"/>
      <c r="AE904" s="118"/>
      <c r="AF904" s="119"/>
    </row>
    <row r="905" spans="1:32" x14ac:dyDescent="0.3">
      <c r="A905" s="118"/>
      <c r="C905" s="118"/>
      <c r="E905" s="118"/>
      <c r="G905" s="118"/>
      <c r="I905" s="118"/>
      <c r="J905" s="119"/>
      <c r="M905" s="118"/>
      <c r="O905" s="118"/>
      <c r="Q905" s="118"/>
      <c r="S905" s="118"/>
      <c r="U905" s="118"/>
      <c r="W905" s="118"/>
      <c r="Y905" s="118"/>
      <c r="AA905" s="118"/>
      <c r="AC905" s="118"/>
      <c r="AE905" s="118"/>
      <c r="AF905" s="119"/>
    </row>
    <row r="906" spans="1:32" x14ac:dyDescent="0.3">
      <c r="A906" s="118"/>
      <c r="C906" s="118"/>
      <c r="E906" s="118"/>
      <c r="G906" s="118"/>
      <c r="I906" s="118"/>
      <c r="J906" s="119"/>
      <c r="M906" s="118"/>
      <c r="O906" s="118"/>
      <c r="Q906" s="118"/>
      <c r="S906" s="118"/>
      <c r="U906" s="118"/>
      <c r="W906" s="118"/>
      <c r="Y906" s="118"/>
      <c r="AA906" s="118"/>
      <c r="AC906" s="118"/>
      <c r="AE906" s="118"/>
      <c r="AF906" s="119"/>
    </row>
    <row r="907" spans="1:32" x14ac:dyDescent="0.3">
      <c r="A907" s="118"/>
      <c r="C907" s="118"/>
      <c r="E907" s="118"/>
      <c r="G907" s="118"/>
      <c r="I907" s="118"/>
      <c r="J907" s="119"/>
      <c r="M907" s="118"/>
      <c r="O907" s="118"/>
      <c r="Q907" s="118"/>
      <c r="S907" s="118"/>
      <c r="U907" s="118"/>
      <c r="W907" s="118"/>
      <c r="Y907" s="118"/>
      <c r="AA907" s="118"/>
      <c r="AC907" s="118"/>
      <c r="AE907" s="118"/>
      <c r="AF907" s="119"/>
    </row>
    <row r="908" spans="1:32" x14ac:dyDescent="0.3">
      <c r="A908" s="118"/>
      <c r="C908" s="118"/>
      <c r="E908" s="118"/>
      <c r="G908" s="118"/>
      <c r="I908" s="118"/>
      <c r="J908" s="119"/>
      <c r="M908" s="118"/>
      <c r="O908" s="118"/>
      <c r="Q908" s="118"/>
      <c r="S908" s="118"/>
      <c r="U908" s="118"/>
      <c r="W908" s="118"/>
      <c r="Y908" s="118"/>
      <c r="AA908" s="118"/>
      <c r="AC908" s="118"/>
      <c r="AE908" s="118"/>
      <c r="AF908" s="119"/>
    </row>
    <row r="909" spans="1:32" x14ac:dyDescent="0.3">
      <c r="A909" s="118"/>
      <c r="C909" s="118"/>
      <c r="E909" s="118"/>
      <c r="G909" s="118"/>
      <c r="I909" s="118"/>
      <c r="J909" s="119"/>
      <c r="M909" s="118"/>
      <c r="O909" s="118"/>
      <c r="Q909" s="118"/>
      <c r="S909" s="118"/>
      <c r="U909" s="118"/>
      <c r="W909" s="118"/>
      <c r="Y909" s="118"/>
      <c r="AA909" s="118"/>
      <c r="AC909" s="118"/>
      <c r="AE909" s="118"/>
      <c r="AF909" s="119"/>
    </row>
    <row r="910" spans="1:32" x14ac:dyDescent="0.3">
      <c r="A910" s="118"/>
      <c r="C910" s="118"/>
      <c r="E910" s="118"/>
      <c r="G910" s="118"/>
      <c r="I910" s="118"/>
      <c r="J910" s="119"/>
      <c r="M910" s="118"/>
      <c r="O910" s="118"/>
      <c r="Q910" s="118"/>
      <c r="S910" s="118"/>
      <c r="U910" s="118"/>
      <c r="W910" s="118"/>
      <c r="Y910" s="118"/>
      <c r="AA910" s="118"/>
      <c r="AC910" s="118"/>
      <c r="AE910" s="118"/>
      <c r="AF910" s="119"/>
    </row>
    <row r="911" spans="1:32" x14ac:dyDescent="0.3">
      <c r="A911" s="118"/>
      <c r="C911" s="118"/>
      <c r="E911" s="118"/>
      <c r="G911" s="118"/>
      <c r="I911" s="118"/>
      <c r="J911" s="119"/>
      <c r="M911" s="118"/>
      <c r="O911" s="118"/>
      <c r="Q911" s="118"/>
      <c r="S911" s="118"/>
      <c r="U911" s="118"/>
      <c r="W911" s="118"/>
      <c r="Y911" s="118"/>
      <c r="AA911" s="118"/>
      <c r="AC911" s="118"/>
      <c r="AE911" s="118"/>
      <c r="AF911" s="119"/>
    </row>
    <row r="912" spans="1:32" x14ac:dyDescent="0.3">
      <c r="A912" s="118"/>
      <c r="C912" s="118"/>
      <c r="E912" s="118"/>
      <c r="G912" s="118"/>
      <c r="I912" s="118"/>
      <c r="J912" s="119"/>
      <c r="M912" s="118"/>
      <c r="O912" s="118"/>
      <c r="Q912" s="118"/>
      <c r="S912" s="118"/>
      <c r="U912" s="118"/>
      <c r="W912" s="118"/>
      <c r="Y912" s="118"/>
      <c r="AA912" s="118"/>
      <c r="AC912" s="118"/>
      <c r="AE912" s="118"/>
      <c r="AF912" s="119"/>
    </row>
    <row r="913" spans="1:32" x14ac:dyDescent="0.3">
      <c r="A913" s="118"/>
      <c r="C913" s="118"/>
      <c r="E913" s="118"/>
      <c r="G913" s="118"/>
      <c r="I913" s="118"/>
      <c r="J913" s="119"/>
      <c r="M913" s="118"/>
      <c r="O913" s="118"/>
      <c r="Q913" s="118"/>
      <c r="S913" s="118"/>
      <c r="U913" s="118"/>
      <c r="W913" s="118"/>
      <c r="Y913" s="118"/>
      <c r="AA913" s="118"/>
      <c r="AC913" s="118"/>
      <c r="AE913" s="118"/>
      <c r="AF913" s="119"/>
    </row>
    <row r="914" spans="1:32" x14ac:dyDescent="0.3">
      <c r="A914" s="118"/>
      <c r="C914" s="118"/>
      <c r="E914" s="118"/>
      <c r="G914" s="118"/>
      <c r="I914" s="118"/>
      <c r="J914" s="119"/>
      <c r="M914" s="118"/>
      <c r="O914" s="118"/>
      <c r="Q914" s="118"/>
      <c r="S914" s="118"/>
      <c r="U914" s="118"/>
      <c r="W914" s="118"/>
      <c r="Y914" s="118"/>
      <c r="AA914" s="118"/>
      <c r="AC914" s="118"/>
      <c r="AE914" s="118"/>
      <c r="AF914" s="119"/>
    </row>
    <row r="915" spans="1:32" x14ac:dyDescent="0.3">
      <c r="A915" s="118"/>
      <c r="C915" s="118"/>
      <c r="E915" s="118"/>
      <c r="G915" s="118"/>
      <c r="I915" s="118"/>
      <c r="J915" s="119"/>
      <c r="M915" s="118"/>
      <c r="O915" s="118"/>
      <c r="Q915" s="118"/>
      <c r="S915" s="118"/>
      <c r="U915" s="118"/>
      <c r="W915" s="118"/>
      <c r="Y915" s="118"/>
      <c r="AA915" s="118"/>
      <c r="AC915" s="118"/>
      <c r="AE915" s="118"/>
      <c r="AF915" s="119"/>
    </row>
    <row r="916" spans="1:32" x14ac:dyDescent="0.3">
      <c r="A916" s="118"/>
      <c r="C916" s="118"/>
      <c r="E916" s="118"/>
      <c r="G916" s="118"/>
      <c r="I916" s="118"/>
      <c r="J916" s="119"/>
      <c r="M916" s="118"/>
      <c r="O916" s="118"/>
      <c r="Q916" s="118"/>
      <c r="S916" s="118"/>
      <c r="U916" s="118"/>
      <c r="W916" s="118"/>
      <c r="Y916" s="118"/>
      <c r="AA916" s="118"/>
      <c r="AC916" s="118"/>
      <c r="AE916" s="118"/>
      <c r="AF916" s="119"/>
    </row>
    <row r="917" spans="1:32" x14ac:dyDescent="0.3">
      <c r="A917" s="118"/>
      <c r="C917" s="118"/>
      <c r="E917" s="118"/>
      <c r="G917" s="118"/>
      <c r="I917" s="118"/>
      <c r="J917" s="119"/>
      <c r="M917" s="118"/>
      <c r="O917" s="118"/>
      <c r="Q917" s="118"/>
      <c r="S917" s="118"/>
      <c r="U917" s="118"/>
      <c r="W917" s="118"/>
      <c r="Y917" s="118"/>
      <c r="AA917" s="118"/>
      <c r="AC917" s="118"/>
      <c r="AE917" s="118"/>
      <c r="AF917" s="119"/>
    </row>
    <row r="918" spans="1:32" x14ac:dyDescent="0.3">
      <c r="A918" s="118"/>
      <c r="C918" s="118"/>
      <c r="E918" s="118"/>
      <c r="G918" s="118"/>
      <c r="I918" s="118"/>
      <c r="J918" s="119"/>
      <c r="M918" s="118"/>
      <c r="O918" s="118"/>
      <c r="Q918" s="118"/>
      <c r="S918" s="118"/>
      <c r="U918" s="118"/>
      <c r="W918" s="118"/>
      <c r="Y918" s="118"/>
      <c r="AA918" s="118"/>
      <c r="AC918" s="118"/>
      <c r="AE918" s="118"/>
      <c r="AF918" s="119"/>
    </row>
    <row r="919" spans="1:32" x14ac:dyDescent="0.3">
      <c r="A919" s="118"/>
      <c r="C919" s="118"/>
      <c r="E919" s="118"/>
      <c r="G919" s="118"/>
      <c r="I919" s="118"/>
      <c r="J919" s="119"/>
      <c r="M919" s="118"/>
      <c r="O919" s="118"/>
      <c r="Q919" s="118"/>
      <c r="S919" s="118"/>
      <c r="U919" s="118"/>
      <c r="W919" s="118"/>
      <c r="Y919" s="118"/>
      <c r="AA919" s="118"/>
      <c r="AC919" s="118"/>
      <c r="AE919" s="118"/>
      <c r="AF919" s="119"/>
    </row>
    <row r="920" spans="1:32" x14ac:dyDescent="0.3">
      <c r="A920" s="118"/>
      <c r="C920" s="118"/>
      <c r="E920" s="118"/>
      <c r="G920" s="118"/>
      <c r="I920" s="118"/>
      <c r="J920" s="119"/>
      <c r="M920" s="118"/>
      <c r="O920" s="118"/>
      <c r="Q920" s="118"/>
      <c r="S920" s="118"/>
      <c r="U920" s="118"/>
      <c r="W920" s="118"/>
      <c r="Y920" s="118"/>
      <c r="AA920" s="118"/>
      <c r="AC920" s="118"/>
      <c r="AE920" s="118"/>
      <c r="AF920" s="119"/>
    </row>
    <row r="921" spans="1:32" x14ac:dyDescent="0.3">
      <c r="A921" s="118"/>
      <c r="C921" s="118"/>
      <c r="E921" s="118"/>
      <c r="G921" s="118"/>
      <c r="I921" s="118"/>
      <c r="J921" s="119"/>
      <c r="M921" s="118"/>
      <c r="O921" s="118"/>
      <c r="Q921" s="118"/>
      <c r="S921" s="118"/>
      <c r="U921" s="118"/>
      <c r="W921" s="118"/>
      <c r="Y921" s="118"/>
      <c r="AA921" s="118"/>
      <c r="AC921" s="118"/>
      <c r="AE921" s="118"/>
      <c r="AF921" s="119"/>
    </row>
    <row r="922" spans="1:32" x14ac:dyDescent="0.3">
      <c r="A922" s="118"/>
      <c r="C922" s="118"/>
      <c r="E922" s="118"/>
      <c r="G922" s="118"/>
      <c r="I922" s="118"/>
      <c r="J922" s="119"/>
      <c r="M922" s="118"/>
      <c r="O922" s="118"/>
      <c r="Q922" s="118"/>
      <c r="S922" s="118"/>
      <c r="U922" s="118"/>
      <c r="W922" s="118"/>
      <c r="Y922" s="118"/>
      <c r="AA922" s="118"/>
      <c r="AC922" s="118"/>
      <c r="AE922" s="118"/>
      <c r="AF922" s="119"/>
    </row>
    <row r="923" spans="1:32" x14ac:dyDescent="0.3">
      <c r="A923" s="118"/>
      <c r="C923" s="118"/>
      <c r="E923" s="118"/>
      <c r="G923" s="118"/>
      <c r="I923" s="118"/>
      <c r="J923" s="119"/>
      <c r="M923" s="118"/>
      <c r="O923" s="118"/>
      <c r="Q923" s="118"/>
      <c r="S923" s="118"/>
      <c r="U923" s="118"/>
      <c r="W923" s="118"/>
      <c r="Y923" s="118"/>
      <c r="AA923" s="118"/>
      <c r="AC923" s="118"/>
      <c r="AE923" s="118"/>
      <c r="AF923" s="119"/>
    </row>
    <row r="924" spans="1:32" x14ac:dyDescent="0.3">
      <c r="A924" s="118"/>
      <c r="C924" s="118"/>
      <c r="E924" s="118"/>
      <c r="G924" s="118"/>
      <c r="I924" s="118"/>
      <c r="J924" s="119"/>
      <c r="M924" s="118"/>
      <c r="O924" s="118"/>
      <c r="Q924" s="118"/>
      <c r="S924" s="118"/>
      <c r="U924" s="118"/>
      <c r="W924" s="118"/>
      <c r="Y924" s="118"/>
      <c r="AA924" s="118"/>
      <c r="AC924" s="118"/>
      <c r="AE924" s="118"/>
      <c r="AF924" s="119"/>
    </row>
    <row r="925" spans="1:32" x14ac:dyDescent="0.3">
      <c r="A925" s="118"/>
      <c r="C925" s="118"/>
      <c r="E925" s="118"/>
      <c r="G925" s="118"/>
      <c r="I925" s="118"/>
      <c r="J925" s="119"/>
      <c r="M925" s="118"/>
      <c r="O925" s="118"/>
      <c r="Q925" s="118"/>
      <c r="S925" s="118"/>
      <c r="U925" s="118"/>
      <c r="W925" s="118"/>
      <c r="Y925" s="118"/>
      <c r="AA925" s="118"/>
      <c r="AC925" s="118"/>
      <c r="AE925" s="118"/>
      <c r="AF925" s="119"/>
    </row>
    <row r="926" spans="1:32" x14ac:dyDescent="0.3">
      <c r="A926" s="118"/>
      <c r="C926" s="118"/>
      <c r="E926" s="118"/>
      <c r="G926" s="118"/>
      <c r="I926" s="118"/>
      <c r="J926" s="119"/>
      <c r="M926" s="118"/>
      <c r="O926" s="118"/>
      <c r="Q926" s="118"/>
      <c r="S926" s="118"/>
      <c r="U926" s="118"/>
      <c r="W926" s="118"/>
      <c r="Y926" s="118"/>
      <c r="AA926" s="118"/>
      <c r="AC926" s="118"/>
      <c r="AE926" s="118"/>
      <c r="AF926" s="119"/>
    </row>
    <row r="927" spans="1:32" x14ac:dyDescent="0.3">
      <c r="A927" s="118"/>
      <c r="C927" s="118"/>
      <c r="E927" s="118"/>
      <c r="G927" s="118"/>
      <c r="I927" s="118"/>
      <c r="J927" s="119"/>
      <c r="M927" s="118"/>
      <c r="O927" s="118"/>
      <c r="Q927" s="118"/>
      <c r="S927" s="118"/>
      <c r="U927" s="118"/>
      <c r="W927" s="118"/>
      <c r="Y927" s="118"/>
      <c r="AA927" s="118"/>
      <c r="AC927" s="118"/>
      <c r="AE927" s="118"/>
      <c r="AF927" s="119"/>
    </row>
    <row r="928" spans="1:32" x14ac:dyDescent="0.3">
      <c r="A928" s="118"/>
      <c r="C928" s="118"/>
      <c r="E928" s="118"/>
      <c r="G928" s="118"/>
      <c r="I928" s="118"/>
      <c r="J928" s="119"/>
      <c r="M928" s="118"/>
      <c r="O928" s="118"/>
      <c r="Q928" s="118"/>
      <c r="S928" s="118"/>
      <c r="U928" s="118"/>
      <c r="W928" s="118"/>
      <c r="Y928" s="118"/>
      <c r="AA928" s="118"/>
      <c r="AC928" s="118"/>
      <c r="AE928" s="118"/>
      <c r="AF928" s="119"/>
    </row>
    <row r="929" spans="1:32" x14ac:dyDescent="0.3">
      <c r="A929" s="118"/>
      <c r="C929" s="118"/>
      <c r="E929" s="118"/>
      <c r="G929" s="118"/>
      <c r="I929" s="118"/>
      <c r="J929" s="119"/>
      <c r="M929" s="118"/>
      <c r="O929" s="118"/>
      <c r="Q929" s="118"/>
      <c r="S929" s="118"/>
      <c r="U929" s="118"/>
      <c r="W929" s="118"/>
      <c r="Y929" s="118"/>
      <c r="AA929" s="118"/>
      <c r="AC929" s="118"/>
      <c r="AE929" s="118"/>
      <c r="AF929" s="119"/>
    </row>
    <row r="930" spans="1:32" x14ac:dyDescent="0.3">
      <c r="A930" s="118"/>
      <c r="C930" s="118"/>
      <c r="E930" s="118"/>
      <c r="G930" s="118"/>
      <c r="I930" s="118"/>
      <c r="J930" s="119"/>
      <c r="M930" s="118"/>
      <c r="O930" s="118"/>
      <c r="Q930" s="118"/>
      <c r="S930" s="118"/>
      <c r="U930" s="118"/>
      <c r="W930" s="118"/>
      <c r="Y930" s="118"/>
      <c r="AA930" s="118"/>
      <c r="AC930" s="118"/>
      <c r="AE930" s="118"/>
      <c r="AF930" s="119"/>
    </row>
    <row r="931" spans="1:32" x14ac:dyDescent="0.3">
      <c r="A931" s="118"/>
      <c r="C931" s="118"/>
      <c r="E931" s="118"/>
      <c r="G931" s="118"/>
      <c r="I931" s="118"/>
      <c r="J931" s="119"/>
      <c r="M931" s="118"/>
      <c r="O931" s="118"/>
      <c r="Q931" s="118"/>
      <c r="S931" s="118"/>
      <c r="U931" s="118"/>
      <c r="W931" s="118"/>
      <c r="Y931" s="118"/>
      <c r="AA931" s="118"/>
      <c r="AC931" s="118"/>
      <c r="AE931" s="118"/>
      <c r="AF931" s="119"/>
    </row>
    <row r="932" spans="1:32" x14ac:dyDescent="0.3">
      <c r="A932" s="118"/>
      <c r="C932" s="118"/>
      <c r="E932" s="118"/>
      <c r="G932" s="118"/>
      <c r="I932" s="118"/>
      <c r="J932" s="119"/>
      <c r="M932" s="118"/>
      <c r="O932" s="118"/>
      <c r="Q932" s="118"/>
      <c r="S932" s="118"/>
      <c r="U932" s="118"/>
      <c r="W932" s="118"/>
      <c r="Y932" s="118"/>
      <c r="AA932" s="118"/>
      <c r="AC932" s="118"/>
      <c r="AE932" s="118"/>
      <c r="AF932" s="119"/>
    </row>
    <row r="933" spans="1:32" x14ac:dyDescent="0.3">
      <c r="A933" s="118"/>
      <c r="C933" s="118"/>
      <c r="E933" s="118"/>
      <c r="G933" s="118"/>
      <c r="I933" s="118"/>
      <c r="J933" s="119"/>
      <c r="M933" s="118"/>
      <c r="O933" s="118"/>
      <c r="Q933" s="118"/>
      <c r="S933" s="118"/>
      <c r="U933" s="118"/>
      <c r="W933" s="118"/>
      <c r="Y933" s="118"/>
      <c r="AA933" s="118"/>
      <c r="AC933" s="118"/>
      <c r="AE933" s="118"/>
      <c r="AF933" s="119"/>
    </row>
    <row r="934" spans="1:32" x14ac:dyDescent="0.3">
      <c r="A934" s="118"/>
      <c r="C934" s="118"/>
      <c r="E934" s="118"/>
      <c r="G934" s="118"/>
      <c r="I934" s="118"/>
      <c r="J934" s="119"/>
      <c r="M934" s="118"/>
      <c r="O934" s="118"/>
      <c r="Q934" s="118"/>
      <c r="S934" s="118"/>
      <c r="U934" s="118"/>
      <c r="W934" s="118"/>
      <c r="Y934" s="118"/>
      <c r="AA934" s="118"/>
      <c r="AC934" s="118"/>
      <c r="AE934" s="118"/>
      <c r="AF934" s="119"/>
    </row>
    <row r="935" spans="1:32" x14ac:dyDescent="0.3">
      <c r="A935" s="118"/>
      <c r="C935" s="118"/>
      <c r="E935" s="118"/>
      <c r="G935" s="118"/>
      <c r="I935" s="118"/>
      <c r="J935" s="119"/>
      <c r="M935" s="118"/>
      <c r="O935" s="118"/>
      <c r="Q935" s="118"/>
      <c r="S935" s="118"/>
      <c r="U935" s="118"/>
      <c r="W935" s="118"/>
      <c r="Y935" s="118"/>
      <c r="AA935" s="118"/>
      <c r="AC935" s="118"/>
      <c r="AE935" s="118"/>
      <c r="AF935" s="119"/>
    </row>
    <row r="936" spans="1:32" x14ac:dyDescent="0.3">
      <c r="A936" s="118"/>
      <c r="C936" s="118"/>
      <c r="E936" s="118"/>
      <c r="G936" s="118"/>
      <c r="I936" s="118"/>
      <c r="J936" s="119"/>
      <c r="M936" s="118"/>
      <c r="O936" s="118"/>
      <c r="Q936" s="118"/>
      <c r="S936" s="118"/>
      <c r="U936" s="118"/>
      <c r="W936" s="118"/>
      <c r="Y936" s="118"/>
      <c r="AA936" s="118"/>
      <c r="AC936" s="118"/>
      <c r="AE936" s="118"/>
      <c r="AF936" s="119"/>
    </row>
    <row r="937" spans="1:32" x14ac:dyDescent="0.3">
      <c r="A937" s="118"/>
      <c r="C937" s="118"/>
      <c r="E937" s="118"/>
      <c r="G937" s="118"/>
      <c r="I937" s="118"/>
      <c r="J937" s="119"/>
      <c r="M937" s="118"/>
      <c r="O937" s="118"/>
      <c r="Q937" s="118"/>
      <c r="S937" s="118"/>
      <c r="U937" s="118"/>
      <c r="W937" s="118"/>
      <c r="Y937" s="118"/>
      <c r="AA937" s="118"/>
      <c r="AC937" s="118"/>
      <c r="AE937" s="118"/>
      <c r="AF937" s="119"/>
    </row>
    <row r="938" spans="1:32" x14ac:dyDescent="0.3">
      <c r="A938" s="118"/>
      <c r="C938" s="118"/>
      <c r="E938" s="118"/>
      <c r="G938" s="118"/>
      <c r="I938" s="118"/>
      <c r="J938" s="119"/>
      <c r="M938" s="118"/>
      <c r="O938" s="118"/>
      <c r="Q938" s="118"/>
      <c r="S938" s="118"/>
      <c r="U938" s="118"/>
      <c r="W938" s="118"/>
      <c r="Y938" s="118"/>
      <c r="AA938" s="118"/>
      <c r="AC938" s="118"/>
      <c r="AE938" s="118"/>
      <c r="AF938" s="119"/>
    </row>
    <row r="939" spans="1:32" x14ac:dyDescent="0.3">
      <c r="A939" s="118"/>
      <c r="C939" s="118"/>
      <c r="E939" s="118"/>
      <c r="G939" s="118"/>
      <c r="I939" s="118"/>
      <c r="J939" s="119"/>
      <c r="M939" s="118"/>
      <c r="O939" s="118"/>
      <c r="Q939" s="118"/>
      <c r="S939" s="118"/>
      <c r="U939" s="118"/>
      <c r="W939" s="118"/>
      <c r="Y939" s="118"/>
      <c r="AA939" s="118"/>
      <c r="AC939" s="118"/>
      <c r="AE939" s="118"/>
      <c r="AF939" s="119"/>
    </row>
    <row r="940" spans="1:32" x14ac:dyDescent="0.3">
      <c r="A940" s="118"/>
      <c r="C940" s="118"/>
      <c r="E940" s="118"/>
      <c r="G940" s="118"/>
      <c r="I940" s="118"/>
      <c r="J940" s="119"/>
      <c r="M940" s="118"/>
      <c r="O940" s="118"/>
      <c r="Q940" s="118"/>
      <c r="S940" s="118"/>
      <c r="U940" s="118"/>
      <c r="W940" s="118"/>
      <c r="Y940" s="118"/>
      <c r="AA940" s="118"/>
      <c r="AC940" s="118"/>
      <c r="AE940" s="118"/>
      <c r="AF940" s="119"/>
    </row>
    <row r="941" spans="1:32" x14ac:dyDescent="0.3">
      <c r="A941" s="118"/>
      <c r="C941" s="118"/>
      <c r="E941" s="118"/>
      <c r="G941" s="118"/>
      <c r="I941" s="118"/>
      <c r="J941" s="119"/>
      <c r="M941" s="118"/>
      <c r="O941" s="118"/>
      <c r="Q941" s="118"/>
      <c r="S941" s="118"/>
      <c r="U941" s="118"/>
      <c r="W941" s="118"/>
      <c r="Y941" s="118"/>
      <c r="AA941" s="118"/>
      <c r="AC941" s="118"/>
      <c r="AE941" s="118"/>
      <c r="AF941" s="119"/>
    </row>
    <row r="942" spans="1:32" x14ac:dyDescent="0.3">
      <c r="A942" s="118"/>
      <c r="C942" s="118"/>
      <c r="E942" s="118"/>
      <c r="G942" s="118"/>
      <c r="I942" s="118"/>
      <c r="J942" s="119"/>
      <c r="M942" s="118"/>
      <c r="O942" s="118"/>
      <c r="Q942" s="118"/>
      <c r="S942" s="118"/>
      <c r="U942" s="118"/>
      <c r="W942" s="118"/>
      <c r="Y942" s="118"/>
      <c r="AA942" s="118"/>
      <c r="AC942" s="118"/>
      <c r="AE942" s="118"/>
      <c r="AF942" s="119"/>
    </row>
    <row r="943" spans="1:32" x14ac:dyDescent="0.3">
      <c r="A943" s="118"/>
      <c r="C943" s="118"/>
      <c r="E943" s="118"/>
      <c r="G943" s="118"/>
      <c r="I943" s="118"/>
      <c r="J943" s="119"/>
      <c r="M943" s="118"/>
      <c r="O943" s="118"/>
      <c r="Q943" s="118"/>
      <c r="S943" s="118"/>
      <c r="U943" s="118"/>
      <c r="W943" s="118"/>
      <c r="Y943" s="118"/>
      <c r="AA943" s="118"/>
      <c r="AC943" s="118"/>
      <c r="AE943" s="118"/>
      <c r="AF943" s="119"/>
    </row>
    <row r="944" spans="1:32" x14ac:dyDescent="0.3">
      <c r="A944" s="118"/>
      <c r="C944" s="118"/>
      <c r="E944" s="118"/>
      <c r="G944" s="118"/>
      <c r="I944" s="118"/>
      <c r="J944" s="119"/>
      <c r="M944" s="118"/>
      <c r="O944" s="118"/>
      <c r="Q944" s="118"/>
      <c r="S944" s="118"/>
      <c r="U944" s="118"/>
      <c r="W944" s="118"/>
      <c r="Y944" s="118"/>
      <c r="AA944" s="118"/>
      <c r="AC944" s="118"/>
      <c r="AE944" s="118"/>
      <c r="AF944" s="119"/>
    </row>
    <row r="945" spans="1:32" x14ac:dyDescent="0.3">
      <c r="A945" s="118"/>
      <c r="C945" s="118"/>
      <c r="E945" s="118"/>
      <c r="G945" s="118"/>
      <c r="I945" s="118"/>
      <c r="J945" s="119"/>
      <c r="M945" s="118"/>
      <c r="O945" s="118"/>
      <c r="Q945" s="118"/>
      <c r="S945" s="118"/>
      <c r="U945" s="118"/>
      <c r="W945" s="118"/>
      <c r="Y945" s="118"/>
      <c r="AA945" s="118"/>
      <c r="AC945" s="118"/>
      <c r="AE945" s="118"/>
      <c r="AF945" s="119"/>
    </row>
    <row r="946" spans="1:32" x14ac:dyDescent="0.3">
      <c r="A946" s="118"/>
      <c r="C946" s="118"/>
      <c r="E946" s="118"/>
      <c r="G946" s="118"/>
      <c r="I946" s="118"/>
      <c r="J946" s="119"/>
      <c r="M946" s="118"/>
      <c r="O946" s="118"/>
      <c r="Q946" s="118"/>
      <c r="S946" s="118"/>
      <c r="U946" s="118"/>
      <c r="W946" s="118"/>
      <c r="Y946" s="118"/>
      <c r="AA946" s="118"/>
      <c r="AC946" s="118"/>
      <c r="AE946" s="118"/>
      <c r="AF946" s="119"/>
    </row>
    <row r="947" spans="1:32" x14ac:dyDescent="0.3">
      <c r="A947" s="118"/>
      <c r="C947" s="118"/>
      <c r="E947" s="118"/>
      <c r="G947" s="118"/>
      <c r="I947" s="118"/>
      <c r="J947" s="119"/>
      <c r="M947" s="118"/>
      <c r="O947" s="118"/>
      <c r="Q947" s="118"/>
      <c r="S947" s="118"/>
      <c r="U947" s="118"/>
      <c r="W947" s="118"/>
      <c r="Y947" s="118"/>
      <c r="AA947" s="118"/>
      <c r="AC947" s="118"/>
      <c r="AE947" s="118"/>
      <c r="AF947" s="119"/>
    </row>
    <row r="948" spans="1:32" x14ac:dyDescent="0.3">
      <c r="A948" s="118"/>
      <c r="C948" s="118"/>
      <c r="E948" s="118"/>
      <c r="G948" s="118"/>
      <c r="I948" s="118"/>
      <c r="J948" s="119"/>
      <c r="M948" s="118"/>
      <c r="O948" s="118"/>
      <c r="Q948" s="118"/>
      <c r="S948" s="118"/>
      <c r="U948" s="118"/>
      <c r="W948" s="118"/>
      <c r="Y948" s="118"/>
      <c r="AA948" s="118"/>
      <c r="AC948" s="118"/>
      <c r="AE948" s="118"/>
      <c r="AF948" s="119"/>
    </row>
    <row r="949" spans="1:32" x14ac:dyDescent="0.3">
      <c r="A949" s="118"/>
      <c r="C949" s="118"/>
      <c r="E949" s="118"/>
      <c r="G949" s="118"/>
      <c r="I949" s="118"/>
      <c r="J949" s="119"/>
      <c r="M949" s="118"/>
      <c r="O949" s="118"/>
      <c r="Q949" s="118"/>
      <c r="S949" s="118"/>
      <c r="U949" s="118"/>
      <c r="W949" s="118"/>
      <c r="Y949" s="118"/>
      <c r="AA949" s="118"/>
      <c r="AC949" s="118"/>
      <c r="AE949" s="118"/>
      <c r="AF949" s="119"/>
    </row>
    <row r="950" spans="1:32" x14ac:dyDescent="0.3">
      <c r="A950" s="118"/>
      <c r="C950" s="118"/>
      <c r="E950" s="118"/>
      <c r="G950" s="118"/>
      <c r="I950" s="118"/>
      <c r="J950" s="119"/>
      <c r="M950" s="118"/>
      <c r="O950" s="118"/>
      <c r="Q950" s="118"/>
      <c r="S950" s="118"/>
      <c r="U950" s="118"/>
      <c r="W950" s="118"/>
      <c r="Y950" s="118"/>
      <c r="AA950" s="118"/>
      <c r="AC950" s="118"/>
      <c r="AE950" s="118"/>
      <c r="AF950" s="119"/>
    </row>
    <row r="951" spans="1:32" x14ac:dyDescent="0.3">
      <c r="A951" s="118"/>
      <c r="C951" s="118"/>
      <c r="E951" s="118"/>
      <c r="G951" s="118"/>
      <c r="I951" s="118"/>
      <c r="J951" s="119"/>
      <c r="M951" s="118"/>
      <c r="O951" s="118"/>
      <c r="Q951" s="118"/>
      <c r="S951" s="118"/>
      <c r="U951" s="118"/>
      <c r="W951" s="118"/>
      <c r="Y951" s="118"/>
      <c r="AA951" s="118"/>
      <c r="AC951" s="118"/>
      <c r="AE951" s="118"/>
      <c r="AF951" s="119"/>
    </row>
    <row r="952" spans="1:32" x14ac:dyDescent="0.3">
      <c r="A952" s="118"/>
      <c r="C952" s="118"/>
      <c r="E952" s="118"/>
      <c r="G952" s="118"/>
      <c r="I952" s="118"/>
      <c r="J952" s="119"/>
      <c r="M952" s="118"/>
      <c r="O952" s="118"/>
      <c r="Q952" s="118"/>
      <c r="S952" s="118"/>
      <c r="U952" s="118"/>
      <c r="W952" s="118"/>
      <c r="Y952" s="118"/>
      <c r="AA952" s="118"/>
      <c r="AC952" s="118"/>
      <c r="AE952" s="118"/>
      <c r="AF952" s="119"/>
    </row>
    <row r="953" spans="1:32" x14ac:dyDescent="0.3">
      <c r="A953" s="118"/>
      <c r="C953" s="118"/>
      <c r="E953" s="118"/>
      <c r="G953" s="118"/>
      <c r="I953" s="118"/>
      <c r="J953" s="119"/>
      <c r="M953" s="118"/>
      <c r="O953" s="118"/>
      <c r="Q953" s="118"/>
      <c r="S953" s="118"/>
      <c r="U953" s="118"/>
      <c r="W953" s="118"/>
      <c r="Y953" s="118"/>
      <c r="AA953" s="118"/>
      <c r="AC953" s="118"/>
      <c r="AE953" s="118"/>
      <c r="AF953" s="119"/>
    </row>
    <row r="954" spans="1:32" x14ac:dyDescent="0.3">
      <c r="A954" s="118"/>
      <c r="C954" s="118"/>
      <c r="E954" s="118"/>
      <c r="G954" s="118"/>
      <c r="I954" s="118"/>
      <c r="J954" s="119"/>
      <c r="M954" s="118"/>
      <c r="O954" s="118"/>
      <c r="Q954" s="118"/>
      <c r="S954" s="118"/>
      <c r="U954" s="118"/>
      <c r="W954" s="118"/>
      <c r="Y954" s="118"/>
      <c r="AA954" s="118"/>
      <c r="AC954" s="118"/>
      <c r="AE954" s="118"/>
      <c r="AF954" s="119"/>
    </row>
    <row r="955" spans="1:32" x14ac:dyDescent="0.3">
      <c r="A955" s="118"/>
      <c r="C955" s="118"/>
      <c r="E955" s="118"/>
      <c r="G955" s="118"/>
      <c r="I955" s="118"/>
      <c r="J955" s="119"/>
      <c r="M955" s="118"/>
      <c r="O955" s="118"/>
      <c r="Q955" s="118"/>
      <c r="S955" s="118"/>
      <c r="U955" s="118"/>
      <c r="W955" s="118"/>
      <c r="Y955" s="118"/>
      <c r="AA955" s="118"/>
      <c r="AC955" s="118"/>
      <c r="AE955" s="118"/>
      <c r="AF955" s="119"/>
    </row>
    <row r="956" spans="1:32" x14ac:dyDescent="0.3">
      <c r="A956" s="118"/>
      <c r="C956" s="118"/>
      <c r="E956" s="118"/>
      <c r="G956" s="118"/>
      <c r="I956" s="118"/>
      <c r="J956" s="119"/>
      <c r="M956" s="118"/>
      <c r="O956" s="118"/>
      <c r="Q956" s="118"/>
      <c r="S956" s="118"/>
      <c r="U956" s="118"/>
      <c r="W956" s="118"/>
      <c r="Y956" s="118"/>
      <c r="AA956" s="118"/>
      <c r="AC956" s="118"/>
      <c r="AE956" s="118"/>
      <c r="AF956" s="119"/>
    </row>
    <row r="957" spans="1:32" x14ac:dyDescent="0.3">
      <c r="A957" s="118"/>
      <c r="C957" s="118"/>
      <c r="E957" s="118"/>
      <c r="G957" s="118"/>
      <c r="I957" s="118"/>
      <c r="J957" s="119"/>
      <c r="M957" s="118"/>
      <c r="O957" s="118"/>
      <c r="Q957" s="118"/>
      <c r="S957" s="118"/>
      <c r="U957" s="118"/>
      <c r="W957" s="118"/>
      <c r="Y957" s="118"/>
      <c r="AA957" s="118"/>
      <c r="AC957" s="118"/>
      <c r="AE957" s="118"/>
      <c r="AF957" s="119"/>
    </row>
    <row r="958" spans="1:32" x14ac:dyDescent="0.3">
      <c r="A958" s="118"/>
      <c r="C958" s="118"/>
      <c r="E958" s="118"/>
      <c r="G958" s="118"/>
      <c r="I958" s="118"/>
      <c r="J958" s="119"/>
      <c r="M958" s="118"/>
      <c r="O958" s="118"/>
      <c r="Q958" s="118"/>
      <c r="S958" s="118"/>
      <c r="U958" s="118"/>
      <c r="W958" s="118"/>
      <c r="Y958" s="118"/>
      <c r="AA958" s="118"/>
      <c r="AC958" s="118"/>
      <c r="AE958" s="118"/>
      <c r="AF958" s="119"/>
    </row>
    <row r="959" spans="1:32" x14ac:dyDescent="0.3">
      <c r="A959" s="118"/>
      <c r="C959" s="118"/>
      <c r="E959" s="118"/>
      <c r="G959" s="118"/>
      <c r="I959" s="118"/>
      <c r="J959" s="119"/>
      <c r="M959" s="118"/>
      <c r="O959" s="118"/>
      <c r="Q959" s="118"/>
      <c r="S959" s="118"/>
      <c r="U959" s="118"/>
      <c r="W959" s="118"/>
      <c r="Y959" s="118"/>
      <c r="AA959" s="118"/>
      <c r="AC959" s="118"/>
      <c r="AE959" s="118"/>
      <c r="AF959" s="119"/>
    </row>
    <row r="960" spans="1:32" x14ac:dyDescent="0.3">
      <c r="A960" s="118"/>
      <c r="C960" s="118"/>
      <c r="E960" s="118"/>
      <c r="G960" s="118"/>
      <c r="I960" s="118"/>
      <c r="J960" s="119"/>
      <c r="M960" s="118"/>
      <c r="O960" s="118"/>
      <c r="Q960" s="118"/>
      <c r="S960" s="118"/>
      <c r="U960" s="118"/>
      <c r="W960" s="118"/>
      <c r="Y960" s="118"/>
      <c r="AA960" s="118"/>
      <c r="AC960" s="118"/>
      <c r="AE960" s="118"/>
      <c r="AF960" s="119"/>
    </row>
    <row r="961" spans="1:32" x14ac:dyDescent="0.3">
      <c r="A961" s="118"/>
      <c r="C961" s="118"/>
      <c r="E961" s="118"/>
      <c r="G961" s="118"/>
      <c r="I961" s="118"/>
      <c r="J961" s="119"/>
      <c r="M961" s="118"/>
      <c r="O961" s="118"/>
      <c r="Q961" s="118"/>
      <c r="S961" s="118"/>
      <c r="U961" s="118"/>
      <c r="W961" s="118"/>
      <c r="Y961" s="118"/>
      <c r="AA961" s="118"/>
      <c r="AC961" s="118"/>
      <c r="AE961" s="118"/>
      <c r="AF961" s="119"/>
    </row>
    <row r="962" spans="1:32" x14ac:dyDescent="0.3">
      <c r="A962" s="118"/>
      <c r="C962" s="118"/>
      <c r="E962" s="118"/>
      <c r="G962" s="118"/>
      <c r="I962" s="118"/>
      <c r="J962" s="119"/>
      <c r="M962" s="118"/>
      <c r="O962" s="118"/>
      <c r="Q962" s="118"/>
      <c r="S962" s="118"/>
      <c r="U962" s="118"/>
      <c r="W962" s="118"/>
      <c r="Y962" s="118"/>
      <c r="AA962" s="118"/>
      <c r="AC962" s="118"/>
      <c r="AE962" s="118"/>
      <c r="AF962" s="119"/>
    </row>
    <row r="963" spans="1:32" x14ac:dyDescent="0.3">
      <c r="A963" s="118"/>
      <c r="C963" s="118"/>
      <c r="E963" s="118"/>
      <c r="G963" s="118"/>
      <c r="I963" s="118"/>
      <c r="J963" s="119"/>
      <c r="M963" s="118"/>
      <c r="O963" s="118"/>
      <c r="Q963" s="118"/>
      <c r="S963" s="118"/>
      <c r="U963" s="118"/>
      <c r="W963" s="118"/>
      <c r="Y963" s="118"/>
      <c r="AA963" s="118"/>
      <c r="AC963" s="118"/>
      <c r="AE963" s="118"/>
      <c r="AF963" s="119"/>
    </row>
    <row r="964" spans="1:32" x14ac:dyDescent="0.3">
      <c r="A964" s="118"/>
      <c r="C964" s="118"/>
      <c r="E964" s="118"/>
      <c r="G964" s="118"/>
      <c r="I964" s="118"/>
      <c r="J964" s="119"/>
      <c r="M964" s="118"/>
      <c r="O964" s="118"/>
      <c r="Q964" s="118"/>
      <c r="S964" s="118"/>
      <c r="U964" s="118"/>
      <c r="W964" s="118"/>
      <c r="Y964" s="118"/>
      <c r="AA964" s="118"/>
      <c r="AC964" s="118"/>
      <c r="AE964" s="118"/>
      <c r="AF964" s="119"/>
    </row>
    <row r="965" spans="1:32" x14ac:dyDescent="0.3">
      <c r="A965" s="118"/>
      <c r="C965" s="118"/>
      <c r="E965" s="118"/>
      <c r="G965" s="118"/>
      <c r="I965" s="118"/>
      <c r="J965" s="119"/>
      <c r="M965" s="118"/>
      <c r="O965" s="118"/>
      <c r="Q965" s="118"/>
      <c r="S965" s="118"/>
      <c r="U965" s="118"/>
      <c r="W965" s="118"/>
      <c r="Y965" s="118"/>
      <c r="AA965" s="118"/>
      <c r="AC965" s="118"/>
      <c r="AE965" s="118"/>
      <c r="AF965" s="119"/>
    </row>
    <row r="966" spans="1:32" x14ac:dyDescent="0.3">
      <c r="A966" s="118"/>
      <c r="C966" s="118"/>
      <c r="E966" s="118"/>
      <c r="G966" s="118"/>
      <c r="I966" s="118"/>
      <c r="J966" s="119"/>
      <c r="M966" s="118"/>
      <c r="O966" s="118"/>
      <c r="Q966" s="118"/>
      <c r="S966" s="118"/>
      <c r="U966" s="118"/>
      <c r="W966" s="118"/>
      <c r="Y966" s="118"/>
      <c r="AA966" s="118"/>
      <c r="AC966" s="118"/>
      <c r="AE966" s="118"/>
      <c r="AF966" s="119"/>
    </row>
    <row r="967" spans="1:32" x14ac:dyDescent="0.3">
      <c r="A967" s="118"/>
      <c r="C967" s="118"/>
      <c r="E967" s="118"/>
      <c r="G967" s="118"/>
      <c r="I967" s="118"/>
      <c r="J967" s="119"/>
      <c r="M967" s="118"/>
      <c r="O967" s="118"/>
      <c r="Q967" s="118"/>
      <c r="S967" s="118"/>
      <c r="U967" s="118"/>
      <c r="W967" s="118"/>
      <c r="Y967" s="118"/>
      <c r="AA967" s="118"/>
      <c r="AC967" s="118"/>
      <c r="AE967" s="118"/>
      <c r="AF967" s="119"/>
    </row>
    <row r="968" spans="1:32" x14ac:dyDescent="0.3">
      <c r="A968" s="118"/>
      <c r="C968" s="118"/>
      <c r="E968" s="118"/>
      <c r="G968" s="118"/>
      <c r="I968" s="118"/>
      <c r="J968" s="119"/>
      <c r="M968" s="118"/>
      <c r="O968" s="118"/>
      <c r="Q968" s="118"/>
      <c r="S968" s="118"/>
      <c r="U968" s="118"/>
      <c r="W968" s="118"/>
      <c r="Y968" s="118"/>
      <c r="AA968" s="118"/>
      <c r="AC968" s="118"/>
      <c r="AE968" s="118"/>
      <c r="AF968" s="119"/>
    </row>
    <row r="969" spans="1:32" x14ac:dyDescent="0.3">
      <c r="A969" s="118"/>
      <c r="C969" s="118"/>
      <c r="E969" s="118"/>
      <c r="G969" s="118"/>
      <c r="I969" s="118"/>
      <c r="J969" s="119"/>
      <c r="M969" s="118"/>
      <c r="O969" s="118"/>
      <c r="Q969" s="118"/>
      <c r="S969" s="118"/>
      <c r="U969" s="118"/>
      <c r="W969" s="118"/>
      <c r="Y969" s="118"/>
      <c r="AA969" s="118"/>
      <c r="AC969" s="118"/>
      <c r="AE969" s="118"/>
      <c r="AF969" s="119"/>
    </row>
    <row r="970" spans="1:32" x14ac:dyDescent="0.3">
      <c r="A970" s="118"/>
      <c r="C970" s="118"/>
      <c r="E970" s="118"/>
      <c r="G970" s="118"/>
      <c r="I970" s="118"/>
      <c r="J970" s="119"/>
      <c r="M970" s="118"/>
      <c r="O970" s="118"/>
      <c r="Q970" s="118"/>
      <c r="S970" s="118"/>
      <c r="U970" s="118"/>
      <c r="W970" s="118"/>
      <c r="Y970" s="118"/>
      <c r="AA970" s="118"/>
      <c r="AC970" s="118"/>
      <c r="AE970" s="118"/>
      <c r="AF970" s="119"/>
    </row>
    <row r="971" spans="1:32" x14ac:dyDescent="0.3">
      <c r="A971" s="118"/>
      <c r="C971" s="118"/>
      <c r="E971" s="118"/>
      <c r="G971" s="118"/>
      <c r="I971" s="118"/>
      <c r="J971" s="119"/>
      <c r="M971" s="118"/>
      <c r="O971" s="118"/>
      <c r="Q971" s="118"/>
      <c r="S971" s="118"/>
      <c r="U971" s="118"/>
      <c r="W971" s="118"/>
      <c r="Y971" s="118"/>
      <c r="AA971" s="118"/>
      <c r="AC971" s="118"/>
      <c r="AE971" s="118"/>
      <c r="AF971" s="119"/>
    </row>
    <row r="972" spans="1:32" x14ac:dyDescent="0.3">
      <c r="A972" s="118"/>
      <c r="C972" s="118"/>
      <c r="E972" s="118"/>
      <c r="G972" s="118"/>
      <c r="I972" s="118"/>
      <c r="J972" s="119"/>
      <c r="M972" s="118"/>
      <c r="O972" s="118"/>
      <c r="Q972" s="118"/>
      <c r="S972" s="118"/>
      <c r="U972" s="118"/>
      <c r="W972" s="118"/>
      <c r="Y972" s="118"/>
      <c r="AA972" s="118"/>
      <c r="AC972" s="118"/>
      <c r="AE972" s="118"/>
      <c r="AF972" s="119"/>
    </row>
    <row r="973" spans="1:32" x14ac:dyDescent="0.3">
      <c r="A973" s="118"/>
      <c r="C973" s="118"/>
      <c r="E973" s="118"/>
      <c r="G973" s="118"/>
      <c r="I973" s="118"/>
      <c r="J973" s="119"/>
      <c r="M973" s="118"/>
      <c r="O973" s="118"/>
      <c r="Q973" s="118"/>
      <c r="S973" s="118"/>
      <c r="U973" s="118"/>
      <c r="W973" s="118"/>
      <c r="Y973" s="118"/>
      <c r="AA973" s="118"/>
      <c r="AC973" s="118"/>
      <c r="AE973" s="118"/>
      <c r="AF973" s="119"/>
    </row>
    <row r="974" spans="1:32" x14ac:dyDescent="0.3">
      <c r="A974" s="118"/>
      <c r="C974" s="118"/>
      <c r="E974" s="118"/>
      <c r="G974" s="118"/>
      <c r="I974" s="118"/>
      <c r="J974" s="119"/>
      <c r="M974" s="118"/>
      <c r="O974" s="118"/>
      <c r="Q974" s="118"/>
      <c r="S974" s="118"/>
      <c r="U974" s="118"/>
      <c r="W974" s="118"/>
      <c r="Y974" s="118"/>
      <c r="AA974" s="118"/>
      <c r="AC974" s="118"/>
      <c r="AE974" s="118"/>
      <c r="AF974" s="119"/>
    </row>
    <row r="975" spans="1:32" x14ac:dyDescent="0.3">
      <c r="A975" s="118"/>
      <c r="C975" s="118"/>
      <c r="E975" s="118"/>
      <c r="G975" s="118"/>
      <c r="I975" s="118"/>
      <c r="J975" s="119"/>
      <c r="M975" s="118"/>
      <c r="O975" s="118"/>
      <c r="Q975" s="118"/>
      <c r="S975" s="118"/>
      <c r="U975" s="118"/>
      <c r="W975" s="118"/>
      <c r="Y975" s="118"/>
      <c r="AA975" s="118"/>
      <c r="AC975" s="118"/>
      <c r="AE975" s="118"/>
      <c r="AF975" s="119"/>
    </row>
    <row r="976" spans="1:32" x14ac:dyDescent="0.3">
      <c r="A976" s="118"/>
      <c r="C976" s="118"/>
      <c r="E976" s="118"/>
      <c r="G976" s="118"/>
      <c r="I976" s="118"/>
      <c r="J976" s="119"/>
      <c r="M976" s="118"/>
      <c r="O976" s="118"/>
      <c r="Q976" s="118"/>
      <c r="S976" s="118"/>
      <c r="U976" s="118"/>
      <c r="W976" s="118"/>
      <c r="Y976" s="118"/>
      <c r="AA976" s="118"/>
      <c r="AC976" s="118"/>
      <c r="AE976" s="118"/>
      <c r="AF976" s="119"/>
    </row>
    <row r="977" spans="1:32" x14ac:dyDescent="0.3">
      <c r="A977" s="118"/>
      <c r="C977" s="118"/>
      <c r="E977" s="118"/>
      <c r="G977" s="118"/>
      <c r="I977" s="118"/>
      <c r="J977" s="119"/>
      <c r="M977" s="118"/>
      <c r="O977" s="118"/>
      <c r="Q977" s="118"/>
      <c r="S977" s="118"/>
      <c r="U977" s="118"/>
      <c r="W977" s="118"/>
      <c r="Y977" s="118"/>
      <c r="AA977" s="118"/>
      <c r="AC977" s="118"/>
      <c r="AE977" s="118"/>
      <c r="AF977" s="119"/>
    </row>
    <row r="978" spans="1:32" x14ac:dyDescent="0.3">
      <c r="A978" s="118"/>
      <c r="C978" s="118"/>
      <c r="E978" s="118"/>
      <c r="G978" s="118"/>
      <c r="I978" s="118"/>
      <c r="J978" s="119"/>
      <c r="M978" s="118"/>
      <c r="O978" s="118"/>
      <c r="Q978" s="118"/>
      <c r="S978" s="118"/>
      <c r="U978" s="118"/>
      <c r="W978" s="118"/>
      <c r="Y978" s="118"/>
      <c r="AA978" s="118"/>
      <c r="AC978" s="118"/>
      <c r="AE978" s="118"/>
      <c r="AF978" s="119"/>
    </row>
    <row r="979" spans="1:32" x14ac:dyDescent="0.3">
      <c r="A979" s="118"/>
      <c r="C979" s="118"/>
      <c r="E979" s="118"/>
      <c r="G979" s="118"/>
      <c r="I979" s="118"/>
      <c r="J979" s="119"/>
      <c r="M979" s="118"/>
      <c r="O979" s="118"/>
      <c r="Q979" s="118"/>
      <c r="S979" s="118"/>
      <c r="U979" s="118"/>
      <c r="W979" s="118"/>
      <c r="Y979" s="118"/>
      <c r="AA979" s="118"/>
      <c r="AC979" s="118"/>
      <c r="AE979" s="118"/>
      <c r="AF979" s="119"/>
    </row>
    <row r="980" spans="1:32" x14ac:dyDescent="0.3">
      <c r="A980" s="118"/>
      <c r="C980" s="118"/>
      <c r="E980" s="118"/>
      <c r="G980" s="118"/>
      <c r="I980" s="118"/>
      <c r="J980" s="119"/>
      <c r="M980" s="118"/>
      <c r="O980" s="118"/>
      <c r="Q980" s="118"/>
      <c r="S980" s="118"/>
      <c r="U980" s="118"/>
      <c r="W980" s="118"/>
      <c r="Y980" s="118"/>
      <c r="AA980" s="118"/>
      <c r="AC980" s="118"/>
      <c r="AE980" s="118"/>
      <c r="AF980" s="119"/>
    </row>
    <row r="981" spans="1:32" x14ac:dyDescent="0.3">
      <c r="A981" s="118"/>
      <c r="C981" s="118"/>
      <c r="E981" s="118"/>
      <c r="G981" s="118"/>
      <c r="I981" s="118"/>
      <c r="J981" s="119"/>
      <c r="M981" s="118"/>
      <c r="O981" s="118"/>
      <c r="Q981" s="118"/>
      <c r="S981" s="118"/>
      <c r="U981" s="118"/>
      <c r="W981" s="118"/>
      <c r="Y981" s="118"/>
      <c r="AA981" s="118"/>
      <c r="AC981" s="118"/>
      <c r="AE981" s="118"/>
      <c r="AF981" s="119"/>
    </row>
    <row r="982" spans="1:32" x14ac:dyDescent="0.3">
      <c r="A982" s="118"/>
      <c r="C982" s="118"/>
      <c r="E982" s="118"/>
      <c r="G982" s="118"/>
      <c r="I982" s="118"/>
      <c r="J982" s="119"/>
      <c r="M982" s="118"/>
      <c r="O982" s="118"/>
      <c r="Q982" s="118"/>
      <c r="S982" s="118"/>
      <c r="U982" s="118"/>
      <c r="W982" s="118"/>
      <c r="Y982" s="118"/>
      <c r="AA982" s="118"/>
      <c r="AC982" s="118"/>
      <c r="AE982" s="118"/>
      <c r="AF982" s="119"/>
    </row>
    <row r="983" spans="1:32" x14ac:dyDescent="0.3">
      <c r="A983" s="118"/>
      <c r="C983" s="118"/>
      <c r="E983" s="118"/>
      <c r="G983" s="118"/>
      <c r="I983" s="118"/>
      <c r="J983" s="119"/>
      <c r="M983" s="118"/>
      <c r="O983" s="118"/>
      <c r="Q983" s="118"/>
      <c r="S983" s="118"/>
      <c r="U983" s="118"/>
      <c r="W983" s="118"/>
      <c r="Y983" s="118"/>
      <c r="AA983" s="118"/>
      <c r="AC983" s="118"/>
      <c r="AE983" s="118"/>
      <c r="AF983" s="119"/>
    </row>
    <row r="984" spans="1:32" x14ac:dyDescent="0.3">
      <c r="A984" s="118"/>
      <c r="C984" s="118"/>
      <c r="E984" s="118"/>
      <c r="G984" s="118"/>
      <c r="I984" s="118"/>
      <c r="J984" s="119"/>
      <c r="M984" s="118"/>
      <c r="O984" s="118"/>
      <c r="Q984" s="118"/>
      <c r="S984" s="118"/>
      <c r="U984" s="118"/>
      <c r="W984" s="118"/>
      <c r="Y984" s="118"/>
      <c r="AA984" s="118"/>
      <c r="AC984" s="118"/>
      <c r="AE984" s="118"/>
      <c r="AF984" s="119"/>
    </row>
    <row r="985" spans="1:32" x14ac:dyDescent="0.3">
      <c r="A985" s="118"/>
      <c r="C985" s="118"/>
      <c r="E985" s="118"/>
      <c r="G985" s="118"/>
      <c r="I985" s="118"/>
      <c r="J985" s="119"/>
      <c r="M985" s="118"/>
      <c r="O985" s="118"/>
      <c r="Q985" s="118"/>
      <c r="S985" s="118"/>
      <c r="U985" s="118"/>
      <c r="W985" s="118"/>
      <c r="Y985" s="118"/>
      <c r="AA985" s="118"/>
      <c r="AC985" s="118"/>
      <c r="AE985" s="118"/>
      <c r="AF985" s="119"/>
    </row>
    <row r="986" spans="1:32" x14ac:dyDescent="0.3">
      <c r="A986" s="118"/>
      <c r="C986" s="118"/>
      <c r="E986" s="118"/>
      <c r="G986" s="118"/>
      <c r="I986" s="118"/>
      <c r="J986" s="119"/>
      <c r="M986" s="118"/>
      <c r="O986" s="118"/>
      <c r="Q986" s="118"/>
      <c r="S986" s="118"/>
      <c r="U986" s="118"/>
      <c r="W986" s="118"/>
      <c r="Y986" s="118"/>
      <c r="AA986" s="118"/>
      <c r="AC986" s="118"/>
      <c r="AE986" s="118"/>
      <c r="AF986" s="119"/>
    </row>
    <row r="987" spans="1:32" x14ac:dyDescent="0.3">
      <c r="A987" s="118"/>
      <c r="C987" s="118"/>
      <c r="E987" s="118"/>
      <c r="G987" s="118"/>
      <c r="I987" s="118"/>
      <c r="J987" s="119"/>
      <c r="M987" s="118"/>
      <c r="O987" s="118"/>
      <c r="Q987" s="118"/>
      <c r="S987" s="118"/>
      <c r="U987" s="118"/>
      <c r="W987" s="118"/>
      <c r="Y987" s="118"/>
      <c r="AA987" s="118"/>
      <c r="AC987" s="118"/>
      <c r="AE987" s="118"/>
      <c r="AF987" s="119"/>
    </row>
    <row r="988" spans="1:32" x14ac:dyDescent="0.3">
      <c r="A988" s="118"/>
      <c r="C988" s="118"/>
      <c r="E988" s="118"/>
      <c r="G988" s="118"/>
      <c r="I988" s="118"/>
      <c r="J988" s="119"/>
      <c r="M988" s="118"/>
      <c r="O988" s="118"/>
      <c r="Q988" s="118"/>
      <c r="S988" s="118"/>
      <c r="U988" s="118"/>
      <c r="W988" s="118"/>
      <c r="Y988" s="118"/>
      <c r="AA988" s="118"/>
      <c r="AC988" s="118"/>
      <c r="AE988" s="118"/>
      <c r="AF988" s="119"/>
    </row>
    <row r="989" spans="1:32" x14ac:dyDescent="0.3">
      <c r="A989" s="118"/>
      <c r="C989" s="118"/>
      <c r="E989" s="118"/>
      <c r="G989" s="118"/>
      <c r="I989" s="118"/>
      <c r="J989" s="119"/>
      <c r="M989" s="118"/>
      <c r="O989" s="118"/>
      <c r="Q989" s="118"/>
      <c r="S989" s="118"/>
      <c r="U989" s="118"/>
      <c r="W989" s="118"/>
      <c r="Y989" s="118"/>
      <c r="AA989" s="118"/>
      <c r="AC989" s="118"/>
      <c r="AE989" s="118"/>
      <c r="AF989" s="119"/>
    </row>
    <row r="990" spans="1:32" x14ac:dyDescent="0.3">
      <c r="A990" s="118"/>
      <c r="C990" s="118"/>
      <c r="E990" s="118"/>
      <c r="G990" s="118"/>
      <c r="I990" s="118"/>
      <c r="J990" s="119"/>
      <c r="M990" s="118"/>
      <c r="O990" s="118"/>
      <c r="Q990" s="118"/>
      <c r="S990" s="118"/>
      <c r="U990" s="118"/>
      <c r="W990" s="118"/>
      <c r="Y990" s="118"/>
      <c r="AA990" s="118"/>
      <c r="AC990" s="118"/>
      <c r="AE990" s="118"/>
      <c r="AF990" s="119"/>
    </row>
    <row r="991" spans="1:32" x14ac:dyDescent="0.3">
      <c r="A991" s="118"/>
      <c r="C991" s="118"/>
      <c r="E991" s="118"/>
      <c r="G991" s="118"/>
      <c r="I991" s="118"/>
      <c r="J991" s="119"/>
      <c r="M991" s="118"/>
      <c r="O991" s="118"/>
      <c r="Q991" s="118"/>
      <c r="S991" s="118"/>
      <c r="U991" s="118"/>
      <c r="W991" s="118"/>
      <c r="Y991" s="118"/>
      <c r="AA991" s="118"/>
      <c r="AC991" s="118"/>
      <c r="AE991" s="118"/>
      <c r="AF991" s="119"/>
    </row>
    <row r="992" spans="1:32" x14ac:dyDescent="0.3">
      <c r="A992" s="118"/>
      <c r="C992" s="118"/>
      <c r="E992" s="118"/>
      <c r="G992" s="118"/>
      <c r="I992" s="118"/>
      <c r="J992" s="119"/>
      <c r="M992" s="118"/>
      <c r="O992" s="118"/>
      <c r="Q992" s="118"/>
      <c r="S992" s="118"/>
      <c r="U992" s="118"/>
      <c r="W992" s="118"/>
      <c r="Y992" s="118"/>
      <c r="AA992" s="118"/>
      <c r="AC992" s="118"/>
      <c r="AE992" s="118"/>
      <c r="AF992" s="119"/>
    </row>
    <row r="993" spans="1:32" x14ac:dyDescent="0.3">
      <c r="A993" s="118"/>
      <c r="C993" s="118"/>
      <c r="E993" s="118"/>
      <c r="G993" s="118"/>
      <c r="I993" s="118"/>
      <c r="J993" s="119"/>
      <c r="M993" s="118"/>
      <c r="O993" s="118"/>
      <c r="Q993" s="118"/>
      <c r="S993" s="118"/>
      <c r="U993" s="118"/>
      <c r="W993" s="118"/>
      <c r="Y993" s="118"/>
      <c r="AA993" s="118"/>
      <c r="AC993" s="118"/>
      <c r="AE993" s="118"/>
      <c r="AF993" s="119"/>
    </row>
    <row r="994" spans="1:32" x14ac:dyDescent="0.3">
      <c r="A994" s="118"/>
      <c r="C994" s="118"/>
      <c r="E994" s="118"/>
      <c r="G994" s="118"/>
      <c r="I994" s="118"/>
      <c r="J994" s="119"/>
      <c r="M994" s="118"/>
      <c r="O994" s="118"/>
      <c r="Q994" s="118"/>
      <c r="S994" s="118"/>
      <c r="U994" s="118"/>
      <c r="W994" s="118"/>
      <c r="Y994" s="118"/>
      <c r="AA994" s="118"/>
      <c r="AC994" s="118"/>
      <c r="AE994" s="118"/>
      <c r="AF994" s="119"/>
    </row>
    <row r="995" spans="1:32" x14ac:dyDescent="0.3">
      <c r="A995" s="118"/>
      <c r="C995" s="118"/>
      <c r="E995" s="118"/>
      <c r="G995" s="118"/>
      <c r="I995" s="118"/>
      <c r="J995" s="119"/>
      <c r="M995" s="118"/>
      <c r="O995" s="118"/>
      <c r="Q995" s="118"/>
      <c r="S995" s="118"/>
      <c r="U995" s="118"/>
      <c r="W995" s="118"/>
      <c r="Y995" s="118"/>
      <c r="AA995" s="118"/>
      <c r="AC995" s="118"/>
      <c r="AE995" s="118"/>
      <c r="AF995" s="119"/>
    </row>
    <row r="996" spans="1:32" x14ac:dyDescent="0.3">
      <c r="A996" s="118"/>
      <c r="C996" s="118"/>
      <c r="E996" s="118"/>
      <c r="G996" s="118"/>
      <c r="I996" s="118"/>
      <c r="J996" s="119"/>
      <c r="M996" s="118"/>
      <c r="O996" s="118"/>
      <c r="Q996" s="118"/>
      <c r="S996" s="118"/>
      <c r="U996" s="118"/>
      <c r="W996" s="118"/>
      <c r="Y996" s="118"/>
      <c r="AA996" s="118"/>
      <c r="AC996" s="118"/>
      <c r="AE996" s="118"/>
      <c r="AF996" s="119"/>
    </row>
    <row r="997" spans="1:32" x14ac:dyDescent="0.3">
      <c r="A997" s="118"/>
      <c r="C997" s="118"/>
      <c r="E997" s="118"/>
      <c r="G997" s="118"/>
      <c r="I997" s="118"/>
      <c r="J997" s="119"/>
      <c r="M997" s="118"/>
      <c r="O997" s="118"/>
      <c r="Q997" s="118"/>
      <c r="S997" s="118"/>
      <c r="U997" s="118"/>
      <c r="W997" s="118"/>
      <c r="Y997" s="118"/>
      <c r="AA997" s="118"/>
      <c r="AC997" s="118"/>
      <c r="AE997" s="118"/>
      <c r="AF997" s="119"/>
    </row>
    <row r="998" spans="1:32" x14ac:dyDescent="0.3">
      <c r="A998" s="118"/>
      <c r="C998" s="118"/>
      <c r="E998" s="118"/>
      <c r="G998" s="118"/>
      <c r="I998" s="118"/>
      <c r="J998" s="119"/>
      <c r="M998" s="118"/>
      <c r="O998" s="118"/>
      <c r="Q998" s="118"/>
      <c r="S998" s="118"/>
      <c r="U998" s="118"/>
      <c r="W998" s="118"/>
      <c r="Y998" s="118"/>
      <c r="AA998" s="118"/>
      <c r="AC998" s="118"/>
      <c r="AE998" s="118"/>
      <c r="AF998" s="119"/>
    </row>
    <row r="999" spans="1:32" x14ac:dyDescent="0.3">
      <c r="A999" s="118"/>
      <c r="C999" s="118"/>
      <c r="E999" s="118"/>
      <c r="G999" s="118"/>
      <c r="I999" s="118"/>
      <c r="J999" s="119"/>
      <c r="M999" s="118"/>
      <c r="O999" s="118"/>
      <c r="Q999" s="118"/>
      <c r="S999" s="118"/>
      <c r="U999" s="118"/>
      <c r="W999" s="118"/>
      <c r="Y999" s="118"/>
      <c r="AA999" s="118"/>
      <c r="AC999" s="118"/>
      <c r="AE999" s="118"/>
      <c r="AF999" s="119"/>
    </row>
    <row r="1000" spans="1:32" x14ac:dyDescent="0.3">
      <c r="A1000" s="118"/>
      <c r="C1000" s="118"/>
      <c r="E1000" s="118"/>
      <c r="G1000" s="118"/>
      <c r="I1000" s="118"/>
      <c r="J1000" s="119"/>
      <c r="M1000" s="118"/>
      <c r="O1000" s="118"/>
      <c r="Q1000" s="118"/>
      <c r="S1000" s="118"/>
      <c r="U1000" s="118"/>
      <c r="W1000" s="118"/>
      <c r="Y1000" s="118"/>
      <c r="AA1000" s="118"/>
      <c r="AC1000" s="118"/>
      <c r="AE1000" s="118"/>
      <c r="AF1000" s="119"/>
    </row>
  </sheetData>
  <mergeCells count="16">
    <mergeCell ref="K1:L1"/>
    <mergeCell ref="A1:B1"/>
    <mergeCell ref="C1:D1"/>
    <mergeCell ref="E1:F1"/>
    <mergeCell ref="G1:H1"/>
    <mergeCell ref="I1:J1"/>
    <mergeCell ref="Y1:Z1"/>
    <mergeCell ref="AA1:AB1"/>
    <mergeCell ref="AC1:AD1"/>
    <mergeCell ref="AE1:AF1"/>
    <mergeCell ref="M1:N1"/>
    <mergeCell ref="O1:P1"/>
    <mergeCell ref="Q1:R1"/>
    <mergeCell ref="S1:T1"/>
    <mergeCell ref="U1:V1"/>
    <mergeCell ref="W1:X1"/>
  </mergeCell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C8C60-D9F7-4D9D-AF78-BC9FB87D8BB7}">
  <sheetPr codeName="Sheet1"/>
  <dimension ref="A1:ALL15"/>
  <sheetViews>
    <sheetView topLeftCell="H1" workbookViewId="0">
      <selection activeCell="I17" sqref="I17"/>
    </sheetView>
  </sheetViews>
  <sheetFormatPr defaultRowHeight="14.4" x14ac:dyDescent="0.3"/>
  <cols>
    <col min="1" max="1" width="8.77734375" customWidth="1"/>
    <col min="3" max="34" width="12.6640625" customWidth="1"/>
  </cols>
  <sheetData>
    <row r="1" spans="1:1000" x14ac:dyDescent="0.3">
      <c r="A1" s="134" t="s">
        <v>886</v>
      </c>
      <c r="B1" s="148"/>
      <c r="C1" t="s">
        <v>858</v>
      </c>
      <c r="D1" t="s">
        <v>859</v>
      </c>
      <c r="E1" t="s">
        <v>860</v>
      </c>
      <c r="F1" t="s">
        <v>861</v>
      </c>
      <c r="G1" t="s">
        <v>862</v>
      </c>
      <c r="H1" t="s">
        <v>863</v>
      </c>
      <c r="I1" t="s">
        <v>864</v>
      </c>
      <c r="J1" t="s">
        <v>865</v>
      </c>
      <c r="K1" t="s">
        <v>866</v>
      </c>
      <c r="L1" t="s">
        <v>867</v>
      </c>
      <c r="M1" t="s">
        <v>868</v>
      </c>
      <c r="N1" t="s">
        <v>869</v>
      </c>
      <c r="O1" t="s">
        <v>870</v>
      </c>
      <c r="P1" t="s">
        <v>871</v>
      </c>
      <c r="Q1" t="s">
        <v>872</v>
      </c>
      <c r="R1" t="s">
        <v>873</v>
      </c>
    </row>
    <row r="2" spans="1:1000" x14ac:dyDescent="0.3">
      <c r="A2" s="146" t="s">
        <v>890</v>
      </c>
      <c r="B2" s="47" t="s">
        <v>887</v>
      </c>
      <c r="C2">
        <v>1</v>
      </c>
      <c r="D2">
        <v>3</v>
      </c>
      <c r="E2">
        <v>5</v>
      </c>
      <c r="F2">
        <v>7</v>
      </c>
      <c r="G2">
        <v>9</v>
      </c>
      <c r="H2">
        <v>11</v>
      </c>
      <c r="I2">
        <v>13</v>
      </c>
      <c r="J2">
        <v>15</v>
      </c>
      <c r="K2">
        <v>17</v>
      </c>
      <c r="L2">
        <v>19</v>
      </c>
      <c r="M2">
        <v>21</v>
      </c>
      <c r="N2">
        <v>23</v>
      </c>
      <c r="O2">
        <v>25</v>
      </c>
      <c r="P2">
        <v>27</v>
      </c>
      <c r="Q2">
        <v>29</v>
      </c>
      <c r="R2">
        <v>31</v>
      </c>
    </row>
    <row r="3" spans="1:1000" x14ac:dyDescent="0.3">
      <c r="A3" s="146"/>
      <c r="B3" s="47" t="s">
        <v>888</v>
      </c>
      <c r="C3">
        <v>17</v>
      </c>
      <c r="D3">
        <v>16</v>
      </c>
      <c r="E3">
        <v>15</v>
      </c>
      <c r="F3">
        <v>15</v>
      </c>
      <c r="G3">
        <v>14</v>
      </c>
      <c r="H3">
        <v>14</v>
      </c>
      <c r="I3">
        <v>13</v>
      </c>
      <c r="J3">
        <v>13</v>
      </c>
      <c r="K3">
        <v>12</v>
      </c>
      <c r="L3">
        <v>12</v>
      </c>
      <c r="M3">
        <v>11</v>
      </c>
      <c r="N3">
        <v>11</v>
      </c>
      <c r="O3">
        <v>10</v>
      </c>
      <c r="P3">
        <v>10</v>
      </c>
      <c r="Q3">
        <v>9</v>
      </c>
      <c r="R3">
        <v>9</v>
      </c>
    </row>
    <row r="4" spans="1:1000" ht="15" thickBot="1" x14ac:dyDescent="0.35">
      <c r="A4" s="147"/>
      <c r="B4" s="117" t="s">
        <v>889</v>
      </c>
      <c r="C4" s="19">
        <v>0</v>
      </c>
      <c r="D4" s="19">
        <v>8</v>
      </c>
      <c r="E4" s="19">
        <v>16</v>
      </c>
      <c r="F4" s="19">
        <v>4</v>
      </c>
      <c r="G4" s="19">
        <v>12</v>
      </c>
      <c r="H4" s="19">
        <v>2</v>
      </c>
      <c r="I4" s="19">
        <v>12</v>
      </c>
      <c r="J4" s="19">
        <v>2</v>
      </c>
      <c r="K4" s="19">
        <v>12</v>
      </c>
      <c r="L4" s="19">
        <v>3</v>
      </c>
      <c r="M4" s="19">
        <v>14</v>
      </c>
      <c r="N4" s="19">
        <v>5</v>
      </c>
      <c r="O4" s="19">
        <v>16</v>
      </c>
      <c r="P4" s="19">
        <v>7</v>
      </c>
      <c r="Q4" s="19">
        <v>18</v>
      </c>
      <c r="R4" s="19">
        <v>9</v>
      </c>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c r="QB4" s="19"/>
      <c r="QC4" s="19"/>
      <c r="QD4" s="19"/>
      <c r="QE4" s="19"/>
      <c r="QF4" s="19"/>
      <c r="QG4" s="19"/>
      <c r="QH4" s="19"/>
      <c r="QI4" s="19"/>
      <c r="QJ4" s="19"/>
      <c r="QK4" s="19"/>
      <c r="QL4" s="19"/>
      <c r="QM4" s="19"/>
      <c r="QN4" s="19"/>
      <c r="QO4" s="19"/>
      <c r="QP4" s="19"/>
      <c r="QQ4" s="19"/>
      <c r="QR4" s="19"/>
      <c r="QS4" s="19"/>
      <c r="QT4" s="19"/>
      <c r="QU4" s="19"/>
      <c r="QV4" s="19"/>
      <c r="QW4" s="19"/>
      <c r="QX4" s="19"/>
      <c r="QY4" s="19"/>
      <c r="QZ4" s="19"/>
      <c r="RA4" s="19"/>
      <c r="RB4" s="19"/>
      <c r="RC4" s="19"/>
      <c r="RD4" s="19"/>
      <c r="RE4" s="19"/>
      <c r="RF4" s="19"/>
      <c r="RG4" s="19"/>
      <c r="RH4" s="19"/>
      <c r="RI4" s="19"/>
      <c r="RJ4" s="19"/>
      <c r="RK4" s="19"/>
      <c r="RL4" s="19"/>
      <c r="RM4" s="19"/>
      <c r="RN4" s="19"/>
      <c r="RO4" s="19"/>
      <c r="RP4" s="19"/>
      <c r="RQ4" s="19"/>
      <c r="RR4" s="19"/>
      <c r="RS4" s="19"/>
      <c r="RT4" s="19"/>
      <c r="RU4" s="19"/>
      <c r="RV4" s="19"/>
      <c r="RW4" s="19"/>
      <c r="RX4" s="19"/>
      <c r="RY4" s="19"/>
      <c r="RZ4" s="19"/>
      <c r="SA4" s="19"/>
      <c r="SB4" s="19"/>
      <c r="SC4" s="19"/>
      <c r="SD4" s="19"/>
      <c r="SE4" s="19"/>
      <c r="SF4" s="19"/>
      <c r="SG4" s="19"/>
      <c r="SH4" s="19"/>
      <c r="SI4" s="19"/>
      <c r="SJ4" s="19"/>
      <c r="SK4" s="19"/>
      <c r="SL4" s="19"/>
      <c r="SM4" s="19"/>
      <c r="SN4" s="19"/>
      <c r="SO4" s="19"/>
      <c r="SP4" s="19"/>
      <c r="SQ4" s="19"/>
      <c r="SR4" s="19"/>
      <c r="SS4" s="19"/>
      <c r="ST4" s="19"/>
      <c r="SU4" s="19"/>
      <c r="SV4" s="19"/>
      <c r="SW4" s="19"/>
      <c r="SX4" s="19"/>
      <c r="SY4" s="19"/>
      <c r="SZ4" s="19"/>
      <c r="TA4" s="19"/>
      <c r="TB4" s="19"/>
      <c r="TC4" s="19"/>
      <c r="TD4" s="19"/>
      <c r="TE4" s="19"/>
      <c r="TF4" s="19"/>
      <c r="TG4" s="19"/>
      <c r="TH4" s="19"/>
      <c r="TI4" s="19"/>
      <c r="TJ4" s="19"/>
      <c r="TK4" s="19"/>
      <c r="TL4" s="19"/>
      <c r="TM4" s="19"/>
      <c r="TN4" s="19"/>
      <c r="TO4" s="19"/>
      <c r="TP4" s="19"/>
      <c r="TQ4" s="19"/>
      <c r="TR4" s="19"/>
      <c r="TS4" s="19"/>
      <c r="TT4" s="19"/>
      <c r="TU4" s="19"/>
      <c r="TV4" s="19"/>
      <c r="TW4" s="19"/>
      <c r="TX4" s="19"/>
      <c r="TY4" s="19"/>
      <c r="TZ4" s="19"/>
      <c r="UA4" s="19"/>
      <c r="UB4" s="19"/>
      <c r="UC4" s="19"/>
      <c r="UD4" s="19"/>
      <c r="UE4" s="19"/>
      <c r="UF4" s="19"/>
      <c r="UG4" s="19"/>
      <c r="UH4" s="19"/>
      <c r="UI4" s="19"/>
      <c r="UJ4" s="19"/>
      <c r="UK4" s="19"/>
      <c r="UL4" s="19"/>
      <c r="UM4" s="19"/>
      <c r="UN4" s="19"/>
      <c r="UO4" s="19"/>
      <c r="UP4" s="19"/>
      <c r="UQ4" s="19"/>
      <c r="UR4" s="19"/>
      <c r="US4" s="19"/>
      <c r="UT4" s="19"/>
      <c r="UU4" s="19"/>
      <c r="UV4" s="19"/>
      <c r="UW4" s="19"/>
      <c r="UX4" s="19"/>
      <c r="UY4" s="19"/>
      <c r="UZ4" s="19"/>
      <c r="VA4" s="19"/>
      <c r="VB4" s="19"/>
      <c r="VC4" s="19"/>
      <c r="VD4" s="19"/>
      <c r="VE4" s="19"/>
      <c r="VF4" s="19"/>
      <c r="VG4" s="19"/>
      <c r="VH4" s="19"/>
      <c r="VI4" s="19"/>
      <c r="VJ4" s="19"/>
      <c r="VK4" s="19"/>
      <c r="VL4" s="19"/>
      <c r="VM4" s="19"/>
      <c r="VN4" s="19"/>
      <c r="VO4" s="19"/>
      <c r="VP4" s="19"/>
      <c r="VQ4" s="19"/>
      <c r="VR4" s="19"/>
      <c r="VS4" s="19"/>
      <c r="VT4" s="19"/>
      <c r="VU4" s="19"/>
      <c r="VV4" s="19"/>
      <c r="VW4" s="19"/>
      <c r="VX4" s="19"/>
      <c r="VY4" s="19"/>
      <c r="VZ4" s="19"/>
      <c r="WA4" s="19"/>
      <c r="WB4" s="19"/>
      <c r="WC4" s="19"/>
      <c r="WD4" s="19"/>
      <c r="WE4" s="19"/>
      <c r="WF4" s="19"/>
      <c r="WG4" s="19"/>
      <c r="WH4" s="19"/>
      <c r="WI4" s="19"/>
      <c r="WJ4" s="19"/>
      <c r="WK4" s="19"/>
      <c r="WL4" s="19"/>
      <c r="WM4" s="19"/>
      <c r="WN4" s="19"/>
      <c r="WO4" s="19"/>
      <c r="WP4" s="19"/>
      <c r="WQ4" s="19"/>
      <c r="WR4" s="19"/>
      <c r="WS4" s="19"/>
      <c r="WT4" s="19"/>
      <c r="WU4" s="19"/>
      <c r="WV4" s="19"/>
      <c r="WW4" s="19"/>
      <c r="WX4" s="19"/>
      <c r="WY4" s="19"/>
      <c r="WZ4" s="19"/>
      <c r="XA4" s="19"/>
      <c r="XB4" s="19"/>
      <c r="XC4" s="19"/>
      <c r="XD4" s="19"/>
      <c r="XE4" s="19"/>
      <c r="XF4" s="19"/>
      <c r="XG4" s="19"/>
      <c r="XH4" s="19"/>
      <c r="XI4" s="19"/>
      <c r="XJ4" s="19"/>
      <c r="XK4" s="19"/>
      <c r="XL4" s="19"/>
      <c r="XM4" s="19"/>
      <c r="XN4" s="19"/>
      <c r="XO4" s="19"/>
      <c r="XP4" s="19"/>
      <c r="XQ4" s="19"/>
      <c r="XR4" s="19"/>
      <c r="XS4" s="19"/>
      <c r="XT4" s="19"/>
      <c r="XU4" s="19"/>
      <c r="XV4" s="19"/>
      <c r="XW4" s="19"/>
      <c r="XX4" s="19"/>
      <c r="XY4" s="19"/>
      <c r="XZ4" s="19"/>
      <c r="YA4" s="19"/>
      <c r="YB4" s="19"/>
      <c r="YC4" s="19"/>
      <c r="YD4" s="19"/>
      <c r="YE4" s="19"/>
      <c r="YF4" s="19"/>
      <c r="YG4" s="19"/>
      <c r="YH4" s="19"/>
      <c r="YI4" s="19"/>
      <c r="YJ4" s="19"/>
      <c r="YK4" s="19"/>
      <c r="YL4" s="19"/>
      <c r="YM4" s="19"/>
      <c r="YN4" s="19"/>
      <c r="YO4" s="19"/>
      <c r="YP4" s="19"/>
      <c r="YQ4" s="19"/>
      <c r="YR4" s="19"/>
      <c r="YS4" s="19"/>
      <c r="YT4" s="19"/>
      <c r="YU4" s="19"/>
      <c r="YV4" s="19"/>
      <c r="YW4" s="19"/>
      <c r="YX4" s="19"/>
      <c r="YY4" s="19"/>
      <c r="YZ4" s="19"/>
      <c r="ZA4" s="19"/>
      <c r="ZB4" s="19"/>
      <c r="ZC4" s="19"/>
      <c r="ZD4" s="19"/>
      <c r="ZE4" s="19"/>
      <c r="ZF4" s="19"/>
      <c r="ZG4" s="19"/>
      <c r="ZH4" s="19"/>
      <c r="ZI4" s="19"/>
      <c r="ZJ4" s="19"/>
      <c r="ZK4" s="19"/>
      <c r="ZL4" s="19"/>
      <c r="ZM4" s="19"/>
      <c r="ZN4" s="19"/>
      <c r="ZO4" s="19"/>
      <c r="ZP4" s="19"/>
      <c r="ZQ4" s="19"/>
      <c r="ZR4" s="19"/>
      <c r="ZS4" s="19"/>
      <c r="ZT4" s="19"/>
      <c r="ZU4" s="19"/>
      <c r="ZV4" s="19"/>
      <c r="ZW4" s="19"/>
      <c r="ZX4" s="19"/>
      <c r="ZY4" s="19"/>
      <c r="ZZ4" s="19"/>
      <c r="AAA4" s="19"/>
      <c r="AAB4" s="19"/>
      <c r="AAC4" s="19"/>
      <c r="AAD4" s="19"/>
      <c r="AAE4" s="19"/>
      <c r="AAF4" s="19"/>
      <c r="AAG4" s="19"/>
      <c r="AAH4" s="19"/>
      <c r="AAI4" s="19"/>
      <c r="AAJ4" s="19"/>
      <c r="AAK4" s="19"/>
      <c r="AAL4" s="19"/>
      <c r="AAM4" s="19"/>
      <c r="AAN4" s="19"/>
      <c r="AAO4" s="19"/>
      <c r="AAP4" s="19"/>
      <c r="AAQ4" s="19"/>
      <c r="AAR4" s="19"/>
      <c r="AAS4" s="19"/>
      <c r="AAT4" s="19"/>
      <c r="AAU4" s="19"/>
      <c r="AAV4" s="19"/>
      <c r="AAW4" s="19"/>
      <c r="AAX4" s="19"/>
      <c r="AAY4" s="19"/>
      <c r="AAZ4" s="19"/>
      <c r="ABA4" s="19"/>
      <c r="ABB4" s="19"/>
      <c r="ABC4" s="19"/>
      <c r="ABD4" s="19"/>
      <c r="ABE4" s="19"/>
      <c r="ABF4" s="19"/>
      <c r="ABG4" s="19"/>
      <c r="ABH4" s="19"/>
      <c r="ABI4" s="19"/>
      <c r="ABJ4" s="19"/>
      <c r="ABK4" s="19"/>
      <c r="ABL4" s="19"/>
      <c r="ABM4" s="19"/>
      <c r="ABN4" s="19"/>
      <c r="ABO4" s="19"/>
      <c r="ABP4" s="19"/>
      <c r="ABQ4" s="19"/>
      <c r="ABR4" s="19"/>
      <c r="ABS4" s="19"/>
      <c r="ABT4" s="19"/>
      <c r="ABU4" s="19"/>
      <c r="ABV4" s="19"/>
      <c r="ABW4" s="19"/>
      <c r="ABX4" s="19"/>
      <c r="ABY4" s="19"/>
      <c r="ABZ4" s="19"/>
      <c r="ACA4" s="19"/>
      <c r="ACB4" s="19"/>
      <c r="ACC4" s="19"/>
      <c r="ACD4" s="19"/>
      <c r="ACE4" s="19"/>
      <c r="ACF4" s="19"/>
      <c r="ACG4" s="19"/>
      <c r="ACH4" s="19"/>
      <c r="ACI4" s="19"/>
      <c r="ACJ4" s="19"/>
      <c r="ACK4" s="19"/>
      <c r="ACL4" s="19"/>
      <c r="ACM4" s="19"/>
      <c r="ACN4" s="19"/>
      <c r="ACO4" s="19"/>
      <c r="ACP4" s="19"/>
      <c r="ACQ4" s="19"/>
      <c r="ACR4" s="19"/>
      <c r="ACS4" s="19"/>
      <c r="ACT4" s="19"/>
      <c r="ACU4" s="19"/>
      <c r="ACV4" s="19"/>
      <c r="ACW4" s="19"/>
      <c r="ACX4" s="19"/>
      <c r="ACY4" s="19"/>
      <c r="ACZ4" s="19"/>
      <c r="ADA4" s="19"/>
      <c r="ADB4" s="19"/>
      <c r="ADC4" s="19"/>
      <c r="ADD4" s="19"/>
      <c r="ADE4" s="19"/>
      <c r="ADF4" s="19"/>
      <c r="ADG4" s="19"/>
      <c r="ADH4" s="19"/>
      <c r="ADI4" s="19"/>
      <c r="ADJ4" s="19"/>
      <c r="ADK4" s="19"/>
      <c r="ADL4" s="19"/>
      <c r="ADM4" s="19"/>
      <c r="ADN4" s="19"/>
      <c r="ADO4" s="19"/>
      <c r="ADP4" s="19"/>
      <c r="ADQ4" s="19"/>
      <c r="ADR4" s="19"/>
      <c r="ADS4" s="19"/>
      <c r="ADT4" s="19"/>
      <c r="ADU4" s="19"/>
      <c r="ADV4" s="19"/>
      <c r="ADW4" s="19"/>
      <c r="ADX4" s="19"/>
      <c r="ADY4" s="19"/>
      <c r="ADZ4" s="19"/>
      <c r="AEA4" s="19"/>
      <c r="AEB4" s="19"/>
      <c r="AEC4" s="19"/>
      <c r="AED4" s="19"/>
      <c r="AEE4" s="19"/>
      <c r="AEF4" s="19"/>
      <c r="AEG4" s="19"/>
      <c r="AEH4" s="19"/>
      <c r="AEI4" s="19"/>
      <c r="AEJ4" s="19"/>
      <c r="AEK4" s="19"/>
      <c r="AEL4" s="19"/>
      <c r="AEM4" s="19"/>
      <c r="AEN4" s="19"/>
      <c r="AEO4" s="19"/>
      <c r="AEP4" s="19"/>
      <c r="AEQ4" s="19"/>
      <c r="AER4" s="19"/>
      <c r="AES4" s="19"/>
      <c r="AET4" s="19"/>
      <c r="AEU4" s="19"/>
      <c r="AEV4" s="19"/>
      <c r="AEW4" s="19"/>
      <c r="AEX4" s="19"/>
      <c r="AEY4" s="19"/>
      <c r="AEZ4" s="19"/>
      <c r="AFA4" s="19"/>
      <c r="AFB4" s="19"/>
      <c r="AFC4" s="19"/>
      <c r="AFD4" s="19"/>
      <c r="AFE4" s="19"/>
      <c r="AFF4" s="19"/>
      <c r="AFG4" s="19"/>
      <c r="AFH4" s="19"/>
      <c r="AFI4" s="19"/>
      <c r="AFJ4" s="19"/>
      <c r="AFK4" s="19"/>
      <c r="AFL4" s="19"/>
      <c r="AFM4" s="19"/>
      <c r="AFN4" s="19"/>
      <c r="AFO4" s="19"/>
      <c r="AFP4" s="19"/>
      <c r="AFQ4" s="19"/>
      <c r="AFR4" s="19"/>
      <c r="AFS4" s="19"/>
      <c r="AFT4" s="19"/>
      <c r="AFU4" s="19"/>
      <c r="AFV4" s="19"/>
      <c r="AFW4" s="19"/>
      <c r="AFX4" s="19"/>
      <c r="AFY4" s="19"/>
      <c r="AFZ4" s="19"/>
      <c r="AGA4" s="19"/>
      <c r="AGB4" s="19"/>
      <c r="AGC4" s="19"/>
      <c r="AGD4" s="19"/>
      <c r="AGE4" s="19"/>
      <c r="AGF4" s="19"/>
      <c r="AGG4" s="19"/>
      <c r="AGH4" s="19"/>
      <c r="AGI4" s="19"/>
      <c r="AGJ4" s="19"/>
      <c r="AGK4" s="19"/>
      <c r="AGL4" s="19"/>
      <c r="AGM4" s="19"/>
      <c r="AGN4" s="19"/>
      <c r="AGO4" s="19"/>
      <c r="AGP4" s="19"/>
      <c r="AGQ4" s="19"/>
      <c r="AGR4" s="19"/>
      <c r="AGS4" s="19"/>
      <c r="AGT4" s="19"/>
      <c r="AGU4" s="19"/>
      <c r="AGV4" s="19"/>
      <c r="AGW4" s="19"/>
      <c r="AGX4" s="19"/>
      <c r="AGY4" s="19"/>
      <c r="AGZ4" s="19"/>
      <c r="AHA4" s="19"/>
      <c r="AHB4" s="19"/>
      <c r="AHC4" s="19"/>
      <c r="AHD4" s="19"/>
      <c r="AHE4" s="19"/>
      <c r="AHF4" s="19"/>
      <c r="AHG4" s="19"/>
      <c r="AHH4" s="19"/>
      <c r="AHI4" s="19"/>
      <c r="AHJ4" s="19"/>
      <c r="AHK4" s="19"/>
      <c r="AHL4" s="19"/>
      <c r="AHM4" s="19"/>
      <c r="AHN4" s="19"/>
      <c r="AHO4" s="19"/>
      <c r="AHP4" s="19"/>
      <c r="AHQ4" s="19"/>
      <c r="AHR4" s="19"/>
      <c r="AHS4" s="19"/>
      <c r="AHT4" s="19"/>
      <c r="AHU4" s="19"/>
      <c r="AHV4" s="19"/>
      <c r="AHW4" s="19"/>
      <c r="AHX4" s="19"/>
      <c r="AHY4" s="19"/>
      <c r="AHZ4" s="19"/>
      <c r="AIA4" s="19"/>
      <c r="AIB4" s="19"/>
      <c r="AIC4" s="19"/>
      <c r="AID4" s="19"/>
      <c r="AIE4" s="19"/>
      <c r="AIF4" s="19"/>
      <c r="AIG4" s="19"/>
      <c r="AIH4" s="19"/>
      <c r="AII4" s="19"/>
      <c r="AIJ4" s="19"/>
      <c r="AIK4" s="19"/>
      <c r="AIL4" s="19"/>
      <c r="AIM4" s="19"/>
      <c r="AIN4" s="19"/>
      <c r="AIO4" s="19"/>
      <c r="AIP4" s="19"/>
      <c r="AIQ4" s="19"/>
      <c r="AIR4" s="19"/>
      <c r="AIS4" s="19"/>
      <c r="AIT4" s="19"/>
      <c r="AIU4" s="19"/>
      <c r="AIV4" s="19"/>
      <c r="AIW4" s="19"/>
      <c r="AIX4" s="19"/>
      <c r="AIY4" s="19"/>
      <c r="AIZ4" s="19"/>
      <c r="AJA4" s="19"/>
      <c r="AJB4" s="19"/>
      <c r="AJC4" s="19"/>
      <c r="AJD4" s="19"/>
      <c r="AJE4" s="19"/>
      <c r="AJF4" s="19"/>
      <c r="AJG4" s="19"/>
      <c r="AJH4" s="19"/>
      <c r="AJI4" s="19"/>
      <c r="AJJ4" s="19"/>
      <c r="AJK4" s="19"/>
      <c r="AJL4" s="19"/>
      <c r="AJM4" s="19"/>
      <c r="AJN4" s="19"/>
      <c r="AJO4" s="19"/>
      <c r="AJP4" s="19"/>
      <c r="AJQ4" s="19"/>
      <c r="AJR4" s="19"/>
      <c r="AJS4" s="19"/>
      <c r="AJT4" s="19"/>
      <c r="AJU4" s="19"/>
      <c r="AJV4" s="19"/>
      <c r="AJW4" s="19"/>
      <c r="AJX4" s="19"/>
      <c r="AJY4" s="19"/>
      <c r="AJZ4" s="19"/>
      <c r="AKA4" s="19"/>
      <c r="AKB4" s="19"/>
      <c r="AKC4" s="19"/>
      <c r="AKD4" s="19"/>
      <c r="AKE4" s="19"/>
      <c r="AKF4" s="19"/>
      <c r="AKG4" s="19"/>
      <c r="AKH4" s="19"/>
      <c r="AKI4" s="19"/>
      <c r="AKJ4" s="19"/>
      <c r="AKK4" s="19"/>
      <c r="AKL4" s="19"/>
      <c r="AKM4" s="19"/>
      <c r="AKN4" s="19"/>
      <c r="AKO4" s="19"/>
      <c r="AKP4" s="19"/>
      <c r="AKQ4" s="19"/>
      <c r="AKR4" s="19"/>
      <c r="AKS4" s="19"/>
      <c r="AKT4" s="19"/>
      <c r="AKU4" s="19"/>
      <c r="AKV4" s="19"/>
      <c r="AKW4" s="19"/>
      <c r="AKX4" s="19"/>
      <c r="AKY4" s="19"/>
      <c r="AKZ4" s="19"/>
      <c r="ALA4" s="19"/>
      <c r="ALB4" s="19"/>
      <c r="ALC4" s="19"/>
      <c r="ALD4" s="19"/>
      <c r="ALE4" s="19"/>
      <c r="ALF4" s="19"/>
      <c r="ALG4" s="19"/>
      <c r="ALH4" s="19"/>
      <c r="ALI4" s="19"/>
      <c r="ALJ4" s="19"/>
      <c r="ALK4" s="19"/>
      <c r="ALL4" s="19"/>
    </row>
    <row r="5" spans="1:1000" x14ac:dyDescent="0.3">
      <c r="A5" s="146" t="s">
        <v>891</v>
      </c>
      <c r="B5" s="47" t="s">
        <v>887</v>
      </c>
      <c r="C5">
        <v>2</v>
      </c>
      <c r="D5">
        <v>4</v>
      </c>
      <c r="E5">
        <v>6</v>
      </c>
      <c r="F5">
        <v>8</v>
      </c>
      <c r="G5">
        <v>10</v>
      </c>
      <c r="H5">
        <v>12</v>
      </c>
      <c r="I5">
        <v>14</v>
      </c>
      <c r="J5">
        <v>16</v>
      </c>
      <c r="K5">
        <v>18</v>
      </c>
      <c r="L5">
        <v>20</v>
      </c>
      <c r="M5">
        <v>22</v>
      </c>
      <c r="N5">
        <v>24</v>
      </c>
      <c r="O5">
        <v>26</v>
      </c>
      <c r="P5">
        <v>28</v>
      </c>
      <c r="Q5">
        <v>30</v>
      </c>
      <c r="R5">
        <v>32</v>
      </c>
    </row>
    <row r="6" spans="1:1000" x14ac:dyDescent="0.3">
      <c r="A6" s="146"/>
      <c r="B6" s="47" t="s">
        <v>888</v>
      </c>
      <c r="C6">
        <v>16</v>
      </c>
      <c r="D6">
        <v>16</v>
      </c>
      <c r="E6">
        <v>15</v>
      </c>
      <c r="F6">
        <v>14</v>
      </c>
      <c r="G6">
        <v>14</v>
      </c>
      <c r="H6">
        <v>13</v>
      </c>
      <c r="I6">
        <v>13</v>
      </c>
      <c r="J6">
        <v>12</v>
      </c>
      <c r="K6">
        <v>12</v>
      </c>
      <c r="L6">
        <v>11</v>
      </c>
      <c r="M6">
        <v>11</v>
      </c>
      <c r="N6">
        <v>10</v>
      </c>
      <c r="O6">
        <v>10</v>
      </c>
      <c r="P6">
        <v>10</v>
      </c>
      <c r="Q6">
        <v>9</v>
      </c>
      <c r="R6">
        <v>9</v>
      </c>
    </row>
    <row r="7" spans="1:1000" x14ac:dyDescent="0.3">
      <c r="A7" s="146"/>
      <c r="B7" s="47" t="s">
        <v>889</v>
      </c>
      <c r="C7">
        <v>12</v>
      </c>
      <c r="D7">
        <v>0</v>
      </c>
      <c r="E7">
        <v>8</v>
      </c>
      <c r="F7">
        <v>16</v>
      </c>
      <c r="G7">
        <v>6</v>
      </c>
      <c r="H7">
        <v>16</v>
      </c>
      <c r="I7">
        <v>6</v>
      </c>
      <c r="J7">
        <v>16</v>
      </c>
      <c r="K7">
        <v>6</v>
      </c>
      <c r="L7">
        <v>17</v>
      </c>
      <c r="M7">
        <v>8</v>
      </c>
      <c r="N7">
        <v>19</v>
      </c>
      <c r="O7">
        <v>10</v>
      </c>
      <c r="P7">
        <v>1</v>
      </c>
      <c r="Q7">
        <v>12</v>
      </c>
      <c r="R7">
        <v>3</v>
      </c>
    </row>
    <row r="8" spans="1:1000" x14ac:dyDescent="0.3">
      <c r="B8" s="47"/>
    </row>
    <row r="9" spans="1:1000" x14ac:dyDescent="0.3">
      <c r="A9" s="134" t="s">
        <v>892</v>
      </c>
      <c r="B9" s="148"/>
      <c r="C9" t="s">
        <v>858</v>
      </c>
      <c r="D9" t="s">
        <v>859</v>
      </c>
      <c r="E9" t="s">
        <v>860</v>
      </c>
      <c r="F9" t="s">
        <v>861</v>
      </c>
      <c r="G9" t="s">
        <v>862</v>
      </c>
      <c r="H9" t="s">
        <v>863</v>
      </c>
      <c r="I9" t="s">
        <v>864</v>
      </c>
      <c r="J9" t="s">
        <v>865</v>
      </c>
      <c r="K9" t="s">
        <v>866</v>
      </c>
      <c r="L9" t="s">
        <v>867</v>
      </c>
      <c r="M9" t="s">
        <v>868</v>
      </c>
      <c r="N9" t="s">
        <v>869</v>
      </c>
      <c r="O9" t="s">
        <v>870</v>
      </c>
      <c r="P9" t="s">
        <v>871</v>
      </c>
      <c r="Q9" t="s">
        <v>872</v>
      </c>
      <c r="R9" t="s">
        <v>873</v>
      </c>
    </row>
    <row r="10" spans="1:1000" x14ac:dyDescent="0.3">
      <c r="A10" s="146" t="s">
        <v>890</v>
      </c>
      <c r="B10" s="47" t="s">
        <v>887</v>
      </c>
      <c r="C10">
        <v>33</v>
      </c>
      <c r="D10">
        <v>35</v>
      </c>
      <c r="E10">
        <v>37</v>
      </c>
      <c r="F10">
        <v>39</v>
      </c>
      <c r="G10">
        <v>41</v>
      </c>
      <c r="H10">
        <v>43</v>
      </c>
      <c r="I10">
        <v>45</v>
      </c>
      <c r="J10">
        <v>47</v>
      </c>
      <c r="K10">
        <v>49</v>
      </c>
      <c r="L10">
        <v>51</v>
      </c>
      <c r="M10">
        <v>53</v>
      </c>
      <c r="N10">
        <v>55</v>
      </c>
      <c r="O10">
        <v>57</v>
      </c>
      <c r="P10">
        <v>59</v>
      </c>
      <c r="Q10">
        <v>61</v>
      </c>
      <c r="R10">
        <v>63</v>
      </c>
    </row>
    <row r="11" spans="1:1000" x14ac:dyDescent="0.3">
      <c r="A11" s="146"/>
      <c r="B11" s="47" t="s">
        <v>888</v>
      </c>
      <c r="C11">
        <v>9</v>
      </c>
      <c r="D11">
        <v>8</v>
      </c>
      <c r="E11">
        <v>7</v>
      </c>
      <c r="F11">
        <v>7</v>
      </c>
      <c r="G11">
        <v>6</v>
      </c>
      <c r="H11">
        <v>6</v>
      </c>
      <c r="I11">
        <v>5</v>
      </c>
      <c r="J11">
        <v>5</v>
      </c>
      <c r="K11">
        <v>4</v>
      </c>
      <c r="L11">
        <v>4</v>
      </c>
      <c r="M11">
        <v>3</v>
      </c>
      <c r="N11">
        <v>3</v>
      </c>
      <c r="O11">
        <v>2</v>
      </c>
      <c r="P11">
        <v>2</v>
      </c>
      <c r="Q11">
        <v>1</v>
      </c>
      <c r="R11">
        <v>1</v>
      </c>
    </row>
    <row r="12" spans="1:1000" ht="15" thickBot="1" x14ac:dyDescent="0.35">
      <c r="A12" s="147"/>
      <c r="B12" s="117" t="s">
        <v>889</v>
      </c>
      <c r="C12" s="19">
        <v>0</v>
      </c>
      <c r="D12" s="19">
        <v>8</v>
      </c>
      <c r="E12" s="19">
        <v>16</v>
      </c>
      <c r="F12" s="19">
        <v>4</v>
      </c>
      <c r="G12" s="19">
        <v>12</v>
      </c>
      <c r="H12" s="19">
        <v>2</v>
      </c>
      <c r="I12" s="19">
        <v>12</v>
      </c>
      <c r="J12" s="19">
        <v>2</v>
      </c>
      <c r="K12" s="19">
        <v>12</v>
      </c>
      <c r="L12" s="19">
        <v>3</v>
      </c>
      <c r="M12" s="19">
        <v>14</v>
      </c>
      <c r="N12" s="19">
        <v>5</v>
      </c>
      <c r="O12" s="19">
        <v>16</v>
      </c>
      <c r="P12" s="19">
        <v>7</v>
      </c>
      <c r="Q12" s="19">
        <v>18</v>
      </c>
      <c r="R12" s="19">
        <v>9</v>
      </c>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c r="CM12" s="19"/>
      <c r="CN12" s="19"/>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19"/>
      <c r="DT12" s="19"/>
      <c r="DU12" s="19"/>
      <c r="DV12" s="19"/>
      <c r="DW12" s="19"/>
      <c r="DX12" s="19"/>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19"/>
      <c r="FD12" s="19"/>
      <c r="FE12" s="19"/>
      <c r="FF12" s="19"/>
      <c r="FG12" s="19"/>
      <c r="FH12" s="19"/>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19"/>
      <c r="GN12" s="19"/>
      <c r="GO12" s="19"/>
      <c r="GP12" s="19"/>
      <c r="GQ12" s="19"/>
      <c r="GR12" s="19"/>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19"/>
      <c r="HX12" s="19"/>
      <c r="HY12" s="19"/>
      <c r="HZ12" s="19"/>
      <c r="IA12" s="19"/>
      <c r="IB12" s="19"/>
      <c r="IC12" s="19"/>
      <c r="ID12" s="19"/>
      <c r="IE12" s="19"/>
      <c r="IF12" s="19"/>
      <c r="IG12" s="19"/>
      <c r="IH12" s="19"/>
      <c r="II12" s="19"/>
      <c r="IJ12" s="19"/>
      <c r="IK12" s="19"/>
      <c r="IL12" s="19"/>
      <c r="IM12" s="19"/>
      <c r="IN12" s="19"/>
      <c r="IO12" s="19"/>
      <c r="IP12" s="19"/>
      <c r="IQ12" s="19"/>
      <c r="IR12" s="19"/>
      <c r="IS12" s="19"/>
      <c r="IT12" s="19"/>
      <c r="IU12" s="19"/>
      <c r="IV12" s="19"/>
      <c r="IW12" s="19"/>
      <c r="IX12" s="19"/>
      <c r="IY12" s="19"/>
      <c r="IZ12" s="19"/>
      <c r="JA12" s="19"/>
      <c r="JB12" s="19"/>
      <c r="JC12" s="19"/>
      <c r="JD12" s="19"/>
      <c r="JE12" s="19"/>
      <c r="JF12" s="19"/>
      <c r="JG12" s="19"/>
      <c r="JH12" s="19"/>
      <c r="JI12" s="19"/>
      <c r="JJ12" s="19"/>
      <c r="JK12" s="19"/>
      <c r="JL12" s="19"/>
      <c r="JM12" s="19"/>
      <c r="JN12" s="19"/>
      <c r="JO12" s="19"/>
      <c r="JP12" s="19"/>
      <c r="JQ12" s="19"/>
      <c r="JR12" s="19"/>
      <c r="JS12" s="19"/>
      <c r="JT12" s="19"/>
      <c r="JU12" s="19"/>
      <c r="JV12" s="19"/>
      <c r="JW12" s="19"/>
      <c r="JX12" s="19"/>
      <c r="JY12" s="19"/>
      <c r="JZ12" s="19"/>
      <c r="KA12" s="19"/>
      <c r="KB12" s="19"/>
      <c r="KC12" s="19"/>
      <c r="KD12" s="19"/>
      <c r="KE12" s="19"/>
      <c r="KF12" s="19"/>
      <c r="KG12" s="19"/>
      <c r="KH12" s="19"/>
      <c r="KI12" s="19"/>
      <c r="KJ12" s="19"/>
      <c r="KK12" s="19"/>
      <c r="KL12" s="19"/>
      <c r="KM12" s="19"/>
      <c r="KN12" s="19"/>
      <c r="KO12" s="19"/>
      <c r="KP12" s="19"/>
      <c r="KQ12" s="19"/>
      <c r="KR12" s="19"/>
      <c r="KS12" s="19"/>
      <c r="KT12" s="19"/>
      <c r="KU12" s="19"/>
      <c r="KV12" s="19"/>
      <c r="KW12" s="19"/>
      <c r="KX12" s="19"/>
      <c r="KY12" s="19"/>
      <c r="KZ12" s="19"/>
      <c r="LA12" s="19"/>
      <c r="LB12" s="19"/>
      <c r="LC12" s="19"/>
      <c r="LD12" s="19"/>
      <c r="LE12" s="19"/>
      <c r="LF12" s="19"/>
      <c r="LG12" s="19"/>
      <c r="LH12" s="19"/>
      <c r="LI12" s="19"/>
      <c r="LJ12" s="19"/>
      <c r="LK12" s="19"/>
      <c r="LL12" s="19"/>
      <c r="LM12" s="19"/>
      <c r="LN12" s="19"/>
      <c r="LO12" s="19"/>
      <c r="LP12" s="19"/>
      <c r="LQ12" s="19"/>
      <c r="LR12" s="19"/>
      <c r="LS12" s="19"/>
      <c r="LT12" s="19"/>
      <c r="LU12" s="19"/>
      <c r="LV12" s="19"/>
      <c r="LW12" s="19"/>
      <c r="LX12" s="19"/>
      <c r="LY12" s="19"/>
      <c r="LZ12" s="19"/>
      <c r="MA12" s="19"/>
      <c r="MB12" s="19"/>
      <c r="MC12" s="19"/>
      <c r="MD12" s="19"/>
      <c r="ME12" s="19"/>
      <c r="MF12" s="19"/>
      <c r="MG12" s="19"/>
      <c r="MH12" s="19"/>
      <c r="MI12" s="19"/>
      <c r="MJ12" s="19"/>
      <c r="MK12" s="19"/>
      <c r="ML12" s="19"/>
      <c r="MM12" s="19"/>
      <c r="MN12" s="19"/>
      <c r="MO12" s="19"/>
      <c r="MP12" s="19"/>
      <c r="MQ12" s="19"/>
      <c r="MR12" s="19"/>
      <c r="MS12" s="19"/>
      <c r="MT12" s="19"/>
      <c r="MU12" s="19"/>
      <c r="MV12" s="19"/>
      <c r="MW12" s="19"/>
      <c r="MX12" s="19"/>
      <c r="MY12" s="19"/>
      <c r="MZ12" s="19"/>
      <c r="NA12" s="19"/>
      <c r="NB12" s="19"/>
      <c r="NC12" s="19"/>
      <c r="ND12" s="19"/>
      <c r="NE12" s="19"/>
      <c r="NF12" s="19"/>
      <c r="NG12" s="19"/>
      <c r="NH12" s="19"/>
      <c r="NI12" s="19"/>
      <c r="NJ12" s="19"/>
      <c r="NK12" s="19"/>
      <c r="NL12" s="19"/>
      <c r="NM12" s="19"/>
      <c r="NN12" s="19"/>
      <c r="NO12" s="19"/>
      <c r="NP12" s="19"/>
      <c r="NQ12" s="19"/>
      <c r="NR12" s="19"/>
      <c r="NS12" s="19"/>
      <c r="NT12" s="19"/>
      <c r="NU12" s="19"/>
      <c r="NV12" s="19"/>
      <c r="NW12" s="19"/>
      <c r="NX12" s="19"/>
      <c r="NY12" s="19"/>
      <c r="NZ12" s="19"/>
      <c r="OA12" s="19"/>
      <c r="OB12" s="19"/>
      <c r="OC12" s="19"/>
      <c r="OD12" s="19"/>
      <c r="OE12" s="19"/>
      <c r="OF12" s="19"/>
      <c r="OG12" s="19"/>
      <c r="OH12" s="19"/>
      <c r="OI12" s="19"/>
      <c r="OJ12" s="19"/>
      <c r="OK12" s="19"/>
      <c r="OL12" s="19"/>
      <c r="OM12" s="19"/>
      <c r="ON12" s="19"/>
      <c r="OO12" s="19"/>
      <c r="OP12" s="19"/>
      <c r="OQ12" s="19"/>
      <c r="OR12" s="19"/>
      <c r="OS12" s="19"/>
      <c r="OT12" s="19"/>
      <c r="OU12" s="19"/>
      <c r="OV12" s="19"/>
      <c r="OW12" s="19"/>
      <c r="OX12" s="19"/>
      <c r="OY12" s="19"/>
      <c r="OZ12" s="19"/>
      <c r="PA12" s="19"/>
      <c r="PB12" s="19"/>
      <c r="PC12" s="19"/>
      <c r="PD12" s="19"/>
      <c r="PE12" s="19"/>
      <c r="PF12" s="19"/>
      <c r="PG12" s="19"/>
      <c r="PH12" s="19"/>
      <c r="PI12" s="19"/>
      <c r="PJ12" s="19"/>
      <c r="PK12" s="19"/>
      <c r="PL12" s="19"/>
      <c r="PM12" s="19"/>
      <c r="PN12" s="19"/>
      <c r="PO12" s="19"/>
      <c r="PP12" s="19"/>
      <c r="PQ12" s="19"/>
      <c r="PR12" s="19"/>
      <c r="PS12" s="19"/>
      <c r="PT12" s="19"/>
      <c r="PU12" s="19"/>
      <c r="PV12" s="19"/>
      <c r="PW12" s="19"/>
      <c r="PX12" s="19"/>
      <c r="PY12" s="19"/>
      <c r="PZ12" s="19"/>
      <c r="QA12" s="19"/>
      <c r="QB12" s="19"/>
      <c r="QC12" s="19"/>
      <c r="QD12" s="19"/>
      <c r="QE12" s="19"/>
      <c r="QF12" s="19"/>
      <c r="QG12" s="19"/>
      <c r="QH12" s="19"/>
      <c r="QI12" s="19"/>
      <c r="QJ12" s="19"/>
      <c r="QK12" s="19"/>
      <c r="QL12" s="19"/>
      <c r="QM12" s="19"/>
      <c r="QN12" s="19"/>
      <c r="QO12" s="19"/>
      <c r="QP12" s="19"/>
      <c r="QQ12" s="19"/>
      <c r="QR12" s="19"/>
      <c r="QS12" s="19"/>
      <c r="QT12" s="19"/>
      <c r="QU12" s="19"/>
      <c r="QV12" s="19"/>
      <c r="QW12" s="19"/>
      <c r="QX12" s="19"/>
      <c r="QY12" s="19"/>
      <c r="QZ12" s="19"/>
      <c r="RA12" s="19"/>
      <c r="RB12" s="19"/>
      <c r="RC12" s="19"/>
      <c r="RD12" s="19"/>
      <c r="RE12" s="19"/>
      <c r="RF12" s="19"/>
      <c r="RG12" s="19"/>
      <c r="RH12" s="19"/>
      <c r="RI12" s="19"/>
      <c r="RJ12" s="19"/>
      <c r="RK12" s="19"/>
      <c r="RL12" s="19"/>
      <c r="RM12" s="19"/>
      <c r="RN12" s="19"/>
      <c r="RO12" s="19"/>
      <c r="RP12" s="19"/>
      <c r="RQ12" s="19"/>
      <c r="RR12" s="19"/>
      <c r="RS12" s="19"/>
      <c r="RT12" s="19"/>
      <c r="RU12" s="19"/>
      <c r="RV12" s="19"/>
      <c r="RW12" s="19"/>
      <c r="RX12" s="19"/>
      <c r="RY12" s="19"/>
      <c r="RZ12" s="19"/>
      <c r="SA12" s="19"/>
      <c r="SB12" s="19"/>
      <c r="SC12" s="19"/>
      <c r="SD12" s="19"/>
      <c r="SE12" s="19"/>
      <c r="SF12" s="19"/>
      <c r="SG12" s="19"/>
      <c r="SH12" s="19"/>
      <c r="SI12" s="19"/>
      <c r="SJ12" s="19"/>
      <c r="SK12" s="19"/>
      <c r="SL12" s="19"/>
      <c r="SM12" s="19"/>
      <c r="SN12" s="19"/>
      <c r="SO12" s="19"/>
      <c r="SP12" s="19"/>
      <c r="SQ12" s="19"/>
      <c r="SR12" s="19"/>
      <c r="SS12" s="19"/>
      <c r="ST12" s="19"/>
      <c r="SU12" s="19"/>
      <c r="SV12" s="19"/>
      <c r="SW12" s="19"/>
      <c r="SX12" s="19"/>
      <c r="SY12" s="19"/>
      <c r="SZ12" s="19"/>
      <c r="TA12" s="19"/>
      <c r="TB12" s="19"/>
      <c r="TC12" s="19"/>
      <c r="TD12" s="19"/>
      <c r="TE12" s="19"/>
      <c r="TF12" s="19"/>
      <c r="TG12" s="19"/>
      <c r="TH12" s="19"/>
      <c r="TI12" s="19"/>
      <c r="TJ12" s="19"/>
      <c r="TK12" s="19"/>
      <c r="TL12" s="19"/>
      <c r="TM12" s="19"/>
      <c r="TN12" s="19"/>
      <c r="TO12" s="19"/>
      <c r="TP12" s="19"/>
      <c r="TQ12" s="19"/>
      <c r="TR12" s="19"/>
      <c r="TS12" s="19"/>
      <c r="TT12" s="19"/>
      <c r="TU12" s="19"/>
      <c r="TV12" s="19"/>
      <c r="TW12" s="19"/>
      <c r="TX12" s="19"/>
      <c r="TY12" s="19"/>
      <c r="TZ12" s="19"/>
      <c r="UA12" s="19"/>
      <c r="UB12" s="19"/>
      <c r="UC12" s="19"/>
      <c r="UD12" s="19"/>
      <c r="UE12" s="19"/>
      <c r="UF12" s="19"/>
      <c r="UG12" s="19"/>
      <c r="UH12" s="19"/>
      <c r="UI12" s="19"/>
      <c r="UJ12" s="19"/>
      <c r="UK12" s="19"/>
      <c r="UL12" s="19"/>
      <c r="UM12" s="19"/>
      <c r="UN12" s="19"/>
      <c r="UO12" s="19"/>
      <c r="UP12" s="19"/>
      <c r="UQ12" s="19"/>
      <c r="UR12" s="19"/>
      <c r="US12" s="19"/>
      <c r="UT12" s="19"/>
      <c r="UU12" s="19"/>
      <c r="UV12" s="19"/>
      <c r="UW12" s="19"/>
      <c r="UX12" s="19"/>
      <c r="UY12" s="19"/>
      <c r="UZ12" s="19"/>
      <c r="VA12" s="19"/>
      <c r="VB12" s="19"/>
      <c r="VC12" s="19"/>
      <c r="VD12" s="19"/>
      <c r="VE12" s="19"/>
      <c r="VF12" s="19"/>
      <c r="VG12" s="19"/>
      <c r="VH12" s="19"/>
      <c r="VI12" s="19"/>
      <c r="VJ12" s="19"/>
      <c r="VK12" s="19"/>
      <c r="VL12" s="19"/>
      <c r="VM12" s="19"/>
      <c r="VN12" s="19"/>
      <c r="VO12" s="19"/>
      <c r="VP12" s="19"/>
      <c r="VQ12" s="19"/>
      <c r="VR12" s="19"/>
      <c r="VS12" s="19"/>
      <c r="VT12" s="19"/>
      <c r="VU12" s="19"/>
      <c r="VV12" s="19"/>
      <c r="VW12" s="19"/>
      <c r="VX12" s="19"/>
      <c r="VY12" s="19"/>
      <c r="VZ12" s="19"/>
      <c r="WA12" s="19"/>
      <c r="WB12" s="19"/>
      <c r="WC12" s="19"/>
      <c r="WD12" s="19"/>
      <c r="WE12" s="19"/>
      <c r="WF12" s="19"/>
      <c r="WG12" s="19"/>
      <c r="WH12" s="19"/>
      <c r="WI12" s="19"/>
      <c r="WJ12" s="19"/>
      <c r="WK12" s="19"/>
      <c r="WL12" s="19"/>
      <c r="WM12" s="19"/>
      <c r="WN12" s="19"/>
      <c r="WO12" s="19"/>
      <c r="WP12" s="19"/>
      <c r="WQ12" s="19"/>
      <c r="WR12" s="19"/>
      <c r="WS12" s="19"/>
      <c r="WT12" s="19"/>
      <c r="WU12" s="19"/>
      <c r="WV12" s="19"/>
      <c r="WW12" s="19"/>
      <c r="WX12" s="19"/>
      <c r="WY12" s="19"/>
      <c r="WZ12" s="19"/>
      <c r="XA12" s="19"/>
      <c r="XB12" s="19"/>
      <c r="XC12" s="19"/>
      <c r="XD12" s="19"/>
      <c r="XE12" s="19"/>
      <c r="XF12" s="19"/>
      <c r="XG12" s="19"/>
      <c r="XH12" s="19"/>
      <c r="XI12" s="19"/>
      <c r="XJ12" s="19"/>
      <c r="XK12" s="19"/>
      <c r="XL12" s="19"/>
      <c r="XM12" s="19"/>
      <c r="XN12" s="19"/>
      <c r="XO12" s="19"/>
      <c r="XP12" s="19"/>
      <c r="XQ12" s="19"/>
      <c r="XR12" s="19"/>
      <c r="XS12" s="19"/>
      <c r="XT12" s="19"/>
      <c r="XU12" s="19"/>
      <c r="XV12" s="19"/>
      <c r="XW12" s="19"/>
      <c r="XX12" s="19"/>
      <c r="XY12" s="19"/>
      <c r="XZ12" s="19"/>
      <c r="YA12" s="19"/>
      <c r="YB12" s="19"/>
      <c r="YC12" s="19"/>
      <c r="YD12" s="19"/>
      <c r="YE12" s="19"/>
      <c r="YF12" s="19"/>
      <c r="YG12" s="19"/>
      <c r="YH12" s="19"/>
      <c r="YI12" s="19"/>
      <c r="YJ12" s="19"/>
      <c r="YK12" s="19"/>
      <c r="YL12" s="19"/>
      <c r="YM12" s="19"/>
      <c r="YN12" s="19"/>
      <c r="YO12" s="19"/>
      <c r="YP12" s="19"/>
      <c r="YQ12" s="19"/>
      <c r="YR12" s="19"/>
      <c r="YS12" s="19"/>
      <c r="YT12" s="19"/>
      <c r="YU12" s="19"/>
      <c r="YV12" s="19"/>
      <c r="YW12" s="19"/>
      <c r="YX12" s="19"/>
      <c r="YY12" s="19"/>
      <c r="YZ12" s="19"/>
      <c r="ZA12" s="19"/>
      <c r="ZB12" s="19"/>
      <c r="ZC12" s="19"/>
      <c r="ZD12" s="19"/>
      <c r="ZE12" s="19"/>
      <c r="ZF12" s="19"/>
      <c r="ZG12" s="19"/>
      <c r="ZH12" s="19"/>
      <c r="ZI12" s="19"/>
      <c r="ZJ12" s="19"/>
      <c r="ZK12" s="19"/>
      <c r="ZL12" s="19"/>
      <c r="ZM12" s="19"/>
      <c r="ZN12" s="19"/>
      <c r="ZO12" s="19"/>
      <c r="ZP12" s="19"/>
      <c r="ZQ12" s="19"/>
      <c r="ZR12" s="19"/>
      <c r="ZS12" s="19"/>
      <c r="ZT12" s="19"/>
      <c r="ZU12" s="19"/>
      <c r="ZV12" s="19"/>
      <c r="ZW12" s="19"/>
      <c r="ZX12" s="19"/>
      <c r="ZY12" s="19"/>
      <c r="ZZ12" s="19"/>
      <c r="AAA12" s="19"/>
      <c r="AAB12" s="19"/>
      <c r="AAC12" s="19"/>
      <c r="AAD12" s="19"/>
      <c r="AAE12" s="19"/>
      <c r="AAF12" s="19"/>
      <c r="AAG12" s="19"/>
      <c r="AAH12" s="19"/>
      <c r="AAI12" s="19"/>
      <c r="AAJ12" s="19"/>
      <c r="AAK12" s="19"/>
      <c r="AAL12" s="19"/>
      <c r="AAM12" s="19"/>
      <c r="AAN12" s="19"/>
      <c r="AAO12" s="19"/>
      <c r="AAP12" s="19"/>
      <c r="AAQ12" s="19"/>
      <c r="AAR12" s="19"/>
      <c r="AAS12" s="19"/>
      <c r="AAT12" s="19"/>
      <c r="AAU12" s="19"/>
      <c r="AAV12" s="19"/>
      <c r="AAW12" s="19"/>
      <c r="AAX12" s="19"/>
      <c r="AAY12" s="19"/>
      <c r="AAZ12" s="19"/>
      <c r="ABA12" s="19"/>
      <c r="ABB12" s="19"/>
      <c r="ABC12" s="19"/>
      <c r="ABD12" s="19"/>
      <c r="ABE12" s="19"/>
      <c r="ABF12" s="19"/>
      <c r="ABG12" s="19"/>
      <c r="ABH12" s="19"/>
      <c r="ABI12" s="19"/>
      <c r="ABJ12" s="19"/>
      <c r="ABK12" s="19"/>
      <c r="ABL12" s="19"/>
      <c r="ABM12" s="19"/>
      <c r="ABN12" s="19"/>
      <c r="ABO12" s="19"/>
      <c r="ABP12" s="19"/>
      <c r="ABQ12" s="19"/>
      <c r="ABR12" s="19"/>
      <c r="ABS12" s="19"/>
      <c r="ABT12" s="19"/>
      <c r="ABU12" s="19"/>
      <c r="ABV12" s="19"/>
      <c r="ABW12" s="19"/>
      <c r="ABX12" s="19"/>
      <c r="ABY12" s="19"/>
      <c r="ABZ12" s="19"/>
      <c r="ACA12" s="19"/>
      <c r="ACB12" s="19"/>
      <c r="ACC12" s="19"/>
      <c r="ACD12" s="19"/>
      <c r="ACE12" s="19"/>
      <c r="ACF12" s="19"/>
      <c r="ACG12" s="19"/>
      <c r="ACH12" s="19"/>
      <c r="ACI12" s="19"/>
      <c r="ACJ12" s="19"/>
      <c r="ACK12" s="19"/>
      <c r="ACL12" s="19"/>
      <c r="ACM12" s="19"/>
      <c r="ACN12" s="19"/>
      <c r="ACO12" s="19"/>
      <c r="ACP12" s="19"/>
      <c r="ACQ12" s="19"/>
      <c r="ACR12" s="19"/>
      <c r="ACS12" s="19"/>
      <c r="ACT12" s="19"/>
      <c r="ACU12" s="19"/>
      <c r="ACV12" s="19"/>
      <c r="ACW12" s="19"/>
      <c r="ACX12" s="19"/>
      <c r="ACY12" s="19"/>
      <c r="ACZ12" s="19"/>
      <c r="ADA12" s="19"/>
      <c r="ADB12" s="19"/>
      <c r="ADC12" s="19"/>
      <c r="ADD12" s="19"/>
      <c r="ADE12" s="19"/>
      <c r="ADF12" s="19"/>
      <c r="ADG12" s="19"/>
      <c r="ADH12" s="19"/>
      <c r="ADI12" s="19"/>
      <c r="ADJ12" s="19"/>
      <c r="ADK12" s="19"/>
      <c r="ADL12" s="19"/>
      <c r="ADM12" s="19"/>
      <c r="ADN12" s="19"/>
      <c r="ADO12" s="19"/>
      <c r="ADP12" s="19"/>
      <c r="ADQ12" s="19"/>
      <c r="ADR12" s="19"/>
      <c r="ADS12" s="19"/>
      <c r="ADT12" s="19"/>
      <c r="ADU12" s="19"/>
      <c r="ADV12" s="19"/>
      <c r="ADW12" s="19"/>
      <c r="ADX12" s="19"/>
      <c r="ADY12" s="19"/>
      <c r="ADZ12" s="19"/>
      <c r="AEA12" s="19"/>
      <c r="AEB12" s="19"/>
      <c r="AEC12" s="19"/>
      <c r="AED12" s="19"/>
      <c r="AEE12" s="19"/>
      <c r="AEF12" s="19"/>
      <c r="AEG12" s="19"/>
      <c r="AEH12" s="19"/>
      <c r="AEI12" s="19"/>
      <c r="AEJ12" s="19"/>
      <c r="AEK12" s="19"/>
      <c r="AEL12" s="19"/>
      <c r="AEM12" s="19"/>
      <c r="AEN12" s="19"/>
      <c r="AEO12" s="19"/>
      <c r="AEP12" s="19"/>
      <c r="AEQ12" s="19"/>
      <c r="AER12" s="19"/>
      <c r="AES12" s="19"/>
      <c r="AET12" s="19"/>
      <c r="AEU12" s="19"/>
      <c r="AEV12" s="19"/>
      <c r="AEW12" s="19"/>
      <c r="AEX12" s="19"/>
      <c r="AEY12" s="19"/>
      <c r="AEZ12" s="19"/>
      <c r="AFA12" s="19"/>
      <c r="AFB12" s="19"/>
      <c r="AFC12" s="19"/>
      <c r="AFD12" s="19"/>
      <c r="AFE12" s="19"/>
      <c r="AFF12" s="19"/>
      <c r="AFG12" s="19"/>
      <c r="AFH12" s="19"/>
      <c r="AFI12" s="19"/>
      <c r="AFJ12" s="19"/>
      <c r="AFK12" s="19"/>
      <c r="AFL12" s="19"/>
      <c r="AFM12" s="19"/>
      <c r="AFN12" s="19"/>
      <c r="AFO12" s="19"/>
      <c r="AFP12" s="19"/>
      <c r="AFQ12" s="19"/>
      <c r="AFR12" s="19"/>
      <c r="AFS12" s="19"/>
      <c r="AFT12" s="19"/>
      <c r="AFU12" s="19"/>
      <c r="AFV12" s="19"/>
      <c r="AFW12" s="19"/>
      <c r="AFX12" s="19"/>
      <c r="AFY12" s="19"/>
      <c r="AFZ12" s="19"/>
      <c r="AGA12" s="19"/>
      <c r="AGB12" s="19"/>
      <c r="AGC12" s="19"/>
      <c r="AGD12" s="19"/>
      <c r="AGE12" s="19"/>
      <c r="AGF12" s="19"/>
      <c r="AGG12" s="19"/>
      <c r="AGH12" s="19"/>
      <c r="AGI12" s="19"/>
      <c r="AGJ12" s="19"/>
      <c r="AGK12" s="19"/>
      <c r="AGL12" s="19"/>
      <c r="AGM12" s="19"/>
      <c r="AGN12" s="19"/>
      <c r="AGO12" s="19"/>
      <c r="AGP12" s="19"/>
      <c r="AGQ12" s="19"/>
      <c r="AGR12" s="19"/>
      <c r="AGS12" s="19"/>
      <c r="AGT12" s="19"/>
      <c r="AGU12" s="19"/>
      <c r="AGV12" s="19"/>
      <c r="AGW12" s="19"/>
      <c r="AGX12" s="19"/>
      <c r="AGY12" s="19"/>
      <c r="AGZ12" s="19"/>
      <c r="AHA12" s="19"/>
      <c r="AHB12" s="19"/>
      <c r="AHC12" s="19"/>
      <c r="AHD12" s="19"/>
      <c r="AHE12" s="19"/>
      <c r="AHF12" s="19"/>
      <c r="AHG12" s="19"/>
      <c r="AHH12" s="19"/>
      <c r="AHI12" s="19"/>
      <c r="AHJ12" s="19"/>
      <c r="AHK12" s="19"/>
      <c r="AHL12" s="19"/>
      <c r="AHM12" s="19"/>
      <c r="AHN12" s="19"/>
      <c r="AHO12" s="19"/>
      <c r="AHP12" s="19"/>
      <c r="AHQ12" s="19"/>
      <c r="AHR12" s="19"/>
      <c r="AHS12" s="19"/>
      <c r="AHT12" s="19"/>
      <c r="AHU12" s="19"/>
      <c r="AHV12" s="19"/>
      <c r="AHW12" s="19"/>
      <c r="AHX12" s="19"/>
      <c r="AHY12" s="19"/>
      <c r="AHZ12" s="19"/>
      <c r="AIA12" s="19"/>
      <c r="AIB12" s="19"/>
      <c r="AIC12" s="19"/>
      <c r="AID12" s="19"/>
      <c r="AIE12" s="19"/>
      <c r="AIF12" s="19"/>
      <c r="AIG12" s="19"/>
      <c r="AIH12" s="19"/>
      <c r="AII12" s="19"/>
      <c r="AIJ12" s="19"/>
      <c r="AIK12" s="19"/>
      <c r="AIL12" s="19"/>
      <c r="AIM12" s="19"/>
      <c r="AIN12" s="19"/>
      <c r="AIO12" s="19"/>
      <c r="AIP12" s="19"/>
      <c r="AIQ12" s="19"/>
      <c r="AIR12" s="19"/>
      <c r="AIS12" s="19"/>
      <c r="AIT12" s="19"/>
      <c r="AIU12" s="19"/>
      <c r="AIV12" s="19"/>
      <c r="AIW12" s="19"/>
      <c r="AIX12" s="19"/>
      <c r="AIY12" s="19"/>
      <c r="AIZ12" s="19"/>
      <c r="AJA12" s="19"/>
      <c r="AJB12" s="19"/>
      <c r="AJC12" s="19"/>
      <c r="AJD12" s="19"/>
      <c r="AJE12" s="19"/>
      <c r="AJF12" s="19"/>
      <c r="AJG12" s="19"/>
      <c r="AJH12" s="19"/>
      <c r="AJI12" s="19"/>
      <c r="AJJ12" s="19"/>
      <c r="AJK12" s="19"/>
      <c r="AJL12" s="19"/>
      <c r="AJM12" s="19"/>
      <c r="AJN12" s="19"/>
      <c r="AJO12" s="19"/>
      <c r="AJP12" s="19"/>
      <c r="AJQ12" s="19"/>
      <c r="AJR12" s="19"/>
      <c r="AJS12" s="19"/>
      <c r="AJT12" s="19"/>
      <c r="AJU12" s="19"/>
      <c r="AJV12" s="19"/>
      <c r="AJW12" s="19"/>
      <c r="AJX12" s="19"/>
      <c r="AJY12" s="19"/>
      <c r="AJZ12" s="19"/>
      <c r="AKA12" s="19"/>
      <c r="AKB12" s="19"/>
      <c r="AKC12" s="19"/>
      <c r="AKD12" s="19"/>
      <c r="AKE12" s="19"/>
      <c r="AKF12" s="19"/>
      <c r="AKG12" s="19"/>
      <c r="AKH12" s="19"/>
      <c r="AKI12" s="19"/>
      <c r="AKJ12" s="19"/>
      <c r="AKK12" s="19"/>
      <c r="AKL12" s="19"/>
      <c r="AKM12" s="19"/>
      <c r="AKN12" s="19"/>
      <c r="AKO12" s="19"/>
      <c r="AKP12" s="19"/>
      <c r="AKQ12" s="19"/>
      <c r="AKR12" s="19"/>
      <c r="AKS12" s="19"/>
      <c r="AKT12" s="19"/>
      <c r="AKU12" s="19"/>
      <c r="AKV12" s="19"/>
      <c r="AKW12" s="19"/>
      <c r="AKX12" s="19"/>
      <c r="AKY12" s="19"/>
      <c r="AKZ12" s="19"/>
      <c r="ALA12" s="19"/>
      <c r="ALB12" s="19"/>
      <c r="ALC12" s="19"/>
      <c r="ALD12" s="19"/>
      <c r="ALE12" s="19"/>
      <c r="ALF12" s="19"/>
      <c r="ALG12" s="19"/>
      <c r="ALH12" s="19"/>
      <c r="ALI12" s="19"/>
      <c r="ALJ12" s="19"/>
      <c r="ALK12" s="19"/>
      <c r="ALL12" s="19"/>
    </row>
    <row r="13" spans="1:1000" x14ac:dyDescent="0.3">
      <c r="A13" s="146" t="s">
        <v>891</v>
      </c>
      <c r="B13" s="47" t="s">
        <v>887</v>
      </c>
      <c r="C13">
        <v>34</v>
      </c>
      <c r="D13">
        <v>36</v>
      </c>
      <c r="E13">
        <v>38</v>
      </c>
      <c r="F13">
        <v>40</v>
      </c>
      <c r="G13">
        <v>42</v>
      </c>
      <c r="H13">
        <v>44</v>
      </c>
      <c r="I13">
        <v>46</v>
      </c>
      <c r="J13">
        <v>48</v>
      </c>
      <c r="K13">
        <v>50</v>
      </c>
      <c r="L13">
        <v>52</v>
      </c>
      <c r="M13">
        <v>54</v>
      </c>
      <c r="N13">
        <v>56</v>
      </c>
      <c r="O13">
        <v>58</v>
      </c>
      <c r="P13">
        <v>60</v>
      </c>
      <c r="Q13">
        <v>62</v>
      </c>
      <c r="R13">
        <v>64</v>
      </c>
    </row>
    <row r="14" spans="1:1000" x14ac:dyDescent="0.3">
      <c r="A14" s="146"/>
      <c r="B14" s="47" t="s">
        <v>888</v>
      </c>
      <c r="C14">
        <v>8</v>
      </c>
      <c r="D14">
        <v>8</v>
      </c>
      <c r="E14">
        <v>7</v>
      </c>
      <c r="F14">
        <v>6</v>
      </c>
      <c r="G14">
        <v>6</v>
      </c>
      <c r="H14">
        <v>5</v>
      </c>
      <c r="I14">
        <v>5</v>
      </c>
      <c r="J14">
        <v>4</v>
      </c>
      <c r="K14">
        <v>4</v>
      </c>
      <c r="L14">
        <v>3</v>
      </c>
      <c r="M14">
        <v>3</v>
      </c>
      <c r="N14">
        <v>2</v>
      </c>
      <c r="O14">
        <v>2</v>
      </c>
      <c r="P14">
        <v>2</v>
      </c>
      <c r="Q14">
        <v>1</v>
      </c>
      <c r="R14">
        <v>1</v>
      </c>
    </row>
    <row r="15" spans="1:1000" x14ac:dyDescent="0.3">
      <c r="A15" s="146"/>
      <c r="B15" s="47" t="s">
        <v>889</v>
      </c>
      <c r="C15">
        <v>12</v>
      </c>
      <c r="D15">
        <v>0</v>
      </c>
      <c r="E15">
        <v>8</v>
      </c>
      <c r="F15">
        <v>16</v>
      </c>
      <c r="G15">
        <v>6</v>
      </c>
      <c r="H15">
        <v>16</v>
      </c>
      <c r="I15">
        <v>6</v>
      </c>
      <c r="J15">
        <v>16</v>
      </c>
      <c r="K15">
        <v>6</v>
      </c>
      <c r="L15">
        <v>17</v>
      </c>
      <c r="M15">
        <v>8</v>
      </c>
      <c r="N15">
        <v>19</v>
      </c>
      <c r="O15">
        <v>10</v>
      </c>
      <c r="P15">
        <v>1</v>
      </c>
      <c r="Q15">
        <v>12</v>
      </c>
      <c r="R15">
        <v>3</v>
      </c>
    </row>
  </sheetData>
  <mergeCells count="6">
    <mergeCell ref="A2:A4"/>
    <mergeCell ref="A5:A7"/>
    <mergeCell ref="A10:A12"/>
    <mergeCell ref="A13:A15"/>
    <mergeCell ref="A1:B1"/>
    <mergeCell ref="A9:B9"/>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0"/>
  <dimension ref="A1:H1502"/>
  <sheetViews>
    <sheetView workbookViewId="0">
      <selection activeCell="F29" sqref="F29"/>
    </sheetView>
  </sheetViews>
  <sheetFormatPr defaultRowHeight="14.4" x14ac:dyDescent="0.3"/>
  <cols>
    <col min="1" max="1" width="17.44140625" customWidth="1"/>
    <col min="2" max="2" width="17.44140625" style="47" customWidth="1"/>
    <col min="3" max="3" width="17.44140625" customWidth="1"/>
    <col min="4" max="4" width="17.44140625" style="47" customWidth="1"/>
    <col min="5" max="5" width="17.44140625" customWidth="1"/>
    <col min="6" max="6" width="17.44140625" style="47" customWidth="1"/>
    <col min="7" max="7" width="17.44140625" customWidth="1"/>
    <col min="8" max="8" width="17.44140625" style="47" customWidth="1"/>
    <col min="9" max="69" width="17.44140625" customWidth="1"/>
  </cols>
  <sheetData>
    <row r="1" spans="1:8" s="57" customFormat="1" x14ac:dyDescent="0.3">
      <c r="A1" s="145" t="s">
        <v>138</v>
      </c>
      <c r="B1" s="145"/>
      <c r="C1" s="145" t="s">
        <v>142</v>
      </c>
      <c r="D1" s="145"/>
      <c r="E1" s="145" t="s">
        <v>874</v>
      </c>
      <c r="F1" s="145"/>
      <c r="G1" s="145" t="s">
        <v>875</v>
      </c>
      <c r="H1" s="149"/>
    </row>
    <row r="2" spans="1:8" s="57" customFormat="1" x14ac:dyDescent="0.3">
      <c r="A2" t="s">
        <v>140</v>
      </c>
      <c r="B2" t="s">
        <v>141</v>
      </c>
      <c r="C2" t="s">
        <v>140</v>
      </c>
      <c r="D2" t="s">
        <v>141</v>
      </c>
      <c r="E2" t="s">
        <v>140</v>
      </c>
      <c r="F2" t="s">
        <v>141</v>
      </c>
      <c r="G2" t="s">
        <v>140</v>
      </c>
      <c r="H2" t="s">
        <v>141</v>
      </c>
    </row>
    <row r="3" spans="1:8" x14ac:dyDescent="0.3">
      <c r="B3"/>
      <c r="C3" t="s">
        <v>3516</v>
      </c>
      <c r="D3" t="s">
        <v>3517</v>
      </c>
      <c r="E3" t="s">
        <v>894</v>
      </c>
      <c r="F3" t="s">
        <v>895</v>
      </c>
      <c r="G3" t="s">
        <v>942</v>
      </c>
      <c r="H3" t="s">
        <v>943</v>
      </c>
    </row>
    <row r="4" spans="1:8" x14ac:dyDescent="0.3">
      <c r="B4"/>
      <c r="C4" t="s">
        <v>3519</v>
      </c>
      <c r="D4" t="s">
        <v>3518</v>
      </c>
      <c r="E4" t="s">
        <v>900</v>
      </c>
      <c r="F4" t="s">
        <v>901</v>
      </c>
      <c r="G4" t="s">
        <v>944</v>
      </c>
      <c r="H4" t="s">
        <v>945</v>
      </c>
    </row>
    <row r="5" spans="1:8" x14ac:dyDescent="0.3">
      <c r="B5"/>
      <c r="C5" t="s">
        <v>3522</v>
      </c>
      <c r="D5" t="s">
        <v>3520</v>
      </c>
      <c r="E5" t="s">
        <v>906</v>
      </c>
      <c r="F5" t="s">
        <v>907</v>
      </c>
      <c r="G5" t="s">
        <v>946</v>
      </c>
      <c r="H5" t="s">
        <v>947</v>
      </c>
    </row>
    <row r="6" spans="1:8" x14ac:dyDescent="0.3">
      <c r="B6"/>
      <c r="C6" t="s">
        <v>3525</v>
      </c>
      <c r="D6" t="s">
        <v>3521</v>
      </c>
      <c r="E6" t="s">
        <v>912</v>
      </c>
      <c r="F6" t="s">
        <v>913</v>
      </c>
      <c r="G6" t="s">
        <v>948</v>
      </c>
      <c r="H6" t="s">
        <v>949</v>
      </c>
    </row>
    <row r="7" spans="1:8" x14ac:dyDescent="0.3">
      <c r="B7"/>
      <c r="C7" t="s">
        <v>3528</v>
      </c>
      <c r="D7" t="s">
        <v>3523</v>
      </c>
      <c r="E7" t="s">
        <v>918</v>
      </c>
      <c r="F7" t="s">
        <v>919</v>
      </c>
      <c r="G7" t="s">
        <v>950</v>
      </c>
      <c r="H7" t="s">
        <v>951</v>
      </c>
    </row>
    <row r="8" spans="1:8" x14ac:dyDescent="0.3">
      <c r="B8"/>
      <c r="C8" t="s">
        <v>3531</v>
      </c>
      <c r="D8" t="s">
        <v>3524</v>
      </c>
      <c r="E8" t="s">
        <v>924</v>
      </c>
      <c r="F8" t="s">
        <v>925</v>
      </c>
      <c r="G8" t="s">
        <v>952</v>
      </c>
      <c r="H8" t="s">
        <v>953</v>
      </c>
    </row>
    <row r="9" spans="1:8" x14ac:dyDescent="0.3">
      <c r="B9"/>
      <c r="C9" t="s">
        <v>3534</v>
      </c>
      <c r="D9" t="s">
        <v>3526</v>
      </c>
      <c r="E9" t="s">
        <v>930</v>
      </c>
      <c r="F9" t="s">
        <v>931</v>
      </c>
      <c r="G9" t="s">
        <v>954</v>
      </c>
      <c r="H9" t="s">
        <v>955</v>
      </c>
    </row>
    <row r="10" spans="1:8" x14ac:dyDescent="0.3">
      <c r="B10"/>
      <c r="C10" t="s">
        <v>3537</v>
      </c>
      <c r="D10" t="s">
        <v>3527</v>
      </c>
      <c r="E10" t="s">
        <v>936</v>
      </c>
      <c r="F10" t="s">
        <v>937</v>
      </c>
      <c r="G10" t="s">
        <v>956</v>
      </c>
      <c r="H10" t="s">
        <v>957</v>
      </c>
    </row>
    <row r="11" spans="1:8" x14ac:dyDescent="0.3">
      <c r="B11"/>
      <c r="C11" t="s">
        <v>3540</v>
      </c>
      <c r="D11" t="s">
        <v>3529</v>
      </c>
      <c r="E11" t="s">
        <v>897</v>
      </c>
      <c r="F11" t="s">
        <v>896</v>
      </c>
      <c r="G11" t="s">
        <v>899</v>
      </c>
      <c r="H11" t="s">
        <v>898</v>
      </c>
    </row>
    <row r="12" spans="1:8" x14ac:dyDescent="0.3">
      <c r="B12"/>
      <c r="C12" t="s">
        <v>3543</v>
      </c>
      <c r="D12" t="s">
        <v>3530</v>
      </c>
      <c r="E12" t="s">
        <v>903</v>
      </c>
      <c r="F12" t="s">
        <v>902</v>
      </c>
      <c r="G12" t="s">
        <v>905</v>
      </c>
      <c r="H12" t="s">
        <v>904</v>
      </c>
    </row>
    <row r="13" spans="1:8" x14ac:dyDescent="0.3">
      <c r="B13"/>
      <c r="C13" t="s">
        <v>3546</v>
      </c>
      <c r="D13" t="s">
        <v>3532</v>
      </c>
      <c r="E13" t="s">
        <v>909</v>
      </c>
      <c r="F13" t="s">
        <v>908</v>
      </c>
      <c r="G13" t="s">
        <v>911</v>
      </c>
      <c r="H13" t="s">
        <v>910</v>
      </c>
    </row>
    <row r="14" spans="1:8" x14ac:dyDescent="0.3">
      <c r="B14"/>
      <c r="C14" t="s">
        <v>3549</v>
      </c>
      <c r="D14" t="s">
        <v>3533</v>
      </c>
      <c r="E14" t="s">
        <v>915</v>
      </c>
      <c r="F14" t="s">
        <v>914</v>
      </c>
      <c r="G14" t="s">
        <v>917</v>
      </c>
      <c r="H14" t="s">
        <v>916</v>
      </c>
    </row>
    <row r="15" spans="1:8" x14ac:dyDescent="0.3">
      <c r="B15"/>
      <c r="C15" t="s">
        <v>3552</v>
      </c>
      <c r="D15" t="s">
        <v>3535</v>
      </c>
      <c r="E15" t="s">
        <v>921</v>
      </c>
      <c r="F15" t="s">
        <v>920</v>
      </c>
      <c r="G15" t="s">
        <v>923</v>
      </c>
      <c r="H15" t="s">
        <v>922</v>
      </c>
    </row>
    <row r="16" spans="1:8" x14ac:dyDescent="0.3">
      <c r="B16"/>
      <c r="C16" t="s">
        <v>3555</v>
      </c>
      <c r="D16" t="s">
        <v>3536</v>
      </c>
      <c r="E16" t="s">
        <v>927</v>
      </c>
      <c r="F16" t="s">
        <v>926</v>
      </c>
      <c r="G16" t="s">
        <v>929</v>
      </c>
      <c r="H16" t="s">
        <v>928</v>
      </c>
    </row>
    <row r="17" spans="2:8" x14ac:dyDescent="0.3">
      <c r="B17"/>
      <c r="C17" t="s">
        <v>3558</v>
      </c>
      <c r="D17" t="s">
        <v>3538</v>
      </c>
      <c r="E17" t="s">
        <v>933</v>
      </c>
      <c r="F17" t="s">
        <v>932</v>
      </c>
      <c r="G17" t="s">
        <v>935</v>
      </c>
      <c r="H17" t="s">
        <v>934</v>
      </c>
    </row>
    <row r="18" spans="2:8" x14ac:dyDescent="0.3">
      <c r="B18"/>
      <c r="C18" t="s">
        <v>3561</v>
      </c>
      <c r="D18" t="s">
        <v>3539</v>
      </c>
      <c r="E18" t="s">
        <v>939</v>
      </c>
      <c r="F18" t="s">
        <v>938</v>
      </c>
      <c r="G18" t="s">
        <v>941</v>
      </c>
      <c r="H18" t="s">
        <v>940</v>
      </c>
    </row>
    <row r="19" spans="2:8" x14ac:dyDescent="0.3">
      <c r="B19"/>
      <c r="C19" t="s">
        <v>3564</v>
      </c>
      <c r="D19" t="s">
        <v>3541</v>
      </c>
      <c r="E19" t="s">
        <v>959</v>
      </c>
      <c r="F19" t="s">
        <v>958</v>
      </c>
      <c r="G19" t="s">
        <v>959</v>
      </c>
      <c r="H19" t="s">
        <v>960</v>
      </c>
    </row>
    <row r="20" spans="2:8" x14ac:dyDescent="0.3">
      <c r="B20"/>
      <c r="C20" t="s">
        <v>3567</v>
      </c>
      <c r="D20" t="s">
        <v>3542</v>
      </c>
      <c r="F20"/>
      <c r="H20"/>
    </row>
    <row r="21" spans="2:8" x14ac:dyDescent="0.3">
      <c r="B21"/>
      <c r="C21" t="s">
        <v>3570</v>
      </c>
      <c r="D21" t="s">
        <v>3544</v>
      </c>
      <c r="F21"/>
      <c r="H21"/>
    </row>
    <row r="22" spans="2:8" x14ac:dyDescent="0.3">
      <c r="B22"/>
      <c r="C22" t="s">
        <v>3573</v>
      </c>
      <c r="D22" t="s">
        <v>3545</v>
      </c>
      <c r="F22"/>
      <c r="H22"/>
    </row>
    <row r="23" spans="2:8" x14ac:dyDescent="0.3">
      <c r="B23"/>
      <c r="C23" t="s">
        <v>3576</v>
      </c>
      <c r="D23" t="s">
        <v>3547</v>
      </c>
      <c r="F23"/>
      <c r="H23"/>
    </row>
    <row r="24" spans="2:8" x14ac:dyDescent="0.3">
      <c r="B24"/>
      <c r="C24" t="s">
        <v>3579</v>
      </c>
      <c r="D24" t="s">
        <v>3548</v>
      </c>
      <c r="F24"/>
      <c r="H24"/>
    </row>
    <row r="25" spans="2:8" x14ac:dyDescent="0.3">
      <c r="B25"/>
      <c r="C25" t="s">
        <v>3582</v>
      </c>
      <c r="D25" t="s">
        <v>3550</v>
      </c>
      <c r="F25"/>
      <c r="H25"/>
    </row>
    <row r="26" spans="2:8" x14ac:dyDescent="0.3">
      <c r="B26"/>
      <c r="C26" t="s">
        <v>3585</v>
      </c>
      <c r="D26" t="s">
        <v>3551</v>
      </c>
      <c r="F26"/>
      <c r="H26"/>
    </row>
    <row r="27" spans="2:8" x14ac:dyDescent="0.3">
      <c r="B27"/>
      <c r="C27" t="s">
        <v>3588</v>
      </c>
      <c r="D27" t="s">
        <v>3553</v>
      </c>
      <c r="F27"/>
      <c r="H27"/>
    </row>
    <row r="28" spans="2:8" x14ac:dyDescent="0.3">
      <c r="B28"/>
      <c r="C28" t="s">
        <v>3591</v>
      </c>
      <c r="D28" t="s">
        <v>3554</v>
      </c>
      <c r="F28"/>
      <c r="H28"/>
    </row>
    <row r="29" spans="2:8" x14ac:dyDescent="0.3">
      <c r="B29"/>
      <c r="C29" t="s">
        <v>3594</v>
      </c>
      <c r="D29" t="s">
        <v>3556</v>
      </c>
      <c r="F29"/>
      <c r="H29"/>
    </row>
    <row r="30" spans="2:8" x14ac:dyDescent="0.3">
      <c r="B30"/>
      <c r="C30" t="s">
        <v>3597</v>
      </c>
      <c r="D30" t="s">
        <v>3557</v>
      </c>
      <c r="F30"/>
      <c r="H30"/>
    </row>
    <row r="31" spans="2:8" x14ac:dyDescent="0.3">
      <c r="B31"/>
      <c r="C31" t="s">
        <v>3600</v>
      </c>
      <c r="D31" t="s">
        <v>3559</v>
      </c>
      <c r="F31"/>
      <c r="H31"/>
    </row>
    <row r="32" spans="2:8" x14ac:dyDescent="0.3">
      <c r="B32"/>
      <c r="C32" t="s">
        <v>3603</v>
      </c>
      <c r="D32" t="s">
        <v>3560</v>
      </c>
      <c r="F32"/>
      <c r="H32"/>
    </row>
    <row r="33" spans="3:4" customFormat="1" x14ac:dyDescent="0.3">
      <c r="C33" t="s">
        <v>3606</v>
      </c>
      <c r="D33" t="s">
        <v>3562</v>
      </c>
    </row>
    <row r="34" spans="3:4" customFormat="1" x14ac:dyDescent="0.3">
      <c r="C34" t="s">
        <v>3609</v>
      </c>
      <c r="D34" t="s">
        <v>3563</v>
      </c>
    </row>
    <row r="35" spans="3:4" customFormat="1" x14ac:dyDescent="0.3">
      <c r="C35" t="s">
        <v>3612</v>
      </c>
      <c r="D35" t="s">
        <v>3565</v>
      </c>
    </row>
    <row r="36" spans="3:4" customFormat="1" x14ac:dyDescent="0.3">
      <c r="C36" t="s">
        <v>3615</v>
      </c>
      <c r="D36" t="s">
        <v>3566</v>
      </c>
    </row>
    <row r="37" spans="3:4" customFormat="1" x14ac:dyDescent="0.3">
      <c r="C37" t="s">
        <v>3618</v>
      </c>
      <c r="D37" t="s">
        <v>3568</v>
      </c>
    </row>
    <row r="38" spans="3:4" customFormat="1" x14ac:dyDescent="0.3">
      <c r="C38" t="s">
        <v>3621</v>
      </c>
      <c r="D38" t="s">
        <v>3569</v>
      </c>
    </row>
    <row r="39" spans="3:4" customFormat="1" x14ac:dyDescent="0.3">
      <c r="C39" t="s">
        <v>3624</v>
      </c>
      <c r="D39" t="s">
        <v>3571</v>
      </c>
    </row>
    <row r="40" spans="3:4" customFormat="1" x14ac:dyDescent="0.3">
      <c r="C40" t="s">
        <v>3627</v>
      </c>
      <c r="D40" t="s">
        <v>3572</v>
      </c>
    </row>
    <row r="41" spans="3:4" customFormat="1" x14ac:dyDescent="0.3">
      <c r="C41" t="s">
        <v>3630</v>
      </c>
      <c r="D41" t="s">
        <v>3574</v>
      </c>
    </row>
    <row r="42" spans="3:4" customFormat="1" x14ac:dyDescent="0.3">
      <c r="C42" t="s">
        <v>3633</v>
      </c>
      <c r="D42" t="s">
        <v>3575</v>
      </c>
    </row>
    <row r="43" spans="3:4" customFormat="1" x14ac:dyDescent="0.3">
      <c r="C43" t="s">
        <v>3636</v>
      </c>
      <c r="D43" t="s">
        <v>3577</v>
      </c>
    </row>
    <row r="44" spans="3:4" customFormat="1" x14ac:dyDescent="0.3">
      <c r="C44" t="s">
        <v>3639</v>
      </c>
      <c r="D44" t="s">
        <v>3578</v>
      </c>
    </row>
    <row r="45" spans="3:4" customFormat="1" x14ac:dyDescent="0.3">
      <c r="C45" t="s">
        <v>3642</v>
      </c>
      <c r="D45" t="s">
        <v>3580</v>
      </c>
    </row>
    <row r="46" spans="3:4" customFormat="1" x14ac:dyDescent="0.3">
      <c r="C46" t="s">
        <v>3645</v>
      </c>
      <c r="D46" t="s">
        <v>3581</v>
      </c>
    </row>
    <row r="47" spans="3:4" customFormat="1" x14ac:dyDescent="0.3">
      <c r="C47" t="s">
        <v>3648</v>
      </c>
      <c r="D47" t="s">
        <v>3583</v>
      </c>
    </row>
    <row r="48" spans="3:4" customFormat="1" x14ac:dyDescent="0.3">
      <c r="C48" t="s">
        <v>3651</v>
      </c>
      <c r="D48" t="s">
        <v>3584</v>
      </c>
    </row>
    <row r="49" spans="3:4" customFormat="1" x14ac:dyDescent="0.3">
      <c r="C49" t="s">
        <v>3654</v>
      </c>
      <c r="D49" t="s">
        <v>3586</v>
      </c>
    </row>
    <row r="50" spans="3:4" customFormat="1" x14ac:dyDescent="0.3">
      <c r="C50" t="s">
        <v>3657</v>
      </c>
      <c r="D50" t="s">
        <v>3587</v>
      </c>
    </row>
    <row r="51" spans="3:4" customFormat="1" x14ac:dyDescent="0.3">
      <c r="C51" t="s">
        <v>3660</v>
      </c>
      <c r="D51" t="s">
        <v>3589</v>
      </c>
    </row>
    <row r="52" spans="3:4" customFormat="1" x14ac:dyDescent="0.3">
      <c r="C52" t="s">
        <v>3663</v>
      </c>
      <c r="D52" t="s">
        <v>3590</v>
      </c>
    </row>
    <row r="53" spans="3:4" customFormat="1" x14ac:dyDescent="0.3">
      <c r="C53" t="s">
        <v>3666</v>
      </c>
      <c r="D53" t="s">
        <v>3592</v>
      </c>
    </row>
    <row r="54" spans="3:4" customFormat="1" x14ac:dyDescent="0.3">
      <c r="C54" t="s">
        <v>3669</v>
      </c>
      <c r="D54" t="s">
        <v>3593</v>
      </c>
    </row>
    <row r="55" spans="3:4" customFormat="1" x14ac:dyDescent="0.3">
      <c r="C55" t="s">
        <v>3672</v>
      </c>
      <c r="D55" t="s">
        <v>3595</v>
      </c>
    </row>
    <row r="56" spans="3:4" customFormat="1" x14ac:dyDescent="0.3">
      <c r="C56" t="s">
        <v>3675</v>
      </c>
      <c r="D56" t="s">
        <v>3596</v>
      </c>
    </row>
    <row r="57" spans="3:4" customFormat="1" x14ac:dyDescent="0.3">
      <c r="C57" t="s">
        <v>3678</v>
      </c>
      <c r="D57" t="s">
        <v>3598</v>
      </c>
    </row>
    <row r="58" spans="3:4" customFormat="1" x14ac:dyDescent="0.3">
      <c r="C58" t="s">
        <v>3681</v>
      </c>
      <c r="D58" t="s">
        <v>3599</v>
      </c>
    </row>
    <row r="59" spans="3:4" customFormat="1" x14ac:dyDescent="0.3">
      <c r="C59" t="s">
        <v>3684</v>
      </c>
      <c r="D59" t="s">
        <v>3601</v>
      </c>
    </row>
    <row r="60" spans="3:4" customFormat="1" x14ac:dyDescent="0.3">
      <c r="C60" t="s">
        <v>3687</v>
      </c>
      <c r="D60" t="s">
        <v>3602</v>
      </c>
    </row>
    <row r="61" spans="3:4" customFormat="1" x14ac:dyDescent="0.3">
      <c r="C61" t="s">
        <v>3690</v>
      </c>
      <c r="D61" t="s">
        <v>3604</v>
      </c>
    </row>
    <row r="62" spans="3:4" customFormat="1" x14ac:dyDescent="0.3">
      <c r="C62" t="s">
        <v>3693</v>
      </c>
      <c r="D62" t="s">
        <v>3605</v>
      </c>
    </row>
    <row r="63" spans="3:4" customFormat="1" x14ac:dyDescent="0.3">
      <c r="C63" t="s">
        <v>3696</v>
      </c>
      <c r="D63" t="s">
        <v>3607</v>
      </c>
    </row>
    <row r="64" spans="3:4" customFormat="1" x14ac:dyDescent="0.3">
      <c r="C64" t="s">
        <v>3699</v>
      </c>
      <c r="D64" t="s">
        <v>3608</v>
      </c>
    </row>
    <row r="65" spans="3:4" customFormat="1" x14ac:dyDescent="0.3">
      <c r="C65" t="s">
        <v>3702</v>
      </c>
      <c r="D65" t="s">
        <v>3610</v>
      </c>
    </row>
    <row r="66" spans="3:4" customFormat="1" x14ac:dyDescent="0.3">
      <c r="C66" t="s">
        <v>3705</v>
      </c>
      <c r="D66" t="s">
        <v>3611</v>
      </c>
    </row>
    <row r="67" spans="3:4" customFormat="1" x14ac:dyDescent="0.3">
      <c r="C67" t="s">
        <v>3708</v>
      </c>
      <c r="D67" t="s">
        <v>3613</v>
      </c>
    </row>
    <row r="68" spans="3:4" customFormat="1" x14ac:dyDescent="0.3">
      <c r="C68" t="s">
        <v>3711</v>
      </c>
      <c r="D68" t="s">
        <v>3614</v>
      </c>
    </row>
    <row r="69" spans="3:4" customFormat="1" x14ac:dyDescent="0.3">
      <c r="C69" t="s">
        <v>3714</v>
      </c>
      <c r="D69" t="s">
        <v>3616</v>
      </c>
    </row>
    <row r="70" spans="3:4" customFormat="1" x14ac:dyDescent="0.3">
      <c r="C70" t="s">
        <v>3717</v>
      </c>
      <c r="D70" t="s">
        <v>3617</v>
      </c>
    </row>
    <row r="71" spans="3:4" customFormat="1" x14ac:dyDescent="0.3">
      <c r="C71" t="s">
        <v>3720</v>
      </c>
      <c r="D71" t="s">
        <v>3619</v>
      </c>
    </row>
    <row r="72" spans="3:4" customFormat="1" x14ac:dyDescent="0.3">
      <c r="C72" t="s">
        <v>3723</v>
      </c>
      <c r="D72" t="s">
        <v>3620</v>
      </c>
    </row>
    <row r="73" spans="3:4" customFormat="1" x14ac:dyDescent="0.3">
      <c r="C73" t="s">
        <v>3726</v>
      </c>
      <c r="D73" t="s">
        <v>3622</v>
      </c>
    </row>
    <row r="74" spans="3:4" customFormat="1" x14ac:dyDescent="0.3">
      <c r="C74" t="s">
        <v>3729</v>
      </c>
      <c r="D74" t="s">
        <v>3623</v>
      </c>
    </row>
    <row r="75" spans="3:4" customFormat="1" x14ac:dyDescent="0.3">
      <c r="C75" t="s">
        <v>3732</v>
      </c>
      <c r="D75" t="s">
        <v>3625</v>
      </c>
    </row>
    <row r="76" spans="3:4" customFormat="1" x14ac:dyDescent="0.3">
      <c r="C76" t="s">
        <v>3735</v>
      </c>
      <c r="D76" t="s">
        <v>3626</v>
      </c>
    </row>
    <row r="77" spans="3:4" customFormat="1" x14ac:dyDescent="0.3">
      <c r="C77" t="s">
        <v>3738</v>
      </c>
      <c r="D77" t="s">
        <v>3628</v>
      </c>
    </row>
    <row r="78" spans="3:4" customFormat="1" x14ac:dyDescent="0.3">
      <c r="C78" t="s">
        <v>3741</v>
      </c>
      <c r="D78" t="s">
        <v>3629</v>
      </c>
    </row>
    <row r="79" spans="3:4" customFormat="1" x14ac:dyDescent="0.3">
      <c r="C79" t="s">
        <v>3744</v>
      </c>
      <c r="D79" t="s">
        <v>3631</v>
      </c>
    </row>
    <row r="80" spans="3:4" customFormat="1" x14ac:dyDescent="0.3">
      <c r="C80" t="s">
        <v>3747</v>
      </c>
      <c r="D80" t="s">
        <v>3632</v>
      </c>
    </row>
    <row r="81" spans="3:4" customFormat="1" x14ac:dyDescent="0.3">
      <c r="C81" t="s">
        <v>3750</v>
      </c>
      <c r="D81" t="s">
        <v>3634</v>
      </c>
    </row>
    <row r="82" spans="3:4" customFormat="1" x14ac:dyDescent="0.3">
      <c r="C82" t="s">
        <v>3753</v>
      </c>
      <c r="D82" t="s">
        <v>3635</v>
      </c>
    </row>
    <row r="83" spans="3:4" customFormat="1" x14ac:dyDescent="0.3">
      <c r="C83" t="s">
        <v>3756</v>
      </c>
      <c r="D83" t="s">
        <v>3637</v>
      </c>
    </row>
    <row r="84" spans="3:4" customFormat="1" x14ac:dyDescent="0.3">
      <c r="C84" t="s">
        <v>3759</v>
      </c>
      <c r="D84" t="s">
        <v>3638</v>
      </c>
    </row>
    <row r="85" spans="3:4" customFormat="1" x14ac:dyDescent="0.3">
      <c r="C85" t="s">
        <v>3762</v>
      </c>
      <c r="D85" t="s">
        <v>3640</v>
      </c>
    </row>
    <row r="86" spans="3:4" customFormat="1" x14ac:dyDescent="0.3">
      <c r="C86" t="s">
        <v>3765</v>
      </c>
      <c r="D86" t="s">
        <v>3641</v>
      </c>
    </row>
    <row r="87" spans="3:4" customFormat="1" x14ac:dyDescent="0.3">
      <c r="C87" t="s">
        <v>3768</v>
      </c>
      <c r="D87" t="s">
        <v>3643</v>
      </c>
    </row>
    <row r="88" spans="3:4" customFormat="1" x14ac:dyDescent="0.3">
      <c r="C88" t="s">
        <v>3771</v>
      </c>
      <c r="D88" t="s">
        <v>3644</v>
      </c>
    </row>
    <row r="89" spans="3:4" customFormat="1" x14ac:dyDescent="0.3">
      <c r="C89" t="s">
        <v>3774</v>
      </c>
      <c r="D89" t="s">
        <v>3646</v>
      </c>
    </row>
    <row r="90" spans="3:4" customFormat="1" x14ac:dyDescent="0.3">
      <c r="C90" t="s">
        <v>3777</v>
      </c>
      <c r="D90" t="s">
        <v>3647</v>
      </c>
    </row>
    <row r="91" spans="3:4" customFormat="1" x14ac:dyDescent="0.3">
      <c r="C91" t="s">
        <v>3780</v>
      </c>
      <c r="D91" t="s">
        <v>3649</v>
      </c>
    </row>
    <row r="92" spans="3:4" customFormat="1" x14ac:dyDescent="0.3">
      <c r="C92" t="s">
        <v>3783</v>
      </c>
      <c r="D92" t="s">
        <v>3650</v>
      </c>
    </row>
    <row r="93" spans="3:4" customFormat="1" x14ac:dyDescent="0.3">
      <c r="C93" t="s">
        <v>3786</v>
      </c>
      <c r="D93" t="s">
        <v>3652</v>
      </c>
    </row>
    <row r="94" spans="3:4" customFormat="1" x14ac:dyDescent="0.3">
      <c r="C94" t="s">
        <v>3789</v>
      </c>
      <c r="D94" t="s">
        <v>3653</v>
      </c>
    </row>
    <row r="95" spans="3:4" customFormat="1" x14ac:dyDescent="0.3">
      <c r="C95" t="s">
        <v>3792</v>
      </c>
      <c r="D95" t="s">
        <v>3655</v>
      </c>
    </row>
    <row r="96" spans="3:4" customFormat="1" x14ac:dyDescent="0.3">
      <c r="C96" t="s">
        <v>3795</v>
      </c>
      <c r="D96" t="s">
        <v>3656</v>
      </c>
    </row>
    <row r="97" spans="3:4" customFormat="1" x14ac:dyDescent="0.3">
      <c r="C97" t="s">
        <v>3798</v>
      </c>
      <c r="D97" t="s">
        <v>3658</v>
      </c>
    </row>
    <row r="98" spans="3:4" customFormat="1" x14ac:dyDescent="0.3">
      <c r="C98" t="s">
        <v>3801</v>
      </c>
      <c r="D98" t="s">
        <v>3659</v>
      </c>
    </row>
    <row r="99" spans="3:4" customFormat="1" x14ac:dyDescent="0.3">
      <c r="C99" t="s">
        <v>3804</v>
      </c>
      <c r="D99" t="s">
        <v>3661</v>
      </c>
    </row>
    <row r="100" spans="3:4" customFormat="1" x14ac:dyDescent="0.3">
      <c r="C100" t="s">
        <v>3807</v>
      </c>
      <c r="D100" t="s">
        <v>3662</v>
      </c>
    </row>
    <row r="101" spans="3:4" customFormat="1" x14ac:dyDescent="0.3">
      <c r="C101" t="s">
        <v>3810</v>
      </c>
      <c r="D101" t="s">
        <v>3664</v>
      </c>
    </row>
    <row r="102" spans="3:4" customFormat="1" x14ac:dyDescent="0.3">
      <c r="C102" t="s">
        <v>3813</v>
      </c>
      <c r="D102" t="s">
        <v>3665</v>
      </c>
    </row>
    <row r="103" spans="3:4" customFormat="1" x14ac:dyDescent="0.3">
      <c r="C103" t="s">
        <v>3816</v>
      </c>
      <c r="D103" t="s">
        <v>3667</v>
      </c>
    </row>
    <row r="104" spans="3:4" customFormat="1" x14ac:dyDescent="0.3">
      <c r="C104" t="s">
        <v>3819</v>
      </c>
      <c r="D104" t="s">
        <v>3668</v>
      </c>
    </row>
    <row r="105" spans="3:4" customFormat="1" x14ac:dyDescent="0.3">
      <c r="C105" t="s">
        <v>3822</v>
      </c>
      <c r="D105" t="s">
        <v>3670</v>
      </c>
    </row>
    <row r="106" spans="3:4" customFormat="1" x14ac:dyDescent="0.3">
      <c r="C106" t="s">
        <v>3825</v>
      </c>
      <c r="D106" t="s">
        <v>3671</v>
      </c>
    </row>
    <row r="107" spans="3:4" customFormat="1" x14ac:dyDescent="0.3">
      <c r="C107" t="s">
        <v>3828</v>
      </c>
      <c r="D107" t="s">
        <v>3673</v>
      </c>
    </row>
    <row r="108" spans="3:4" customFormat="1" x14ac:dyDescent="0.3">
      <c r="C108" t="s">
        <v>3831</v>
      </c>
      <c r="D108" t="s">
        <v>3674</v>
      </c>
    </row>
    <row r="109" spans="3:4" customFormat="1" x14ac:dyDescent="0.3">
      <c r="C109" t="s">
        <v>3834</v>
      </c>
      <c r="D109" t="s">
        <v>3676</v>
      </c>
    </row>
    <row r="110" spans="3:4" customFormat="1" x14ac:dyDescent="0.3">
      <c r="C110" t="s">
        <v>3837</v>
      </c>
      <c r="D110" t="s">
        <v>3677</v>
      </c>
    </row>
    <row r="111" spans="3:4" customFormat="1" x14ac:dyDescent="0.3">
      <c r="C111" t="s">
        <v>3840</v>
      </c>
      <c r="D111" t="s">
        <v>3679</v>
      </c>
    </row>
    <row r="112" spans="3:4" customFormat="1" x14ac:dyDescent="0.3">
      <c r="C112" t="s">
        <v>3843</v>
      </c>
      <c r="D112" t="s">
        <v>3680</v>
      </c>
    </row>
    <row r="113" spans="3:4" customFormat="1" x14ac:dyDescent="0.3">
      <c r="C113" t="s">
        <v>3846</v>
      </c>
      <c r="D113" t="s">
        <v>3682</v>
      </c>
    </row>
    <row r="114" spans="3:4" customFormat="1" x14ac:dyDescent="0.3">
      <c r="C114" t="s">
        <v>3849</v>
      </c>
      <c r="D114" t="s">
        <v>3683</v>
      </c>
    </row>
    <row r="115" spans="3:4" customFormat="1" x14ac:dyDescent="0.3">
      <c r="C115" t="s">
        <v>3852</v>
      </c>
      <c r="D115" t="s">
        <v>3685</v>
      </c>
    </row>
    <row r="116" spans="3:4" customFormat="1" x14ac:dyDescent="0.3">
      <c r="C116" t="s">
        <v>3855</v>
      </c>
      <c r="D116" t="s">
        <v>3686</v>
      </c>
    </row>
    <row r="117" spans="3:4" customFormat="1" x14ac:dyDescent="0.3">
      <c r="C117" t="s">
        <v>3858</v>
      </c>
      <c r="D117" t="s">
        <v>3688</v>
      </c>
    </row>
    <row r="118" spans="3:4" customFormat="1" x14ac:dyDescent="0.3">
      <c r="C118" t="s">
        <v>3861</v>
      </c>
      <c r="D118" t="s">
        <v>3689</v>
      </c>
    </row>
    <row r="119" spans="3:4" customFormat="1" x14ac:dyDescent="0.3">
      <c r="C119" t="s">
        <v>3864</v>
      </c>
      <c r="D119" t="s">
        <v>3691</v>
      </c>
    </row>
    <row r="120" spans="3:4" customFormat="1" x14ac:dyDescent="0.3">
      <c r="C120" t="s">
        <v>3867</v>
      </c>
      <c r="D120" t="s">
        <v>3692</v>
      </c>
    </row>
    <row r="121" spans="3:4" customFormat="1" x14ac:dyDescent="0.3">
      <c r="C121" t="s">
        <v>3870</v>
      </c>
      <c r="D121" t="s">
        <v>3694</v>
      </c>
    </row>
    <row r="122" spans="3:4" customFormat="1" x14ac:dyDescent="0.3">
      <c r="C122" t="s">
        <v>3873</v>
      </c>
      <c r="D122" t="s">
        <v>3695</v>
      </c>
    </row>
    <row r="123" spans="3:4" customFormat="1" x14ac:dyDescent="0.3">
      <c r="C123" t="s">
        <v>3876</v>
      </c>
      <c r="D123" t="s">
        <v>3697</v>
      </c>
    </row>
    <row r="124" spans="3:4" customFormat="1" x14ac:dyDescent="0.3">
      <c r="C124" t="s">
        <v>3879</v>
      </c>
      <c r="D124" t="s">
        <v>3698</v>
      </c>
    </row>
    <row r="125" spans="3:4" customFormat="1" x14ac:dyDescent="0.3">
      <c r="C125" t="s">
        <v>3882</v>
      </c>
      <c r="D125" t="s">
        <v>3700</v>
      </c>
    </row>
    <row r="126" spans="3:4" customFormat="1" x14ac:dyDescent="0.3">
      <c r="C126" t="s">
        <v>3885</v>
      </c>
      <c r="D126" t="s">
        <v>3701</v>
      </c>
    </row>
    <row r="127" spans="3:4" customFormat="1" x14ac:dyDescent="0.3">
      <c r="C127" t="s">
        <v>3888</v>
      </c>
      <c r="D127" t="s">
        <v>3703</v>
      </c>
    </row>
    <row r="128" spans="3:4" customFormat="1" x14ac:dyDescent="0.3">
      <c r="C128" t="s">
        <v>3891</v>
      </c>
      <c r="D128" t="s">
        <v>3704</v>
      </c>
    </row>
    <row r="129" spans="3:4" customFormat="1" x14ac:dyDescent="0.3">
      <c r="C129" t="s">
        <v>3894</v>
      </c>
      <c r="D129" t="s">
        <v>3706</v>
      </c>
    </row>
    <row r="130" spans="3:4" customFormat="1" x14ac:dyDescent="0.3">
      <c r="C130" t="s">
        <v>3897</v>
      </c>
      <c r="D130" t="s">
        <v>3707</v>
      </c>
    </row>
    <row r="131" spans="3:4" customFormat="1" x14ac:dyDescent="0.3">
      <c r="C131" t="s">
        <v>3900</v>
      </c>
      <c r="D131" t="s">
        <v>3709</v>
      </c>
    </row>
    <row r="132" spans="3:4" customFormat="1" x14ac:dyDescent="0.3">
      <c r="C132" t="s">
        <v>3903</v>
      </c>
      <c r="D132" t="s">
        <v>3710</v>
      </c>
    </row>
    <row r="133" spans="3:4" customFormat="1" x14ac:dyDescent="0.3">
      <c r="C133" t="s">
        <v>3906</v>
      </c>
      <c r="D133" t="s">
        <v>3712</v>
      </c>
    </row>
    <row r="134" spans="3:4" customFormat="1" x14ac:dyDescent="0.3">
      <c r="C134" t="s">
        <v>3909</v>
      </c>
      <c r="D134" t="s">
        <v>3713</v>
      </c>
    </row>
    <row r="135" spans="3:4" customFormat="1" x14ac:dyDescent="0.3">
      <c r="C135" t="s">
        <v>3912</v>
      </c>
      <c r="D135" t="s">
        <v>3715</v>
      </c>
    </row>
    <row r="136" spans="3:4" customFormat="1" x14ac:dyDescent="0.3">
      <c r="C136" t="s">
        <v>3915</v>
      </c>
      <c r="D136" t="s">
        <v>3716</v>
      </c>
    </row>
    <row r="137" spans="3:4" customFormat="1" x14ac:dyDescent="0.3">
      <c r="C137" t="s">
        <v>3918</v>
      </c>
      <c r="D137" t="s">
        <v>3718</v>
      </c>
    </row>
    <row r="138" spans="3:4" customFormat="1" x14ac:dyDescent="0.3">
      <c r="C138" t="s">
        <v>3921</v>
      </c>
      <c r="D138" t="s">
        <v>3719</v>
      </c>
    </row>
    <row r="139" spans="3:4" customFormat="1" x14ac:dyDescent="0.3">
      <c r="C139" t="s">
        <v>3924</v>
      </c>
      <c r="D139" t="s">
        <v>3721</v>
      </c>
    </row>
    <row r="140" spans="3:4" customFormat="1" x14ac:dyDescent="0.3">
      <c r="C140" t="s">
        <v>3927</v>
      </c>
      <c r="D140" t="s">
        <v>3722</v>
      </c>
    </row>
    <row r="141" spans="3:4" customFormat="1" x14ac:dyDescent="0.3">
      <c r="C141" t="s">
        <v>3930</v>
      </c>
      <c r="D141" t="s">
        <v>3724</v>
      </c>
    </row>
    <row r="142" spans="3:4" customFormat="1" x14ac:dyDescent="0.3">
      <c r="C142" t="s">
        <v>3933</v>
      </c>
      <c r="D142" t="s">
        <v>3725</v>
      </c>
    </row>
    <row r="143" spans="3:4" customFormat="1" x14ac:dyDescent="0.3">
      <c r="C143" t="s">
        <v>3936</v>
      </c>
      <c r="D143" t="s">
        <v>3727</v>
      </c>
    </row>
    <row r="144" spans="3:4" customFormat="1" x14ac:dyDescent="0.3">
      <c r="C144" t="s">
        <v>3937</v>
      </c>
      <c r="D144" t="s">
        <v>3728</v>
      </c>
    </row>
    <row r="145" spans="3:4" customFormat="1" x14ac:dyDescent="0.3">
      <c r="C145" t="s">
        <v>3939</v>
      </c>
      <c r="D145" t="s">
        <v>3730</v>
      </c>
    </row>
    <row r="146" spans="3:4" customFormat="1" x14ac:dyDescent="0.3">
      <c r="C146" t="s">
        <v>3940</v>
      </c>
      <c r="D146" t="s">
        <v>3731</v>
      </c>
    </row>
    <row r="147" spans="3:4" customFormat="1" x14ac:dyDescent="0.3">
      <c r="C147" t="s">
        <v>3942</v>
      </c>
      <c r="D147" t="s">
        <v>3733</v>
      </c>
    </row>
    <row r="148" spans="3:4" customFormat="1" x14ac:dyDescent="0.3">
      <c r="C148" t="s">
        <v>3943</v>
      </c>
      <c r="D148" t="s">
        <v>3734</v>
      </c>
    </row>
    <row r="149" spans="3:4" customFormat="1" x14ac:dyDescent="0.3">
      <c r="C149" t="s">
        <v>3945</v>
      </c>
      <c r="D149" t="s">
        <v>3736</v>
      </c>
    </row>
    <row r="150" spans="3:4" customFormat="1" x14ac:dyDescent="0.3">
      <c r="C150" t="s">
        <v>3946</v>
      </c>
      <c r="D150" t="s">
        <v>3737</v>
      </c>
    </row>
    <row r="151" spans="3:4" customFormat="1" x14ac:dyDescent="0.3">
      <c r="C151" t="s">
        <v>3948</v>
      </c>
      <c r="D151" t="s">
        <v>3739</v>
      </c>
    </row>
    <row r="152" spans="3:4" customFormat="1" x14ac:dyDescent="0.3">
      <c r="C152" t="s">
        <v>3949</v>
      </c>
      <c r="D152" t="s">
        <v>3740</v>
      </c>
    </row>
    <row r="153" spans="3:4" customFormat="1" x14ac:dyDescent="0.3">
      <c r="C153" t="s">
        <v>3951</v>
      </c>
      <c r="D153" t="s">
        <v>3742</v>
      </c>
    </row>
    <row r="154" spans="3:4" customFormat="1" x14ac:dyDescent="0.3">
      <c r="C154" t="s">
        <v>3952</v>
      </c>
      <c r="D154" t="s">
        <v>3743</v>
      </c>
    </row>
    <row r="155" spans="3:4" customFormat="1" x14ac:dyDescent="0.3">
      <c r="C155" t="s">
        <v>3954</v>
      </c>
      <c r="D155" t="s">
        <v>3745</v>
      </c>
    </row>
    <row r="156" spans="3:4" customFormat="1" x14ac:dyDescent="0.3">
      <c r="C156" t="s">
        <v>3955</v>
      </c>
      <c r="D156" t="s">
        <v>3746</v>
      </c>
    </row>
    <row r="157" spans="3:4" customFormat="1" x14ac:dyDescent="0.3">
      <c r="C157" t="s">
        <v>3957</v>
      </c>
      <c r="D157" t="s">
        <v>3748</v>
      </c>
    </row>
    <row r="158" spans="3:4" customFormat="1" x14ac:dyDescent="0.3">
      <c r="C158" t="s">
        <v>3958</v>
      </c>
      <c r="D158" t="s">
        <v>3749</v>
      </c>
    </row>
    <row r="159" spans="3:4" customFormat="1" x14ac:dyDescent="0.3">
      <c r="C159" t="s">
        <v>3960</v>
      </c>
      <c r="D159" t="s">
        <v>3751</v>
      </c>
    </row>
    <row r="160" spans="3:4" customFormat="1" x14ac:dyDescent="0.3">
      <c r="C160" t="s">
        <v>3961</v>
      </c>
      <c r="D160" t="s">
        <v>3752</v>
      </c>
    </row>
    <row r="161" spans="3:4" customFormat="1" x14ac:dyDescent="0.3">
      <c r="C161" t="s">
        <v>3963</v>
      </c>
      <c r="D161" t="s">
        <v>3754</v>
      </c>
    </row>
    <row r="162" spans="3:4" customFormat="1" x14ac:dyDescent="0.3">
      <c r="C162" t="s">
        <v>3964</v>
      </c>
      <c r="D162" t="s">
        <v>3755</v>
      </c>
    </row>
    <row r="163" spans="3:4" customFormat="1" x14ac:dyDescent="0.3">
      <c r="C163" t="s">
        <v>3966</v>
      </c>
      <c r="D163" t="s">
        <v>3757</v>
      </c>
    </row>
    <row r="164" spans="3:4" customFormat="1" x14ac:dyDescent="0.3">
      <c r="C164" t="s">
        <v>3967</v>
      </c>
      <c r="D164" t="s">
        <v>3758</v>
      </c>
    </row>
    <row r="165" spans="3:4" customFormat="1" x14ac:dyDescent="0.3">
      <c r="C165" t="s">
        <v>3969</v>
      </c>
      <c r="D165" t="s">
        <v>3760</v>
      </c>
    </row>
    <row r="166" spans="3:4" customFormat="1" x14ac:dyDescent="0.3">
      <c r="C166" t="s">
        <v>3970</v>
      </c>
      <c r="D166" t="s">
        <v>3761</v>
      </c>
    </row>
    <row r="167" spans="3:4" customFormat="1" x14ac:dyDescent="0.3">
      <c r="C167" t="s">
        <v>3972</v>
      </c>
      <c r="D167" t="s">
        <v>3763</v>
      </c>
    </row>
    <row r="168" spans="3:4" customFormat="1" x14ac:dyDescent="0.3">
      <c r="C168" t="s">
        <v>3973</v>
      </c>
      <c r="D168" t="s">
        <v>3764</v>
      </c>
    </row>
    <row r="169" spans="3:4" customFormat="1" x14ac:dyDescent="0.3">
      <c r="C169" t="s">
        <v>3975</v>
      </c>
      <c r="D169" t="s">
        <v>3766</v>
      </c>
    </row>
    <row r="170" spans="3:4" customFormat="1" x14ac:dyDescent="0.3">
      <c r="C170" t="s">
        <v>3976</v>
      </c>
      <c r="D170" t="s">
        <v>3767</v>
      </c>
    </row>
    <row r="171" spans="3:4" customFormat="1" x14ac:dyDescent="0.3">
      <c r="C171" t="s">
        <v>3978</v>
      </c>
      <c r="D171" t="s">
        <v>3769</v>
      </c>
    </row>
    <row r="172" spans="3:4" customFormat="1" x14ac:dyDescent="0.3">
      <c r="C172" t="s">
        <v>3979</v>
      </c>
      <c r="D172" t="s">
        <v>3770</v>
      </c>
    </row>
    <row r="173" spans="3:4" customFormat="1" x14ac:dyDescent="0.3">
      <c r="C173" t="s">
        <v>3981</v>
      </c>
      <c r="D173" t="s">
        <v>3772</v>
      </c>
    </row>
    <row r="174" spans="3:4" customFormat="1" x14ac:dyDescent="0.3">
      <c r="C174" t="s">
        <v>3982</v>
      </c>
      <c r="D174" t="s">
        <v>3773</v>
      </c>
    </row>
    <row r="175" spans="3:4" customFormat="1" x14ac:dyDescent="0.3">
      <c r="C175" t="s">
        <v>3984</v>
      </c>
      <c r="D175" t="s">
        <v>3775</v>
      </c>
    </row>
    <row r="176" spans="3:4" customFormat="1" x14ac:dyDescent="0.3">
      <c r="C176" t="s">
        <v>3985</v>
      </c>
      <c r="D176" t="s">
        <v>3776</v>
      </c>
    </row>
    <row r="177" spans="3:4" customFormat="1" x14ac:dyDescent="0.3">
      <c r="C177" t="s">
        <v>3987</v>
      </c>
      <c r="D177" t="s">
        <v>3778</v>
      </c>
    </row>
    <row r="178" spans="3:4" customFormat="1" x14ac:dyDescent="0.3">
      <c r="C178" t="s">
        <v>3988</v>
      </c>
      <c r="D178" t="s">
        <v>3779</v>
      </c>
    </row>
    <row r="179" spans="3:4" customFormat="1" x14ac:dyDescent="0.3">
      <c r="C179" t="s">
        <v>3990</v>
      </c>
      <c r="D179" t="s">
        <v>3781</v>
      </c>
    </row>
    <row r="180" spans="3:4" customFormat="1" x14ac:dyDescent="0.3">
      <c r="C180" t="s">
        <v>3991</v>
      </c>
      <c r="D180" t="s">
        <v>3782</v>
      </c>
    </row>
    <row r="181" spans="3:4" customFormat="1" x14ac:dyDescent="0.3">
      <c r="C181" t="s">
        <v>3993</v>
      </c>
      <c r="D181" t="s">
        <v>3784</v>
      </c>
    </row>
    <row r="182" spans="3:4" customFormat="1" x14ac:dyDescent="0.3">
      <c r="C182" t="s">
        <v>3994</v>
      </c>
      <c r="D182" t="s">
        <v>3785</v>
      </c>
    </row>
    <row r="183" spans="3:4" customFormat="1" x14ac:dyDescent="0.3">
      <c r="C183" t="s">
        <v>3996</v>
      </c>
      <c r="D183" t="s">
        <v>3787</v>
      </c>
    </row>
    <row r="184" spans="3:4" customFormat="1" x14ac:dyDescent="0.3">
      <c r="C184" t="s">
        <v>3997</v>
      </c>
      <c r="D184" t="s">
        <v>3788</v>
      </c>
    </row>
    <row r="185" spans="3:4" customFormat="1" x14ac:dyDescent="0.3">
      <c r="C185" t="s">
        <v>3999</v>
      </c>
      <c r="D185" t="s">
        <v>3790</v>
      </c>
    </row>
    <row r="186" spans="3:4" customFormat="1" x14ac:dyDescent="0.3">
      <c r="C186" t="s">
        <v>4000</v>
      </c>
      <c r="D186" t="s">
        <v>3791</v>
      </c>
    </row>
    <row r="187" spans="3:4" customFormat="1" x14ac:dyDescent="0.3">
      <c r="C187" t="s">
        <v>4002</v>
      </c>
      <c r="D187" t="s">
        <v>3793</v>
      </c>
    </row>
    <row r="188" spans="3:4" customFormat="1" x14ac:dyDescent="0.3">
      <c r="C188" t="s">
        <v>4003</v>
      </c>
      <c r="D188" t="s">
        <v>3794</v>
      </c>
    </row>
    <row r="189" spans="3:4" customFormat="1" x14ac:dyDescent="0.3">
      <c r="C189" t="s">
        <v>4005</v>
      </c>
      <c r="D189" t="s">
        <v>3796</v>
      </c>
    </row>
    <row r="190" spans="3:4" customFormat="1" x14ac:dyDescent="0.3">
      <c r="C190" t="s">
        <v>4006</v>
      </c>
      <c r="D190" t="s">
        <v>3797</v>
      </c>
    </row>
    <row r="191" spans="3:4" customFormat="1" x14ac:dyDescent="0.3">
      <c r="C191" t="s">
        <v>4008</v>
      </c>
      <c r="D191" t="s">
        <v>3799</v>
      </c>
    </row>
    <row r="192" spans="3:4" customFormat="1" x14ac:dyDescent="0.3">
      <c r="C192" t="s">
        <v>4009</v>
      </c>
      <c r="D192" t="s">
        <v>3800</v>
      </c>
    </row>
    <row r="193" spans="3:4" customFormat="1" x14ac:dyDescent="0.3">
      <c r="C193" t="s">
        <v>4011</v>
      </c>
      <c r="D193" t="s">
        <v>3802</v>
      </c>
    </row>
    <row r="194" spans="3:4" customFormat="1" x14ac:dyDescent="0.3">
      <c r="C194" t="s">
        <v>4012</v>
      </c>
      <c r="D194" t="s">
        <v>3803</v>
      </c>
    </row>
    <row r="195" spans="3:4" customFormat="1" x14ac:dyDescent="0.3">
      <c r="C195" t="s">
        <v>4014</v>
      </c>
      <c r="D195" t="s">
        <v>3805</v>
      </c>
    </row>
    <row r="196" spans="3:4" customFormat="1" x14ac:dyDescent="0.3">
      <c r="C196" t="s">
        <v>4015</v>
      </c>
      <c r="D196" t="s">
        <v>3806</v>
      </c>
    </row>
    <row r="197" spans="3:4" customFormat="1" x14ac:dyDescent="0.3">
      <c r="C197" t="s">
        <v>4017</v>
      </c>
      <c r="D197" t="s">
        <v>3808</v>
      </c>
    </row>
    <row r="198" spans="3:4" customFormat="1" x14ac:dyDescent="0.3">
      <c r="C198" t="s">
        <v>4018</v>
      </c>
      <c r="D198" t="s">
        <v>3809</v>
      </c>
    </row>
    <row r="199" spans="3:4" customFormat="1" x14ac:dyDescent="0.3">
      <c r="C199" t="s">
        <v>4020</v>
      </c>
      <c r="D199" t="s">
        <v>3811</v>
      </c>
    </row>
    <row r="200" spans="3:4" customFormat="1" x14ac:dyDescent="0.3">
      <c r="C200" t="s">
        <v>4021</v>
      </c>
      <c r="D200" t="s">
        <v>3812</v>
      </c>
    </row>
    <row r="201" spans="3:4" customFormat="1" x14ac:dyDescent="0.3">
      <c r="C201" t="s">
        <v>4023</v>
      </c>
      <c r="D201" t="s">
        <v>3814</v>
      </c>
    </row>
    <row r="202" spans="3:4" customFormat="1" x14ac:dyDescent="0.3">
      <c r="C202" t="s">
        <v>4024</v>
      </c>
      <c r="D202" t="s">
        <v>3815</v>
      </c>
    </row>
    <row r="203" spans="3:4" customFormat="1" x14ac:dyDescent="0.3">
      <c r="C203" t="s">
        <v>4026</v>
      </c>
      <c r="D203" t="s">
        <v>3817</v>
      </c>
    </row>
    <row r="204" spans="3:4" customFormat="1" x14ac:dyDescent="0.3">
      <c r="C204" t="s">
        <v>4027</v>
      </c>
      <c r="D204" t="s">
        <v>3818</v>
      </c>
    </row>
    <row r="205" spans="3:4" customFormat="1" x14ac:dyDescent="0.3">
      <c r="C205" t="s">
        <v>4029</v>
      </c>
      <c r="D205" t="s">
        <v>3820</v>
      </c>
    </row>
    <row r="206" spans="3:4" customFormat="1" x14ac:dyDescent="0.3">
      <c r="C206" t="s">
        <v>4030</v>
      </c>
      <c r="D206" t="s">
        <v>3821</v>
      </c>
    </row>
    <row r="207" spans="3:4" customFormat="1" x14ac:dyDescent="0.3">
      <c r="C207" t="s">
        <v>4032</v>
      </c>
      <c r="D207" t="s">
        <v>3823</v>
      </c>
    </row>
    <row r="208" spans="3:4" customFormat="1" x14ac:dyDescent="0.3">
      <c r="C208" t="s">
        <v>4033</v>
      </c>
      <c r="D208" t="s">
        <v>3824</v>
      </c>
    </row>
    <row r="209" spans="3:4" customFormat="1" x14ac:dyDescent="0.3">
      <c r="C209" t="s">
        <v>4035</v>
      </c>
      <c r="D209" t="s">
        <v>3826</v>
      </c>
    </row>
    <row r="210" spans="3:4" customFormat="1" x14ac:dyDescent="0.3">
      <c r="C210" t="s">
        <v>4036</v>
      </c>
      <c r="D210" t="s">
        <v>3827</v>
      </c>
    </row>
    <row r="211" spans="3:4" customFormat="1" x14ac:dyDescent="0.3">
      <c r="C211" t="s">
        <v>4038</v>
      </c>
      <c r="D211" t="s">
        <v>3829</v>
      </c>
    </row>
    <row r="212" spans="3:4" customFormat="1" x14ac:dyDescent="0.3">
      <c r="C212" t="s">
        <v>4039</v>
      </c>
      <c r="D212" t="s">
        <v>3830</v>
      </c>
    </row>
    <row r="213" spans="3:4" customFormat="1" x14ac:dyDescent="0.3">
      <c r="C213" t="s">
        <v>4041</v>
      </c>
      <c r="D213" t="s">
        <v>3832</v>
      </c>
    </row>
    <row r="214" spans="3:4" customFormat="1" x14ac:dyDescent="0.3">
      <c r="C214" t="s">
        <v>4042</v>
      </c>
      <c r="D214" t="s">
        <v>3833</v>
      </c>
    </row>
    <row r="215" spans="3:4" customFormat="1" x14ac:dyDescent="0.3">
      <c r="C215" t="s">
        <v>4044</v>
      </c>
      <c r="D215" t="s">
        <v>3835</v>
      </c>
    </row>
    <row r="216" spans="3:4" customFormat="1" x14ac:dyDescent="0.3">
      <c r="C216" t="s">
        <v>4045</v>
      </c>
      <c r="D216" t="s">
        <v>3836</v>
      </c>
    </row>
    <row r="217" spans="3:4" customFormat="1" x14ac:dyDescent="0.3">
      <c r="C217" t="s">
        <v>4047</v>
      </c>
      <c r="D217" t="s">
        <v>3838</v>
      </c>
    </row>
    <row r="218" spans="3:4" customFormat="1" x14ac:dyDescent="0.3">
      <c r="C218" t="s">
        <v>4048</v>
      </c>
      <c r="D218" t="s">
        <v>3839</v>
      </c>
    </row>
    <row r="219" spans="3:4" customFormat="1" x14ac:dyDescent="0.3">
      <c r="C219" t="s">
        <v>4050</v>
      </c>
      <c r="D219" t="s">
        <v>3841</v>
      </c>
    </row>
    <row r="220" spans="3:4" customFormat="1" x14ac:dyDescent="0.3">
      <c r="C220" t="s">
        <v>4051</v>
      </c>
      <c r="D220" t="s">
        <v>3842</v>
      </c>
    </row>
    <row r="221" spans="3:4" customFormat="1" x14ac:dyDescent="0.3">
      <c r="C221" t="s">
        <v>4053</v>
      </c>
      <c r="D221" t="s">
        <v>3844</v>
      </c>
    </row>
    <row r="222" spans="3:4" customFormat="1" x14ac:dyDescent="0.3">
      <c r="C222" t="s">
        <v>4054</v>
      </c>
      <c r="D222" t="s">
        <v>3845</v>
      </c>
    </row>
    <row r="223" spans="3:4" customFormat="1" x14ac:dyDescent="0.3">
      <c r="C223" t="s">
        <v>4056</v>
      </c>
      <c r="D223" t="s">
        <v>3847</v>
      </c>
    </row>
    <row r="224" spans="3:4" customFormat="1" x14ac:dyDescent="0.3">
      <c r="C224" t="s">
        <v>4057</v>
      </c>
      <c r="D224" t="s">
        <v>3848</v>
      </c>
    </row>
    <row r="225" spans="3:4" customFormat="1" x14ac:dyDescent="0.3">
      <c r="C225" t="s">
        <v>4059</v>
      </c>
      <c r="D225" t="s">
        <v>3850</v>
      </c>
    </row>
    <row r="226" spans="3:4" customFormat="1" x14ac:dyDescent="0.3">
      <c r="C226" t="s">
        <v>4060</v>
      </c>
      <c r="D226" t="s">
        <v>3851</v>
      </c>
    </row>
    <row r="227" spans="3:4" customFormat="1" x14ac:dyDescent="0.3">
      <c r="C227" t="s">
        <v>4062</v>
      </c>
      <c r="D227" t="s">
        <v>3853</v>
      </c>
    </row>
    <row r="228" spans="3:4" customFormat="1" x14ac:dyDescent="0.3">
      <c r="C228" t="s">
        <v>4063</v>
      </c>
      <c r="D228" t="s">
        <v>3854</v>
      </c>
    </row>
    <row r="229" spans="3:4" customFormat="1" x14ac:dyDescent="0.3">
      <c r="C229" t="s">
        <v>4065</v>
      </c>
      <c r="D229" t="s">
        <v>3856</v>
      </c>
    </row>
    <row r="230" spans="3:4" customFormat="1" x14ac:dyDescent="0.3">
      <c r="C230" t="s">
        <v>4066</v>
      </c>
      <c r="D230" t="s">
        <v>3857</v>
      </c>
    </row>
    <row r="231" spans="3:4" customFormat="1" x14ac:dyDescent="0.3">
      <c r="C231" t="s">
        <v>4068</v>
      </c>
      <c r="D231" t="s">
        <v>3859</v>
      </c>
    </row>
    <row r="232" spans="3:4" customFormat="1" x14ac:dyDescent="0.3">
      <c r="C232" t="s">
        <v>4069</v>
      </c>
      <c r="D232" t="s">
        <v>3860</v>
      </c>
    </row>
    <row r="233" spans="3:4" customFormat="1" x14ac:dyDescent="0.3">
      <c r="C233" t="s">
        <v>4071</v>
      </c>
      <c r="D233" t="s">
        <v>3862</v>
      </c>
    </row>
    <row r="234" spans="3:4" customFormat="1" x14ac:dyDescent="0.3">
      <c r="C234" t="s">
        <v>4072</v>
      </c>
      <c r="D234" t="s">
        <v>3863</v>
      </c>
    </row>
    <row r="235" spans="3:4" customFormat="1" x14ac:dyDescent="0.3">
      <c r="C235" t="s">
        <v>4074</v>
      </c>
      <c r="D235" t="s">
        <v>3865</v>
      </c>
    </row>
    <row r="236" spans="3:4" customFormat="1" x14ac:dyDescent="0.3">
      <c r="C236" t="s">
        <v>4075</v>
      </c>
      <c r="D236" t="s">
        <v>3866</v>
      </c>
    </row>
    <row r="237" spans="3:4" customFormat="1" x14ac:dyDescent="0.3">
      <c r="C237" t="s">
        <v>4077</v>
      </c>
      <c r="D237" t="s">
        <v>3868</v>
      </c>
    </row>
    <row r="238" spans="3:4" customFormat="1" x14ac:dyDescent="0.3">
      <c r="C238" t="s">
        <v>4078</v>
      </c>
      <c r="D238" t="s">
        <v>3869</v>
      </c>
    </row>
    <row r="239" spans="3:4" customFormat="1" x14ac:dyDescent="0.3">
      <c r="C239" t="s">
        <v>4080</v>
      </c>
      <c r="D239" t="s">
        <v>3871</v>
      </c>
    </row>
    <row r="240" spans="3:4" customFormat="1" x14ac:dyDescent="0.3">
      <c r="C240" t="s">
        <v>4081</v>
      </c>
      <c r="D240" t="s">
        <v>3872</v>
      </c>
    </row>
    <row r="241" spans="3:4" customFormat="1" x14ac:dyDescent="0.3">
      <c r="C241" t="s">
        <v>4083</v>
      </c>
      <c r="D241" t="s">
        <v>3874</v>
      </c>
    </row>
    <row r="242" spans="3:4" customFormat="1" x14ac:dyDescent="0.3">
      <c r="C242" t="s">
        <v>4084</v>
      </c>
      <c r="D242" t="s">
        <v>3875</v>
      </c>
    </row>
    <row r="243" spans="3:4" customFormat="1" x14ac:dyDescent="0.3">
      <c r="C243" t="s">
        <v>4086</v>
      </c>
      <c r="D243" t="s">
        <v>3877</v>
      </c>
    </row>
    <row r="244" spans="3:4" customFormat="1" x14ac:dyDescent="0.3">
      <c r="C244" t="s">
        <v>4087</v>
      </c>
      <c r="D244" t="s">
        <v>3878</v>
      </c>
    </row>
    <row r="245" spans="3:4" customFormat="1" x14ac:dyDescent="0.3">
      <c r="C245" t="s">
        <v>4089</v>
      </c>
      <c r="D245" t="s">
        <v>3880</v>
      </c>
    </row>
    <row r="246" spans="3:4" customFormat="1" x14ac:dyDescent="0.3">
      <c r="C246" t="s">
        <v>4090</v>
      </c>
      <c r="D246" t="s">
        <v>3881</v>
      </c>
    </row>
    <row r="247" spans="3:4" customFormat="1" x14ac:dyDescent="0.3">
      <c r="C247" t="s">
        <v>4092</v>
      </c>
      <c r="D247" t="s">
        <v>3883</v>
      </c>
    </row>
    <row r="248" spans="3:4" customFormat="1" x14ac:dyDescent="0.3">
      <c r="C248" t="s">
        <v>4093</v>
      </c>
      <c r="D248" t="s">
        <v>3884</v>
      </c>
    </row>
    <row r="249" spans="3:4" customFormat="1" x14ac:dyDescent="0.3">
      <c r="C249" t="s">
        <v>4095</v>
      </c>
      <c r="D249" t="s">
        <v>3886</v>
      </c>
    </row>
    <row r="250" spans="3:4" customFormat="1" x14ac:dyDescent="0.3">
      <c r="C250" t="s">
        <v>4096</v>
      </c>
      <c r="D250" t="s">
        <v>3887</v>
      </c>
    </row>
    <row r="251" spans="3:4" customFormat="1" x14ac:dyDescent="0.3">
      <c r="C251" t="s">
        <v>4098</v>
      </c>
      <c r="D251" t="s">
        <v>3889</v>
      </c>
    </row>
    <row r="252" spans="3:4" customFormat="1" x14ac:dyDescent="0.3">
      <c r="C252" t="s">
        <v>4099</v>
      </c>
      <c r="D252" t="s">
        <v>3890</v>
      </c>
    </row>
    <row r="253" spans="3:4" customFormat="1" x14ac:dyDescent="0.3">
      <c r="C253" t="s">
        <v>4101</v>
      </c>
      <c r="D253" t="s">
        <v>3892</v>
      </c>
    </row>
    <row r="254" spans="3:4" customFormat="1" x14ac:dyDescent="0.3">
      <c r="C254" t="s">
        <v>4102</v>
      </c>
      <c r="D254" t="s">
        <v>3893</v>
      </c>
    </row>
    <row r="255" spans="3:4" customFormat="1" x14ac:dyDescent="0.3">
      <c r="C255" t="s">
        <v>4104</v>
      </c>
      <c r="D255" t="s">
        <v>3895</v>
      </c>
    </row>
    <row r="256" spans="3:4" customFormat="1" x14ac:dyDescent="0.3">
      <c r="C256" t="s">
        <v>4105</v>
      </c>
      <c r="D256" t="s">
        <v>3896</v>
      </c>
    </row>
    <row r="257" spans="3:4" customFormat="1" x14ac:dyDescent="0.3">
      <c r="C257" t="s">
        <v>4107</v>
      </c>
      <c r="D257" t="s">
        <v>3898</v>
      </c>
    </row>
    <row r="258" spans="3:4" customFormat="1" x14ac:dyDescent="0.3">
      <c r="C258" t="s">
        <v>4108</v>
      </c>
      <c r="D258" t="s">
        <v>3899</v>
      </c>
    </row>
    <row r="259" spans="3:4" customFormat="1" x14ac:dyDescent="0.3">
      <c r="C259" t="s">
        <v>4110</v>
      </c>
      <c r="D259" t="s">
        <v>3901</v>
      </c>
    </row>
    <row r="260" spans="3:4" customFormat="1" x14ac:dyDescent="0.3">
      <c r="C260" t="s">
        <v>4111</v>
      </c>
      <c r="D260" t="s">
        <v>3902</v>
      </c>
    </row>
    <row r="261" spans="3:4" customFormat="1" x14ac:dyDescent="0.3">
      <c r="C261" t="s">
        <v>4113</v>
      </c>
      <c r="D261" t="s">
        <v>3904</v>
      </c>
    </row>
    <row r="262" spans="3:4" customFormat="1" x14ac:dyDescent="0.3">
      <c r="C262" t="s">
        <v>4114</v>
      </c>
      <c r="D262" t="s">
        <v>3905</v>
      </c>
    </row>
    <row r="263" spans="3:4" customFormat="1" x14ac:dyDescent="0.3">
      <c r="C263" t="s">
        <v>4116</v>
      </c>
      <c r="D263" t="s">
        <v>3907</v>
      </c>
    </row>
    <row r="264" spans="3:4" customFormat="1" x14ac:dyDescent="0.3">
      <c r="C264" t="s">
        <v>4117</v>
      </c>
      <c r="D264" t="s">
        <v>3908</v>
      </c>
    </row>
    <row r="265" spans="3:4" customFormat="1" x14ac:dyDescent="0.3">
      <c r="C265" t="s">
        <v>4119</v>
      </c>
      <c r="D265" t="s">
        <v>3910</v>
      </c>
    </row>
    <row r="266" spans="3:4" customFormat="1" x14ac:dyDescent="0.3">
      <c r="C266" t="s">
        <v>4120</v>
      </c>
      <c r="D266" t="s">
        <v>3911</v>
      </c>
    </row>
    <row r="267" spans="3:4" customFormat="1" x14ac:dyDescent="0.3">
      <c r="C267" t="s">
        <v>4122</v>
      </c>
      <c r="D267" t="s">
        <v>3913</v>
      </c>
    </row>
    <row r="268" spans="3:4" customFormat="1" x14ac:dyDescent="0.3">
      <c r="C268" t="s">
        <v>4123</v>
      </c>
      <c r="D268" t="s">
        <v>3914</v>
      </c>
    </row>
    <row r="269" spans="3:4" customFormat="1" x14ac:dyDescent="0.3">
      <c r="C269" t="s">
        <v>4125</v>
      </c>
      <c r="D269" t="s">
        <v>3916</v>
      </c>
    </row>
    <row r="270" spans="3:4" customFormat="1" x14ac:dyDescent="0.3">
      <c r="C270" t="s">
        <v>4126</v>
      </c>
      <c r="D270" t="s">
        <v>3917</v>
      </c>
    </row>
    <row r="271" spans="3:4" customFormat="1" x14ac:dyDescent="0.3">
      <c r="C271" t="s">
        <v>4128</v>
      </c>
      <c r="D271" t="s">
        <v>3919</v>
      </c>
    </row>
    <row r="272" spans="3:4" customFormat="1" x14ac:dyDescent="0.3">
      <c r="C272" t="s">
        <v>4129</v>
      </c>
      <c r="D272" t="s">
        <v>3920</v>
      </c>
    </row>
    <row r="273" spans="3:4" customFormat="1" x14ac:dyDescent="0.3">
      <c r="C273" t="s">
        <v>4131</v>
      </c>
      <c r="D273" t="s">
        <v>3922</v>
      </c>
    </row>
    <row r="274" spans="3:4" customFormat="1" x14ac:dyDescent="0.3">
      <c r="C274" t="s">
        <v>4132</v>
      </c>
      <c r="D274" t="s">
        <v>3923</v>
      </c>
    </row>
    <row r="275" spans="3:4" customFormat="1" x14ac:dyDescent="0.3">
      <c r="C275" t="s">
        <v>4134</v>
      </c>
      <c r="D275" t="s">
        <v>3925</v>
      </c>
    </row>
    <row r="276" spans="3:4" customFormat="1" x14ac:dyDescent="0.3">
      <c r="C276" t="s">
        <v>4135</v>
      </c>
      <c r="D276" t="s">
        <v>3926</v>
      </c>
    </row>
    <row r="277" spans="3:4" customFormat="1" x14ac:dyDescent="0.3">
      <c r="C277" t="s">
        <v>4137</v>
      </c>
      <c r="D277" t="s">
        <v>3928</v>
      </c>
    </row>
    <row r="278" spans="3:4" customFormat="1" x14ac:dyDescent="0.3">
      <c r="C278" t="s">
        <v>4138</v>
      </c>
      <c r="D278" t="s">
        <v>3929</v>
      </c>
    </row>
    <row r="279" spans="3:4" customFormat="1" x14ac:dyDescent="0.3">
      <c r="C279" t="s">
        <v>4140</v>
      </c>
      <c r="D279" t="s">
        <v>3931</v>
      </c>
    </row>
    <row r="280" spans="3:4" customFormat="1" x14ac:dyDescent="0.3">
      <c r="C280" t="s">
        <v>4141</v>
      </c>
      <c r="D280" t="s">
        <v>3932</v>
      </c>
    </row>
    <row r="281" spans="3:4" customFormat="1" x14ac:dyDescent="0.3">
      <c r="C281" t="s">
        <v>4143</v>
      </c>
      <c r="D281" t="s">
        <v>3934</v>
      </c>
    </row>
    <row r="282" spans="3:4" customFormat="1" x14ac:dyDescent="0.3">
      <c r="C282" t="s">
        <v>4144</v>
      </c>
      <c r="D282" t="s">
        <v>3935</v>
      </c>
    </row>
    <row r="283" spans="3:4" customFormat="1" x14ac:dyDescent="0.3">
      <c r="C283" t="s">
        <v>4146</v>
      </c>
      <c r="D283" t="s">
        <v>3938</v>
      </c>
    </row>
    <row r="284" spans="3:4" customFormat="1" x14ac:dyDescent="0.3">
      <c r="C284" t="s">
        <v>4147</v>
      </c>
      <c r="D284" t="s">
        <v>3941</v>
      </c>
    </row>
    <row r="285" spans="3:4" customFormat="1" x14ac:dyDescent="0.3">
      <c r="C285" t="s">
        <v>4149</v>
      </c>
      <c r="D285" t="s">
        <v>3944</v>
      </c>
    </row>
    <row r="286" spans="3:4" customFormat="1" x14ac:dyDescent="0.3">
      <c r="C286" t="s">
        <v>4150</v>
      </c>
      <c r="D286" t="s">
        <v>3947</v>
      </c>
    </row>
    <row r="287" spans="3:4" customFormat="1" x14ac:dyDescent="0.3">
      <c r="C287" t="s">
        <v>4152</v>
      </c>
      <c r="D287" t="s">
        <v>3950</v>
      </c>
    </row>
    <row r="288" spans="3:4" customFormat="1" x14ac:dyDescent="0.3">
      <c r="C288" t="s">
        <v>4153</v>
      </c>
      <c r="D288" t="s">
        <v>3953</v>
      </c>
    </row>
    <row r="289" spans="3:4" customFormat="1" x14ac:dyDescent="0.3">
      <c r="C289" t="s">
        <v>4155</v>
      </c>
      <c r="D289" t="s">
        <v>3956</v>
      </c>
    </row>
    <row r="290" spans="3:4" customFormat="1" x14ac:dyDescent="0.3">
      <c r="C290" t="s">
        <v>4156</v>
      </c>
      <c r="D290" t="s">
        <v>3959</v>
      </c>
    </row>
    <row r="291" spans="3:4" customFormat="1" x14ac:dyDescent="0.3">
      <c r="C291" t="s">
        <v>4158</v>
      </c>
      <c r="D291" t="s">
        <v>3962</v>
      </c>
    </row>
    <row r="292" spans="3:4" customFormat="1" x14ac:dyDescent="0.3">
      <c r="C292" t="s">
        <v>4159</v>
      </c>
      <c r="D292" t="s">
        <v>3965</v>
      </c>
    </row>
    <row r="293" spans="3:4" customFormat="1" x14ac:dyDescent="0.3">
      <c r="C293" t="s">
        <v>4161</v>
      </c>
      <c r="D293" t="s">
        <v>3968</v>
      </c>
    </row>
    <row r="294" spans="3:4" customFormat="1" x14ac:dyDescent="0.3">
      <c r="C294" t="s">
        <v>4162</v>
      </c>
      <c r="D294" t="s">
        <v>3971</v>
      </c>
    </row>
    <row r="295" spans="3:4" customFormat="1" x14ac:dyDescent="0.3">
      <c r="C295" t="s">
        <v>4164</v>
      </c>
      <c r="D295" t="s">
        <v>3974</v>
      </c>
    </row>
    <row r="296" spans="3:4" customFormat="1" x14ac:dyDescent="0.3">
      <c r="C296" t="s">
        <v>4165</v>
      </c>
      <c r="D296" t="s">
        <v>3977</v>
      </c>
    </row>
    <row r="297" spans="3:4" customFormat="1" x14ac:dyDescent="0.3">
      <c r="C297" t="s">
        <v>4167</v>
      </c>
      <c r="D297" t="s">
        <v>3980</v>
      </c>
    </row>
    <row r="298" spans="3:4" customFormat="1" x14ac:dyDescent="0.3">
      <c r="C298" t="s">
        <v>4168</v>
      </c>
      <c r="D298" t="s">
        <v>3983</v>
      </c>
    </row>
    <row r="299" spans="3:4" customFormat="1" x14ac:dyDescent="0.3">
      <c r="C299" t="s">
        <v>4170</v>
      </c>
      <c r="D299" t="s">
        <v>3986</v>
      </c>
    </row>
    <row r="300" spans="3:4" customFormat="1" x14ac:dyDescent="0.3">
      <c r="C300" t="s">
        <v>4171</v>
      </c>
      <c r="D300" t="s">
        <v>3989</v>
      </c>
    </row>
    <row r="301" spans="3:4" customFormat="1" x14ac:dyDescent="0.3">
      <c r="C301" t="s">
        <v>4173</v>
      </c>
      <c r="D301" t="s">
        <v>3992</v>
      </c>
    </row>
    <row r="302" spans="3:4" customFormat="1" x14ac:dyDescent="0.3">
      <c r="C302" t="s">
        <v>4174</v>
      </c>
      <c r="D302" t="s">
        <v>3995</v>
      </c>
    </row>
    <row r="303" spans="3:4" customFormat="1" x14ac:dyDescent="0.3">
      <c r="C303" t="s">
        <v>4176</v>
      </c>
      <c r="D303" t="s">
        <v>3998</v>
      </c>
    </row>
    <row r="304" spans="3:4" customFormat="1" x14ac:dyDescent="0.3">
      <c r="C304" t="s">
        <v>4177</v>
      </c>
      <c r="D304" t="s">
        <v>4001</v>
      </c>
    </row>
    <row r="305" spans="3:4" customFormat="1" x14ac:dyDescent="0.3">
      <c r="C305" t="s">
        <v>4179</v>
      </c>
      <c r="D305" t="s">
        <v>4004</v>
      </c>
    </row>
    <row r="306" spans="3:4" customFormat="1" x14ac:dyDescent="0.3">
      <c r="C306" t="s">
        <v>4180</v>
      </c>
      <c r="D306" t="s">
        <v>4007</v>
      </c>
    </row>
    <row r="307" spans="3:4" customFormat="1" x14ac:dyDescent="0.3">
      <c r="C307" t="s">
        <v>4182</v>
      </c>
      <c r="D307" t="s">
        <v>4010</v>
      </c>
    </row>
    <row r="308" spans="3:4" customFormat="1" x14ac:dyDescent="0.3">
      <c r="C308" t="s">
        <v>4183</v>
      </c>
      <c r="D308" t="s">
        <v>4013</v>
      </c>
    </row>
    <row r="309" spans="3:4" customFormat="1" x14ac:dyDescent="0.3">
      <c r="C309" t="s">
        <v>4185</v>
      </c>
      <c r="D309" t="s">
        <v>4016</v>
      </c>
    </row>
    <row r="310" spans="3:4" customFormat="1" x14ac:dyDescent="0.3">
      <c r="C310" t="s">
        <v>4186</v>
      </c>
      <c r="D310" t="s">
        <v>4019</v>
      </c>
    </row>
    <row r="311" spans="3:4" customFormat="1" x14ac:dyDescent="0.3">
      <c r="C311" t="s">
        <v>4188</v>
      </c>
      <c r="D311" t="s">
        <v>4022</v>
      </c>
    </row>
    <row r="312" spans="3:4" customFormat="1" x14ac:dyDescent="0.3">
      <c r="C312" t="s">
        <v>4189</v>
      </c>
      <c r="D312" t="s">
        <v>4025</v>
      </c>
    </row>
    <row r="313" spans="3:4" customFormat="1" x14ac:dyDescent="0.3">
      <c r="C313" t="s">
        <v>4191</v>
      </c>
      <c r="D313" t="s">
        <v>4028</v>
      </c>
    </row>
    <row r="314" spans="3:4" customFormat="1" x14ac:dyDescent="0.3">
      <c r="C314" t="s">
        <v>4192</v>
      </c>
      <c r="D314" t="s">
        <v>4031</v>
      </c>
    </row>
    <row r="315" spans="3:4" customFormat="1" x14ac:dyDescent="0.3">
      <c r="C315" t="s">
        <v>4194</v>
      </c>
      <c r="D315" t="s">
        <v>4034</v>
      </c>
    </row>
    <row r="316" spans="3:4" customFormat="1" x14ac:dyDescent="0.3">
      <c r="C316" t="s">
        <v>4195</v>
      </c>
      <c r="D316" t="s">
        <v>4037</v>
      </c>
    </row>
    <row r="317" spans="3:4" customFormat="1" x14ac:dyDescent="0.3">
      <c r="C317" t="s">
        <v>4197</v>
      </c>
      <c r="D317" t="s">
        <v>4040</v>
      </c>
    </row>
    <row r="318" spans="3:4" customFormat="1" x14ac:dyDescent="0.3">
      <c r="C318" t="s">
        <v>4198</v>
      </c>
      <c r="D318" t="s">
        <v>4043</v>
      </c>
    </row>
    <row r="319" spans="3:4" customFormat="1" x14ac:dyDescent="0.3">
      <c r="C319" t="s">
        <v>4200</v>
      </c>
      <c r="D319" t="s">
        <v>4046</v>
      </c>
    </row>
    <row r="320" spans="3:4" customFormat="1" x14ac:dyDescent="0.3">
      <c r="C320" t="s">
        <v>4201</v>
      </c>
      <c r="D320" t="s">
        <v>4049</v>
      </c>
    </row>
    <row r="321" spans="3:4" customFormat="1" x14ac:dyDescent="0.3">
      <c r="C321" t="s">
        <v>4203</v>
      </c>
      <c r="D321" t="s">
        <v>4052</v>
      </c>
    </row>
    <row r="322" spans="3:4" customFormat="1" x14ac:dyDescent="0.3">
      <c r="C322" t="s">
        <v>4204</v>
      </c>
      <c r="D322" t="s">
        <v>4055</v>
      </c>
    </row>
    <row r="323" spans="3:4" customFormat="1" x14ac:dyDescent="0.3">
      <c r="C323" t="s">
        <v>4206</v>
      </c>
      <c r="D323" t="s">
        <v>4058</v>
      </c>
    </row>
    <row r="324" spans="3:4" customFormat="1" x14ac:dyDescent="0.3">
      <c r="C324" t="s">
        <v>4207</v>
      </c>
      <c r="D324" t="s">
        <v>4061</v>
      </c>
    </row>
    <row r="325" spans="3:4" customFormat="1" x14ac:dyDescent="0.3">
      <c r="C325" t="s">
        <v>4209</v>
      </c>
      <c r="D325" t="s">
        <v>4064</v>
      </c>
    </row>
    <row r="326" spans="3:4" customFormat="1" x14ac:dyDescent="0.3">
      <c r="C326" t="s">
        <v>4210</v>
      </c>
      <c r="D326" t="s">
        <v>4067</v>
      </c>
    </row>
    <row r="327" spans="3:4" customFormat="1" x14ac:dyDescent="0.3">
      <c r="C327" t="s">
        <v>4212</v>
      </c>
      <c r="D327" t="s">
        <v>4070</v>
      </c>
    </row>
    <row r="328" spans="3:4" customFormat="1" x14ac:dyDescent="0.3">
      <c r="C328" t="s">
        <v>4213</v>
      </c>
      <c r="D328" t="s">
        <v>4073</v>
      </c>
    </row>
    <row r="329" spans="3:4" customFormat="1" x14ac:dyDescent="0.3">
      <c r="C329" t="s">
        <v>4215</v>
      </c>
      <c r="D329" t="s">
        <v>4076</v>
      </c>
    </row>
    <row r="330" spans="3:4" customFormat="1" x14ac:dyDescent="0.3">
      <c r="C330" t="s">
        <v>4216</v>
      </c>
      <c r="D330" t="s">
        <v>4079</v>
      </c>
    </row>
    <row r="331" spans="3:4" customFormat="1" x14ac:dyDescent="0.3">
      <c r="C331" t="s">
        <v>4218</v>
      </c>
      <c r="D331" t="s">
        <v>4082</v>
      </c>
    </row>
    <row r="332" spans="3:4" customFormat="1" x14ac:dyDescent="0.3">
      <c r="C332" t="s">
        <v>4219</v>
      </c>
      <c r="D332" t="s">
        <v>4085</v>
      </c>
    </row>
    <row r="333" spans="3:4" customFormat="1" x14ac:dyDescent="0.3">
      <c r="C333" t="s">
        <v>4221</v>
      </c>
      <c r="D333" t="s">
        <v>4088</v>
      </c>
    </row>
    <row r="334" spans="3:4" customFormat="1" x14ac:dyDescent="0.3">
      <c r="C334" t="s">
        <v>4222</v>
      </c>
      <c r="D334" t="s">
        <v>4091</v>
      </c>
    </row>
    <row r="335" spans="3:4" customFormat="1" x14ac:dyDescent="0.3">
      <c r="C335" t="s">
        <v>4224</v>
      </c>
      <c r="D335" t="s">
        <v>4094</v>
      </c>
    </row>
    <row r="336" spans="3:4" customFormat="1" x14ac:dyDescent="0.3">
      <c r="C336" t="s">
        <v>4225</v>
      </c>
      <c r="D336" t="s">
        <v>4097</v>
      </c>
    </row>
    <row r="337" spans="3:4" customFormat="1" x14ac:dyDescent="0.3">
      <c r="C337" t="s">
        <v>4227</v>
      </c>
      <c r="D337" t="s">
        <v>4100</v>
      </c>
    </row>
    <row r="338" spans="3:4" customFormat="1" x14ac:dyDescent="0.3">
      <c r="C338" t="s">
        <v>4228</v>
      </c>
      <c r="D338" t="s">
        <v>4103</v>
      </c>
    </row>
    <row r="339" spans="3:4" customFormat="1" x14ac:dyDescent="0.3">
      <c r="C339" t="s">
        <v>4230</v>
      </c>
      <c r="D339" t="s">
        <v>4106</v>
      </c>
    </row>
    <row r="340" spans="3:4" customFormat="1" x14ac:dyDescent="0.3">
      <c r="C340" t="s">
        <v>4231</v>
      </c>
      <c r="D340" t="s">
        <v>4109</v>
      </c>
    </row>
    <row r="341" spans="3:4" customFormat="1" x14ac:dyDescent="0.3">
      <c r="C341" t="s">
        <v>4233</v>
      </c>
      <c r="D341" t="s">
        <v>4112</v>
      </c>
    </row>
    <row r="342" spans="3:4" customFormat="1" x14ac:dyDescent="0.3">
      <c r="C342" t="s">
        <v>4234</v>
      </c>
      <c r="D342" t="s">
        <v>4115</v>
      </c>
    </row>
    <row r="343" spans="3:4" customFormat="1" x14ac:dyDescent="0.3">
      <c r="C343" t="s">
        <v>4236</v>
      </c>
      <c r="D343" t="s">
        <v>4118</v>
      </c>
    </row>
    <row r="344" spans="3:4" customFormat="1" x14ac:dyDescent="0.3">
      <c r="C344" t="s">
        <v>4237</v>
      </c>
      <c r="D344" t="s">
        <v>4121</v>
      </c>
    </row>
    <row r="345" spans="3:4" customFormat="1" x14ac:dyDescent="0.3">
      <c r="C345" t="s">
        <v>4239</v>
      </c>
      <c r="D345" t="s">
        <v>4124</v>
      </c>
    </row>
    <row r="346" spans="3:4" customFormat="1" x14ac:dyDescent="0.3">
      <c r="C346" t="s">
        <v>4240</v>
      </c>
      <c r="D346" t="s">
        <v>4127</v>
      </c>
    </row>
    <row r="347" spans="3:4" customFormat="1" x14ac:dyDescent="0.3">
      <c r="C347" t="s">
        <v>4242</v>
      </c>
      <c r="D347" t="s">
        <v>4130</v>
      </c>
    </row>
    <row r="348" spans="3:4" customFormat="1" x14ac:dyDescent="0.3">
      <c r="C348" t="s">
        <v>4243</v>
      </c>
      <c r="D348" t="s">
        <v>4133</v>
      </c>
    </row>
    <row r="349" spans="3:4" customFormat="1" x14ac:dyDescent="0.3">
      <c r="C349" t="s">
        <v>4245</v>
      </c>
      <c r="D349" t="s">
        <v>4136</v>
      </c>
    </row>
    <row r="350" spans="3:4" customFormat="1" x14ac:dyDescent="0.3">
      <c r="C350" t="s">
        <v>4246</v>
      </c>
      <c r="D350" t="s">
        <v>4139</v>
      </c>
    </row>
    <row r="351" spans="3:4" customFormat="1" x14ac:dyDescent="0.3">
      <c r="C351" t="s">
        <v>4248</v>
      </c>
      <c r="D351" t="s">
        <v>4142</v>
      </c>
    </row>
    <row r="352" spans="3:4" customFormat="1" x14ac:dyDescent="0.3">
      <c r="C352" t="s">
        <v>4249</v>
      </c>
      <c r="D352" t="s">
        <v>4145</v>
      </c>
    </row>
    <row r="353" spans="3:4" customFormat="1" x14ac:dyDescent="0.3">
      <c r="C353" t="s">
        <v>4251</v>
      </c>
      <c r="D353" t="s">
        <v>4148</v>
      </c>
    </row>
    <row r="354" spans="3:4" customFormat="1" x14ac:dyDescent="0.3">
      <c r="C354" t="s">
        <v>4252</v>
      </c>
      <c r="D354" t="s">
        <v>4151</v>
      </c>
    </row>
    <row r="355" spans="3:4" customFormat="1" x14ac:dyDescent="0.3">
      <c r="C355" t="s">
        <v>4254</v>
      </c>
      <c r="D355" t="s">
        <v>4154</v>
      </c>
    </row>
    <row r="356" spans="3:4" customFormat="1" x14ac:dyDescent="0.3">
      <c r="C356" t="s">
        <v>4255</v>
      </c>
      <c r="D356" t="s">
        <v>4157</v>
      </c>
    </row>
    <row r="357" spans="3:4" customFormat="1" x14ac:dyDescent="0.3">
      <c r="C357" t="s">
        <v>4257</v>
      </c>
      <c r="D357" t="s">
        <v>4160</v>
      </c>
    </row>
    <row r="358" spans="3:4" customFormat="1" x14ac:dyDescent="0.3">
      <c r="C358" t="s">
        <v>4258</v>
      </c>
      <c r="D358" t="s">
        <v>4163</v>
      </c>
    </row>
    <row r="359" spans="3:4" customFormat="1" x14ac:dyDescent="0.3">
      <c r="C359" t="s">
        <v>4260</v>
      </c>
      <c r="D359" t="s">
        <v>4166</v>
      </c>
    </row>
    <row r="360" spans="3:4" customFormat="1" x14ac:dyDescent="0.3">
      <c r="C360" t="s">
        <v>4261</v>
      </c>
      <c r="D360" t="s">
        <v>4169</v>
      </c>
    </row>
    <row r="361" spans="3:4" customFormat="1" x14ac:dyDescent="0.3">
      <c r="C361" t="s">
        <v>4263</v>
      </c>
      <c r="D361" t="s">
        <v>4172</v>
      </c>
    </row>
    <row r="362" spans="3:4" customFormat="1" x14ac:dyDescent="0.3">
      <c r="C362" t="s">
        <v>4264</v>
      </c>
      <c r="D362" t="s">
        <v>4175</v>
      </c>
    </row>
    <row r="363" spans="3:4" customFormat="1" x14ac:dyDescent="0.3">
      <c r="C363" t="s">
        <v>4266</v>
      </c>
      <c r="D363" t="s">
        <v>4178</v>
      </c>
    </row>
    <row r="364" spans="3:4" customFormat="1" x14ac:dyDescent="0.3">
      <c r="C364" t="s">
        <v>4267</v>
      </c>
      <c r="D364" t="s">
        <v>4181</v>
      </c>
    </row>
    <row r="365" spans="3:4" customFormat="1" x14ac:dyDescent="0.3">
      <c r="C365" t="s">
        <v>4269</v>
      </c>
      <c r="D365" t="s">
        <v>4184</v>
      </c>
    </row>
    <row r="366" spans="3:4" customFormat="1" x14ac:dyDescent="0.3">
      <c r="C366" t="s">
        <v>4270</v>
      </c>
      <c r="D366" t="s">
        <v>4187</v>
      </c>
    </row>
    <row r="367" spans="3:4" customFormat="1" x14ac:dyDescent="0.3">
      <c r="C367" t="s">
        <v>4272</v>
      </c>
      <c r="D367" t="s">
        <v>4190</v>
      </c>
    </row>
    <row r="368" spans="3:4" customFormat="1" x14ac:dyDescent="0.3">
      <c r="C368" t="s">
        <v>4273</v>
      </c>
      <c r="D368" t="s">
        <v>4193</v>
      </c>
    </row>
    <row r="369" spans="3:4" customFormat="1" x14ac:dyDescent="0.3">
      <c r="C369" t="s">
        <v>4275</v>
      </c>
      <c r="D369" t="s">
        <v>4196</v>
      </c>
    </row>
    <row r="370" spans="3:4" customFormat="1" x14ac:dyDescent="0.3">
      <c r="C370" t="s">
        <v>4276</v>
      </c>
      <c r="D370" t="s">
        <v>4199</v>
      </c>
    </row>
    <row r="371" spans="3:4" customFormat="1" x14ac:dyDescent="0.3">
      <c r="C371" t="s">
        <v>4278</v>
      </c>
      <c r="D371" t="s">
        <v>4202</v>
      </c>
    </row>
    <row r="372" spans="3:4" customFormat="1" x14ac:dyDescent="0.3">
      <c r="C372" t="s">
        <v>4279</v>
      </c>
      <c r="D372" t="s">
        <v>4205</v>
      </c>
    </row>
    <row r="373" spans="3:4" customFormat="1" x14ac:dyDescent="0.3">
      <c r="C373" t="s">
        <v>4281</v>
      </c>
      <c r="D373" t="s">
        <v>4208</v>
      </c>
    </row>
    <row r="374" spans="3:4" customFormat="1" x14ac:dyDescent="0.3">
      <c r="C374" t="s">
        <v>4282</v>
      </c>
      <c r="D374" t="s">
        <v>4211</v>
      </c>
    </row>
    <row r="375" spans="3:4" customFormat="1" x14ac:dyDescent="0.3">
      <c r="C375" t="s">
        <v>4284</v>
      </c>
      <c r="D375" t="s">
        <v>4214</v>
      </c>
    </row>
    <row r="376" spans="3:4" customFormat="1" x14ac:dyDescent="0.3">
      <c r="C376" t="s">
        <v>4285</v>
      </c>
      <c r="D376" t="s">
        <v>4217</v>
      </c>
    </row>
    <row r="377" spans="3:4" customFormat="1" x14ac:dyDescent="0.3">
      <c r="C377" t="s">
        <v>4287</v>
      </c>
      <c r="D377" t="s">
        <v>4220</v>
      </c>
    </row>
    <row r="378" spans="3:4" customFormat="1" x14ac:dyDescent="0.3">
      <c r="C378" t="s">
        <v>4288</v>
      </c>
      <c r="D378" t="s">
        <v>4223</v>
      </c>
    </row>
    <row r="379" spans="3:4" customFormat="1" x14ac:dyDescent="0.3">
      <c r="C379" t="s">
        <v>4290</v>
      </c>
      <c r="D379" t="s">
        <v>4226</v>
      </c>
    </row>
    <row r="380" spans="3:4" customFormat="1" x14ac:dyDescent="0.3">
      <c r="C380" t="s">
        <v>4291</v>
      </c>
      <c r="D380" t="s">
        <v>4229</v>
      </c>
    </row>
    <row r="381" spans="3:4" customFormat="1" x14ac:dyDescent="0.3">
      <c r="C381" t="s">
        <v>4293</v>
      </c>
      <c r="D381" t="s">
        <v>4232</v>
      </c>
    </row>
    <row r="382" spans="3:4" customFormat="1" x14ac:dyDescent="0.3">
      <c r="C382" t="s">
        <v>4294</v>
      </c>
      <c r="D382" t="s">
        <v>4235</v>
      </c>
    </row>
    <row r="383" spans="3:4" customFormat="1" x14ac:dyDescent="0.3">
      <c r="C383" t="s">
        <v>4296</v>
      </c>
      <c r="D383" t="s">
        <v>4238</v>
      </c>
    </row>
    <row r="384" spans="3:4" customFormat="1" x14ac:dyDescent="0.3">
      <c r="C384" t="s">
        <v>4297</v>
      </c>
      <c r="D384" t="s">
        <v>4241</v>
      </c>
    </row>
    <row r="385" spans="3:4" customFormat="1" x14ac:dyDescent="0.3">
      <c r="C385" t="s">
        <v>4299</v>
      </c>
      <c r="D385" t="s">
        <v>4244</v>
      </c>
    </row>
    <row r="386" spans="3:4" customFormat="1" x14ac:dyDescent="0.3">
      <c r="C386" t="s">
        <v>4300</v>
      </c>
      <c r="D386" t="s">
        <v>4247</v>
      </c>
    </row>
    <row r="387" spans="3:4" customFormat="1" x14ac:dyDescent="0.3">
      <c r="C387" t="s">
        <v>4302</v>
      </c>
      <c r="D387" t="s">
        <v>4250</v>
      </c>
    </row>
    <row r="388" spans="3:4" customFormat="1" x14ac:dyDescent="0.3">
      <c r="C388" t="s">
        <v>4303</v>
      </c>
      <c r="D388" t="s">
        <v>4253</v>
      </c>
    </row>
    <row r="389" spans="3:4" customFormat="1" x14ac:dyDescent="0.3">
      <c r="C389" t="s">
        <v>4305</v>
      </c>
      <c r="D389" t="s">
        <v>4256</v>
      </c>
    </row>
    <row r="390" spans="3:4" customFormat="1" x14ac:dyDescent="0.3">
      <c r="C390" t="s">
        <v>4306</v>
      </c>
      <c r="D390" t="s">
        <v>4259</v>
      </c>
    </row>
    <row r="391" spans="3:4" customFormat="1" x14ac:dyDescent="0.3">
      <c r="C391" t="s">
        <v>4308</v>
      </c>
      <c r="D391" t="s">
        <v>4262</v>
      </c>
    </row>
    <row r="392" spans="3:4" customFormat="1" x14ac:dyDescent="0.3">
      <c r="C392" t="s">
        <v>4309</v>
      </c>
      <c r="D392" t="s">
        <v>4265</v>
      </c>
    </row>
    <row r="393" spans="3:4" customFormat="1" x14ac:dyDescent="0.3">
      <c r="C393" t="s">
        <v>4311</v>
      </c>
      <c r="D393" t="s">
        <v>4268</v>
      </c>
    </row>
    <row r="394" spans="3:4" customFormat="1" x14ac:dyDescent="0.3">
      <c r="C394" t="s">
        <v>4312</v>
      </c>
      <c r="D394" t="s">
        <v>4271</v>
      </c>
    </row>
    <row r="395" spans="3:4" customFormat="1" x14ac:dyDescent="0.3">
      <c r="C395" t="s">
        <v>4314</v>
      </c>
      <c r="D395" t="s">
        <v>4274</v>
      </c>
    </row>
    <row r="396" spans="3:4" customFormat="1" x14ac:dyDescent="0.3">
      <c r="C396" t="s">
        <v>4315</v>
      </c>
      <c r="D396" t="s">
        <v>4277</v>
      </c>
    </row>
    <row r="397" spans="3:4" customFormat="1" x14ac:dyDescent="0.3">
      <c r="C397" t="s">
        <v>4317</v>
      </c>
      <c r="D397" t="s">
        <v>4280</v>
      </c>
    </row>
    <row r="398" spans="3:4" customFormat="1" x14ac:dyDescent="0.3">
      <c r="C398" t="s">
        <v>4318</v>
      </c>
      <c r="D398" t="s">
        <v>4283</v>
      </c>
    </row>
    <row r="399" spans="3:4" customFormat="1" x14ac:dyDescent="0.3">
      <c r="C399" t="s">
        <v>4320</v>
      </c>
      <c r="D399" t="s">
        <v>4286</v>
      </c>
    </row>
    <row r="400" spans="3:4" customFormat="1" x14ac:dyDescent="0.3">
      <c r="C400" t="s">
        <v>4321</v>
      </c>
      <c r="D400" t="s">
        <v>4289</v>
      </c>
    </row>
    <row r="401" spans="3:4" customFormat="1" x14ac:dyDescent="0.3">
      <c r="C401" t="s">
        <v>4323</v>
      </c>
      <c r="D401" t="s">
        <v>4292</v>
      </c>
    </row>
    <row r="402" spans="3:4" customFormat="1" x14ac:dyDescent="0.3">
      <c r="C402" t="s">
        <v>4324</v>
      </c>
      <c r="D402" t="s">
        <v>4295</v>
      </c>
    </row>
    <row r="403" spans="3:4" customFormat="1" x14ac:dyDescent="0.3">
      <c r="C403" t="s">
        <v>4326</v>
      </c>
      <c r="D403" t="s">
        <v>4298</v>
      </c>
    </row>
    <row r="404" spans="3:4" customFormat="1" x14ac:dyDescent="0.3">
      <c r="C404" t="s">
        <v>4327</v>
      </c>
      <c r="D404" t="s">
        <v>4301</v>
      </c>
    </row>
    <row r="405" spans="3:4" customFormat="1" x14ac:dyDescent="0.3">
      <c r="C405" t="s">
        <v>4329</v>
      </c>
      <c r="D405" t="s">
        <v>4304</v>
      </c>
    </row>
    <row r="406" spans="3:4" customFormat="1" x14ac:dyDescent="0.3">
      <c r="C406" t="s">
        <v>4330</v>
      </c>
      <c r="D406" t="s">
        <v>4307</v>
      </c>
    </row>
    <row r="407" spans="3:4" customFormat="1" x14ac:dyDescent="0.3">
      <c r="C407" t="s">
        <v>4332</v>
      </c>
      <c r="D407" t="s">
        <v>4310</v>
      </c>
    </row>
    <row r="408" spans="3:4" customFormat="1" x14ac:dyDescent="0.3">
      <c r="C408" t="s">
        <v>4333</v>
      </c>
      <c r="D408" t="s">
        <v>4313</v>
      </c>
    </row>
    <row r="409" spans="3:4" customFormat="1" x14ac:dyDescent="0.3">
      <c r="C409" t="s">
        <v>4335</v>
      </c>
      <c r="D409" t="s">
        <v>4316</v>
      </c>
    </row>
    <row r="410" spans="3:4" customFormat="1" x14ac:dyDescent="0.3">
      <c r="C410" t="s">
        <v>4336</v>
      </c>
      <c r="D410" t="s">
        <v>4319</v>
      </c>
    </row>
    <row r="411" spans="3:4" customFormat="1" x14ac:dyDescent="0.3">
      <c r="C411" t="s">
        <v>4338</v>
      </c>
      <c r="D411" t="s">
        <v>4322</v>
      </c>
    </row>
    <row r="412" spans="3:4" customFormat="1" x14ac:dyDescent="0.3">
      <c r="C412" t="s">
        <v>4339</v>
      </c>
      <c r="D412" t="s">
        <v>4325</v>
      </c>
    </row>
    <row r="413" spans="3:4" customFormat="1" x14ac:dyDescent="0.3">
      <c r="C413" t="s">
        <v>4341</v>
      </c>
      <c r="D413" t="s">
        <v>4328</v>
      </c>
    </row>
    <row r="414" spans="3:4" customFormat="1" x14ac:dyDescent="0.3">
      <c r="C414" t="s">
        <v>4342</v>
      </c>
      <c r="D414" t="s">
        <v>4331</v>
      </c>
    </row>
    <row r="415" spans="3:4" customFormat="1" x14ac:dyDescent="0.3">
      <c r="C415" t="s">
        <v>4344</v>
      </c>
      <c r="D415" t="s">
        <v>4334</v>
      </c>
    </row>
    <row r="416" spans="3:4" customFormat="1" x14ac:dyDescent="0.3">
      <c r="C416" t="s">
        <v>4345</v>
      </c>
      <c r="D416" t="s">
        <v>4337</v>
      </c>
    </row>
    <row r="417" spans="3:4" customFormat="1" x14ac:dyDescent="0.3">
      <c r="C417" t="s">
        <v>4347</v>
      </c>
      <c r="D417" t="s">
        <v>4340</v>
      </c>
    </row>
    <row r="418" spans="3:4" customFormat="1" x14ac:dyDescent="0.3">
      <c r="C418" t="s">
        <v>4348</v>
      </c>
      <c r="D418" t="s">
        <v>4343</v>
      </c>
    </row>
    <row r="419" spans="3:4" customFormat="1" x14ac:dyDescent="0.3">
      <c r="C419" t="s">
        <v>4350</v>
      </c>
      <c r="D419" t="s">
        <v>4346</v>
      </c>
    </row>
    <row r="420" spans="3:4" customFormat="1" x14ac:dyDescent="0.3">
      <c r="C420" t="s">
        <v>4351</v>
      </c>
      <c r="D420" t="s">
        <v>4349</v>
      </c>
    </row>
    <row r="421" spans="3:4" customFormat="1" x14ac:dyDescent="0.3">
      <c r="C421" t="s">
        <v>4353</v>
      </c>
      <c r="D421" t="s">
        <v>4352</v>
      </c>
    </row>
    <row r="422" spans="3:4" customFormat="1" x14ac:dyDescent="0.3">
      <c r="C422" t="s">
        <v>4354</v>
      </c>
      <c r="D422" t="s">
        <v>4355</v>
      </c>
    </row>
    <row r="423" spans="3:4" customFormat="1" x14ac:dyDescent="0.3">
      <c r="C423" t="s">
        <v>4356</v>
      </c>
      <c r="D423" t="s">
        <v>4358</v>
      </c>
    </row>
    <row r="424" spans="3:4" customFormat="1" x14ac:dyDescent="0.3">
      <c r="C424" t="s">
        <v>4357</v>
      </c>
      <c r="D424" t="s">
        <v>4361</v>
      </c>
    </row>
    <row r="425" spans="3:4" customFormat="1" x14ac:dyDescent="0.3">
      <c r="C425" t="s">
        <v>4359</v>
      </c>
      <c r="D425" t="s">
        <v>4364</v>
      </c>
    </row>
    <row r="426" spans="3:4" customFormat="1" x14ac:dyDescent="0.3">
      <c r="C426" t="s">
        <v>4360</v>
      </c>
      <c r="D426" t="s">
        <v>4367</v>
      </c>
    </row>
    <row r="427" spans="3:4" customFormat="1" x14ac:dyDescent="0.3">
      <c r="C427" t="s">
        <v>4362</v>
      </c>
      <c r="D427" t="s">
        <v>4370</v>
      </c>
    </row>
    <row r="428" spans="3:4" customFormat="1" x14ac:dyDescent="0.3">
      <c r="C428" t="s">
        <v>4363</v>
      </c>
      <c r="D428" t="s">
        <v>4373</v>
      </c>
    </row>
    <row r="429" spans="3:4" customFormat="1" x14ac:dyDescent="0.3">
      <c r="C429" t="s">
        <v>4365</v>
      </c>
      <c r="D429" t="s">
        <v>4376</v>
      </c>
    </row>
    <row r="430" spans="3:4" customFormat="1" x14ac:dyDescent="0.3">
      <c r="C430" t="s">
        <v>4366</v>
      </c>
      <c r="D430" t="s">
        <v>4379</v>
      </c>
    </row>
    <row r="431" spans="3:4" customFormat="1" x14ac:dyDescent="0.3">
      <c r="C431" t="s">
        <v>4368</v>
      </c>
      <c r="D431" t="s">
        <v>4382</v>
      </c>
    </row>
    <row r="432" spans="3:4" customFormat="1" x14ac:dyDescent="0.3">
      <c r="C432" t="s">
        <v>4369</v>
      </c>
      <c r="D432" t="s">
        <v>4385</v>
      </c>
    </row>
    <row r="433" spans="3:4" customFormat="1" x14ac:dyDescent="0.3">
      <c r="C433" t="s">
        <v>4371</v>
      </c>
      <c r="D433" t="s">
        <v>4388</v>
      </c>
    </row>
    <row r="434" spans="3:4" customFormat="1" x14ac:dyDescent="0.3">
      <c r="C434" t="s">
        <v>4372</v>
      </c>
      <c r="D434" t="s">
        <v>4391</v>
      </c>
    </row>
    <row r="435" spans="3:4" customFormat="1" x14ac:dyDescent="0.3">
      <c r="C435" t="s">
        <v>4374</v>
      </c>
      <c r="D435" t="s">
        <v>4394</v>
      </c>
    </row>
    <row r="436" spans="3:4" customFormat="1" x14ac:dyDescent="0.3">
      <c r="C436" t="s">
        <v>4375</v>
      </c>
      <c r="D436" t="s">
        <v>4397</v>
      </c>
    </row>
    <row r="437" spans="3:4" customFormat="1" x14ac:dyDescent="0.3">
      <c r="C437" t="s">
        <v>4377</v>
      </c>
      <c r="D437" t="s">
        <v>4400</v>
      </c>
    </row>
    <row r="438" spans="3:4" customFormat="1" x14ac:dyDescent="0.3">
      <c r="C438" t="s">
        <v>4378</v>
      </c>
      <c r="D438" t="s">
        <v>4403</v>
      </c>
    </row>
    <row r="439" spans="3:4" customFormat="1" x14ac:dyDescent="0.3">
      <c r="C439" t="s">
        <v>4380</v>
      </c>
      <c r="D439" t="s">
        <v>4406</v>
      </c>
    </row>
    <row r="440" spans="3:4" customFormat="1" x14ac:dyDescent="0.3">
      <c r="C440" t="s">
        <v>4381</v>
      </c>
      <c r="D440" t="s">
        <v>4409</v>
      </c>
    </row>
    <row r="441" spans="3:4" customFormat="1" x14ac:dyDescent="0.3">
      <c r="C441" t="s">
        <v>4383</v>
      </c>
      <c r="D441" t="s">
        <v>4412</v>
      </c>
    </row>
    <row r="442" spans="3:4" customFormat="1" x14ac:dyDescent="0.3">
      <c r="C442" t="s">
        <v>4384</v>
      </c>
      <c r="D442" t="s">
        <v>4415</v>
      </c>
    </row>
    <row r="443" spans="3:4" customFormat="1" x14ac:dyDescent="0.3">
      <c r="C443" t="s">
        <v>4386</v>
      </c>
      <c r="D443" t="s">
        <v>4418</v>
      </c>
    </row>
    <row r="444" spans="3:4" customFormat="1" x14ac:dyDescent="0.3">
      <c r="C444" t="s">
        <v>4387</v>
      </c>
      <c r="D444" t="s">
        <v>4421</v>
      </c>
    </row>
    <row r="445" spans="3:4" customFormat="1" x14ac:dyDescent="0.3">
      <c r="C445" t="s">
        <v>4389</v>
      </c>
      <c r="D445" t="s">
        <v>4424</v>
      </c>
    </row>
    <row r="446" spans="3:4" customFormat="1" x14ac:dyDescent="0.3">
      <c r="C446" t="s">
        <v>4390</v>
      </c>
      <c r="D446" t="s">
        <v>4427</v>
      </c>
    </row>
    <row r="447" spans="3:4" customFormat="1" x14ac:dyDescent="0.3">
      <c r="C447" t="s">
        <v>4392</v>
      </c>
      <c r="D447" t="s">
        <v>4430</v>
      </c>
    </row>
    <row r="448" spans="3:4" customFormat="1" x14ac:dyDescent="0.3">
      <c r="C448" t="s">
        <v>4393</v>
      </c>
      <c r="D448" t="s">
        <v>4433</v>
      </c>
    </row>
    <row r="449" spans="3:4" customFormat="1" x14ac:dyDescent="0.3">
      <c r="C449" t="s">
        <v>4395</v>
      </c>
      <c r="D449" t="s">
        <v>4436</v>
      </c>
    </row>
    <row r="450" spans="3:4" customFormat="1" x14ac:dyDescent="0.3">
      <c r="C450" t="s">
        <v>4396</v>
      </c>
      <c r="D450" t="s">
        <v>4439</v>
      </c>
    </row>
    <row r="451" spans="3:4" customFormat="1" x14ac:dyDescent="0.3">
      <c r="C451" t="s">
        <v>4398</v>
      </c>
      <c r="D451" t="s">
        <v>4442</v>
      </c>
    </row>
    <row r="452" spans="3:4" customFormat="1" x14ac:dyDescent="0.3">
      <c r="C452" t="s">
        <v>4399</v>
      </c>
      <c r="D452" t="s">
        <v>4445</v>
      </c>
    </row>
    <row r="453" spans="3:4" customFormat="1" x14ac:dyDescent="0.3">
      <c r="C453" t="s">
        <v>4401</v>
      </c>
      <c r="D453" t="s">
        <v>4448</v>
      </c>
    </row>
    <row r="454" spans="3:4" customFormat="1" x14ac:dyDescent="0.3">
      <c r="C454" t="s">
        <v>4402</v>
      </c>
      <c r="D454" t="s">
        <v>4451</v>
      </c>
    </row>
    <row r="455" spans="3:4" customFormat="1" x14ac:dyDescent="0.3">
      <c r="C455" t="s">
        <v>4404</v>
      </c>
      <c r="D455" t="s">
        <v>4454</v>
      </c>
    </row>
    <row r="456" spans="3:4" customFormat="1" x14ac:dyDescent="0.3">
      <c r="C456" t="s">
        <v>4405</v>
      </c>
      <c r="D456" t="s">
        <v>4457</v>
      </c>
    </row>
    <row r="457" spans="3:4" customFormat="1" x14ac:dyDescent="0.3">
      <c r="C457" t="s">
        <v>4407</v>
      </c>
      <c r="D457" t="s">
        <v>4460</v>
      </c>
    </row>
    <row r="458" spans="3:4" customFormat="1" x14ac:dyDescent="0.3">
      <c r="C458" t="s">
        <v>4408</v>
      </c>
      <c r="D458" t="s">
        <v>4463</v>
      </c>
    </row>
    <row r="459" spans="3:4" customFormat="1" x14ac:dyDescent="0.3">
      <c r="C459" t="s">
        <v>4410</v>
      </c>
      <c r="D459" t="s">
        <v>4466</v>
      </c>
    </row>
    <row r="460" spans="3:4" customFormat="1" x14ac:dyDescent="0.3">
      <c r="C460" t="s">
        <v>4411</v>
      </c>
      <c r="D460" t="s">
        <v>4469</v>
      </c>
    </row>
    <row r="461" spans="3:4" customFormat="1" x14ac:dyDescent="0.3">
      <c r="C461" t="s">
        <v>4413</v>
      </c>
      <c r="D461" t="s">
        <v>4472</v>
      </c>
    </row>
    <row r="462" spans="3:4" customFormat="1" x14ac:dyDescent="0.3">
      <c r="C462" t="s">
        <v>4414</v>
      </c>
      <c r="D462" t="s">
        <v>4475</v>
      </c>
    </row>
    <row r="463" spans="3:4" customFormat="1" x14ac:dyDescent="0.3">
      <c r="C463" t="s">
        <v>4416</v>
      </c>
      <c r="D463" t="s">
        <v>4478</v>
      </c>
    </row>
    <row r="464" spans="3:4" customFormat="1" x14ac:dyDescent="0.3">
      <c r="C464" t="s">
        <v>4417</v>
      </c>
      <c r="D464" t="s">
        <v>4481</v>
      </c>
    </row>
    <row r="465" spans="3:4" customFormat="1" x14ac:dyDescent="0.3">
      <c r="C465" t="s">
        <v>4419</v>
      </c>
      <c r="D465" t="s">
        <v>4484</v>
      </c>
    </row>
    <row r="466" spans="3:4" customFormat="1" x14ac:dyDescent="0.3">
      <c r="C466" t="s">
        <v>4420</v>
      </c>
      <c r="D466" t="s">
        <v>4487</v>
      </c>
    </row>
    <row r="467" spans="3:4" customFormat="1" x14ac:dyDescent="0.3">
      <c r="C467" t="s">
        <v>4422</v>
      </c>
      <c r="D467" t="s">
        <v>4490</v>
      </c>
    </row>
    <row r="468" spans="3:4" customFormat="1" x14ac:dyDescent="0.3">
      <c r="C468" t="s">
        <v>4423</v>
      </c>
      <c r="D468" t="s">
        <v>4493</v>
      </c>
    </row>
    <row r="469" spans="3:4" customFormat="1" x14ac:dyDescent="0.3">
      <c r="C469" t="s">
        <v>4425</v>
      </c>
      <c r="D469" t="s">
        <v>4496</v>
      </c>
    </row>
    <row r="470" spans="3:4" customFormat="1" x14ac:dyDescent="0.3">
      <c r="C470" t="s">
        <v>4426</v>
      </c>
      <c r="D470" t="s">
        <v>4499</v>
      </c>
    </row>
    <row r="471" spans="3:4" customFormat="1" x14ac:dyDescent="0.3">
      <c r="C471" t="s">
        <v>4428</v>
      </c>
      <c r="D471" t="s">
        <v>4502</v>
      </c>
    </row>
    <row r="472" spans="3:4" customFormat="1" x14ac:dyDescent="0.3">
      <c r="C472" t="s">
        <v>4429</v>
      </c>
      <c r="D472" t="s">
        <v>4505</v>
      </c>
    </row>
    <row r="473" spans="3:4" customFormat="1" x14ac:dyDescent="0.3">
      <c r="C473" t="s">
        <v>4431</v>
      </c>
      <c r="D473" t="s">
        <v>4508</v>
      </c>
    </row>
    <row r="474" spans="3:4" customFormat="1" x14ac:dyDescent="0.3">
      <c r="C474" t="s">
        <v>4432</v>
      </c>
      <c r="D474" t="s">
        <v>4511</v>
      </c>
    </row>
    <row r="475" spans="3:4" customFormat="1" x14ac:dyDescent="0.3">
      <c r="C475" t="s">
        <v>4434</v>
      </c>
      <c r="D475" t="s">
        <v>4514</v>
      </c>
    </row>
    <row r="476" spans="3:4" customFormat="1" x14ac:dyDescent="0.3">
      <c r="C476" t="s">
        <v>4435</v>
      </c>
      <c r="D476" t="s">
        <v>4517</v>
      </c>
    </row>
    <row r="477" spans="3:4" customFormat="1" x14ac:dyDescent="0.3">
      <c r="C477" t="s">
        <v>4437</v>
      </c>
      <c r="D477" t="s">
        <v>4520</v>
      </c>
    </row>
    <row r="478" spans="3:4" customFormat="1" x14ac:dyDescent="0.3">
      <c r="C478" t="s">
        <v>4438</v>
      </c>
      <c r="D478" t="s">
        <v>4523</v>
      </c>
    </row>
    <row r="479" spans="3:4" customFormat="1" x14ac:dyDescent="0.3">
      <c r="C479" t="s">
        <v>4440</v>
      </c>
      <c r="D479" t="s">
        <v>4526</v>
      </c>
    </row>
    <row r="480" spans="3:4" customFormat="1" x14ac:dyDescent="0.3">
      <c r="C480" t="s">
        <v>4441</v>
      </c>
      <c r="D480" t="s">
        <v>4529</v>
      </c>
    </row>
    <row r="481" spans="3:4" customFormat="1" x14ac:dyDescent="0.3">
      <c r="C481" t="s">
        <v>4443</v>
      </c>
      <c r="D481" t="s">
        <v>4532</v>
      </c>
    </row>
    <row r="482" spans="3:4" customFormat="1" x14ac:dyDescent="0.3">
      <c r="C482" t="s">
        <v>4444</v>
      </c>
      <c r="D482" t="s">
        <v>4535</v>
      </c>
    </row>
    <row r="483" spans="3:4" customFormat="1" x14ac:dyDescent="0.3">
      <c r="C483" t="s">
        <v>4446</v>
      </c>
      <c r="D483" t="s">
        <v>4538</v>
      </c>
    </row>
    <row r="484" spans="3:4" customFormat="1" x14ac:dyDescent="0.3">
      <c r="C484" t="s">
        <v>4447</v>
      </c>
      <c r="D484" t="s">
        <v>4541</v>
      </c>
    </row>
    <row r="485" spans="3:4" customFormat="1" x14ac:dyDescent="0.3">
      <c r="C485" t="s">
        <v>4449</v>
      </c>
      <c r="D485" t="s">
        <v>4544</v>
      </c>
    </row>
    <row r="486" spans="3:4" customFormat="1" x14ac:dyDescent="0.3">
      <c r="C486" t="s">
        <v>4450</v>
      </c>
      <c r="D486" t="s">
        <v>4547</v>
      </c>
    </row>
    <row r="487" spans="3:4" customFormat="1" x14ac:dyDescent="0.3">
      <c r="C487" t="s">
        <v>4452</v>
      </c>
      <c r="D487" t="s">
        <v>4550</v>
      </c>
    </row>
    <row r="488" spans="3:4" customFormat="1" x14ac:dyDescent="0.3">
      <c r="C488" t="s">
        <v>4453</v>
      </c>
      <c r="D488" t="s">
        <v>4553</v>
      </c>
    </row>
    <row r="489" spans="3:4" customFormat="1" x14ac:dyDescent="0.3">
      <c r="C489" t="s">
        <v>4455</v>
      </c>
      <c r="D489" t="s">
        <v>4556</v>
      </c>
    </row>
    <row r="490" spans="3:4" customFormat="1" x14ac:dyDescent="0.3">
      <c r="C490" t="s">
        <v>4456</v>
      </c>
      <c r="D490" t="s">
        <v>4559</v>
      </c>
    </row>
    <row r="491" spans="3:4" customFormat="1" x14ac:dyDescent="0.3">
      <c r="C491" t="s">
        <v>4458</v>
      </c>
      <c r="D491" t="s">
        <v>4562</v>
      </c>
    </row>
    <row r="492" spans="3:4" customFormat="1" x14ac:dyDescent="0.3">
      <c r="C492" t="s">
        <v>4459</v>
      </c>
      <c r="D492" t="s">
        <v>4565</v>
      </c>
    </row>
    <row r="493" spans="3:4" customFormat="1" x14ac:dyDescent="0.3">
      <c r="C493" t="s">
        <v>4461</v>
      </c>
      <c r="D493" t="s">
        <v>4568</v>
      </c>
    </row>
    <row r="494" spans="3:4" customFormat="1" x14ac:dyDescent="0.3">
      <c r="C494" t="s">
        <v>4462</v>
      </c>
      <c r="D494" t="s">
        <v>4571</v>
      </c>
    </row>
    <row r="495" spans="3:4" customFormat="1" x14ac:dyDescent="0.3">
      <c r="C495" t="s">
        <v>4464</v>
      </c>
      <c r="D495" t="s">
        <v>4574</v>
      </c>
    </row>
    <row r="496" spans="3:4" customFormat="1" x14ac:dyDescent="0.3">
      <c r="C496" t="s">
        <v>4465</v>
      </c>
      <c r="D496" t="s">
        <v>4577</v>
      </c>
    </row>
    <row r="497" spans="3:4" customFormat="1" x14ac:dyDescent="0.3">
      <c r="C497" t="s">
        <v>4467</v>
      </c>
      <c r="D497" t="s">
        <v>4580</v>
      </c>
    </row>
    <row r="498" spans="3:4" customFormat="1" x14ac:dyDescent="0.3">
      <c r="C498" t="s">
        <v>4468</v>
      </c>
      <c r="D498" t="s">
        <v>4583</v>
      </c>
    </row>
    <row r="499" spans="3:4" customFormat="1" x14ac:dyDescent="0.3">
      <c r="C499" t="s">
        <v>4470</v>
      </c>
      <c r="D499" t="s">
        <v>4586</v>
      </c>
    </row>
    <row r="500" spans="3:4" customFormat="1" x14ac:dyDescent="0.3">
      <c r="C500" t="s">
        <v>4471</v>
      </c>
      <c r="D500" t="s">
        <v>4589</v>
      </c>
    </row>
    <row r="501" spans="3:4" customFormat="1" x14ac:dyDescent="0.3">
      <c r="C501" t="s">
        <v>4473</v>
      </c>
      <c r="D501" t="s">
        <v>4592</v>
      </c>
    </row>
    <row r="502" spans="3:4" customFormat="1" x14ac:dyDescent="0.3">
      <c r="C502" t="s">
        <v>4474</v>
      </c>
      <c r="D502" t="s">
        <v>4595</v>
      </c>
    </row>
    <row r="503" spans="3:4" customFormat="1" x14ac:dyDescent="0.3">
      <c r="C503" t="s">
        <v>4476</v>
      </c>
      <c r="D503" t="s">
        <v>4598</v>
      </c>
    </row>
    <row r="504" spans="3:4" customFormat="1" x14ac:dyDescent="0.3">
      <c r="C504" t="s">
        <v>4477</v>
      </c>
      <c r="D504" t="s">
        <v>4601</v>
      </c>
    </row>
    <row r="505" spans="3:4" customFormat="1" x14ac:dyDescent="0.3">
      <c r="C505" t="s">
        <v>4479</v>
      </c>
      <c r="D505" t="s">
        <v>4604</v>
      </c>
    </row>
    <row r="506" spans="3:4" customFormat="1" x14ac:dyDescent="0.3">
      <c r="C506" t="s">
        <v>4480</v>
      </c>
      <c r="D506" t="s">
        <v>4607</v>
      </c>
    </row>
    <row r="507" spans="3:4" customFormat="1" x14ac:dyDescent="0.3">
      <c r="C507" t="s">
        <v>4482</v>
      </c>
      <c r="D507" t="s">
        <v>4610</v>
      </c>
    </row>
    <row r="508" spans="3:4" customFormat="1" x14ac:dyDescent="0.3">
      <c r="C508" t="s">
        <v>4483</v>
      </c>
      <c r="D508" t="s">
        <v>4613</v>
      </c>
    </row>
    <row r="509" spans="3:4" customFormat="1" x14ac:dyDescent="0.3">
      <c r="C509" t="s">
        <v>4485</v>
      </c>
      <c r="D509" t="s">
        <v>4616</v>
      </c>
    </row>
    <row r="510" spans="3:4" customFormat="1" x14ac:dyDescent="0.3">
      <c r="C510" t="s">
        <v>4486</v>
      </c>
      <c r="D510" t="s">
        <v>4619</v>
      </c>
    </row>
    <row r="511" spans="3:4" customFormat="1" x14ac:dyDescent="0.3">
      <c r="C511" t="s">
        <v>4488</v>
      </c>
      <c r="D511" t="s">
        <v>4622</v>
      </c>
    </row>
    <row r="512" spans="3:4" customFormat="1" x14ac:dyDescent="0.3">
      <c r="C512" t="s">
        <v>4489</v>
      </c>
      <c r="D512" t="s">
        <v>4625</v>
      </c>
    </row>
    <row r="513" spans="3:4" customFormat="1" x14ac:dyDescent="0.3">
      <c r="C513" t="s">
        <v>4491</v>
      </c>
      <c r="D513" t="s">
        <v>4628</v>
      </c>
    </row>
    <row r="514" spans="3:4" customFormat="1" x14ac:dyDescent="0.3">
      <c r="C514" t="s">
        <v>4492</v>
      </c>
      <c r="D514" t="s">
        <v>4631</v>
      </c>
    </row>
    <row r="515" spans="3:4" customFormat="1" x14ac:dyDescent="0.3">
      <c r="C515" t="s">
        <v>4494</v>
      </c>
      <c r="D515" t="s">
        <v>4634</v>
      </c>
    </row>
    <row r="516" spans="3:4" customFormat="1" x14ac:dyDescent="0.3">
      <c r="C516" t="s">
        <v>4495</v>
      </c>
      <c r="D516" t="s">
        <v>4637</v>
      </c>
    </row>
    <row r="517" spans="3:4" customFormat="1" x14ac:dyDescent="0.3">
      <c r="C517" t="s">
        <v>4497</v>
      </c>
      <c r="D517" t="s">
        <v>4640</v>
      </c>
    </row>
    <row r="518" spans="3:4" customFormat="1" x14ac:dyDescent="0.3">
      <c r="C518" t="s">
        <v>4498</v>
      </c>
      <c r="D518" t="s">
        <v>4643</v>
      </c>
    </row>
    <row r="519" spans="3:4" customFormat="1" x14ac:dyDescent="0.3">
      <c r="C519" t="s">
        <v>4500</v>
      </c>
      <c r="D519" t="s">
        <v>4646</v>
      </c>
    </row>
    <row r="520" spans="3:4" customFormat="1" x14ac:dyDescent="0.3">
      <c r="C520" t="s">
        <v>4501</v>
      </c>
      <c r="D520" t="s">
        <v>4649</v>
      </c>
    </row>
    <row r="521" spans="3:4" customFormat="1" x14ac:dyDescent="0.3">
      <c r="C521" t="s">
        <v>4503</v>
      </c>
      <c r="D521" t="s">
        <v>4652</v>
      </c>
    </row>
    <row r="522" spans="3:4" customFormat="1" x14ac:dyDescent="0.3">
      <c r="C522" t="s">
        <v>4504</v>
      </c>
      <c r="D522" t="s">
        <v>4655</v>
      </c>
    </row>
    <row r="523" spans="3:4" customFormat="1" x14ac:dyDescent="0.3">
      <c r="C523" t="s">
        <v>4506</v>
      </c>
      <c r="D523" t="s">
        <v>4658</v>
      </c>
    </row>
    <row r="524" spans="3:4" customFormat="1" x14ac:dyDescent="0.3">
      <c r="C524" t="s">
        <v>4507</v>
      </c>
      <c r="D524" t="s">
        <v>4661</v>
      </c>
    </row>
    <row r="525" spans="3:4" customFormat="1" x14ac:dyDescent="0.3">
      <c r="C525" t="s">
        <v>4509</v>
      </c>
      <c r="D525" t="s">
        <v>4664</v>
      </c>
    </row>
    <row r="526" spans="3:4" customFormat="1" x14ac:dyDescent="0.3">
      <c r="C526" t="s">
        <v>4510</v>
      </c>
      <c r="D526" t="s">
        <v>4667</v>
      </c>
    </row>
    <row r="527" spans="3:4" customFormat="1" x14ac:dyDescent="0.3">
      <c r="C527" t="s">
        <v>4512</v>
      </c>
      <c r="D527" t="s">
        <v>4670</v>
      </c>
    </row>
    <row r="528" spans="3:4" customFormat="1" x14ac:dyDescent="0.3">
      <c r="C528" t="s">
        <v>4513</v>
      </c>
      <c r="D528" t="s">
        <v>4673</v>
      </c>
    </row>
    <row r="529" spans="3:4" customFormat="1" x14ac:dyDescent="0.3">
      <c r="C529" t="s">
        <v>4515</v>
      </c>
      <c r="D529" t="s">
        <v>4676</v>
      </c>
    </row>
    <row r="530" spans="3:4" customFormat="1" x14ac:dyDescent="0.3">
      <c r="C530" t="s">
        <v>4516</v>
      </c>
      <c r="D530" t="s">
        <v>4679</v>
      </c>
    </row>
    <row r="531" spans="3:4" customFormat="1" x14ac:dyDescent="0.3">
      <c r="C531" t="s">
        <v>4518</v>
      </c>
      <c r="D531" t="s">
        <v>4682</v>
      </c>
    </row>
    <row r="532" spans="3:4" customFormat="1" x14ac:dyDescent="0.3">
      <c r="C532" t="s">
        <v>4519</v>
      </c>
      <c r="D532" t="s">
        <v>4685</v>
      </c>
    </row>
    <row r="533" spans="3:4" customFormat="1" x14ac:dyDescent="0.3">
      <c r="C533" t="s">
        <v>4521</v>
      </c>
      <c r="D533" t="s">
        <v>4688</v>
      </c>
    </row>
    <row r="534" spans="3:4" customFormat="1" x14ac:dyDescent="0.3">
      <c r="C534" t="s">
        <v>4522</v>
      </c>
      <c r="D534" t="s">
        <v>4691</v>
      </c>
    </row>
    <row r="535" spans="3:4" customFormat="1" x14ac:dyDescent="0.3">
      <c r="C535" t="s">
        <v>4524</v>
      </c>
      <c r="D535" t="s">
        <v>4694</v>
      </c>
    </row>
    <row r="536" spans="3:4" customFormat="1" x14ac:dyDescent="0.3">
      <c r="C536" t="s">
        <v>4525</v>
      </c>
      <c r="D536" t="s">
        <v>4697</v>
      </c>
    </row>
    <row r="537" spans="3:4" customFormat="1" x14ac:dyDescent="0.3">
      <c r="C537" t="s">
        <v>4527</v>
      </c>
      <c r="D537" t="s">
        <v>4700</v>
      </c>
    </row>
    <row r="538" spans="3:4" customFormat="1" x14ac:dyDescent="0.3">
      <c r="C538" t="s">
        <v>4528</v>
      </c>
      <c r="D538" t="s">
        <v>4703</v>
      </c>
    </row>
    <row r="539" spans="3:4" customFormat="1" x14ac:dyDescent="0.3">
      <c r="C539" t="s">
        <v>4530</v>
      </c>
      <c r="D539" t="s">
        <v>4706</v>
      </c>
    </row>
    <row r="540" spans="3:4" customFormat="1" x14ac:dyDescent="0.3">
      <c r="C540" t="s">
        <v>4531</v>
      </c>
      <c r="D540" t="s">
        <v>4709</v>
      </c>
    </row>
    <row r="541" spans="3:4" customFormat="1" x14ac:dyDescent="0.3">
      <c r="C541" t="s">
        <v>4533</v>
      </c>
      <c r="D541" t="s">
        <v>4712</v>
      </c>
    </row>
    <row r="542" spans="3:4" customFormat="1" x14ac:dyDescent="0.3">
      <c r="C542" t="s">
        <v>4534</v>
      </c>
      <c r="D542" t="s">
        <v>4715</v>
      </c>
    </row>
    <row r="543" spans="3:4" customFormat="1" x14ac:dyDescent="0.3">
      <c r="C543" t="s">
        <v>4536</v>
      </c>
      <c r="D543" t="s">
        <v>4718</v>
      </c>
    </row>
    <row r="544" spans="3:4" customFormat="1" x14ac:dyDescent="0.3">
      <c r="C544" t="s">
        <v>4537</v>
      </c>
      <c r="D544" t="s">
        <v>4721</v>
      </c>
    </row>
    <row r="545" spans="3:4" customFormat="1" x14ac:dyDescent="0.3">
      <c r="C545" t="s">
        <v>4539</v>
      </c>
      <c r="D545" t="s">
        <v>4724</v>
      </c>
    </row>
    <row r="546" spans="3:4" customFormat="1" x14ac:dyDescent="0.3">
      <c r="C546" t="s">
        <v>4540</v>
      </c>
      <c r="D546" t="s">
        <v>4727</v>
      </c>
    </row>
    <row r="547" spans="3:4" customFormat="1" x14ac:dyDescent="0.3">
      <c r="C547" t="s">
        <v>4542</v>
      </c>
      <c r="D547" t="s">
        <v>4730</v>
      </c>
    </row>
    <row r="548" spans="3:4" customFormat="1" x14ac:dyDescent="0.3">
      <c r="C548" t="s">
        <v>4543</v>
      </c>
      <c r="D548" t="s">
        <v>4733</v>
      </c>
    </row>
    <row r="549" spans="3:4" customFormat="1" x14ac:dyDescent="0.3">
      <c r="C549" t="s">
        <v>4545</v>
      </c>
      <c r="D549" t="s">
        <v>4736</v>
      </c>
    </row>
    <row r="550" spans="3:4" customFormat="1" x14ac:dyDescent="0.3">
      <c r="C550" t="s">
        <v>4546</v>
      </c>
      <c r="D550" t="s">
        <v>4739</v>
      </c>
    </row>
    <row r="551" spans="3:4" customFormat="1" x14ac:dyDescent="0.3">
      <c r="C551" t="s">
        <v>4548</v>
      </c>
      <c r="D551" t="s">
        <v>4742</v>
      </c>
    </row>
    <row r="552" spans="3:4" customFormat="1" x14ac:dyDescent="0.3">
      <c r="C552" t="s">
        <v>4549</v>
      </c>
      <c r="D552" t="s">
        <v>4745</v>
      </c>
    </row>
    <row r="553" spans="3:4" customFormat="1" x14ac:dyDescent="0.3">
      <c r="C553" t="s">
        <v>4551</v>
      </c>
      <c r="D553" t="s">
        <v>4748</v>
      </c>
    </row>
    <row r="554" spans="3:4" customFormat="1" x14ac:dyDescent="0.3">
      <c r="C554" t="s">
        <v>4552</v>
      </c>
      <c r="D554" t="s">
        <v>4751</v>
      </c>
    </row>
    <row r="555" spans="3:4" customFormat="1" x14ac:dyDescent="0.3">
      <c r="C555" t="s">
        <v>4554</v>
      </c>
      <c r="D555" t="s">
        <v>4754</v>
      </c>
    </row>
    <row r="556" spans="3:4" customFormat="1" x14ac:dyDescent="0.3">
      <c r="C556" t="s">
        <v>4555</v>
      </c>
      <c r="D556" t="s">
        <v>4757</v>
      </c>
    </row>
    <row r="557" spans="3:4" customFormat="1" x14ac:dyDescent="0.3">
      <c r="C557" t="s">
        <v>4557</v>
      </c>
      <c r="D557" t="s">
        <v>4760</v>
      </c>
    </row>
    <row r="558" spans="3:4" customFormat="1" x14ac:dyDescent="0.3">
      <c r="C558" t="s">
        <v>4558</v>
      </c>
      <c r="D558" t="s">
        <v>4763</v>
      </c>
    </row>
    <row r="559" spans="3:4" customFormat="1" x14ac:dyDescent="0.3">
      <c r="C559" t="s">
        <v>4560</v>
      </c>
      <c r="D559" t="s">
        <v>4766</v>
      </c>
    </row>
    <row r="560" spans="3:4" customFormat="1" x14ac:dyDescent="0.3">
      <c r="C560" t="s">
        <v>4561</v>
      </c>
      <c r="D560" t="s">
        <v>4769</v>
      </c>
    </row>
    <row r="561" spans="3:4" customFormat="1" x14ac:dyDescent="0.3">
      <c r="C561" t="s">
        <v>4563</v>
      </c>
      <c r="D561" t="s">
        <v>4772</v>
      </c>
    </row>
    <row r="562" spans="3:4" customFormat="1" x14ac:dyDescent="0.3">
      <c r="C562" t="s">
        <v>4564</v>
      </c>
      <c r="D562" t="s">
        <v>4775</v>
      </c>
    </row>
    <row r="563" spans="3:4" customFormat="1" x14ac:dyDescent="0.3">
      <c r="C563" t="s">
        <v>4566</v>
      </c>
      <c r="D563" t="s">
        <v>4778</v>
      </c>
    </row>
    <row r="564" spans="3:4" customFormat="1" x14ac:dyDescent="0.3">
      <c r="C564" t="s">
        <v>4567</v>
      </c>
      <c r="D564" t="s">
        <v>4781</v>
      </c>
    </row>
    <row r="565" spans="3:4" customFormat="1" x14ac:dyDescent="0.3">
      <c r="C565" t="s">
        <v>4569</v>
      </c>
      <c r="D565" t="s">
        <v>4784</v>
      </c>
    </row>
    <row r="566" spans="3:4" customFormat="1" x14ac:dyDescent="0.3">
      <c r="C566" t="s">
        <v>4570</v>
      </c>
      <c r="D566" t="s">
        <v>4787</v>
      </c>
    </row>
    <row r="567" spans="3:4" customFormat="1" x14ac:dyDescent="0.3">
      <c r="C567" t="s">
        <v>4572</v>
      </c>
      <c r="D567" t="s">
        <v>4790</v>
      </c>
    </row>
    <row r="568" spans="3:4" customFormat="1" x14ac:dyDescent="0.3">
      <c r="C568" t="s">
        <v>4573</v>
      </c>
      <c r="D568" t="s">
        <v>4793</v>
      </c>
    </row>
    <row r="569" spans="3:4" customFormat="1" x14ac:dyDescent="0.3">
      <c r="C569" t="s">
        <v>4575</v>
      </c>
      <c r="D569" t="s">
        <v>4796</v>
      </c>
    </row>
    <row r="570" spans="3:4" customFormat="1" x14ac:dyDescent="0.3">
      <c r="C570" t="s">
        <v>4576</v>
      </c>
      <c r="D570" t="s">
        <v>4799</v>
      </c>
    </row>
    <row r="571" spans="3:4" customFormat="1" x14ac:dyDescent="0.3">
      <c r="C571" t="s">
        <v>4578</v>
      </c>
      <c r="D571" t="s">
        <v>4802</v>
      </c>
    </row>
    <row r="572" spans="3:4" customFormat="1" x14ac:dyDescent="0.3">
      <c r="C572" t="s">
        <v>4579</v>
      </c>
      <c r="D572" t="s">
        <v>4805</v>
      </c>
    </row>
    <row r="573" spans="3:4" customFormat="1" x14ac:dyDescent="0.3">
      <c r="C573" t="s">
        <v>4581</v>
      </c>
      <c r="D573" t="s">
        <v>4808</v>
      </c>
    </row>
    <row r="574" spans="3:4" customFormat="1" x14ac:dyDescent="0.3">
      <c r="C574" t="s">
        <v>4582</v>
      </c>
      <c r="D574" t="s">
        <v>4811</v>
      </c>
    </row>
    <row r="575" spans="3:4" customFormat="1" x14ac:dyDescent="0.3">
      <c r="C575" t="s">
        <v>4584</v>
      </c>
      <c r="D575" t="s">
        <v>4814</v>
      </c>
    </row>
    <row r="576" spans="3:4" customFormat="1" x14ac:dyDescent="0.3">
      <c r="C576" t="s">
        <v>4585</v>
      </c>
      <c r="D576" t="s">
        <v>4817</v>
      </c>
    </row>
    <row r="577" spans="3:4" customFormat="1" x14ac:dyDescent="0.3">
      <c r="C577" t="s">
        <v>4587</v>
      </c>
      <c r="D577" t="s">
        <v>4820</v>
      </c>
    </row>
    <row r="578" spans="3:4" customFormat="1" x14ac:dyDescent="0.3">
      <c r="C578" t="s">
        <v>4588</v>
      </c>
      <c r="D578" t="s">
        <v>4823</v>
      </c>
    </row>
    <row r="579" spans="3:4" customFormat="1" x14ac:dyDescent="0.3">
      <c r="C579" t="s">
        <v>4590</v>
      </c>
      <c r="D579" t="s">
        <v>4826</v>
      </c>
    </row>
    <row r="580" spans="3:4" customFormat="1" x14ac:dyDescent="0.3">
      <c r="C580" t="s">
        <v>4591</v>
      </c>
      <c r="D580" t="s">
        <v>4829</v>
      </c>
    </row>
    <row r="581" spans="3:4" customFormat="1" x14ac:dyDescent="0.3">
      <c r="C581" t="s">
        <v>4593</v>
      </c>
      <c r="D581" t="s">
        <v>4832</v>
      </c>
    </row>
    <row r="582" spans="3:4" customFormat="1" x14ac:dyDescent="0.3">
      <c r="C582" t="s">
        <v>4594</v>
      </c>
      <c r="D582" t="s">
        <v>4835</v>
      </c>
    </row>
    <row r="583" spans="3:4" customFormat="1" x14ac:dyDescent="0.3">
      <c r="C583" t="s">
        <v>4596</v>
      </c>
      <c r="D583" t="s">
        <v>4838</v>
      </c>
    </row>
    <row r="584" spans="3:4" customFormat="1" x14ac:dyDescent="0.3">
      <c r="C584" t="s">
        <v>4597</v>
      </c>
      <c r="D584" t="s">
        <v>4841</v>
      </c>
    </row>
    <row r="585" spans="3:4" customFormat="1" x14ac:dyDescent="0.3">
      <c r="C585" t="s">
        <v>4599</v>
      </c>
      <c r="D585" t="s">
        <v>4844</v>
      </c>
    </row>
    <row r="586" spans="3:4" customFormat="1" x14ac:dyDescent="0.3">
      <c r="C586" t="s">
        <v>4600</v>
      </c>
      <c r="D586" t="s">
        <v>4847</v>
      </c>
    </row>
    <row r="587" spans="3:4" customFormat="1" x14ac:dyDescent="0.3">
      <c r="C587" t="s">
        <v>4602</v>
      </c>
      <c r="D587" t="s">
        <v>4850</v>
      </c>
    </row>
    <row r="588" spans="3:4" customFormat="1" x14ac:dyDescent="0.3">
      <c r="C588" t="s">
        <v>4603</v>
      </c>
      <c r="D588" t="s">
        <v>4853</v>
      </c>
    </row>
    <row r="589" spans="3:4" customFormat="1" x14ac:dyDescent="0.3">
      <c r="C589" t="s">
        <v>4605</v>
      </c>
      <c r="D589" t="s">
        <v>4856</v>
      </c>
    </row>
    <row r="590" spans="3:4" customFormat="1" x14ac:dyDescent="0.3">
      <c r="C590" t="s">
        <v>4606</v>
      </c>
      <c r="D590" t="s">
        <v>4859</v>
      </c>
    </row>
    <row r="591" spans="3:4" customFormat="1" x14ac:dyDescent="0.3">
      <c r="C591" t="s">
        <v>4608</v>
      </c>
      <c r="D591" t="s">
        <v>4862</v>
      </c>
    </row>
    <row r="592" spans="3:4" customFormat="1" x14ac:dyDescent="0.3">
      <c r="C592" t="s">
        <v>4609</v>
      </c>
      <c r="D592" t="s">
        <v>4865</v>
      </c>
    </row>
    <row r="593" spans="3:4" customFormat="1" x14ac:dyDescent="0.3">
      <c r="C593" t="s">
        <v>4611</v>
      </c>
      <c r="D593" t="s">
        <v>4868</v>
      </c>
    </row>
    <row r="594" spans="3:4" customFormat="1" x14ac:dyDescent="0.3">
      <c r="C594" t="s">
        <v>4612</v>
      </c>
      <c r="D594" t="s">
        <v>4871</v>
      </c>
    </row>
    <row r="595" spans="3:4" customFormat="1" x14ac:dyDescent="0.3">
      <c r="C595" t="s">
        <v>4614</v>
      </c>
      <c r="D595" t="s">
        <v>4874</v>
      </c>
    </row>
    <row r="596" spans="3:4" customFormat="1" x14ac:dyDescent="0.3">
      <c r="C596" t="s">
        <v>4615</v>
      </c>
      <c r="D596" t="s">
        <v>4877</v>
      </c>
    </row>
    <row r="597" spans="3:4" customFormat="1" x14ac:dyDescent="0.3">
      <c r="C597" t="s">
        <v>4617</v>
      </c>
      <c r="D597" t="s">
        <v>4880</v>
      </c>
    </row>
    <row r="598" spans="3:4" customFormat="1" x14ac:dyDescent="0.3">
      <c r="C598" t="s">
        <v>4618</v>
      </c>
      <c r="D598" t="s">
        <v>4883</v>
      </c>
    </row>
    <row r="599" spans="3:4" customFormat="1" x14ac:dyDescent="0.3">
      <c r="C599" t="s">
        <v>4620</v>
      </c>
      <c r="D599" t="s">
        <v>4886</v>
      </c>
    </row>
    <row r="600" spans="3:4" customFormat="1" x14ac:dyDescent="0.3">
      <c r="C600" t="s">
        <v>4621</v>
      </c>
      <c r="D600" t="s">
        <v>4889</v>
      </c>
    </row>
    <row r="601" spans="3:4" customFormat="1" x14ac:dyDescent="0.3">
      <c r="C601" t="s">
        <v>4623</v>
      </c>
      <c r="D601" t="s">
        <v>4892</v>
      </c>
    </row>
    <row r="602" spans="3:4" customFormat="1" x14ac:dyDescent="0.3">
      <c r="C602" t="s">
        <v>4624</v>
      </c>
      <c r="D602" t="s">
        <v>4895</v>
      </c>
    </row>
    <row r="603" spans="3:4" customFormat="1" x14ac:dyDescent="0.3">
      <c r="C603" t="s">
        <v>4626</v>
      </c>
      <c r="D603" t="s">
        <v>4898</v>
      </c>
    </row>
    <row r="604" spans="3:4" customFormat="1" x14ac:dyDescent="0.3">
      <c r="C604" t="s">
        <v>4627</v>
      </c>
      <c r="D604" t="s">
        <v>4901</v>
      </c>
    </row>
    <row r="605" spans="3:4" customFormat="1" x14ac:dyDescent="0.3">
      <c r="C605" t="s">
        <v>4629</v>
      </c>
      <c r="D605" t="s">
        <v>4904</v>
      </c>
    </row>
    <row r="606" spans="3:4" customFormat="1" x14ac:dyDescent="0.3">
      <c r="C606" t="s">
        <v>4630</v>
      </c>
      <c r="D606" t="s">
        <v>4907</v>
      </c>
    </row>
    <row r="607" spans="3:4" customFormat="1" x14ac:dyDescent="0.3">
      <c r="C607" t="s">
        <v>4632</v>
      </c>
      <c r="D607" t="s">
        <v>4910</v>
      </c>
    </row>
    <row r="608" spans="3:4" customFormat="1" x14ac:dyDescent="0.3">
      <c r="C608" t="s">
        <v>4633</v>
      </c>
      <c r="D608" t="s">
        <v>4913</v>
      </c>
    </row>
    <row r="609" spans="3:4" customFormat="1" x14ac:dyDescent="0.3">
      <c r="C609" t="s">
        <v>4635</v>
      </c>
      <c r="D609" t="s">
        <v>4916</v>
      </c>
    </row>
    <row r="610" spans="3:4" customFormat="1" x14ac:dyDescent="0.3">
      <c r="C610" t="s">
        <v>4636</v>
      </c>
      <c r="D610" t="s">
        <v>4919</v>
      </c>
    </row>
    <row r="611" spans="3:4" customFormat="1" x14ac:dyDescent="0.3">
      <c r="C611" t="s">
        <v>4638</v>
      </c>
      <c r="D611" t="s">
        <v>4922</v>
      </c>
    </row>
    <row r="612" spans="3:4" customFormat="1" x14ac:dyDescent="0.3">
      <c r="C612" t="s">
        <v>4639</v>
      </c>
      <c r="D612" t="s">
        <v>4925</v>
      </c>
    </row>
    <row r="613" spans="3:4" customFormat="1" x14ac:dyDescent="0.3">
      <c r="C613" t="s">
        <v>4641</v>
      </c>
      <c r="D613" t="s">
        <v>4928</v>
      </c>
    </row>
    <row r="614" spans="3:4" customFormat="1" x14ac:dyDescent="0.3">
      <c r="C614" t="s">
        <v>4642</v>
      </c>
      <c r="D614" t="s">
        <v>4931</v>
      </c>
    </row>
    <row r="615" spans="3:4" customFormat="1" x14ac:dyDescent="0.3">
      <c r="C615" t="s">
        <v>4644</v>
      </c>
      <c r="D615" t="s">
        <v>4934</v>
      </c>
    </row>
    <row r="616" spans="3:4" customFormat="1" x14ac:dyDescent="0.3">
      <c r="C616" t="s">
        <v>4645</v>
      </c>
      <c r="D616" t="s">
        <v>4937</v>
      </c>
    </row>
    <row r="617" spans="3:4" customFormat="1" x14ac:dyDescent="0.3">
      <c r="C617" t="s">
        <v>4647</v>
      </c>
      <c r="D617" t="s">
        <v>4940</v>
      </c>
    </row>
    <row r="618" spans="3:4" customFormat="1" x14ac:dyDescent="0.3">
      <c r="C618" t="s">
        <v>4648</v>
      </c>
      <c r="D618" t="s">
        <v>4943</v>
      </c>
    </row>
    <row r="619" spans="3:4" customFormat="1" x14ac:dyDescent="0.3">
      <c r="C619" t="s">
        <v>4650</v>
      </c>
      <c r="D619" t="s">
        <v>4946</v>
      </c>
    </row>
    <row r="620" spans="3:4" customFormat="1" x14ac:dyDescent="0.3">
      <c r="C620" t="s">
        <v>4651</v>
      </c>
      <c r="D620" t="s">
        <v>4949</v>
      </c>
    </row>
    <row r="621" spans="3:4" customFormat="1" x14ac:dyDescent="0.3">
      <c r="C621" t="s">
        <v>4653</v>
      </c>
      <c r="D621" t="s">
        <v>4952</v>
      </c>
    </row>
    <row r="622" spans="3:4" customFormat="1" x14ac:dyDescent="0.3">
      <c r="C622" t="s">
        <v>4654</v>
      </c>
      <c r="D622" t="s">
        <v>4955</v>
      </c>
    </row>
    <row r="623" spans="3:4" customFormat="1" x14ac:dyDescent="0.3">
      <c r="C623" t="s">
        <v>4656</v>
      </c>
      <c r="D623" t="s">
        <v>4958</v>
      </c>
    </row>
    <row r="624" spans="3:4" customFormat="1" x14ac:dyDescent="0.3">
      <c r="C624" t="s">
        <v>4657</v>
      </c>
      <c r="D624" t="s">
        <v>4961</v>
      </c>
    </row>
    <row r="625" spans="3:4" customFormat="1" x14ac:dyDescent="0.3">
      <c r="C625" t="s">
        <v>4659</v>
      </c>
      <c r="D625" t="s">
        <v>4964</v>
      </c>
    </row>
    <row r="626" spans="3:4" customFormat="1" x14ac:dyDescent="0.3">
      <c r="C626" t="s">
        <v>4660</v>
      </c>
      <c r="D626" t="s">
        <v>4967</v>
      </c>
    </row>
    <row r="627" spans="3:4" customFormat="1" x14ac:dyDescent="0.3">
      <c r="C627" t="s">
        <v>4662</v>
      </c>
      <c r="D627" t="s">
        <v>4970</v>
      </c>
    </row>
    <row r="628" spans="3:4" customFormat="1" x14ac:dyDescent="0.3">
      <c r="C628" t="s">
        <v>4663</v>
      </c>
      <c r="D628" t="s">
        <v>4973</v>
      </c>
    </row>
    <row r="629" spans="3:4" customFormat="1" x14ac:dyDescent="0.3">
      <c r="C629" t="s">
        <v>4665</v>
      </c>
      <c r="D629" t="s">
        <v>4976</v>
      </c>
    </row>
    <row r="630" spans="3:4" customFormat="1" x14ac:dyDescent="0.3">
      <c r="C630" t="s">
        <v>4666</v>
      </c>
      <c r="D630" t="s">
        <v>4979</v>
      </c>
    </row>
    <row r="631" spans="3:4" customFormat="1" x14ac:dyDescent="0.3">
      <c r="C631" t="s">
        <v>4668</v>
      </c>
      <c r="D631" t="s">
        <v>4982</v>
      </c>
    </row>
    <row r="632" spans="3:4" customFormat="1" x14ac:dyDescent="0.3">
      <c r="C632" t="s">
        <v>4669</v>
      </c>
      <c r="D632" t="s">
        <v>4985</v>
      </c>
    </row>
    <row r="633" spans="3:4" customFormat="1" x14ac:dyDescent="0.3">
      <c r="C633" t="s">
        <v>4671</v>
      </c>
      <c r="D633" t="s">
        <v>4988</v>
      </c>
    </row>
    <row r="634" spans="3:4" customFormat="1" x14ac:dyDescent="0.3">
      <c r="C634" t="s">
        <v>4672</v>
      </c>
      <c r="D634" t="s">
        <v>4991</v>
      </c>
    </row>
    <row r="635" spans="3:4" customFormat="1" x14ac:dyDescent="0.3">
      <c r="C635" t="s">
        <v>4674</v>
      </c>
      <c r="D635" t="s">
        <v>4994</v>
      </c>
    </row>
    <row r="636" spans="3:4" customFormat="1" x14ac:dyDescent="0.3">
      <c r="C636" t="s">
        <v>4675</v>
      </c>
      <c r="D636" t="s">
        <v>4997</v>
      </c>
    </row>
    <row r="637" spans="3:4" customFormat="1" x14ac:dyDescent="0.3">
      <c r="C637" t="s">
        <v>4677</v>
      </c>
      <c r="D637" t="s">
        <v>5000</v>
      </c>
    </row>
    <row r="638" spans="3:4" customFormat="1" x14ac:dyDescent="0.3">
      <c r="C638" t="s">
        <v>4678</v>
      </c>
      <c r="D638" t="s">
        <v>5003</v>
      </c>
    </row>
    <row r="639" spans="3:4" customFormat="1" x14ac:dyDescent="0.3">
      <c r="C639" t="s">
        <v>4680</v>
      </c>
      <c r="D639" t="s">
        <v>5006</v>
      </c>
    </row>
    <row r="640" spans="3:4" customFormat="1" x14ac:dyDescent="0.3">
      <c r="C640" t="s">
        <v>4681</v>
      </c>
      <c r="D640" t="s">
        <v>5009</v>
      </c>
    </row>
    <row r="641" spans="3:4" customFormat="1" x14ac:dyDescent="0.3">
      <c r="C641" t="s">
        <v>4683</v>
      </c>
      <c r="D641" t="s">
        <v>5012</v>
      </c>
    </row>
    <row r="642" spans="3:4" customFormat="1" x14ac:dyDescent="0.3">
      <c r="C642" t="s">
        <v>4684</v>
      </c>
      <c r="D642" t="s">
        <v>5015</v>
      </c>
    </row>
    <row r="643" spans="3:4" customFormat="1" x14ac:dyDescent="0.3">
      <c r="C643" t="s">
        <v>4686</v>
      </c>
      <c r="D643" t="s">
        <v>5018</v>
      </c>
    </row>
    <row r="644" spans="3:4" customFormat="1" x14ac:dyDescent="0.3">
      <c r="C644" t="s">
        <v>4687</v>
      </c>
      <c r="D644" t="s">
        <v>5021</v>
      </c>
    </row>
    <row r="645" spans="3:4" customFormat="1" x14ac:dyDescent="0.3">
      <c r="C645" t="s">
        <v>4689</v>
      </c>
      <c r="D645" t="s">
        <v>5024</v>
      </c>
    </row>
    <row r="646" spans="3:4" customFormat="1" x14ac:dyDescent="0.3">
      <c r="C646" t="s">
        <v>4690</v>
      </c>
      <c r="D646" t="s">
        <v>5027</v>
      </c>
    </row>
    <row r="647" spans="3:4" customFormat="1" x14ac:dyDescent="0.3">
      <c r="C647" t="s">
        <v>4692</v>
      </c>
      <c r="D647" t="s">
        <v>5030</v>
      </c>
    </row>
    <row r="648" spans="3:4" customFormat="1" x14ac:dyDescent="0.3">
      <c r="C648" t="s">
        <v>4693</v>
      </c>
      <c r="D648" t="s">
        <v>5033</v>
      </c>
    </row>
    <row r="649" spans="3:4" customFormat="1" x14ac:dyDescent="0.3">
      <c r="C649" t="s">
        <v>4695</v>
      </c>
      <c r="D649" t="s">
        <v>5036</v>
      </c>
    </row>
    <row r="650" spans="3:4" customFormat="1" x14ac:dyDescent="0.3">
      <c r="C650" t="s">
        <v>4696</v>
      </c>
      <c r="D650" t="s">
        <v>5039</v>
      </c>
    </row>
    <row r="651" spans="3:4" customFormat="1" x14ac:dyDescent="0.3">
      <c r="C651" t="s">
        <v>4698</v>
      </c>
      <c r="D651" t="s">
        <v>5042</v>
      </c>
    </row>
    <row r="652" spans="3:4" customFormat="1" x14ac:dyDescent="0.3">
      <c r="C652" t="s">
        <v>4699</v>
      </c>
      <c r="D652" t="s">
        <v>5045</v>
      </c>
    </row>
    <row r="653" spans="3:4" customFormat="1" x14ac:dyDescent="0.3">
      <c r="C653" t="s">
        <v>4701</v>
      </c>
      <c r="D653" t="s">
        <v>5048</v>
      </c>
    </row>
    <row r="654" spans="3:4" customFormat="1" x14ac:dyDescent="0.3">
      <c r="C654" t="s">
        <v>4702</v>
      </c>
      <c r="D654" t="s">
        <v>5051</v>
      </c>
    </row>
    <row r="655" spans="3:4" customFormat="1" x14ac:dyDescent="0.3">
      <c r="C655" t="s">
        <v>4704</v>
      </c>
      <c r="D655" t="s">
        <v>5054</v>
      </c>
    </row>
    <row r="656" spans="3:4" customFormat="1" x14ac:dyDescent="0.3">
      <c r="C656" t="s">
        <v>4705</v>
      </c>
      <c r="D656" t="s">
        <v>5057</v>
      </c>
    </row>
    <row r="657" spans="3:4" customFormat="1" x14ac:dyDescent="0.3">
      <c r="C657" t="s">
        <v>4707</v>
      </c>
      <c r="D657" t="s">
        <v>5060</v>
      </c>
    </row>
    <row r="658" spans="3:4" customFormat="1" x14ac:dyDescent="0.3">
      <c r="C658" t="s">
        <v>4708</v>
      </c>
      <c r="D658" t="s">
        <v>5063</v>
      </c>
    </row>
    <row r="659" spans="3:4" customFormat="1" x14ac:dyDescent="0.3">
      <c r="C659" t="s">
        <v>4710</v>
      </c>
      <c r="D659" t="s">
        <v>5066</v>
      </c>
    </row>
    <row r="660" spans="3:4" customFormat="1" x14ac:dyDescent="0.3">
      <c r="C660" t="s">
        <v>4711</v>
      </c>
      <c r="D660" t="s">
        <v>5069</v>
      </c>
    </row>
    <row r="661" spans="3:4" customFormat="1" x14ac:dyDescent="0.3">
      <c r="C661" t="s">
        <v>4713</v>
      </c>
      <c r="D661" t="s">
        <v>5072</v>
      </c>
    </row>
    <row r="662" spans="3:4" customFormat="1" x14ac:dyDescent="0.3">
      <c r="C662" t="s">
        <v>4714</v>
      </c>
      <c r="D662" t="s">
        <v>5075</v>
      </c>
    </row>
    <row r="663" spans="3:4" customFormat="1" x14ac:dyDescent="0.3">
      <c r="C663" t="s">
        <v>4716</v>
      </c>
      <c r="D663" t="s">
        <v>5078</v>
      </c>
    </row>
    <row r="664" spans="3:4" customFormat="1" x14ac:dyDescent="0.3">
      <c r="C664" t="s">
        <v>4717</v>
      </c>
      <c r="D664" t="s">
        <v>5081</v>
      </c>
    </row>
    <row r="665" spans="3:4" customFormat="1" x14ac:dyDescent="0.3">
      <c r="C665" t="s">
        <v>4719</v>
      </c>
      <c r="D665" t="s">
        <v>5084</v>
      </c>
    </row>
    <row r="666" spans="3:4" customFormat="1" x14ac:dyDescent="0.3">
      <c r="C666" t="s">
        <v>4720</v>
      </c>
      <c r="D666" t="s">
        <v>5087</v>
      </c>
    </row>
    <row r="667" spans="3:4" customFormat="1" x14ac:dyDescent="0.3">
      <c r="C667" t="s">
        <v>4722</v>
      </c>
      <c r="D667" t="s">
        <v>5090</v>
      </c>
    </row>
    <row r="668" spans="3:4" customFormat="1" x14ac:dyDescent="0.3">
      <c r="C668" t="s">
        <v>4723</v>
      </c>
      <c r="D668" t="s">
        <v>5093</v>
      </c>
    </row>
    <row r="669" spans="3:4" customFormat="1" x14ac:dyDescent="0.3">
      <c r="C669" t="s">
        <v>4725</v>
      </c>
      <c r="D669" t="s">
        <v>5096</v>
      </c>
    </row>
    <row r="670" spans="3:4" customFormat="1" x14ac:dyDescent="0.3">
      <c r="C670" t="s">
        <v>4726</v>
      </c>
      <c r="D670" t="s">
        <v>5099</v>
      </c>
    </row>
    <row r="671" spans="3:4" customFormat="1" x14ac:dyDescent="0.3">
      <c r="C671" t="s">
        <v>4728</v>
      </c>
      <c r="D671" t="s">
        <v>5102</v>
      </c>
    </row>
    <row r="672" spans="3:4" customFormat="1" x14ac:dyDescent="0.3">
      <c r="C672" t="s">
        <v>4729</v>
      </c>
      <c r="D672" t="s">
        <v>5105</v>
      </c>
    </row>
    <row r="673" spans="3:4" customFormat="1" x14ac:dyDescent="0.3">
      <c r="C673" t="s">
        <v>4731</v>
      </c>
      <c r="D673" t="s">
        <v>5108</v>
      </c>
    </row>
    <row r="674" spans="3:4" customFormat="1" x14ac:dyDescent="0.3">
      <c r="C674" t="s">
        <v>4732</v>
      </c>
      <c r="D674" t="s">
        <v>5111</v>
      </c>
    </row>
    <row r="675" spans="3:4" customFormat="1" x14ac:dyDescent="0.3">
      <c r="C675" t="s">
        <v>4734</v>
      </c>
      <c r="D675" t="s">
        <v>5114</v>
      </c>
    </row>
    <row r="676" spans="3:4" customFormat="1" x14ac:dyDescent="0.3">
      <c r="C676" t="s">
        <v>4735</v>
      </c>
      <c r="D676" t="s">
        <v>5117</v>
      </c>
    </row>
    <row r="677" spans="3:4" customFormat="1" x14ac:dyDescent="0.3">
      <c r="C677" t="s">
        <v>4737</v>
      </c>
      <c r="D677" t="s">
        <v>5120</v>
      </c>
    </row>
    <row r="678" spans="3:4" customFormat="1" x14ac:dyDescent="0.3">
      <c r="C678" t="s">
        <v>4738</v>
      </c>
      <c r="D678" t="s">
        <v>5123</v>
      </c>
    </row>
    <row r="679" spans="3:4" customFormat="1" x14ac:dyDescent="0.3">
      <c r="C679" t="s">
        <v>4740</v>
      </c>
      <c r="D679" t="s">
        <v>5126</v>
      </c>
    </row>
    <row r="680" spans="3:4" customFormat="1" x14ac:dyDescent="0.3">
      <c r="C680" t="s">
        <v>4741</v>
      </c>
      <c r="D680" t="s">
        <v>5129</v>
      </c>
    </row>
    <row r="681" spans="3:4" customFormat="1" x14ac:dyDescent="0.3">
      <c r="C681" t="s">
        <v>4743</v>
      </c>
      <c r="D681" t="s">
        <v>5132</v>
      </c>
    </row>
    <row r="682" spans="3:4" customFormat="1" x14ac:dyDescent="0.3">
      <c r="C682" t="s">
        <v>4744</v>
      </c>
      <c r="D682" t="s">
        <v>5135</v>
      </c>
    </row>
    <row r="683" spans="3:4" customFormat="1" x14ac:dyDescent="0.3">
      <c r="C683" t="s">
        <v>4746</v>
      </c>
      <c r="D683" t="s">
        <v>5138</v>
      </c>
    </row>
    <row r="684" spans="3:4" customFormat="1" x14ac:dyDescent="0.3">
      <c r="C684" t="s">
        <v>4747</v>
      </c>
      <c r="D684" t="s">
        <v>5141</v>
      </c>
    </row>
    <row r="685" spans="3:4" customFormat="1" x14ac:dyDescent="0.3">
      <c r="C685" t="s">
        <v>4749</v>
      </c>
      <c r="D685" t="s">
        <v>5144</v>
      </c>
    </row>
    <row r="686" spans="3:4" customFormat="1" x14ac:dyDescent="0.3">
      <c r="C686" t="s">
        <v>4750</v>
      </c>
      <c r="D686" t="s">
        <v>5147</v>
      </c>
    </row>
    <row r="687" spans="3:4" customFormat="1" x14ac:dyDescent="0.3">
      <c r="C687" t="s">
        <v>4752</v>
      </c>
      <c r="D687" t="s">
        <v>5150</v>
      </c>
    </row>
    <row r="688" spans="3:4" customFormat="1" x14ac:dyDescent="0.3">
      <c r="C688" t="s">
        <v>4753</v>
      </c>
      <c r="D688" t="s">
        <v>5153</v>
      </c>
    </row>
    <row r="689" spans="3:4" customFormat="1" x14ac:dyDescent="0.3">
      <c r="C689" t="s">
        <v>4755</v>
      </c>
      <c r="D689" t="s">
        <v>5156</v>
      </c>
    </row>
    <row r="690" spans="3:4" customFormat="1" x14ac:dyDescent="0.3">
      <c r="C690" t="s">
        <v>4756</v>
      </c>
      <c r="D690" t="s">
        <v>5159</v>
      </c>
    </row>
    <row r="691" spans="3:4" customFormat="1" x14ac:dyDescent="0.3">
      <c r="C691" t="s">
        <v>4758</v>
      </c>
      <c r="D691" t="s">
        <v>5162</v>
      </c>
    </row>
    <row r="692" spans="3:4" customFormat="1" x14ac:dyDescent="0.3">
      <c r="C692" t="s">
        <v>4759</v>
      </c>
      <c r="D692" t="s">
        <v>5165</v>
      </c>
    </row>
    <row r="693" spans="3:4" customFormat="1" x14ac:dyDescent="0.3">
      <c r="C693" t="s">
        <v>4761</v>
      </c>
      <c r="D693" t="s">
        <v>5168</v>
      </c>
    </row>
    <row r="694" spans="3:4" customFormat="1" x14ac:dyDescent="0.3">
      <c r="C694" t="s">
        <v>4762</v>
      </c>
      <c r="D694" t="s">
        <v>5171</v>
      </c>
    </row>
    <row r="695" spans="3:4" customFormat="1" x14ac:dyDescent="0.3">
      <c r="C695" t="s">
        <v>4764</v>
      </c>
      <c r="D695" t="s">
        <v>5174</v>
      </c>
    </row>
    <row r="696" spans="3:4" customFormat="1" x14ac:dyDescent="0.3">
      <c r="C696" t="s">
        <v>4765</v>
      </c>
      <c r="D696" t="s">
        <v>5177</v>
      </c>
    </row>
    <row r="697" spans="3:4" customFormat="1" x14ac:dyDescent="0.3">
      <c r="C697" t="s">
        <v>4767</v>
      </c>
      <c r="D697" t="s">
        <v>5180</v>
      </c>
    </row>
    <row r="698" spans="3:4" customFormat="1" x14ac:dyDescent="0.3">
      <c r="C698" t="s">
        <v>4768</v>
      </c>
      <c r="D698" t="s">
        <v>5183</v>
      </c>
    </row>
    <row r="699" spans="3:4" customFormat="1" x14ac:dyDescent="0.3">
      <c r="C699" t="s">
        <v>4770</v>
      </c>
      <c r="D699" t="s">
        <v>5186</v>
      </c>
    </row>
    <row r="700" spans="3:4" customFormat="1" x14ac:dyDescent="0.3">
      <c r="C700" t="s">
        <v>4771</v>
      </c>
      <c r="D700" t="s">
        <v>5189</v>
      </c>
    </row>
    <row r="701" spans="3:4" customFormat="1" x14ac:dyDescent="0.3">
      <c r="C701" t="s">
        <v>4773</v>
      </c>
      <c r="D701" t="s">
        <v>5192</v>
      </c>
    </row>
    <row r="702" spans="3:4" customFormat="1" x14ac:dyDescent="0.3">
      <c r="C702" t="s">
        <v>4774</v>
      </c>
      <c r="D702" t="s">
        <v>5195</v>
      </c>
    </row>
    <row r="703" spans="3:4" customFormat="1" x14ac:dyDescent="0.3">
      <c r="C703" t="s">
        <v>4776</v>
      </c>
      <c r="D703" t="s">
        <v>5198</v>
      </c>
    </row>
    <row r="704" spans="3:4" customFormat="1" x14ac:dyDescent="0.3">
      <c r="C704" t="s">
        <v>4777</v>
      </c>
      <c r="D704" t="s">
        <v>5201</v>
      </c>
    </row>
    <row r="705" spans="3:4" customFormat="1" x14ac:dyDescent="0.3">
      <c r="C705" t="s">
        <v>4779</v>
      </c>
      <c r="D705" t="s">
        <v>5204</v>
      </c>
    </row>
    <row r="706" spans="3:4" customFormat="1" x14ac:dyDescent="0.3">
      <c r="C706" t="s">
        <v>4780</v>
      </c>
      <c r="D706" t="s">
        <v>5207</v>
      </c>
    </row>
    <row r="707" spans="3:4" customFormat="1" x14ac:dyDescent="0.3">
      <c r="C707" t="s">
        <v>4782</v>
      </c>
      <c r="D707" t="s">
        <v>5210</v>
      </c>
    </row>
    <row r="708" spans="3:4" customFormat="1" x14ac:dyDescent="0.3">
      <c r="C708" t="s">
        <v>4783</v>
      </c>
      <c r="D708" t="s">
        <v>5213</v>
      </c>
    </row>
    <row r="709" spans="3:4" customFormat="1" x14ac:dyDescent="0.3">
      <c r="C709" t="s">
        <v>4785</v>
      </c>
      <c r="D709" t="s">
        <v>5216</v>
      </c>
    </row>
    <row r="710" spans="3:4" customFormat="1" x14ac:dyDescent="0.3">
      <c r="C710" t="s">
        <v>4786</v>
      </c>
      <c r="D710" t="s">
        <v>5219</v>
      </c>
    </row>
    <row r="711" spans="3:4" customFormat="1" x14ac:dyDescent="0.3">
      <c r="C711" t="s">
        <v>4788</v>
      </c>
      <c r="D711" t="s">
        <v>5222</v>
      </c>
    </row>
    <row r="712" spans="3:4" customFormat="1" x14ac:dyDescent="0.3">
      <c r="C712" t="s">
        <v>4789</v>
      </c>
      <c r="D712" t="s">
        <v>5225</v>
      </c>
    </row>
    <row r="713" spans="3:4" customFormat="1" x14ac:dyDescent="0.3">
      <c r="C713" t="s">
        <v>4791</v>
      </c>
      <c r="D713" t="s">
        <v>5228</v>
      </c>
    </row>
    <row r="714" spans="3:4" customFormat="1" x14ac:dyDescent="0.3">
      <c r="C714" t="s">
        <v>4792</v>
      </c>
      <c r="D714" t="s">
        <v>5231</v>
      </c>
    </row>
    <row r="715" spans="3:4" customFormat="1" x14ac:dyDescent="0.3">
      <c r="C715" t="s">
        <v>4794</v>
      </c>
      <c r="D715" t="s">
        <v>5234</v>
      </c>
    </row>
    <row r="716" spans="3:4" customFormat="1" x14ac:dyDescent="0.3">
      <c r="C716" t="s">
        <v>4795</v>
      </c>
      <c r="D716" t="s">
        <v>5237</v>
      </c>
    </row>
    <row r="717" spans="3:4" customFormat="1" x14ac:dyDescent="0.3">
      <c r="C717" t="s">
        <v>4797</v>
      </c>
      <c r="D717" t="s">
        <v>5240</v>
      </c>
    </row>
    <row r="718" spans="3:4" customFormat="1" x14ac:dyDescent="0.3">
      <c r="C718" t="s">
        <v>4798</v>
      </c>
      <c r="D718" t="s">
        <v>5243</v>
      </c>
    </row>
    <row r="719" spans="3:4" customFormat="1" x14ac:dyDescent="0.3">
      <c r="C719" t="s">
        <v>4800</v>
      </c>
      <c r="D719" t="s">
        <v>5246</v>
      </c>
    </row>
    <row r="720" spans="3:4" customFormat="1" x14ac:dyDescent="0.3">
      <c r="C720" t="s">
        <v>4801</v>
      </c>
      <c r="D720" t="s">
        <v>5249</v>
      </c>
    </row>
    <row r="721" spans="3:4" customFormat="1" x14ac:dyDescent="0.3">
      <c r="C721" t="s">
        <v>4803</v>
      </c>
      <c r="D721" t="s">
        <v>5252</v>
      </c>
    </row>
    <row r="722" spans="3:4" customFormat="1" x14ac:dyDescent="0.3">
      <c r="C722" t="s">
        <v>4804</v>
      </c>
      <c r="D722" t="s">
        <v>5255</v>
      </c>
    </row>
    <row r="723" spans="3:4" customFormat="1" x14ac:dyDescent="0.3">
      <c r="C723" t="s">
        <v>4806</v>
      </c>
      <c r="D723" t="s">
        <v>5258</v>
      </c>
    </row>
    <row r="724" spans="3:4" customFormat="1" x14ac:dyDescent="0.3">
      <c r="C724" t="s">
        <v>4807</v>
      </c>
      <c r="D724" t="s">
        <v>5261</v>
      </c>
    </row>
    <row r="725" spans="3:4" customFormat="1" x14ac:dyDescent="0.3">
      <c r="C725" t="s">
        <v>4809</v>
      </c>
      <c r="D725" t="s">
        <v>5264</v>
      </c>
    </row>
    <row r="726" spans="3:4" customFormat="1" x14ac:dyDescent="0.3">
      <c r="C726" t="s">
        <v>4810</v>
      </c>
      <c r="D726" t="s">
        <v>5267</v>
      </c>
    </row>
    <row r="727" spans="3:4" customFormat="1" x14ac:dyDescent="0.3">
      <c r="C727" t="s">
        <v>4812</v>
      </c>
      <c r="D727" t="s">
        <v>5270</v>
      </c>
    </row>
    <row r="728" spans="3:4" customFormat="1" x14ac:dyDescent="0.3">
      <c r="C728" t="s">
        <v>4813</v>
      </c>
      <c r="D728" t="s">
        <v>5273</v>
      </c>
    </row>
    <row r="729" spans="3:4" customFormat="1" x14ac:dyDescent="0.3">
      <c r="C729" t="s">
        <v>4815</v>
      </c>
      <c r="D729" t="s">
        <v>5276</v>
      </c>
    </row>
    <row r="730" spans="3:4" customFormat="1" x14ac:dyDescent="0.3">
      <c r="C730" t="s">
        <v>4816</v>
      </c>
      <c r="D730" t="s">
        <v>5279</v>
      </c>
    </row>
    <row r="731" spans="3:4" customFormat="1" x14ac:dyDescent="0.3">
      <c r="C731" t="s">
        <v>4818</v>
      </c>
      <c r="D731" t="s">
        <v>5282</v>
      </c>
    </row>
    <row r="732" spans="3:4" customFormat="1" x14ac:dyDescent="0.3">
      <c r="C732" t="s">
        <v>4819</v>
      </c>
      <c r="D732" t="s">
        <v>5285</v>
      </c>
    </row>
    <row r="733" spans="3:4" customFormat="1" x14ac:dyDescent="0.3">
      <c r="C733" t="s">
        <v>4821</v>
      </c>
      <c r="D733" t="s">
        <v>5288</v>
      </c>
    </row>
    <row r="734" spans="3:4" customFormat="1" x14ac:dyDescent="0.3">
      <c r="C734" t="s">
        <v>4822</v>
      </c>
      <c r="D734" t="s">
        <v>5291</v>
      </c>
    </row>
    <row r="735" spans="3:4" customFormat="1" x14ac:dyDescent="0.3">
      <c r="C735" t="s">
        <v>4824</v>
      </c>
      <c r="D735" t="s">
        <v>5294</v>
      </c>
    </row>
    <row r="736" spans="3:4" customFormat="1" x14ac:dyDescent="0.3">
      <c r="C736" t="s">
        <v>4825</v>
      </c>
      <c r="D736" t="s">
        <v>5297</v>
      </c>
    </row>
    <row r="737" spans="3:4" customFormat="1" x14ac:dyDescent="0.3">
      <c r="C737" t="s">
        <v>4827</v>
      </c>
      <c r="D737" t="s">
        <v>5300</v>
      </c>
    </row>
    <row r="738" spans="3:4" customFormat="1" x14ac:dyDescent="0.3">
      <c r="C738" t="s">
        <v>4828</v>
      </c>
      <c r="D738" t="s">
        <v>5303</v>
      </c>
    </row>
    <row r="739" spans="3:4" customFormat="1" x14ac:dyDescent="0.3">
      <c r="C739" t="s">
        <v>4830</v>
      </c>
      <c r="D739" t="s">
        <v>5306</v>
      </c>
    </row>
    <row r="740" spans="3:4" customFormat="1" x14ac:dyDescent="0.3">
      <c r="C740" t="s">
        <v>4831</v>
      </c>
      <c r="D740" t="s">
        <v>5309</v>
      </c>
    </row>
    <row r="741" spans="3:4" customFormat="1" x14ac:dyDescent="0.3">
      <c r="C741" t="s">
        <v>4833</v>
      </c>
      <c r="D741" t="s">
        <v>5312</v>
      </c>
    </row>
    <row r="742" spans="3:4" customFormat="1" x14ac:dyDescent="0.3">
      <c r="C742" t="s">
        <v>4834</v>
      </c>
      <c r="D742" t="s">
        <v>5315</v>
      </c>
    </row>
    <row r="743" spans="3:4" customFormat="1" x14ac:dyDescent="0.3">
      <c r="C743" t="s">
        <v>4836</v>
      </c>
      <c r="D743" t="s">
        <v>5318</v>
      </c>
    </row>
    <row r="744" spans="3:4" customFormat="1" x14ac:dyDescent="0.3">
      <c r="C744" t="s">
        <v>4837</v>
      </c>
      <c r="D744" t="s">
        <v>5321</v>
      </c>
    </row>
    <row r="745" spans="3:4" customFormat="1" x14ac:dyDescent="0.3">
      <c r="C745" t="s">
        <v>4839</v>
      </c>
      <c r="D745" t="s">
        <v>5324</v>
      </c>
    </row>
    <row r="746" spans="3:4" customFormat="1" x14ac:dyDescent="0.3">
      <c r="C746" t="s">
        <v>4840</v>
      </c>
      <c r="D746" t="s">
        <v>5327</v>
      </c>
    </row>
    <row r="747" spans="3:4" customFormat="1" x14ac:dyDescent="0.3">
      <c r="C747" t="s">
        <v>4842</v>
      </c>
      <c r="D747" t="s">
        <v>5330</v>
      </c>
    </row>
    <row r="748" spans="3:4" customFormat="1" x14ac:dyDescent="0.3">
      <c r="C748" t="s">
        <v>4843</v>
      </c>
      <c r="D748" t="s">
        <v>5333</v>
      </c>
    </row>
    <row r="749" spans="3:4" customFormat="1" x14ac:dyDescent="0.3">
      <c r="C749" t="s">
        <v>4845</v>
      </c>
      <c r="D749" t="s">
        <v>5336</v>
      </c>
    </row>
    <row r="750" spans="3:4" customFormat="1" x14ac:dyDescent="0.3">
      <c r="C750" t="s">
        <v>4846</v>
      </c>
      <c r="D750" t="s">
        <v>5339</v>
      </c>
    </row>
    <row r="751" spans="3:4" customFormat="1" x14ac:dyDescent="0.3">
      <c r="C751" t="s">
        <v>4848</v>
      </c>
      <c r="D751" t="s">
        <v>5342</v>
      </c>
    </row>
    <row r="752" spans="3:4" customFormat="1" x14ac:dyDescent="0.3">
      <c r="C752" t="s">
        <v>4849</v>
      </c>
      <c r="D752" t="s">
        <v>5345</v>
      </c>
    </row>
    <row r="753" spans="3:4" customFormat="1" x14ac:dyDescent="0.3">
      <c r="C753" t="s">
        <v>4851</v>
      </c>
      <c r="D753" t="s">
        <v>5348</v>
      </c>
    </row>
    <row r="754" spans="3:4" customFormat="1" x14ac:dyDescent="0.3">
      <c r="C754" t="s">
        <v>4852</v>
      </c>
      <c r="D754" t="s">
        <v>5351</v>
      </c>
    </row>
    <row r="755" spans="3:4" customFormat="1" x14ac:dyDescent="0.3">
      <c r="C755" t="s">
        <v>4854</v>
      </c>
      <c r="D755" t="s">
        <v>5354</v>
      </c>
    </row>
    <row r="756" spans="3:4" customFormat="1" x14ac:dyDescent="0.3">
      <c r="C756" t="s">
        <v>4855</v>
      </c>
      <c r="D756" t="s">
        <v>5357</v>
      </c>
    </row>
    <row r="757" spans="3:4" customFormat="1" x14ac:dyDescent="0.3">
      <c r="C757" t="s">
        <v>4857</v>
      </c>
      <c r="D757" t="s">
        <v>5360</v>
      </c>
    </row>
    <row r="758" spans="3:4" customFormat="1" x14ac:dyDescent="0.3">
      <c r="C758" t="s">
        <v>4858</v>
      </c>
      <c r="D758" t="s">
        <v>5363</v>
      </c>
    </row>
    <row r="759" spans="3:4" customFormat="1" x14ac:dyDescent="0.3">
      <c r="C759" t="s">
        <v>4860</v>
      </c>
      <c r="D759" t="s">
        <v>5366</v>
      </c>
    </row>
    <row r="760" spans="3:4" customFormat="1" x14ac:dyDescent="0.3">
      <c r="C760" t="s">
        <v>4861</v>
      </c>
      <c r="D760" t="s">
        <v>5369</v>
      </c>
    </row>
    <row r="761" spans="3:4" customFormat="1" x14ac:dyDescent="0.3">
      <c r="C761" t="s">
        <v>4863</v>
      </c>
      <c r="D761" t="s">
        <v>5372</v>
      </c>
    </row>
    <row r="762" spans="3:4" customFormat="1" x14ac:dyDescent="0.3">
      <c r="C762" t="s">
        <v>4864</v>
      </c>
      <c r="D762" t="s">
        <v>5375</v>
      </c>
    </row>
    <row r="763" spans="3:4" customFormat="1" x14ac:dyDescent="0.3">
      <c r="C763" t="s">
        <v>4866</v>
      </c>
      <c r="D763" t="s">
        <v>5378</v>
      </c>
    </row>
    <row r="764" spans="3:4" customFormat="1" x14ac:dyDescent="0.3">
      <c r="C764" t="s">
        <v>4867</v>
      </c>
      <c r="D764" t="s">
        <v>5381</v>
      </c>
    </row>
    <row r="765" spans="3:4" customFormat="1" x14ac:dyDescent="0.3">
      <c r="C765" t="s">
        <v>4869</v>
      </c>
      <c r="D765" t="s">
        <v>5384</v>
      </c>
    </row>
    <row r="766" spans="3:4" customFormat="1" x14ac:dyDescent="0.3">
      <c r="C766" t="s">
        <v>4870</v>
      </c>
      <c r="D766" t="s">
        <v>5387</v>
      </c>
    </row>
    <row r="767" spans="3:4" customFormat="1" x14ac:dyDescent="0.3">
      <c r="C767" t="s">
        <v>4872</v>
      </c>
      <c r="D767" t="s">
        <v>5390</v>
      </c>
    </row>
    <row r="768" spans="3:4" customFormat="1" x14ac:dyDescent="0.3">
      <c r="C768" t="s">
        <v>4873</v>
      </c>
      <c r="D768" t="s">
        <v>5393</v>
      </c>
    </row>
    <row r="769" spans="3:4" customFormat="1" x14ac:dyDescent="0.3">
      <c r="C769" t="s">
        <v>4875</v>
      </c>
      <c r="D769" t="s">
        <v>5396</v>
      </c>
    </row>
    <row r="770" spans="3:4" customFormat="1" x14ac:dyDescent="0.3">
      <c r="C770" t="s">
        <v>4876</v>
      </c>
      <c r="D770" t="s">
        <v>5399</v>
      </c>
    </row>
    <row r="771" spans="3:4" customFormat="1" x14ac:dyDescent="0.3">
      <c r="C771" t="s">
        <v>4878</v>
      </c>
      <c r="D771" t="s">
        <v>5402</v>
      </c>
    </row>
    <row r="772" spans="3:4" customFormat="1" x14ac:dyDescent="0.3">
      <c r="C772" t="s">
        <v>4879</v>
      </c>
      <c r="D772" t="s">
        <v>5405</v>
      </c>
    </row>
    <row r="773" spans="3:4" customFormat="1" x14ac:dyDescent="0.3">
      <c r="C773" t="s">
        <v>4881</v>
      </c>
      <c r="D773" t="s">
        <v>5408</v>
      </c>
    </row>
    <row r="774" spans="3:4" customFormat="1" x14ac:dyDescent="0.3">
      <c r="C774" t="s">
        <v>4882</v>
      </c>
      <c r="D774" t="s">
        <v>5411</v>
      </c>
    </row>
    <row r="775" spans="3:4" customFormat="1" x14ac:dyDescent="0.3">
      <c r="C775" t="s">
        <v>4884</v>
      </c>
      <c r="D775" t="s">
        <v>5414</v>
      </c>
    </row>
    <row r="776" spans="3:4" customFormat="1" x14ac:dyDescent="0.3">
      <c r="C776" t="s">
        <v>4885</v>
      </c>
      <c r="D776" t="s">
        <v>5417</v>
      </c>
    </row>
    <row r="777" spans="3:4" customFormat="1" x14ac:dyDescent="0.3">
      <c r="C777" t="s">
        <v>4887</v>
      </c>
      <c r="D777" t="s">
        <v>5420</v>
      </c>
    </row>
    <row r="778" spans="3:4" customFormat="1" x14ac:dyDescent="0.3">
      <c r="C778" t="s">
        <v>4888</v>
      </c>
      <c r="D778" t="s">
        <v>5423</v>
      </c>
    </row>
    <row r="779" spans="3:4" customFormat="1" x14ac:dyDescent="0.3">
      <c r="C779" t="s">
        <v>4890</v>
      </c>
      <c r="D779" t="s">
        <v>5426</v>
      </c>
    </row>
    <row r="780" spans="3:4" customFormat="1" x14ac:dyDescent="0.3">
      <c r="C780" t="s">
        <v>4891</v>
      </c>
      <c r="D780" t="s">
        <v>5429</v>
      </c>
    </row>
    <row r="781" spans="3:4" customFormat="1" x14ac:dyDescent="0.3">
      <c r="C781" t="s">
        <v>4893</v>
      </c>
      <c r="D781" t="s">
        <v>5432</v>
      </c>
    </row>
    <row r="782" spans="3:4" customFormat="1" x14ac:dyDescent="0.3">
      <c r="C782" t="s">
        <v>4894</v>
      </c>
      <c r="D782" t="s">
        <v>5435</v>
      </c>
    </row>
    <row r="783" spans="3:4" customFormat="1" x14ac:dyDescent="0.3">
      <c r="C783" t="s">
        <v>4896</v>
      </c>
      <c r="D783" t="s">
        <v>5438</v>
      </c>
    </row>
    <row r="784" spans="3:4" customFormat="1" x14ac:dyDescent="0.3">
      <c r="C784" t="s">
        <v>4897</v>
      </c>
      <c r="D784" t="s">
        <v>5441</v>
      </c>
    </row>
    <row r="785" spans="3:4" customFormat="1" x14ac:dyDescent="0.3">
      <c r="C785" t="s">
        <v>4899</v>
      </c>
      <c r="D785" t="s">
        <v>5444</v>
      </c>
    </row>
    <row r="786" spans="3:4" customFormat="1" x14ac:dyDescent="0.3">
      <c r="C786" t="s">
        <v>4900</v>
      </c>
      <c r="D786" t="s">
        <v>5447</v>
      </c>
    </row>
    <row r="787" spans="3:4" customFormat="1" x14ac:dyDescent="0.3">
      <c r="C787" t="s">
        <v>4902</v>
      </c>
      <c r="D787" t="s">
        <v>5450</v>
      </c>
    </row>
    <row r="788" spans="3:4" customFormat="1" x14ac:dyDescent="0.3">
      <c r="C788" t="s">
        <v>4903</v>
      </c>
      <c r="D788" t="s">
        <v>5453</v>
      </c>
    </row>
    <row r="789" spans="3:4" customFormat="1" x14ac:dyDescent="0.3">
      <c r="C789" t="s">
        <v>4905</v>
      </c>
      <c r="D789" t="s">
        <v>5456</v>
      </c>
    </row>
    <row r="790" spans="3:4" customFormat="1" x14ac:dyDescent="0.3">
      <c r="C790" t="s">
        <v>4906</v>
      </c>
      <c r="D790" t="s">
        <v>5459</v>
      </c>
    </row>
    <row r="791" spans="3:4" customFormat="1" x14ac:dyDescent="0.3">
      <c r="C791" t="s">
        <v>4908</v>
      </c>
      <c r="D791" t="s">
        <v>5462</v>
      </c>
    </row>
    <row r="792" spans="3:4" customFormat="1" x14ac:dyDescent="0.3">
      <c r="C792" t="s">
        <v>4909</v>
      </c>
      <c r="D792" t="s">
        <v>5465</v>
      </c>
    </row>
    <row r="793" spans="3:4" customFormat="1" x14ac:dyDescent="0.3">
      <c r="C793" t="s">
        <v>4911</v>
      </c>
      <c r="D793" t="s">
        <v>5468</v>
      </c>
    </row>
    <row r="794" spans="3:4" customFormat="1" x14ac:dyDescent="0.3">
      <c r="C794" t="s">
        <v>4912</v>
      </c>
      <c r="D794" t="s">
        <v>5471</v>
      </c>
    </row>
    <row r="795" spans="3:4" customFormat="1" x14ac:dyDescent="0.3">
      <c r="C795" t="s">
        <v>4914</v>
      </c>
      <c r="D795" t="s">
        <v>5474</v>
      </c>
    </row>
    <row r="796" spans="3:4" customFormat="1" x14ac:dyDescent="0.3">
      <c r="C796" t="s">
        <v>4915</v>
      </c>
      <c r="D796" t="s">
        <v>5477</v>
      </c>
    </row>
    <row r="797" spans="3:4" customFormat="1" x14ac:dyDescent="0.3">
      <c r="C797" t="s">
        <v>4917</v>
      </c>
      <c r="D797" t="s">
        <v>5480</v>
      </c>
    </row>
    <row r="798" spans="3:4" customFormat="1" x14ac:dyDescent="0.3">
      <c r="C798" t="s">
        <v>4918</v>
      </c>
      <c r="D798" t="s">
        <v>5483</v>
      </c>
    </row>
    <row r="799" spans="3:4" customFormat="1" x14ac:dyDescent="0.3">
      <c r="C799" t="s">
        <v>4920</v>
      </c>
      <c r="D799" t="s">
        <v>5486</v>
      </c>
    </row>
    <row r="800" spans="3:4" customFormat="1" x14ac:dyDescent="0.3">
      <c r="C800" t="s">
        <v>4921</v>
      </c>
      <c r="D800" t="s">
        <v>5489</v>
      </c>
    </row>
    <row r="801" spans="3:4" customFormat="1" x14ac:dyDescent="0.3">
      <c r="C801" t="s">
        <v>4923</v>
      </c>
      <c r="D801" t="s">
        <v>5492</v>
      </c>
    </row>
    <row r="802" spans="3:4" customFormat="1" x14ac:dyDescent="0.3">
      <c r="C802" t="s">
        <v>4924</v>
      </c>
      <c r="D802" t="s">
        <v>5495</v>
      </c>
    </row>
    <row r="803" spans="3:4" customFormat="1" x14ac:dyDescent="0.3">
      <c r="C803" t="s">
        <v>4926</v>
      </c>
      <c r="D803" t="s">
        <v>5498</v>
      </c>
    </row>
    <row r="804" spans="3:4" customFormat="1" x14ac:dyDescent="0.3">
      <c r="C804" t="s">
        <v>4927</v>
      </c>
      <c r="D804" t="s">
        <v>5501</v>
      </c>
    </row>
    <row r="805" spans="3:4" customFormat="1" x14ac:dyDescent="0.3">
      <c r="C805" t="s">
        <v>4929</v>
      </c>
      <c r="D805" t="s">
        <v>5504</v>
      </c>
    </row>
    <row r="806" spans="3:4" customFormat="1" x14ac:dyDescent="0.3">
      <c r="C806" t="s">
        <v>4930</v>
      </c>
      <c r="D806" t="s">
        <v>5507</v>
      </c>
    </row>
    <row r="807" spans="3:4" customFormat="1" x14ac:dyDescent="0.3">
      <c r="C807" t="s">
        <v>4932</v>
      </c>
      <c r="D807" t="s">
        <v>5510</v>
      </c>
    </row>
    <row r="808" spans="3:4" customFormat="1" x14ac:dyDescent="0.3">
      <c r="C808" t="s">
        <v>4933</v>
      </c>
      <c r="D808" t="s">
        <v>5513</v>
      </c>
    </row>
    <row r="809" spans="3:4" customFormat="1" x14ac:dyDescent="0.3">
      <c r="C809" t="s">
        <v>4935</v>
      </c>
      <c r="D809" t="s">
        <v>5516</v>
      </c>
    </row>
    <row r="810" spans="3:4" customFormat="1" x14ac:dyDescent="0.3">
      <c r="C810" t="s">
        <v>4936</v>
      </c>
      <c r="D810" t="s">
        <v>5519</v>
      </c>
    </row>
    <row r="811" spans="3:4" customFormat="1" x14ac:dyDescent="0.3">
      <c r="C811" t="s">
        <v>4938</v>
      </c>
      <c r="D811" t="s">
        <v>5522</v>
      </c>
    </row>
    <row r="812" spans="3:4" customFormat="1" x14ac:dyDescent="0.3">
      <c r="C812" t="s">
        <v>4939</v>
      </c>
      <c r="D812" t="s">
        <v>5525</v>
      </c>
    </row>
    <row r="813" spans="3:4" customFormat="1" x14ac:dyDescent="0.3">
      <c r="C813" t="s">
        <v>4941</v>
      </c>
      <c r="D813" t="s">
        <v>5528</v>
      </c>
    </row>
    <row r="814" spans="3:4" customFormat="1" x14ac:dyDescent="0.3">
      <c r="C814" t="s">
        <v>4942</v>
      </c>
      <c r="D814" t="s">
        <v>5531</v>
      </c>
    </row>
    <row r="815" spans="3:4" customFormat="1" x14ac:dyDescent="0.3">
      <c r="C815" t="s">
        <v>4944</v>
      </c>
      <c r="D815" t="s">
        <v>5534</v>
      </c>
    </row>
    <row r="816" spans="3:4" customFormat="1" x14ac:dyDescent="0.3">
      <c r="C816" t="s">
        <v>4945</v>
      </c>
      <c r="D816" t="s">
        <v>5537</v>
      </c>
    </row>
    <row r="817" spans="3:4" customFormat="1" x14ac:dyDescent="0.3">
      <c r="C817" t="s">
        <v>4947</v>
      </c>
      <c r="D817" t="s">
        <v>5540</v>
      </c>
    </row>
    <row r="818" spans="3:4" customFormat="1" x14ac:dyDescent="0.3">
      <c r="C818" t="s">
        <v>4948</v>
      </c>
      <c r="D818" t="s">
        <v>5543</v>
      </c>
    </row>
    <row r="819" spans="3:4" customFormat="1" x14ac:dyDescent="0.3">
      <c r="C819" t="s">
        <v>4950</v>
      </c>
      <c r="D819" t="s">
        <v>5546</v>
      </c>
    </row>
    <row r="820" spans="3:4" customFormat="1" x14ac:dyDescent="0.3">
      <c r="C820" t="s">
        <v>4951</v>
      </c>
      <c r="D820" t="s">
        <v>5549</v>
      </c>
    </row>
    <row r="821" spans="3:4" customFormat="1" x14ac:dyDescent="0.3">
      <c r="C821" t="s">
        <v>4953</v>
      </c>
      <c r="D821" t="s">
        <v>5552</v>
      </c>
    </row>
    <row r="822" spans="3:4" customFormat="1" x14ac:dyDescent="0.3">
      <c r="C822" t="s">
        <v>4954</v>
      </c>
      <c r="D822" t="s">
        <v>5555</v>
      </c>
    </row>
    <row r="823" spans="3:4" customFormat="1" x14ac:dyDescent="0.3">
      <c r="C823" t="s">
        <v>4956</v>
      </c>
      <c r="D823" t="s">
        <v>5558</v>
      </c>
    </row>
    <row r="824" spans="3:4" customFormat="1" x14ac:dyDescent="0.3">
      <c r="C824" t="s">
        <v>4957</v>
      </c>
      <c r="D824" t="s">
        <v>5561</v>
      </c>
    </row>
    <row r="825" spans="3:4" customFormat="1" x14ac:dyDescent="0.3">
      <c r="C825" t="s">
        <v>4959</v>
      </c>
      <c r="D825" t="s">
        <v>5564</v>
      </c>
    </row>
    <row r="826" spans="3:4" customFormat="1" x14ac:dyDescent="0.3">
      <c r="C826" t="s">
        <v>4960</v>
      </c>
      <c r="D826" t="s">
        <v>5567</v>
      </c>
    </row>
    <row r="827" spans="3:4" customFormat="1" x14ac:dyDescent="0.3">
      <c r="C827" t="s">
        <v>4962</v>
      </c>
      <c r="D827" t="s">
        <v>5570</v>
      </c>
    </row>
    <row r="828" spans="3:4" customFormat="1" x14ac:dyDescent="0.3">
      <c r="C828" t="s">
        <v>4963</v>
      </c>
      <c r="D828" t="s">
        <v>5573</v>
      </c>
    </row>
    <row r="829" spans="3:4" customFormat="1" x14ac:dyDescent="0.3">
      <c r="C829" t="s">
        <v>4965</v>
      </c>
      <c r="D829" t="s">
        <v>5576</v>
      </c>
    </row>
    <row r="830" spans="3:4" customFormat="1" x14ac:dyDescent="0.3">
      <c r="C830" t="s">
        <v>4966</v>
      </c>
      <c r="D830" t="s">
        <v>5579</v>
      </c>
    </row>
    <row r="831" spans="3:4" customFormat="1" x14ac:dyDescent="0.3">
      <c r="C831" t="s">
        <v>4968</v>
      </c>
      <c r="D831" t="s">
        <v>5582</v>
      </c>
    </row>
    <row r="832" spans="3:4" customFormat="1" x14ac:dyDescent="0.3">
      <c r="C832" t="s">
        <v>4969</v>
      </c>
      <c r="D832" t="s">
        <v>5585</v>
      </c>
    </row>
    <row r="833" spans="3:4" customFormat="1" x14ac:dyDescent="0.3">
      <c r="C833" t="s">
        <v>4971</v>
      </c>
      <c r="D833" t="s">
        <v>5588</v>
      </c>
    </row>
    <row r="834" spans="3:4" customFormat="1" x14ac:dyDescent="0.3">
      <c r="C834" t="s">
        <v>4972</v>
      </c>
      <c r="D834" t="s">
        <v>5591</v>
      </c>
    </row>
    <row r="835" spans="3:4" customFormat="1" x14ac:dyDescent="0.3">
      <c r="C835" t="s">
        <v>4974</v>
      </c>
      <c r="D835" t="s">
        <v>5594</v>
      </c>
    </row>
    <row r="836" spans="3:4" customFormat="1" x14ac:dyDescent="0.3">
      <c r="C836" t="s">
        <v>4975</v>
      </c>
      <c r="D836" t="s">
        <v>5597</v>
      </c>
    </row>
    <row r="837" spans="3:4" customFormat="1" x14ac:dyDescent="0.3">
      <c r="C837" t="s">
        <v>4977</v>
      </c>
      <c r="D837" t="s">
        <v>5600</v>
      </c>
    </row>
    <row r="838" spans="3:4" customFormat="1" x14ac:dyDescent="0.3">
      <c r="C838" t="s">
        <v>4978</v>
      </c>
      <c r="D838" t="s">
        <v>5603</v>
      </c>
    </row>
    <row r="839" spans="3:4" customFormat="1" x14ac:dyDescent="0.3">
      <c r="C839" t="s">
        <v>4980</v>
      </c>
      <c r="D839" t="s">
        <v>5606</v>
      </c>
    </row>
    <row r="840" spans="3:4" customFormat="1" x14ac:dyDescent="0.3">
      <c r="C840" t="s">
        <v>4981</v>
      </c>
      <c r="D840" t="s">
        <v>5609</v>
      </c>
    </row>
    <row r="841" spans="3:4" customFormat="1" x14ac:dyDescent="0.3">
      <c r="C841" t="s">
        <v>4983</v>
      </c>
      <c r="D841" t="s">
        <v>5612</v>
      </c>
    </row>
    <row r="842" spans="3:4" customFormat="1" x14ac:dyDescent="0.3">
      <c r="C842" t="s">
        <v>4984</v>
      </c>
      <c r="D842" t="s">
        <v>5615</v>
      </c>
    </row>
    <row r="843" spans="3:4" customFormat="1" x14ac:dyDescent="0.3">
      <c r="C843" t="s">
        <v>4986</v>
      </c>
      <c r="D843" t="s">
        <v>5618</v>
      </c>
    </row>
    <row r="844" spans="3:4" customFormat="1" x14ac:dyDescent="0.3">
      <c r="C844" t="s">
        <v>4987</v>
      </c>
      <c r="D844" t="s">
        <v>5621</v>
      </c>
    </row>
    <row r="845" spans="3:4" customFormat="1" x14ac:dyDescent="0.3">
      <c r="C845" t="s">
        <v>4989</v>
      </c>
      <c r="D845" t="s">
        <v>5624</v>
      </c>
    </row>
    <row r="846" spans="3:4" customFormat="1" x14ac:dyDescent="0.3">
      <c r="C846" t="s">
        <v>4990</v>
      </c>
      <c r="D846" t="s">
        <v>5627</v>
      </c>
    </row>
    <row r="847" spans="3:4" customFormat="1" x14ac:dyDescent="0.3">
      <c r="C847" t="s">
        <v>4992</v>
      </c>
      <c r="D847" t="s">
        <v>5630</v>
      </c>
    </row>
    <row r="848" spans="3:4" customFormat="1" x14ac:dyDescent="0.3">
      <c r="C848" t="s">
        <v>4993</v>
      </c>
      <c r="D848" t="s">
        <v>5633</v>
      </c>
    </row>
    <row r="849" spans="3:4" customFormat="1" x14ac:dyDescent="0.3">
      <c r="C849" t="s">
        <v>4995</v>
      </c>
      <c r="D849" t="s">
        <v>5636</v>
      </c>
    </row>
    <row r="850" spans="3:4" customFormat="1" x14ac:dyDescent="0.3">
      <c r="C850" t="s">
        <v>4996</v>
      </c>
      <c r="D850" t="s">
        <v>5639</v>
      </c>
    </row>
    <row r="851" spans="3:4" customFormat="1" x14ac:dyDescent="0.3">
      <c r="C851" t="s">
        <v>4998</v>
      </c>
      <c r="D851" t="s">
        <v>5642</v>
      </c>
    </row>
    <row r="852" spans="3:4" customFormat="1" x14ac:dyDescent="0.3">
      <c r="C852" t="s">
        <v>4999</v>
      </c>
      <c r="D852" t="s">
        <v>5645</v>
      </c>
    </row>
    <row r="853" spans="3:4" customFormat="1" x14ac:dyDescent="0.3">
      <c r="C853" t="s">
        <v>5001</v>
      </c>
      <c r="D853" t="s">
        <v>5648</v>
      </c>
    </row>
    <row r="854" spans="3:4" customFormat="1" x14ac:dyDescent="0.3">
      <c r="C854" t="s">
        <v>5002</v>
      </c>
      <c r="D854" t="s">
        <v>5651</v>
      </c>
    </row>
    <row r="855" spans="3:4" customFormat="1" x14ac:dyDescent="0.3">
      <c r="C855" t="s">
        <v>5004</v>
      </c>
      <c r="D855" t="s">
        <v>5654</v>
      </c>
    </row>
    <row r="856" spans="3:4" customFormat="1" x14ac:dyDescent="0.3">
      <c r="C856" t="s">
        <v>5005</v>
      </c>
      <c r="D856" t="s">
        <v>5657</v>
      </c>
    </row>
    <row r="857" spans="3:4" customFormat="1" x14ac:dyDescent="0.3">
      <c r="C857" t="s">
        <v>5007</v>
      </c>
      <c r="D857" t="s">
        <v>5660</v>
      </c>
    </row>
    <row r="858" spans="3:4" customFormat="1" x14ac:dyDescent="0.3">
      <c r="C858" t="s">
        <v>5008</v>
      </c>
      <c r="D858" t="s">
        <v>5663</v>
      </c>
    </row>
    <row r="859" spans="3:4" customFormat="1" x14ac:dyDescent="0.3">
      <c r="C859" t="s">
        <v>5010</v>
      </c>
      <c r="D859" t="s">
        <v>5666</v>
      </c>
    </row>
    <row r="860" spans="3:4" customFormat="1" x14ac:dyDescent="0.3">
      <c r="C860" t="s">
        <v>5011</v>
      </c>
      <c r="D860" t="s">
        <v>5669</v>
      </c>
    </row>
    <row r="861" spans="3:4" customFormat="1" x14ac:dyDescent="0.3">
      <c r="C861" t="s">
        <v>5013</v>
      </c>
      <c r="D861" t="s">
        <v>5672</v>
      </c>
    </row>
    <row r="862" spans="3:4" customFormat="1" x14ac:dyDescent="0.3">
      <c r="C862" t="s">
        <v>5014</v>
      </c>
      <c r="D862" t="s">
        <v>5675</v>
      </c>
    </row>
    <row r="863" spans="3:4" customFormat="1" x14ac:dyDescent="0.3">
      <c r="C863" t="s">
        <v>5016</v>
      </c>
      <c r="D863" t="s">
        <v>5678</v>
      </c>
    </row>
    <row r="864" spans="3:4" customFormat="1" x14ac:dyDescent="0.3">
      <c r="C864" t="s">
        <v>5017</v>
      </c>
      <c r="D864" t="s">
        <v>5681</v>
      </c>
    </row>
    <row r="865" spans="3:4" customFormat="1" x14ac:dyDescent="0.3">
      <c r="C865" t="s">
        <v>5019</v>
      </c>
      <c r="D865" t="s">
        <v>5684</v>
      </c>
    </row>
    <row r="866" spans="3:4" customFormat="1" x14ac:dyDescent="0.3">
      <c r="C866" t="s">
        <v>5020</v>
      </c>
      <c r="D866" t="s">
        <v>5687</v>
      </c>
    </row>
    <row r="867" spans="3:4" customFormat="1" x14ac:dyDescent="0.3">
      <c r="C867" t="s">
        <v>5022</v>
      </c>
      <c r="D867" t="s">
        <v>5690</v>
      </c>
    </row>
    <row r="868" spans="3:4" customFormat="1" x14ac:dyDescent="0.3">
      <c r="C868" t="s">
        <v>5023</v>
      </c>
      <c r="D868" t="s">
        <v>5693</v>
      </c>
    </row>
    <row r="869" spans="3:4" customFormat="1" x14ac:dyDescent="0.3">
      <c r="C869" t="s">
        <v>5025</v>
      </c>
      <c r="D869" t="s">
        <v>5696</v>
      </c>
    </row>
    <row r="870" spans="3:4" customFormat="1" x14ac:dyDescent="0.3">
      <c r="C870" t="s">
        <v>5026</v>
      </c>
      <c r="D870" t="s">
        <v>5699</v>
      </c>
    </row>
    <row r="871" spans="3:4" customFormat="1" x14ac:dyDescent="0.3">
      <c r="C871" t="s">
        <v>5028</v>
      </c>
      <c r="D871" t="s">
        <v>5702</v>
      </c>
    </row>
    <row r="872" spans="3:4" customFormat="1" x14ac:dyDescent="0.3">
      <c r="C872" t="s">
        <v>5029</v>
      </c>
      <c r="D872" t="s">
        <v>5705</v>
      </c>
    </row>
    <row r="873" spans="3:4" customFormat="1" x14ac:dyDescent="0.3">
      <c r="C873" t="s">
        <v>5031</v>
      </c>
      <c r="D873" t="s">
        <v>5708</v>
      </c>
    </row>
    <row r="874" spans="3:4" customFormat="1" x14ac:dyDescent="0.3">
      <c r="C874" t="s">
        <v>5032</v>
      </c>
      <c r="D874" t="s">
        <v>5711</v>
      </c>
    </row>
    <row r="875" spans="3:4" customFormat="1" x14ac:dyDescent="0.3">
      <c r="C875" t="s">
        <v>5034</v>
      </c>
      <c r="D875" t="s">
        <v>5714</v>
      </c>
    </row>
    <row r="876" spans="3:4" customFormat="1" x14ac:dyDescent="0.3">
      <c r="C876" t="s">
        <v>5035</v>
      </c>
      <c r="D876" t="s">
        <v>5717</v>
      </c>
    </row>
    <row r="877" spans="3:4" customFormat="1" x14ac:dyDescent="0.3">
      <c r="C877" t="s">
        <v>5037</v>
      </c>
      <c r="D877" t="s">
        <v>5720</v>
      </c>
    </row>
    <row r="878" spans="3:4" customFormat="1" x14ac:dyDescent="0.3">
      <c r="C878" t="s">
        <v>5038</v>
      </c>
      <c r="D878" t="s">
        <v>5723</v>
      </c>
    </row>
    <row r="879" spans="3:4" customFormat="1" x14ac:dyDescent="0.3">
      <c r="C879" t="s">
        <v>5040</v>
      </c>
      <c r="D879" t="s">
        <v>5726</v>
      </c>
    </row>
    <row r="880" spans="3:4" customFormat="1" x14ac:dyDescent="0.3">
      <c r="C880" t="s">
        <v>5041</v>
      </c>
      <c r="D880" t="s">
        <v>5729</v>
      </c>
    </row>
    <row r="881" spans="3:4" customFormat="1" x14ac:dyDescent="0.3">
      <c r="C881" t="s">
        <v>5043</v>
      </c>
      <c r="D881" t="s">
        <v>5732</v>
      </c>
    </row>
    <row r="882" spans="3:4" customFormat="1" x14ac:dyDescent="0.3">
      <c r="C882" t="s">
        <v>5044</v>
      </c>
      <c r="D882" t="s">
        <v>5735</v>
      </c>
    </row>
    <row r="883" spans="3:4" customFormat="1" x14ac:dyDescent="0.3">
      <c r="C883" t="s">
        <v>5046</v>
      </c>
      <c r="D883" t="s">
        <v>5738</v>
      </c>
    </row>
    <row r="884" spans="3:4" customFormat="1" x14ac:dyDescent="0.3">
      <c r="C884" t="s">
        <v>5047</v>
      </c>
      <c r="D884" t="s">
        <v>5741</v>
      </c>
    </row>
    <row r="885" spans="3:4" customFormat="1" x14ac:dyDescent="0.3">
      <c r="C885" t="s">
        <v>5049</v>
      </c>
      <c r="D885" t="s">
        <v>5744</v>
      </c>
    </row>
    <row r="886" spans="3:4" customFormat="1" x14ac:dyDescent="0.3">
      <c r="C886" t="s">
        <v>5050</v>
      </c>
      <c r="D886" t="s">
        <v>5747</v>
      </c>
    </row>
    <row r="887" spans="3:4" customFormat="1" x14ac:dyDescent="0.3">
      <c r="C887" t="s">
        <v>5052</v>
      </c>
      <c r="D887" t="s">
        <v>5750</v>
      </c>
    </row>
    <row r="888" spans="3:4" customFormat="1" x14ac:dyDescent="0.3">
      <c r="C888" t="s">
        <v>5053</v>
      </c>
      <c r="D888" t="s">
        <v>5753</v>
      </c>
    </row>
    <row r="889" spans="3:4" customFormat="1" x14ac:dyDescent="0.3">
      <c r="C889" t="s">
        <v>5055</v>
      </c>
      <c r="D889" t="s">
        <v>5756</v>
      </c>
    </row>
    <row r="890" spans="3:4" customFormat="1" x14ac:dyDescent="0.3">
      <c r="C890" t="s">
        <v>5056</v>
      </c>
      <c r="D890" t="s">
        <v>5759</v>
      </c>
    </row>
    <row r="891" spans="3:4" customFormat="1" x14ac:dyDescent="0.3">
      <c r="C891" t="s">
        <v>5058</v>
      </c>
      <c r="D891" t="s">
        <v>5762</v>
      </c>
    </row>
    <row r="892" spans="3:4" customFormat="1" x14ac:dyDescent="0.3">
      <c r="C892" t="s">
        <v>5059</v>
      </c>
      <c r="D892" t="s">
        <v>5765</v>
      </c>
    </row>
    <row r="893" spans="3:4" customFormat="1" x14ac:dyDescent="0.3">
      <c r="C893" t="s">
        <v>5061</v>
      </c>
      <c r="D893" t="s">
        <v>5768</v>
      </c>
    </row>
    <row r="894" spans="3:4" customFormat="1" x14ac:dyDescent="0.3">
      <c r="C894" t="s">
        <v>5062</v>
      </c>
      <c r="D894" t="s">
        <v>5771</v>
      </c>
    </row>
    <row r="895" spans="3:4" customFormat="1" x14ac:dyDescent="0.3">
      <c r="C895" t="s">
        <v>5064</v>
      </c>
      <c r="D895" t="s">
        <v>5774</v>
      </c>
    </row>
    <row r="896" spans="3:4" customFormat="1" x14ac:dyDescent="0.3">
      <c r="C896" t="s">
        <v>5065</v>
      </c>
      <c r="D896" t="s">
        <v>5777</v>
      </c>
    </row>
    <row r="897" spans="3:4" customFormat="1" x14ac:dyDescent="0.3">
      <c r="C897" t="s">
        <v>5067</v>
      </c>
      <c r="D897" t="s">
        <v>5780</v>
      </c>
    </row>
    <row r="898" spans="3:4" customFormat="1" x14ac:dyDescent="0.3">
      <c r="C898" t="s">
        <v>5068</v>
      </c>
      <c r="D898" t="s">
        <v>5783</v>
      </c>
    </row>
    <row r="899" spans="3:4" customFormat="1" x14ac:dyDescent="0.3">
      <c r="C899" t="s">
        <v>5070</v>
      </c>
      <c r="D899" t="s">
        <v>5786</v>
      </c>
    </row>
    <row r="900" spans="3:4" customFormat="1" x14ac:dyDescent="0.3">
      <c r="C900" t="s">
        <v>5071</v>
      </c>
      <c r="D900" t="s">
        <v>5789</v>
      </c>
    </row>
    <row r="901" spans="3:4" customFormat="1" x14ac:dyDescent="0.3">
      <c r="C901" t="s">
        <v>5073</v>
      </c>
      <c r="D901" t="s">
        <v>5792</v>
      </c>
    </row>
    <row r="902" spans="3:4" customFormat="1" x14ac:dyDescent="0.3">
      <c r="C902" t="s">
        <v>5074</v>
      </c>
      <c r="D902" t="s">
        <v>5795</v>
      </c>
    </row>
    <row r="903" spans="3:4" customFormat="1" x14ac:dyDescent="0.3">
      <c r="C903" t="s">
        <v>5076</v>
      </c>
      <c r="D903" t="s">
        <v>5798</v>
      </c>
    </row>
    <row r="904" spans="3:4" customFormat="1" x14ac:dyDescent="0.3">
      <c r="C904" t="s">
        <v>5077</v>
      </c>
      <c r="D904" t="s">
        <v>5801</v>
      </c>
    </row>
    <row r="905" spans="3:4" customFormat="1" x14ac:dyDescent="0.3">
      <c r="C905" t="s">
        <v>5079</v>
      </c>
      <c r="D905" t="s">
        <v>5804</v>
      </c>
    </row>
    <row r="906" spans="3:4" customFormat="1" x14ac:dyDescent="0.3">
      <c r="C906" t="s">
        <v>5080</v>
      </c>
      <c r="D906" t="s">
        <v>5807</v>
      </c>
    </row>
    <row r="907" spans="3:4" customFormat="1" x14ac:dyDescent="0.3">
      <c r="C907" t="s">
        <v>5082</v>
      </c>
      <c r="D907" t="s">
        <v>5810</v>
      </c>
    </row>
    <row r="908" spans="3:4" customFormat="1" x14ac:dyDescent="0.3">
      <c r="C908" t="s">
        <v>5083</v>
      </c>
      <c r="D908" t="s">
        <v>5813</v>
      </c>
    </row>
    <row r="909" spans="3:4" customFormat="1" x14ac:dyDescent="0.3">
      <c r="C909" t="s">
        <v>5085</v>
      </c>
      <c r="D909" t="s">
        <v>5816</v>
      </c>
    </row>
    <row r="910" spans="3:4" customFormat="1" x14ac:dyDescent="0.3">
      <c r="C910" t="s">
        <v>5086</v>
      </c>
      <c r="D910" t="s">
        <v>5819</v>
      </c>
    </row>
    <row r="911" spans="3:4" customFormat="1" x14ac:dyDescent="0.3">
      <c r="C911" t="s">
        <v>5088</v>
      </c>
      <c r="D911" t="s">
        <v>5822</v>
      </c>
    </row>
    <row r="912" spans="3:4" customFormat="1" x14ac:dyDescent="0.3">
      <c r="C912" t="s">
        <v>5089</v>
      </c>
      <c r="D912" t="s">
        <v>5825</v>
      </c>
    </row>
    <row r="913" spans="3:4" customFormat="1" x14ac:dyDescent="0.3">
      <c r="C913" t="s">
        <v>5091</v>
      </c>
      <c r="D913" t="s">
        <v>5828</v>
      </c>
    </row>
    <row r="914" spans="3:4" customFormat="1" x14ac:dyDescent="0.3">
      <c r="C914" t="s">
        <v>5092</v>
      </c>
      <c r="D914" t="s">
        <v>5831</v>
      </c>
    </row>
    <row r="915" spans="3:4" customFormat="1" x14ac:dyDescent="0.3">
      <c r="C915" t="s">
        <v>5094</v>
      </c>
      <c r="D915" t="s">
        <v>5834</v>
      </c>
    </row>
    <row r="916" spans="3:4" customFormat="1" x14ac:dyDescent="0.3">
      <c r="C916" t="s">
        <v>5095</v>
      </c>
      <c r="D916" t="s">
        <v>5837</v>
      </c>
    </row>
    <row r="917" spans="3:4" customFormat="1" x14ac:dyDescent="0.3">
      <c r="C917" t="s">
        <v>5097</v>
      </c>
      <c r="D917" t="s">
        <v>5840</v>
      </c>
    </row>
    <row r="918" spans="3:4" customFormat="1" x14ac:dyDescent="0.3">
      <c r="C918" t="s">
        <v>5098</v>
      </c>
      <c r="D918" t="s">
        <v>5843</v>
      </c>
    </row>
    <row r="919" spans="3:4" customFormat="1" x14ac:dyDescent="0.3">
      <c r="C919" t="s">
        <v>5100</v>
      </c>
      <c r="D919" t="s">
        <v>5846</v>
      </c>
    </row>
    <row r="920" spans="3:4" customFormat="1" x14ac:dyDescent="0.3">
      <c r="C920" t="s">
        <v>5101</v>
      </c>
      <c r="D920" t="s">
        <v>5849</v>
      </c>
    </row>
    <row r="921" spans="3:4" customFormat="1" x14ac:dyDescent="0.3">
      <c r="C921" t="s">
        <v>5103</v>
      </c>
      <c r="D921" t="s">
        <v>5852</v>
      </c>
    </row>
    <row r="922" spans="3:4" customFormat="1" x14ac:dyDescent="0.3">
      <c r="C922" t="s">
        <v>5104</v>
      </c>
      <c r="D922" t="s">
        <v>5855</v>
      </c>
    </row>
    <row r="923" spans="3:4" customFormat="1" x14ac:dyDescent="0.3">
      <c r="C923" t="s">
        <v>5106</v>
      </c>
      <c r="D923" t="s">
        <v>5858</v>
      </c>
    </row>
    <row r="924" spans="3:4" customFormat="1" x14ac:dyDescent="0.3">
      <c r="C924" t="s">
        <v>5107</v>
      </c>
      <c r="D924" t="s">
        <v>5861</v>
      </c>
    </row>
    <row r="925" spans="3:4" customFormat="1" x14ac:dyDescent="0.3">
      <c r="C925" t="s">
        <v>5109</v>
      </c>
      <c r="D925" t="s">
        <v>5864</v>
      </c>
    </row>
    <row r="926" spans="3:4" customFormat="1" x14ac:dyDescent="0.3">
      <c r="C926" t="s">
        <v>5110</v>
      </c>
      <c r="D926" t="s">
        <v>5867</v>
      </c>
    </row>
    <row r="927" spans="3:4" customFormat="1" x14ac:dyDescent="0.3">
      <c r="C927" t="s">
        <v>5112</v>
      </c>
      <c r="D927" t="s">
        <v>5870</v>
      </c>
    </row>
    <row r="928" spans="3:4" customFormat="1" x14ac:dyDescent="0.3">
      <c r="C928" t="s">
        <v>5113</v>
      </c>
      <c r="D928" t="s">
        <v>5873</v>
      </c>
    </row>
    <row r="929" spans="3:4" customFormat="1" x14ac:dyDescent="0.3">
      <c r="C929" t="s">
        <v>5115</v>
      </c>
      <c r="D929" t="s">
        <v>5876</v>
      </c>
    </row>
    <row r="930" spans="3:4" customFormat="1" x14ac:dyDescent="0.3">
      <c r="C930" t="s">
        <v>5116</v>
      </c>
      <c r="D930" t="s">
        <v>5879</v>
      </c>
    </row>
    <row r="931" spans="3:4" customFormat="1" x14ac:dyDescent="0.3">
      <c r="C931" t="s">
        <v>5118</v>
      </c>
      <c r="D931" t="s">
        <v>5882</v>
      </c>
    </row>
    <row r="932" spans="3:4" customFormat="1" x14ac:dyDescent="0.3">
      <c r="C932" t="s">
        <v>5119</v>
      </c>
      <c r="D932" t="s">
        <v>5885</v>
      </c>
    </row>
    <row r="933" spans="3:4" customFormat="1" x14ac:dyDescent="0.3">
      <c r="C933" t="s">
        <v>5121</v>
      </c>
      <c r="D933" t="s">
        <v>5888</v>
      </c>
    </row>
    <row r="934" spans="3:4" customFormat="1" x14ac:dyDescent="0.3">
      <c r="C934" t="s">
        <v>5122</v>
      </c>
      <c r="D934" t="s">
        <v>5891</v>
      </c>
    </row>
    <row r="935" spans="3:4" customFormat="1" x14ac:dyDescent="0.3">
      <c r="C935" t="s">
        <v>5124</v>
      </c>
      <c r="D935" t="s">
        <v>5894</v>
      </c>
    </row>
    <row r="936" spans="3:4" customFormat="1" x14ac:dyDescent="0.3">
      <c r="C936" t="s">
        <v>5125</v>
      </c>
      <c r="D936" t="s">
        <v>5897</v>
      </c>
    </row>
    <row r="937" spans="3:4" customFormat="1" x14ac:dyDescent="0.3">
      <c r="C937" t="s">
        <v>5127</v>
      </c>
      <c r="D937" t="s">
        <v>5900</v>
      </c>
    </row>
    <row r="938" spans="3:4" customFormat="1" x14ac:dyDescent="0.3">
      <c r="C938" t="s">
        <v>5128</v>
      </c>
      <c r="D938" t="s">
        <v>5903</v>
      </c>
    </row>
    <row r="939" spans="3:4" customFormat="1" x14ac:dyDescent="0.3">
      <c r="C939" t="s">
        <v>5130</v>
      </c>
      <c r="D939" t="s">
        <v>5906</v>
      </c>
    </row>
    <row r="940" spans="3:4" customFormat="1" x14ac:dyDescent="0.3">
      <c r="C940" t="s">
        <v>5131</v>
      </c>
      <c r="D940" t="s">
        <v>5909</v>
      </c>
    </row>
    <row r="941" spans="3:4" customFormat="1" x14ac:dyDescent="0.3">
      <c r="C941" t="s">
        <v>5133</v>
      </c>
      <c r="D941" t="s">
        <v>5912</v>
      </c>
    </row>
    <row r="942" spans="3:4" customFormat="1" x14ac:dyDescent="0.3">
      <c r="C942" t="s">
        <v>5134</v>
      </c>
      <c r="D942" t="s">
        <v>5915</v>
      </c>
    </row>
    <row r="943" spans="3:4" customFormat="1" x14ac:dyDescent="0.3">
      <c r="C943" t="s">
        <v>5136</v>
      </c>
      <c r="D943" t="s">
        <v>5918</v>
      </c>
    </row>
    <row r="944" spans="3:4" customFormat="1" x14ac:dyDescent="0.3">
      <c r="C944" t="s">
        <v>5137</v>
      </c>
      <c r="D944" t="s">
        <v>5921</v>
      </c>
    </row>
    <row r="945" spans="3:4" customFormat="1" x14ac:dyDescent="0.3">
      <c r="C945" t="s">
        <v>5139</v>
      </c>
      <c r="D945" t="s">
        <v>5924</v>
      </c>
    </row>
    <row r="946" spans="3:4" customFormat="1" x14ac:dyDescent="0.3">
      <c r="C946" t="s">
        <v>5140</v>
      </c>
      <c r="D946" t="s">
        <v>5927</v>
      </c>
    </row>
    <row r="947" spans="3:4" customFormat="1" x14ac:dyDescent="0.3">
      <c r="C947" t="s">
        <v>5142</v>
      </c>
      <c r="D947" t="s">
        <v>5930</v>
      </c>
    </row>
    <row r="948" spans="3:4" customFormat="1" x14ac:dyDescent="0.3">
      <c r="C948" t="s">
        <v>5143</v>
      </c>
      <c r="D948" t="s">
        <v>5933</v>
      </c>
    </row>
    <row r="949" spans="3:4" customFormat="1" x14ac:dyDescent="0.3">
      <c r="C949" t="s">
        <v>5145</v>
      </c>
      <c r="D949" t="s">
        <v>5936</v>
      </c>
    </row>
    <row r="950" spans="3:4" customFormat="1" x14ac:dyDescent="0.3">
      <c r="C950" t="s">
        <v>5146</v>
      </c>
      <c r="D950" t="s">
        <v>5939</v>
      </c>
    </row>
    <row r="951" spans="3:4" customFormat="1" x14ac:dyDescent="0.3">
      <c r="C951" t="s">
        <v>5148</v>
      </c>
      <c r="D951" t="s">
        <v>5942</v>
      </c>
    </row>
    <row r="952" spans="3:4" customFormat="1" x14ac:dyDescent="0.3">
      <c r="C952" t="s">
        <v>5149</v>
      </c>
      <c r="D952" t="s">
        <v>5945</v>
      </c>
    </row>
    <row r="953" spans="3:4" customFormat="1" x14ac:dyDescent="0.3">
      <c r="C953" t="s">
        <v>5151</v>
      </c>
      <c r="D953" t="s">
        <v>5948</v>
      </c>
    </row>
    <row r="954" spans="3:4" customFormat="1" x14ac:dyDescent="0.3">
      <c r="C954" t="s">
        <v>5152</v>
      </c>
      <c r="D954" t="s">
        <v>5951</v>
      </c>
    </row>
    <row r="955" spans="3:4" customFormat="1" x14ac:dyDescent="0.3">
      <c r="C955" t="s">
        <v>5154</v>
      </c>
      <c r="D955" t="s">
        <v>5954</v>
      </c>
    </row>
    <row r="956" spans="3:4" customFormat="1" x14ac:dyDescent="0.3">
      <c r="C956" t="s">
        <v>5155</v>
      </c>
      <c r="D956" t="s">
        <v>5957</v>
      </c>
    </row>
    <row r="957" spans="3:4" customFormat="1" x14ac:dyDescent="0.3">
      <c r="C957" t="s">
        <v>5157</v>
      </c>
      <c r="D957" t="s">
        <v>5960</v>
      </c>
    </row>
    <row r="958" spans="3:4" customFormat="1" x14ac:dyDescent="0.3">
      <c r="C958" t="s">
        <v>5158</v>
      </c>
      <c r="D958" t="s">
        <v>5963</v>
      </c>
    </row>
    <row r="959" spans="3:4" customFormat="1" x14ac:dyDescent="0.3">
      <c r="C959" t="s">
        <v>5160</v>
      </c>
      <c r="D959" t="s">
        <v>5966</v>
      </c>
    </row>
    <row r="960" spans="3:4" customFormat="1" x14ac:dyDescent="0.3">
      <c r="C960" t="s">
        <v>5161</v>
      </c>
      <c r="D960" t="s">
        <v>5969</v>
      </c>
    </row>
    <row r="961" spans="3:4" customFormat="1" x14ac:dyDescent="0.3">
      <c r="C961" t="s">
        <v>5163</v>
      </c>
      <c r="D961" t="s">
        <v>5972</v>
      </c>
    </row>
    <row r="962" spans="3:4" customFormat="1" x14ac:dyDescent="0.3">
      <c r="C962" t="s">
        <v>5164</v>
      </c>
      <c r="D962" t="s">
        <v>5975</v>
      </c>
    </row>
    <row r="963" spans="3:4" customFormat="1" x14ac:dyDescent="0.3">
      <c r="C963" t="s">
        <v>5166</v>
      </c>
      <c r="D963" t="s">
        <v>5976</v>
      </c>
    </row>
    <row r="964" spans="3:4" customFormat="1" x14ac:dyDescent="0.3">
      <c r="C964" t="s">
        <v>5167</v>
      </c>
      <c r="D964" t="s">
        <v>28760</v>
      </c>
    </row>
    <row r="965" spans="3:4" customFormat="1" x14ac:dyDescent="0.3">
      <c r="C965" t="s">
        <v>5169</v>
      </c>
    </row>
    <row r="966" spans="3:4" customFormat="1" x14ac:dyDescent="0.3">
      <c r="C966" t="s">
        <v>5170</v>
      </c>
    </row>
    <row r="967" spans="3:4" customFormat="1" x14ac:dyDescent="0.3">
      <c r="C967" t="s">
        <v>5172</v>
      </c>
    </row>
    <row r="968" spans="3:4" customFormat="1" x14ac:dyDescent="0.3">
      <c r="C968" t="s">
        <v>5173</v>
      </c>
    </row>
    <row r="969" spans="3:4" customFormat="1" x14ac:dyDescent="0.3">
      <c r="C969" t="s">
        <v>5175</v>
      </c>
    </row>
    <row r="970" spans="3:4" customFormat="1" x14ac:dyDescent="0.3">
      <c r="C970" t="s">
        <v>5176</v>
      </c>
    </row>
    <row r="971" spans="3:4" customFormat="1" x14ac:dyDescent="0.3">
      <c r="C971" t="s">
        <v>5178</v>
      </c>
    </row>
    <row r="972" spans="3:4" customFormat="1" x14ac:dyDescent="0.3">
      <c r="C972" t="s">
        <v>5179</v>
      </c>
    </row>
    <row r="973" spans="3:4" customFormat="1" x14ac:dyDescent="0.3">
      <c r="C973" t="s">
        <v>5181</v>
      </c>
    </row>
    <row r="974" spans="3:4" customFormat="1" x14ac:dyDescent="0.3">
      <c r="C974" t="s">
        <v>5182</v>
      </c>
    </row>
    <row r="975" spans="3:4" customFormat="1" x14ac:dyDescent="0.3">
      <c r="C975" t="s">
        <v>5184</v>
      </c>
    </row>
    <row r="976" spans="3:4" customFormat="1" x14ac:dyDescent="0.3">
      <c r="C976" t="s">
        <v>5185</v>
      </c>
    </row>
    <row r="977" spans="3:3" customFormat="1" x14ac:dyDescent="0.3">
      <c r="C977" t="s">
        <v>5187</v>
      </c>
    </row>
    <row r="978" spans="3:3" customFormat="1" x14ac:dyDescent="0.3">
      <c r="C978" t="s">
        <v>5188</v>
      </c>
    </row>
    <row r="979" spans="3:3" customFormat="1" x14ac:dyDescent="0.3">
      <c r="C979" t="s">
        <v>5190</v>
      </c>
    </row>
    <row r="980" spans="3:3" customFormat="1" x14ac:dyDescent="0.3">
      <c r="C980" t="s">
        <v>5191</v>
      </c>
    </row>
    <row r="981" spans="3:3" customFormat="1" x14ac:dyDescent="0.3">
      <c r="C981" t="s">
        <v>5193</v>
      </c>
    </row>
    <row r="982" spans="3:3" customFormat="1" x14ac:dyDescent="0.3">
      <c r="C982" t="s">
        <v>5194</v>
      </c>
    </row>
    <row r="983" spans="3:3" customFormat="1" x14ac:dyDescent="0.3">
      <c r="C983" t="s">
        <v>5196</v>
      </c>
    </row>
    <row r="984" spans="3:3" customFormat="1" x14ac:dyDescent="0.3">
      <c r="C984" t="s">
        <v>5197</v>
      </c>
    </row>
    <row r="985" spans="3:3" customFormat="1" x14ac:dyDescent="0.3">
      <c r="C985" t="s">
        <v>5199</v>
      </c>
    </row>
    <row r="986" spans="3:3" customFormat="1" x14ac:dyDescent="0.3">
      <c r="C986" t="s">
        <v>5200</v>
      </c>
    </row>
    <row r="987" spans="3:3" customFormat="1" x14ac:dyDescent="0.3">
      <c r="C987" t="s">
        <v>5202</v>
      </c>
    </row>
    <row r="988" spans="3:3" customFormat="1" x14ac:dyDescent="0.3">
      <c r="C988" t="s">
        <v>5203</v>
      </c>
    </row>
    <row r="989" spans="3:3" customFormat="1" x14ac:dyDescent="0.3">
      <c r="C989" t="s">
        <v>5205</v>
      </c>
    </row>
    <row r="990" spans="3:3" customFormat="1" x14ac:dyDescent="0.3">
      <c r="C990" t="s">
        <v>5206</v>
      </c>
    </row>
    <row r="991" spans="3:3" customFormat="1" x14ac:dyDescent="0.3">
      <c r="C991" t="s">
        <v>5208</v>
      </c>
    </row>
    <row r="992" spans="3:3" customFormat="1" x14ac:dyDescent="0.3">
      <c r="C992" t="s">
        <v>5209</v>
      </c>
    </row>
    <row r="993" spans="3:3" customFormat="1" x14ac:dyDescent="0.3">
      <c r="C993" t="s">
        <v>5211</v>
      </c>
    </row>
    <row r="994" spans="3:3" customFormat="1" x14ac:dyDescent="0.3">
      <c r="C994" t="s">
        <v>5212</v>
      </c>
    </row>
    <row r="995" spans="3:3" customFormat="1" x14ac:dyDescent="0.3">
      <c r="C995" t="s">
        <v>5214</v>
      </c>
    </row>
    <row r="996" spans="3:3" customFormat="1" x14ac:dyDescent="0.3">
      <c r="C996" t="s">
        <v>5215</v>
      </c>
    </row>
    <row r="997" spans="3:3" customFormat="1" x14ac:dyDescent="0.3">
      <c r="C997" t="s">
        <v>5217</v>
      </c>
    </row>
    <row r="998" spans="3:3" customFormat="1" x14ac:dyDescent="0.3">
      <c r="C998" t="s">
        <v>5218</v>
      </c>
    </row>
    <row r="999" spans="3:3" customFormat="1" x14ac:dyDescent="0.3">
      <c r="C999" t="s">
        <v>5220</v>
      </c>
    </row>
    <row r="1000" spans="3:3" customFormat="1" x14ac:dyDescent="0.3">
      <c r="C1000" t="s">
        <v>5221</v>
      </c>
    </row>
    <row r="1001" spans="3:3" customFormat="1" x14ac:dyDescent="0.3">
      <c r="C1001" t="s">
        <v>5223</v>
      </c>
    </row>
    <row r="1002" spans="3:3" customFormat="1" x14ac:dyDescent="0.3">
      <c r="C1002" t="s">
        <v>5224</v>
      </c>
    </row>
    <row r="1003" spans="3:3" customFormat="1" x14ac:dyDescent="0.3">
      <c r="C1003" t="s">
        <v>5226</v>
      </c>
    </row>
    <row r="1004" spans="3:3" customFormat="1" x14ac:dyDescent="0.3">
      <c r="C1004" t="s">
        <v>5227</v>
      </c>
    </row>
    <row r="1005" spans="3:3" customFormat="1" x14ac:dyDescent="0.3">
      <c r="C1005" t="s">
        <v>5229</v>
      </c>
    </row>
    <row r="1006" spans="3:3" customFormat="1" x14ac:dyDescent="0.3">
      <c r="C1006" t="s">
        <v>5230</v>
      </c>
    </row>
    <row r="1007" spans="3:3" customFormat="1" x14ac:dyDescent="0.3">
      <c r="C1007" t="s">
        <v>5232</v>
      </c>
    </row>
    <row r="1008" spans="3:3" customFormat="1" x14ac:dyDescent="0.3">
      <c r="C1008" t="s">
        <v>5233</v>
      </c>
    </row>
    <row r="1009" spans="3:3" customFormat="1" x14ac:dyDescent="0.3">
      <c r="C1009" t="s">
        <v>5235</v>
      </c>
    </row>
    <row r="1010" spans="3:3" customFormat="1" x14ac:dyDescent="0.3">
      <c r="C1010" t="s">
        <v>5236</v>
      </c>
    </row>
    <row r="1011" spans="3:3" customFormat="1" x14ac:dyDescent="0.3">
      <c r="C1011" t="s">
        <v>5238</v>
      </c>
    </row>
    <row r="1012" spans="3:3" customFormat="1" x14ac:dyDescent="0.3">
      <c r="C1012" t="s">
        <v>5239</v>
      </c>
    </row>
    <row r="1013" spans="3:3" customFormat="1" x14ac:dyDescent="0.3">
      <c r="C1013" t="s">
        <v>5241</v>
      </c>
    </row>
    <row r="1014" spans="3:3" customFormat="1" x14ac:dyDescent="0.3">
      <c r="C1014" t="s">
        <v>5242</v>
      </c>
    </row>
    <row r="1015" spans="3:3" customFormat="1" x14ac:dyDescent="0.3">
      <c r="C1015" t="s">
        <v>5244</v>
      </c>
    </row>
    <row r="1016" spans="3:3" customFormat="1" x14ac:dyDescent="0.3">
      <c r="C1016" t="s">
        <v>5245</v>
      </c>
    </row>
    <row r="1017" spans="3:3" customFormat="1" x14ac:dyDescent="0.3">
      <c r="C1017" t="s">
        <v>5247</v>
      </c>
    </row>
    <row r="1018" spans="3:3" customFormat="1" x14ac:dyDescent="0.3">
      <c r="C1018" t="s">
        <v>5248</v>
      </c>
    </row>
    <row r="1019" spans="3:3" customFormat="1" x14ac:dyDescent="0.3">
      <c r="C1019" t="s">
        <v>5250</v>
      </c>
    </row>
    <row r="1020" spans="3:3" customFormat="1" x14ac:dyDescent="0.3">
      <c r="C1020" t="s">
        <v>5251</v>
      </c>
    </row>
    <row r="1021" spans="3:3" customFormat="1" x14ac:dyDescent="0.3">
      <c r="C1021" t="s">
        <v>5253</v>
      </c>
    </row>
    <row r="1022" spans="3:3" customFormat="1" x14ac:dyDescent="0.3">
      <c r="C1022" t="s">
        <v>5254</v>
      </c>
    </row>
    <row r="1023" spans="3:3" customFormat="1" x14ac:dyDescent="0.3">
      <c r="C1023" t="s">
        <v>5256</v>
      </c>
    </row>
    <row r="1024" spans="3:3" customFormat="1" x14ac:dyDescent="0.3">
      <c r="C1024" t="s">
        <v>5257</v>
      </c>
    </row>
    <row r="1025" spans="3:3" customFormat="1" x14ac:dyDescent="0.3">
      <c r="C1025" t="s">
        <v>5259</v>
      </c>
    </row>
    <row r="1026" spans="3:3" customFormat="1" x14ac:dyDescent="0.3">
      <c r="C1026" t="s">
        <v>5260</v>
      </c>
    </row>
    <row r="1027" spans="3:3" customFormat="1" x14ac:dyDescent="0.3">
      <c r="C1027" t="s">
        <v>5262</v>
      </c>
    </row>
    <row r="1028" spans="3:3" customFormat="1" x14ac:dyDescent="0.3">
      <c r="C1028" t="s">
        <v>5263</v>
      </c>
    </row>
    <row r="1029" spans="3:3" customFormat="1" x14ac:dyDescent="0.3">
      <c r="C1029" t="s">
        <v>5265</v>
      </c>
    </row>
    <row r="1030" spans="3:3" customFormat="1" x14ac:dyDescent="0.3">
      <c r="C1030" t="s">
        <v>5266</v>
      </c>
    </row>
    <row r="1031" spans="3:3" customFormat="1" x14ac:dyDescent="0.3">
      <c r="C1031" t="s">
        <v>5268</v>
      </c>
    </row>
    <row r="1032" spans="3:3" customFormat="1" x14ac:dyDescent="0.3">
      <c r="C1032" t="s">
        <v>5269</v>
      </c>
    </row>
    <row r="1033" spans="3:3" customFormat="1" x14ac:dyDescent="0.3">
      <c r="C1033" t="s">
        <v>5271</v>
      </c>
    </row>
    <row r="1034" spans="3:3" customFormat="1" x14ac:dyDescent="0.3">
      <c r="C1034" t="s">
        <v>5272</v>
      </c>
    </row>
    <row r="1035" spans="3:3" customFormat="1" x14ac:dyDescent="0.3">
      <c r="C1035" t="s">
        <v>5274</v>
      </c>
    </row>
    <row r="1036" spans="3:3" customFormat="1" x14ac:dyDescent="0.3">
      <c r="C1036" t="s">
        <v>5275</v>
      </c>
    </row>
    <row r="1037" spans="3:3" customFormat="1" x14ac:dyDescent="0.3">
      <c r="C1037" t="s">
        <v>5277</v>
      </c>
    </row>
    <row r="1038" spans="3:3" customFormat="1" x14ac:dyDescent="0.3">
      <c r="C1038" t="s">
        <v>5278</v>
      </c>
    </row>
    <row r="1039" spans="3:3" customFormat="1" x14ac:dyDescent="0.3">
      <c r="C1039" t="s">
        <v>5280</v>
      </c>
    </row>
    <row r="1040" spans="3:3" customFormat="1" x14ac:dyDescent="0.3">
      <c r="C1040" t="s">
        <v>5281</v>
      </c>
    </row>
    <row r="1041" spans="3:3" customFormat="1" x14ac:dyDescent="0.3">
      <c r="C1041" t="s">
        <v>5283</v>
      </c>
    </row>
    <row r="1042" spans="3:3" customFormat="1" x14ac:dyDescent="0.3">
      <c r="C1042" t="s">
        <v>5284</v>
      </c>
    </row>
    <row r="1043" spans="3:3" customFormat="1" x14ac:dyDescent="0.3">
      <c r="C1043" t="s">
        <v>5286</v>
      </c>
    </row>
    <row r="1044" spans="3:3" customFormat="1" x14ac:dyDescent="0.3">
      <c r="C1044" t="s">
        <v>5287</v>
      </c>
    </row>
    <row r="1045" spans="3:3" customFormat="1" x14ac:dyDescent="0.3">
      <c r="C1045" t="s">
        <v>5289</v>
      </c>
    </row>
    <row r="1046" spans="3:3" customFormat="1" x14ac:dyDescent="0.3">
      <c r="C1046" t="s">
        <v>5290</v>
      </c>
    </row>
    <row r="1047" spans="3:3" customFormat="1" x14ac:dyDescent="0.3">
      <c r="C1047" t="s">
        <v>5292</v>
      </c>
    </row>
    <row r="1048" spans="3:3" customFormat="1" x14ac:dyDescent="0.3">
      <c r="C1048" t="s">
        <v>5293</v>
      </c>
    </row>
    <row r="1049" spans="3:3" customFormat="1" x14ac:dyDescent="0.3">
      <c r="C1049" t="s">
        <v>5295</v>
      </c>
    </row>
    <row r="1050" spans="3:3" customFormat="1" x14ac:dyDescent="0.3">
      <c r="C1050" t="s">
        <v>5296</v>
      </c>
    </row>
    <row r="1051" spans="3:3" customFormat="1" x14ac:dyDescent="0.3">
      <c r="C1051" t="s">
        <v>5298</v>
      </c>
    </row>
    <row r="1052" spans="3:3" customFormat="1" x14ac:dyDescent="0.3">
      <c r="C1052" t="s">
        <v>5299</v>
      </c>
    </row>
    <row r="1053" spans="3:3" customFormat="1" x14ac:dyDescent="0.3">
      <c r="C1053" t="s">
        <v>5301</v>
      </c>
    </row>
    <row r="1054" spans="3:3" customFormat="1" x14ac:dyDescent="0.3">
      <c r="C1054" t="s">
        <v>5302</v>
      </c>
    </row>
    <row r="1055" spans="3:3" customFormat="1" x14ac:dyDescent="0.3">
      <c r="C1055" t="s">
        <v>5304</v>
      </c>
    </row>
    <row r="1056" spans="3:3" customFormat="1" x14ac:dyDescent="0.3">
      <c r="C1056" t="s">
        <v>5305</v>
      </c>
    </row>
    <row r="1057" spans="3:3" customFormat="1" x14ac:dyDescent="0.3">
      <c r="C1057" t="s">
        <v>5307</v>
      </c>
    </row>
    <row r="1058" spans="3:3" customFormat="1" x14ac:dyDescent="0.3">
      <c r="C1058" t="s">
        <v>5308</v>
      </c>
    </row>
    <row r="1059" spans="3:3" customFormat="1" x14ac:dyDescent="0.3">
      <c r="C1059" t="s">
        <v>5310</v>
      </c>
    </row>
    <row r="1060" spans="3:3" customFormat="1" x14ac:dyDescent="0.3">
      <c r="C1060" t="s">
        <v>5311</v>
      </c>
    </row>
    <row r="1061" spans="3:3" customFormat="1" x14ac:dyDescent="0.3">
      <c r="C1061" t="s">
        <v>5313</v>
      </c>
    </row>
    <row r="1062" spans="3:3" customFormat="1" x14ac:dyDescent="0.3">
      <c r="C1062" t="s">
        <v>5314</v>
      </c>
    </row>
    <row r="1063" spans="3:3" customFormat="1" x14ac:dyDescent="0.3">
      <c r="C1063" t="s">
        <v>5316</v>
      </c>
    </row>
    <row r="1064" spans="3:3" customFormat="1" x14ac:dyDescent="0.3">
      <c r="C1064" t="s">
        <v>5317</v>
      </c>
    </row>
    <row r="1065" spans="3:3" customFormat="1" x14ac:dyDescent="0.3">
      <c r="C1065" t="s">
        <v>5319</v>
      </c>
    </row>
    <row r="1066" spans="3:3" customFormat="1" x14ac:dyDescent="0.3">
      <c r="C1066" t="s">
        <v>5320</v>
      </c>
    </row>
    <row r="1067" spans="3:3" customFormat="1" x14ac:dyDescent="0.3">
      <c r="C1067" t="s">
        <v>5322</v>
      </c>
    </row>
    <row r="1068" spans="3:3" customFormat="1" x14ac:dyDescent="0.3">
      <c r="C1068" t="s">
        <v>5323</v>
      </c>
    </row>
    <row r="1069" spans="3:3" customFormat="1" x14ac:dyDescent="0.3">
      <c r="C1069" t="s">
        <v>5325</v>
      </c>
    </row>
    <row r="1070" spans="3:3" customFormat="1" x14ac:dyDescent="0.3">
      <c r="C1070" t="s">
        <v>5326</v>
      </c>
    </row>
    <row r="1071" spans="3:3" customFormat="1" x14ac:dyDescent="0.3">
      <c r="C1071" t="s">
        <v>5328</v>
      </c>
    </row>
    <row r="1072" spans="3:3" customFormat="1" x14ac:dyDescent="0.3">
      <c r="C1072" t="s">
        <v>5329</v>
      </c>
    </row>
    <row r="1073" spans="3:3" customFormat="1" x14ac:dyDescent="0.3">
      <c r="C1073" t="s">
        <v>5331</v>
      </c>
    </row>
    <row r="1074" spans="3:3" customFormat="1" x14ac:dyDescent="0.3">
      <c r="C1074" t="s">
        <v>5332</v>
      </c>
    </row>
    <row r="1075" spans="3:3" customFormat="1" x14ac:dyDescent="0.3">
      <c r="C1075" t="s">
        <v>5334</v>
      </c>
    </row>
    <row r="1076" spans="3:3" customFormat="1" x14ac:dyDescent="0.3">
      <c r="C1076" t="s">
        <v>5335</v>
      </c>
    </row>
    <row r="1077" spans="3:3" customFormat="1" x14ac:dyDescent="0.3">
      <c r="C1077" t="s">
        <v>5337</v>
      </c>
    </row>
    <row r="1078" spans="3:3" customFormat="1" x14ac:dyDescent="0.3">
      <c r="C1078" t="s">
        <v>5338</v>
      </c>
    </row>
    <row r="1079" spans="3:3" customFormat="1" x14ac:dyDescent="0.3">
      <c r="C1079" t="s">
        <v>5340</v>
      </c>
    </row>
    <row r="1080" spans="3:3" customFormat="1" x14ac:dyDescent="0.3">
      <c r="C1080" t="s">
        <v>5341</v>
      </c>
    </row>
    <row r="1081" spans="3:3" customFormat="1" x14ac:dyDescent="0.3">
      <c r="C1081" t="s">
        <v>5343</v>
      </c>
    </row>
    <row r="1082" spans="3:3" customFormat="1" x14ac:dyDescent="0.3">
      <c r="C1082" t="s">
        <v>5344</v>
      </c>
    </row>
    <row r="1083" spans="3:3" customFormat="1" x14ac:dyDescent="0.3">
      <c r="C1083" t="s">
        <v>5346</v>
      </c>
    </row>
    <row r="1084" spans="3:3" customFormat="1" x14ac:dyDescent="0.3">
      <c r="C1084" t="s">
        <v>5347</v>
      </c>
    </row>
    <row r="1085" spans="3:3" customFormat="1" x14ac:dyDescent="0.3">
      <c r="C1085" t="s">
        <v>5349</v>
      </c>
    </row>
    <row r="1086" spans="3:3" customFormat="1" x14ac:dyDescent="0.3">
      <c r="C1086" t="s">
        <v>5350</v>
      </c>
    </row>
    <row r="1087" spans="3:3" customFormat="1" x14ac:dyDescent="0.3">
      <c r="C1087" t="s">
        <v>5352</v>
      </c>
    </row>
    <row r="1088" spans="3:3" customFormat="1" x14ac:dyDescent="0.3">
      <c r="C1088" t="s">
        <v>5353</v>
      </c>
    </row>
    <row r="1089" spans="3:3" customFormat="1" x14ac:dyDescent="0.3">
      <c r="C1089" t="s">
        <v>5355</v>
      </c>
    </row>
    <row r="1090" spans="3:3" customFormat="1" x14ac:dyDescent="0.3">
      <c r="C1090" t="s">
        <v>5356</v>
      </c>
    </row>
    <row r="1091" spans="3:3" customFormat="1" x14ac:dyDescent="0.3">
      <c r="C1091" t="s">
        <v>5358</v>
      </c>
    </row>
    <row r="1092" spans="3:3" customFormat="1" x14ac:dyDescent="0.3">
      <c r="C1092" t="s">
        <v>5359</v>
      </c>
    </row>
    <row r="1093" spans="3:3" customFormat="1" x14ac:dyDescent="0.3">
      <c r="C1093" t="s">
        <v>5361</v>
      </c>
    </row>
    <row r="1094" spans="3:3" customFormat="1" x14ac:dyDescent="0.3">
      <c r="C1094" t="s">
        <v>5362</v>
      </c>
    </row>
    <row r="1095" spans="3:3" customFormat="1" x14ac:dyDescent="0.3">
      <c r="C1095" t="s">
        <v>5364</v>
      </c>
    </row>
    <row r="1096" spans="3:3" customFormat="1" x14ac:dyDescent="0.3">
      <c r="C1096" t="s">
        <v>5365</v>
      </c>
    </row>
    <row r="1097" spans="3:3" customFormat="1" x14ac:dyDescent="0.3">
      <c r="C1097" t="s">
        <v>5367</v>
      </c>
    </row>
    <row r="1098" spans="3:3" customFormat="1" x14ac:dyDescent="0.3">
      <c r="C1098" t="s">
        <v>5368</v>
      </c>
    </row>
    <row r="1099" spans="3:3" customFormat="1" x14ac:dyDescent="0.3">
      <c r="C1099" t="s">
        <v>5370</v>
      </c>
    </row>
    <row r="1100" spans="3:3" customFormat="1" x14ac:dyDescent="0.3">
      <c r="C1100" t="s">
        <v>5371</v>
      </c>
    </row>
    <row r="1101" spans="3:3" customFormat="1" x14ac:dyDescent="0.3">
      <c r="C1101" t="s">
        <v>5373</v>
      </c>
    </row>
    <row r="1102" spans="3:3" customFormat="1" x14ac:dyDescent="0.3">
      <c r="C1102" t="s">
        <v>5374</v>
      </c>
    </row>
    <row r="1103" spans="3:3" customFormat="1" x14ac:dyDescent="0.3">
      <c r="C1103" t="s">
        <v>5376</v>
      </c>
    </row>
    <row r="1104" spans="3:3" customFormat="1" x14ac:dyDescent="0.3">
      <c r="C1104" t="s">
        <v>5377</v>
      </c>
    </row>
    <row r="1105" spans="3:3" customFormat="1" x14ac:dyDescent="0.3">
      <c r="C1105" t="s">
        <v>5379</v>
      </c>
    </row>
    <row r="1106" spans="3:3" customFormat="1" x14ac:dyDescent="0.3">
      <c r="C1106" t="s">
        <v>5380</v>
      </c>
    </row>
    <row r="1107" spans="3:3" customFormat="1" x14ac:dyDescent="0.3">
      <c r="C1107" t="s">
        <v>5382</v>
      </c>
    </row>
    <row r="1108" spans="3:3" customFormat="1" x14ac:dyDescent="0.3">
      <c r="C1108" t="s">
        <v>5383</v>
      </c>
    </row>
    <row r="1109" spans="3:3" customFormat="1" x14ac:dyDescent="0.3">
      <c r="C1109" t="s">
        <v>5385</v>
      </c>
    </row>
    <row r="1110" spans="3:3" customFormat="1" x14ac:dyDescent="0.3">
      <c r="C1110" t="s">
        <v>5386</v>
      </c>
    </row>
    <row r="1111" spans="3:3" customFormat="1" x14ac:dyDescent="0.3">
      <c r="C1111" t="s">
        <v>5388</v>
      </c>
    </row>
    <row r="1112" spans="3:3" customFormat="1" x14ac:dyDescent="0.3">
      <c r="C1112" t="s">
        <v>5389</v>
      </c>
    </row>
    <row r="1113" spans="3:3" customFormat="1" x14ac:dyDescent="0.3">
      <c r="C1113" t="s">
        <v>5391</v>
      </c>
    </row>
    <row r="1114" spans="3:3" customFormat="1" x14ac:dyDescent="0.3">
      <c r="C1114" t="s">
        <v>5392</v>
      </c>
    </row>
    <row r="1115" spans="3:3" customFormat="1" x14ac:dyDescent="0.3">
      <c r="C1115" t="s">
        <v>5394</v>
      </c>
    </row>
    <row r="1116" spans="3:3" customFormat="1" x14ac:dyDescent="0.3">
      <c r="C1116" t="s">
        <v>5395</v>
      </c>
    </row>
    <row r="1117" spans="3:3" customFormat="1" x14ac:dyDescent="0.3">
      <c r="C1117" t="s">
        <v>5397</v>
      </c>
    </row>
    <row r="1118" spans="3:3" customFormat="1" x14ac:dyDescent="0.3">
      <c r="C1118" t="s">
        <v>5398</v>
      </c>
    </row>
    <row r="1119" spans="3:3" customFormat="1" x14ac:dyDescent="0.3">
      <c r="C1119" t="s">
        <v>5400</v>
      </c>
    </row>
    <row r="1120" spans="3:3" customFormat="1" x14ac:dyDescent="0.3">
      <c r="C1120" t="s">
        <v>5401</v>
      </c>
    </row>
    <row r="1121" spans="3:3" customFormat="1" x14ac:dyDescent="0.3">
      <c r="C1121" t="s">
        <v>5403</v>
      </c>
    </row>
    <row r="1122" spans="3:3" customFormat="1" x14ac:dyDescent="0.3">
      <c r="C1122" t="s">
        <v>5404</v>
      </c>
    </row>
    <row r="1123" spans="3:3" customFormat="1" x14ac:dyDescent="0.3">
      <c r="C1123" t="s">
        <v>5406</v>
      </c>
    </row>
    <row r="1124" spans="3:3" customFormat="1" x14ac:dyDescent="0.3">
      <c r="C1124" t="s">
        <v>5407</v>
      </c>
    </row>
    <row r="1125" spans="3:3" customFormat="1" x14ac:dyDescent="0.3">
      <c r="C1125" t="s">
        <v>5409</v>
      </c>
    </row>
    <row r="1126" spans="3:3" customFormat="1" x14ac:dyDescent="0.3">
      <c r="C1126" t="s">
        <v>5410</v>
      </c>
    </row>
    <row r="1127" spans="3:3" customFormat="1" x14ac:dyDescent="0.3">
      <c r="C1127" t="s">
        <v>5412</v>
      </c>
    </row>
    <row r="1128" spans="3:3" customFormat="1" x14ac:dyDescent="0.3">
      <c r="C1128" t="s">
        <v>5413</v>
      </c>
    </row>
    <row r="1129" spans="3:3" customFormat="1" x14ac:dyDescent="0.3">
      <c r="C1129" t="s">
        <v>5415</v>
      </c>
    </row>
    <row r="1130" spans="3:3" customFormat="1" x14ac:dyDescent="0.3">
      <c r="C1130" t="s">
        <v>5416</v>
      </c>
    </row>
    <row r="1131" spans="3:3" customFormat="1" x14ac:dyDescent="0.3">
      <c r="C1131" t="s">
        <v>5418</v>
      </c>
    </row>
    <row r="1132" spans="3:3" customFormat="1" x14ac:dyDescent="0.3">
      <c r="C1132" t="s">
        <v>5419</v>
      </c>
    </row>
    <row r="1133" spans="3:3" customFormat="1" x14ac:dyDescent="0.3">
      <c r="C1133" t="s">
        <v>5421</v>
      </c>
    </row>
    <row r="1134" spans="3:3" customFormat="1" x14ac:dyDescent="0.3">
      <c r="C1134" t="s">
        <v>5422</v>
      </c>
    </row>
    <row r="1135" spans="3:3" customFormat="1" x14ac:dyDescent="0.3">
      <c r="C1135" t="s">
        <v>5424</v>
      </c>
    </row>
    <row r="1136" spans="3:3" customFormat="1" x14ac:dyDescent="0.3">
      <c r="C1136" t="s">
        <v>5425</v>
      </c>
    </row>
    <row r="1137" spans="3:3" customFormat="1" x14ac:dyDescent="0.3">
      <c r="C1137" t="s">
        <v>5427</v>
      </c>
    </row>
    <row r="1138" spans="3:3" customFormat="1" x14ac:dyDescent="0.3">
      <c r="C1138" t="s">
        <v>5428</v>
      </c>
    </row>
    <row r="1139" spans="3:3" customFormat="1" x14ac:dyDescent="0.3">
      <c r="C1139" t="s">
        <v>5430</v>
      </c>
    </row>
    <row r="1140" spans="3:3" customFormat="1" x14ac:dyDescent="0.3">
      <c r="C1140" t="s">
        <v>5431</v>
      </c>
    </row>
    <row r="1141" spans="3:3" customFormat="1" x14ac:dyDescent="0.3">
      <c r="C1141" t="s">
        <v>5433</v>
      </c>
    </row>
    <row r="1142" spans="3:3" customFormat="1" x14ac:dyDescent="0.3">
      <c r="C1142" t="s">
        <v>5434</v>
      </c>
    </row>
    <row r="1143" spans="3:3" customFormat="1" x14ac:dyDescent="0.3">
      <c r="C1143" t="s">
        <v>5436</v>
      </c>
    </row>
    <row r="1144" spans="3:3" customFormat="1" x14ac:dyDescent="0.3">
      <c r="C1144" t="s">
        <v>5437</v>
      </c>
    </row>
    <row r="1145" spans="3:3" customFormat="1" x14ac:dyDescent="0.3">
      <c r="C1145" t="s">
        <v>5439</v>
      </c>
    </row>
    <row r="1146" spans="3:3" customFormat="1" x14ac:dyDescent="0.3">
      <c r="C1146" t="s">
        <v>5440</v>
      </c>
    </row>
    <row r="1147" spans="3:3" customFormat="1" x14ac:dyDescent="0.3">
      <c r="C1147" t="s">
        <v>5442</v>
      </c>
    </row>
    <row r="1148" spans="3:3" customFormat="1" x14ac:dyDescent="0.3">
      <c r="C1148" t="s">
        <v>5443</v>
      </c>
    </row>
    <row r="1149" spans="3:3" customFormat="1" x14ac:dyDescent="0.3">
      <c r="C1149" t="s">
        <v>5445</v>
      </c>
    </row>
    <row r="1150" spans="3:3" customFormat="1" x14ac:dyDescent="0.3">
      <c r="C1150" t="s">
        <v>5446</v>
      </c>
    </row>
    <row r="1151" spans="3:3" customFormat="1" x14ac:dyDescent="0.3">
      <c r="C1151" t="s">
        <v>5448</v>
      </c>
    </row>
    <row r="1152" spans="3:3" customFormat="1" x14ac:dyDescent="0.3">
      <c r="C1152" t="s">
        <v>5449</v>
      </c>
    </row>
    <row r="1153" spans="3:3" customFormat="1" x14ac:dyDescent="0.3">
      <c r="C1153" t="s">
        <v>5451</v>
      </c>
    </row>
    <row r="1154" spans="3:3" customFormat="1" x14ac:dyDescent="0.3">
      <c r="C1154" t="s">
        <v>5452</v>
      </c>
    </row>
    <row r="1155" spans="3:3" customFormat="1" x14ac:dyDescent="0.3">
      <c r="C1155" t="s">
        <v>5454</v>
      </c>
    </row>
    <row r="1156" spans="3:3" customFormat="1" x14ac:dyDescent="0.3">
      <c r="C1156" t="s">
        <v>5455</v>
      </c>
    </row>
    <row r="1157" spans="3:3" customFormat="1" x14ac:dyDescent="0.3">
      <c r="C1157" t="s">
        <v>5457</v>
      </c>
    </row>
    <row r="1158" spans="3:3" customFormat="1" x14ac:dyDescent="0.3">
      <c r="C1158" t="s">
        <v>5458</v>
      </c>
    </row>
    <row r="1159" spans="3:3" customFormat="1" x14ac:dyDescent="0.3">
      <c r="C1159" t="s">
        <v>5460</v>
      </c>
    </row>
    <row r="1160" spans="3:3" customFormat="1" x14ac:dyDescent="0.3">
      <c r="C1160" t="s">
        <v>5461</v>
      </c>
    </row>
    <row r="1161" spans="3:3" customFormat="1" x14ac:dyDescent="0.3">
      <c r="C1161" t="s">
        <v>5463</v>
      </c>
    </row>
    <row r="1162" spans="3:3" customFormat="1" x14ac:dyDescent="0.3">
      <c r="C1162" t="s">
        <v>5464</v>
      </c>
    </row>
    <row r="1163" spans="3:3" customFormat="1" x14ac:dyDescent="0.3">
      <c r="C1163" t="s">
        <v>5466</v>
      </c>
    </row>
    <row r="1164" spans="3:3" customFormat="1" x14ac:dyDescent="0.3">
      <c r="C1164" t="s">
        <v>5467</v>
      </c>
    </row>
    <row r="1165" spans="3:3" customFormat="1" x14ac:dyDescent="0.3">
      <c r="C1165" t="s">
        <v>5469</v>
      </c>
    </row>
    <row r="1166" spans="3:3" customFormat="1" x14ac:dyDescent="0.3">
      <c r="C1166" t="s">
        <v>5470</v>
      </c>
    </row>
    <row r="1167" spans="3:3" customFormat="1" x14ac:dyDescent="0.3">
      <c r="C1167" t="s">
        <v>5472</v>
      </c>
    </row>
    <row r="1168" spans="3:3" customFormat="1" x14ac:dyDescent="0.3">
      <c r="C1168" t="s">
        <v>5473</v>
      </c>
    </row>
    <row r="1169" spans="3:3" customFormat="1" x14ac:dyDescent="0.3">
      <c r="C1169" t="s">
        <v>5475</v>
      </c>
    </row>
    <row r="1170" spans="3:3" customFormat="1" x14ac:dyDescent="0.3">
      <c r="C1170" t="s">
        <v>5476</v>
      </c>
    </row>
    <row r="1171" spans="3:3" customFormat="1" x14ac:dyDescent="0.3">
      <c r="C1171" t="s">
        <v>5478</v>
      </c>
    </row>
    <row r="1172" spans="3:3" customFormat="1" x14ac:dyDescent="0.3">
      <c r="C1172" t="s">
        <v>5479</v>
      </c>
    </row>
    <row r="1173" spans="3:3" customFormat="1" x14ac:dyDescent="0.3">
      <c r="C1173" t="s">
        <v>5481</v>
      </c>
    </row>
    <row r="1174" spans="3:3" customFormat="1" x14ac:dyDescent="0.3">
      <c r="C1174" t="s">
        <v>5482</v>
      </c>
    </row>
    <row r="1175" spans="3:3" customFormat="1" x14ac:dyDescent="0.3">
      <c r="C1175" t="s">
        <v>5484</v>
      </c>
    </row>
    <row r="1176" spans="3:3" customFormat="1" x14ac:dyDescent="0.3">
      <c r="C1176" t="s">
        <v>5485</v>
      </c>
    </row>
    <row r="1177" spans="3:3" customFormat="1" x14ac:dyDescent="0.3">
      <c r="C1177" t="s">
        <v>5487</v>
      </c>
    </row>
    <row r="1178" spans="3:3" customFormat="1" x14ac:dyDescent="0.3">
      <c r="C1178" t="s">
        <v>5488</v>
      </c>
    </row>
    <row r="1179" spans="3:3" customFormat="1" x14ac:dyDescent="0.3">
      <c r="C1179" t="s">
        <v>5490</v>
      </c>
    </row>
    <row r="1180" spans="3:3" customFormat="1" x14ac:dyDescent="0.3">
      <c r="C1180" t="s">
        <v>5491</v>
      </c>
    </row>
    <row r="1181" spans="3:3" customFormat="1" x14ac:dyDescent="0.3">
      <c r="C1181" t="s">
        <v>5493</v>
      </c>
    </row>
    <row r="1182" spans="3:3" customFormat="1" x14ac:dyDescent="0.3">
      <c r="C1182" t="s">
        <v>5494</v>
      </c>
    </row>
    <row r="1183" spans="3:3" customFormat="1" x14ac:dyDescent="0.3">
      <c r="C1183" t="s">
        <v>5496</v>
      </c>
    </row>
    <row r="1184" spans="3:3" customFormat="1" x14ac:dyDescent="0.3">
      <c r="C1184" t="s">
        <v>5497</v>
      </c>
    </row>
    <row r="1185" spans="3:3" customFormat="1" x14ac:dyDescent="0.3">
      <c r="C1185" t="s">
        <v>5499</v>
      </c>
    </row>
    <row r="1186" spans="3:3" customFormat="1" x14ac:dyDescent="0.3">
      <c r="C1186" t="s">
        <v>5500</v>
      </c>
    </row>
    <row r="1187" spans="3:3" customFormat="1" x14ac:dyDescent="0.3">
      <c r="C1187" t="s">
        <v>5502</v>
      </c>
    </row>
    <row r="1188" spans="3:3" customFormat="1" x14ac:dyDescent="0.3">
      <c r="C1188" t="s">
        <v>5503</v>
      </c>
    </row>
    <row r="1189" spans="3:3" customFormat="1" x14ac:dyDescent="0.3">
      <c r="C1189" t="s">
        <v>5505</v>
      </c>
    </row>
    <row r="1190" spans="3:3" customFormat="1" x14ac:dyDescent="0.3">
      <c r="C1190" t="s">
        <v>5506</v>
      </c>
    </row>
    <row r="1191" spans="3:3" customFormat="1" x14ac:dyDescent="0.3">
      <c r="C1191" t="s">
        <v>5508</v>
      </c>
    </row>
    <row r="1192" spans="3:3" customFormat="1" x14ac:dyDescent="0.3">
      <c r="C1192" t="s">
        <v>5509</v>
      </c>
    </row>
    <row r="1193" spans="3:3" customFormat="1" x14ac:dyDescent="0.3">
      <c r="C1193" t="s">
        <v>5511</v>
      </c>
    </row>
    <row r="1194" spans="3:3" customFormat="1" x14ac:dyDescent="0.3">
      <c r="C1194" t="s">
        <v>5512</v>
      </c>
    </row>
    <row r="1195" spans="3:3" customFormat="1" x14ac:dyDescent="0.3">
      <c r="C1195" t="s">
        <v>5514</v>
      </c>
    </row>
    <row r="1196" spans="3:3" customFormat="1" x14ac:dyDescent="0.3">
      <c r="C1196" t="s">
        <v>5515</v>
      </c>
    </row>
    <row r="1197" spans="3:3" customFormat="1" x14ac:dyDescent="0.3">
      <c r="C1197" t="s">
        <v>5517</v>
      </c>
    </row>
    <row r="1198" spans="3:3" customFormat="1" x14ac:dyDescent="0.3">
      <c r="C1198" t="s">
        <v>5518</v>
      </c>
    </row>
    <row r="1199" spans="3:3" customFormat="1" x14ac:dyDescent="0.3">
      <c r="C1199" t="s">
        <v>5520</v>
      </c>
    </row>
    <row r="1200" spans="3:3" customFormat="1" x14ac:dyDescent="0.3">
      <c r="C1200" t="s">
        <v>5521</v>
      </c>
    </row>
    <row r="1201" spans="3:3" customFormat="1" x14ac:dyDescent="0.3">
      <c r="C1201" t="s">
        <v>5523</v>
      </c>
    </row>
    <row r="1202" spans="3:3" customFormat="1" x14ac:dyDescent="0.3">
      <c r="C1202" t="s">
        <v>5524</v>
      </c>
    </row>
    <row r="1203" spans="3:3" customFormat="1" x14ac:dyDescent="0.3">
      <c r="C1203" t="s">
        <v>5526</v>
      </c>
    </row>
    <row r="1204" spans="3:3" customFormat="1" x14ac:dyDescent="0.3">
      <c r="C1204" t="s">
        <v>5527</v>
      </c>
    </row>
    <row r="1205" spans="3:3" customFormat="1" x14ac:dyDescent="0.3">
      <c r="C1205" t="s">
        <v>5529</v>
      </c>
    </row>
    <row r="1206" spans="3:3" customFormat="1" x14ac:dyDescent="0.3">
      <c r="C1206" t="s">
        <v>5530</v>
      </c>
    </row>
    <row r="1207" spans="3:3" customFormat="1" x14ac:dyDescent="0.3">
      <c r="C1207" t="s">
        <v>5532</v>
      </c>
    </row>
    <row r="1208" spans="3:3" customFormat="1" x14ac:dyDescent="0.3">
      <c r="C1208" t="s">
        <v>5533</v>
      </c>
    </row>
    <row r="1209" spans="3:3" customFormat="1" x14ac:dyDescent="0.3">
      <c r="C1209" t="s">
        <v>5535</v>
      </c>
    </row>
    <row r="1210" spans="3:3" customFormat="1" x14ac:dyDescent="0.3">
      <c r="C1210" t="s">
        <v>5536</v>
      </c>
    </row>
    <row r="1211" spans="3:3" customFormat="1" x14ac:dyDescent="0.3">
      <c r="C1211" t="s">
        <v>5538</v>
      </c>
    </row>
    <row r="1212" spans="3:3" customFormat="1" x14ac:dyDescent="0.3">
      <c r="C1212" t="s">
        <v>5539</v>
      </c>
    </row>
    <row r="1213" spans="3:3" customFormat="1" x14ac:dyDescent="0.3">
      <c r="C1213" t="s">
        <v>5541</v>
      </c>
    </row>
    <row r="1214" spans="3:3" customFormat="1" x14ac:dyDescent="0.3">
      <c r="C1214" t="s">
        <v>5542</v>
      </c>
    </row>
    <row r="1215" spans="3:3" customFormat="1" x14ac:dyDescent="0.3">
      <c r="C1215" t="s">
        <v>5544</v>
      </c>
    </row>
    <row r="1216" spans="3:3" customFormat="1" x14ac:dyDescent="0.3">
      <c r="C1216" t="s">
        <v>5545</v>
      </c>
    </row>
    <row r="1217" spans="3:3" customFormat="1" x14ac:dyDescent="0.3">
      <c r="C1217" t="s">
        <v>5547</v>
      </c>
    </row>
    <row r="1218" spans="3:3" customFormat="1" x14ac:dyDescent="0.3">
      <c r="C1218" t="s">
        <v>5548</v>
      </c>
    </row>
    <row r="1219" spans="3:3" customFormat="1" x14ac:dyDescent="0.3">
      <c r="C1219" t="s">
        <v>5550</v>
      </c>
    </row>
    <row r="1220" spans="3:3" customFormat="1" x14ac:dyDescent="0.3">
      <c r="C1220" t="s">
        <v>5551</v>
      </c>
    </row>
    <row r="1221" spans="3:3" customFormat="1" x14ac:dyDescent="0.3">
      <c r="C1221" t="s">
        <v>5553</v>
      </c>
    </row>
    <row r="1222" spans="3:3" customFormat="1" x14ac:dyDescent="0.3">
      <c r="C1222" t="s">
        <v>5554</v>
      </c>
    </row>
    <row r="1223" spans="3:3" customFormat="1" x14ac:dyDescent="0.3">
      <c r="C1223" t="s">
        <v>5556</v>
      </c>
    </row>
    <row r="1224" spans="3:3" customFormat="1" x14ac:dyDescent="0.3">
      <c r="C1224" t="s">
        <v>5557</v>
      </c>
    </row>
    <row r="1225" spans="3:3" customFormat="1" x14ac:dyDescent="0.3">
      <c r="C1225" t="s">
        <v>5559</v>
      </c>
    </row>
    <row r="1226" spans="3:3" customFormat="1" x14ac:dyDescent="0.3">
      <c r="C1226" t="s">
        <v>5560</v>
      </c>
    </row>
    <row r="1227" spans="3:3" customFormat="1" x14ac:dyDescent="0.3">
      <c r="C1227" t="s">
        <v>5562</v>
      </c>
    </row>
    <row r="1228" spans="3:3" customFormat="1" x14ac:dyDescent="0.3">
      <c r="C1228" t="s">
        <v>5563</v>
      </c>
    </row>
    <row r="1229" spans="3:3" customFormat="1" x14ac:dyDescent="0.3">
      <c r="C1229" t="s">
        <v>5565</v>
      </c>
    </row>
    <row r="1230" spans="3:3" customFormat="1" x14ac:dyDescent="0.3">
      <c r="C1230" t="s">
        <v>5566</v>
      </c>
    </row>
    <row r="1231" spans="3:3" customFormat="1" x14ac:dyDescent="0.3">
      <c r="C1231" t="s">
        <v>5568</v>
      </c>
    </row>
    <row r="1232" spans="3:3" customFormat="1" x14ac:dyDescent="0.3">
      <c r="C1232" t="s">
        <v>5569</v>
      </c>
    </row>
    <row r="1233" spans="3:3" customFormat="1" x14ac:dyDescent="0.3">
      <c r="C1233" t="s">
        <v>5571</v>
      </c>
    </row>
    <row r="1234" spans="3:3" customFormat="1" x14ac:dyDescent="0.3">
      <c r="C1234" t="s">
        <v>5572</v>
      </c>
    </row>
    <row r="1235" spans="3:3" customFormat="1" x14ac:dyDescent="0.3">
      <c r="C1235" t="s">
        <v>5574</v>
      </c>
    </row>
    <row r="1236" spans="3:3" customFormat="1" x14ac:dyDescent="0.3">
      <c r="C1236" t="s">
        <v>5575</v>
      </c>
    </row>
    <row r="1237" spans="3:3" customFormat="1" x14ac:dyDescent="0.3">
      <c r="C1237" t="s">
        <v>5577</v>
      </c>
    </row>
    <row r="1238" spans="3:3" customFormat="1" x14ac:dyDescent="0.3">
      <c r="C1238" t="s">
        <v>5578</v>
      </c>
    </row>
    <row r="1239" spans="3:3" customFormat="1" x14ac:dyDescent="0.3">
      <c r="C1239" t="s">
        <v>5580</v>
      </c>
    </row>
    <row r="1240" spans="3:3" customFormat="1" x14ac:dyDescent="0.3">
      <c r="C1240" t="s">
        <v>5581</v>
      </c>
    </row>
    <row r="1241" spans="3:3" customFormat="1" x14ac:dyDescent="0.3">
      <c r="C1241" t="s">
        <v>5583</v>
      </c>
    </row>
    <row r="1242" spans="3:3" customFormat="1" x14ac:dyDescent="0.3">
      <c r="C1242" t="s">
        <v>5584</v>
      </c>
    </row>
    <row r="1243" spans="3:3" customFormat="1" x14ac:dyDescent="0.3">
      <c r="C1243" t="s">
        <v>5586</v>
      </c>
    </row>
    <row r="1244" spans="3:3" customFormat="1" x14ac:dyDescent="0.3">
      <c r="C1244" t="s">
        <v>5587</v>
      </c>
    </row>
    <row r="1245" spans="3:3" customFormat="1" x14ac:dyDescent="0.3">
      <c r="C1245" t="s">
        <v>5589</v>
      </c>
    </row>
    <row r="1246" spans="3:3" customFormat="1" x14ac:dyDescent="0.3">
      <c r="C1246" t="s">
        <v>5590</v>
      </c>
    </row>
    <row r="1247" spans="3:3" customFormat="1" x14ac:dyDescent="0.3">
      <c r="C1247" t="s">
        <v>5592</v>
      </c>
    </row>
    <row r="1248" spans="3:3" customFormat="1" x14ac:dyDescent="0.3">
      <c r="C1248" t="s">
        <v>5593</v>
      </c>
    </row>
    <row r="1249" spans="3:3" customFormat="1" x14ac:dyDescent="0.3">
      <c r="C1249" t="s">
        <v>5595</v>
      </c>
    </row>
    <row r="1250" spans="3:3" customFormat="1" x14ac:dyDescent="0.3">
      <c r="C1250" t="s">
        <v>5596</v>
      </c>
    </row>
    <row r="1251" spans="3:3" customFormat="1" x14ac:dyDescent="0.3">
      <c r="C1251" t="s">
        <v>5598</v>
      </c>
    </row>
    <row r="1252" spans="3:3" customFormat="1" x14ac:dyDescent="0.3">
      <c r="C1252" t="s">
        <v>5599</v>
      </c>
    </row>
    <row r="1253" spans="3:3" customFormat="1" x14ac:dyDescent="0.3">
      <c r="C1253" t="s">
        <v>5601</v>
      </c>
    </row>
    <row r="1254" spans="3:3" customFormat="1" x14ac:dyDescent="0.3">
      <c r="C1254" t="s">
        <v>5602</v>
      </c>
    </row>
    <row r="1255" spans="3:3" customFormat="1" x14ac:dyDescent="0.3">
      <c r="C1255" t="s">
        <v>5604</v>
      </c>
    </row>
    <row r="1256" spans="3:3" customFormat="1" x14ac:dyDescent="0.3">
      <c r="C1256" t="s">
        <v>5605</v>
      </c>
    </row>
    <row r="1257" spans="3:3" customFormat="1" x14ac:dyDescent="0.3">
      <c r="C1257" t="s">
        <v>5607</v>
      </c>
    </row>
    <row r="1258" spans="3:3" customFormat="1" x14ac:dyDescent="0.3">
      <c r="C1258" t="s">
        <v>5608</v>
      </c>
    </row>
    <row r="1259" spans="3:3" customFormat="1" x14ac:dyDescent="0.3">
      <c r="C1259" t="s">
        <v>5610</v>
      </c>
    </row>
    <row r="1260" spans="3:3" customFormat="1" x14ac:dyDescent="0.3">
      <c r="C1260" t="s">
        <v>5611</v>
      </c>
    </row>
    <row r="1261" spans="3:3" customFormat="1" x14ac:dyDescent="0.3">
      <c r="C1261" t="s">
        <v>5613</v>
      </c>
    </row>
    <row r="1262" spans="3:3" customFormat="1" x14ac:dyDescent="0.3">
      <c r="C1262" t="s">
        <v>5614</v>
      </c>
    </row>
    <row r="1263" spans="3:3" customFormat="1" x14ac:dyDescent="0.3">
      <c r="C1263" t="s">
        <v>5616</v>
      </c>
    </row>
    <row r="1264" spans="3:3" customFormat="1" x14ac:dyDescent="0.3">
      <c r="C1264" t="s">
        <v>5617</v>
      </c>
    </row>
    <row r="1265" spans="3:3" customFormat="1" x14ac:dyDescent="0.3">
      <c r="C1265" t="s">
        <v>5619</v>
      </c>
    </row>
    <row r="1266" spans="3:3" customFormat="1" x14ac:dyDescent="0.3">
      <c r="C1266" t="s">
        <v>5620</v>
      </c>
    </row>
    <row r="1267" spans="3:3" customFormat="1" x14ac:dyDescent="0.3">
      <c r="C1267" t="s">
        <v>5622</v>
      </c>
    </row>
    <row r="1268" spans="3:3" customFormat="1" x14ac:dyDescent="0.3">
      <c r="C1268" t="s">
        <v>5623</v>
      </c>
    </row>
    <row r="1269" spans="3:3" customFormat="1" x14ac:dyDescent="0.3">
      <c r="C1269" t="s">
        <v>5625</v>
      </c>
    </row>
    <row r="1270" spans="3:3" customFormat="1" x14ac:dyDescent="0.3">
      <c r="C1270" t="s">
        <v>5626</v>
      </c>
    </row>
    <row r="1271" spans="3:3" customFormat="1" x14ac:dyDescent="0.3">
      <c r="C1271" t="s">
        <v>5628</v>
      </c>
    </row>
    <row r="1272" spans="3:3" customFormat="1" x14ac:dyDescent="0.3">
      <c r="C1272" t="s">
        <v>5629</v>
      </c>
    </row>
    <row r="1273" spans="3:3" customFormat="1" x14ac:dyDescent="0.3">
      <c r="C1273" t="s">
        <v>5631</v>
      </c>
    </row>
    <row r="1274" spans="3:3" customFormat="1" x14ac:dyDescent="0.3">
      <c r="C1274" t="s">
        <v>5632</v>
      </c>
    </row>
    <row r="1275" spans="3:3" customFormat="1" x14ac:dyDescent="0.3">
      <c r="C1275" t="s">
        <v>5634</v>
      </c>
    </row>
    <row r="1276" spans="3:3" customFormat="1" x14ac:dyDescent="0.3">
      <c r="C1276" t="s">
        <v>5635</v>
      </c>
    </row>
    <row r="1277" spans="3:3" customFormat="1" x14ac:dyDescent="0.3">
      <c r="C1277" t="s">
        <v>5637</v>
      </c>
    </row>
    <row r="1278" spans="3:3" customFormat="1" x14ac:dyDescent="0.3">
      <c r="C1278" t="s">
        <v>5638</v>
      </c>
    </row>
    <row r="1279" spans="3:3" customFormat="1" x14ac:dyDescent="0.3">
      <c r="C1279" t="s">
        <v>5640</v>
      </c>
    </row>
    <row r="1280" spans="3:3" customFormat="1" x14ac:dyDescent="0.3">
      <c r="C1280" t="s">
        <v>5641</v>
      </c>
    </row>
    <row r="1281" spans="3:3" customFormat="1" x14ac:dyDescent="0.3">
      <c r="C1281" t="s">
        <v>5643</v>
      </c>
    </row>
    <row r="1282" spans="3:3" customFormat="1" x14ac:dyDescent="0.3">
      <c r="C1282" t="s">
        <v>5644</v>
      </c>
    </row>
    <row r="1283" spans="3:3" customFormat="1" x14ac:dyDescent="0.3">
      <c r="C1283" t="s">
        <v>5646</v>
      </c>
    </row>
    <row r="1284" spans="3:3" customFormat="1" x14ac:dyDescent="0.3">
      <c r="C1284" t="s">
        <v>5647</v>
      </c>
    </row>
    <row r="1285" spans="3:3" customFormat="1" x14ac:dyDescent="0.3">
      <c r="C1285" t="s">
        <v>5649</v>
      </c>
    </row>
    <row r="1286" spans="3:3" customFormat="1" x14ac:dyDescent="0.3">
      <c r="C1286" t="s">
        <v>5650</v>
      </c>
    </row>
    <row r="1287" spans="3:3" customFormat="1" x14ac:dyDescent="0.3">
      <c r="C1287" t="s">
        <v>5652</v>
      </c>
    </row>
    <row r="1288" spans="3:3" customFormat="1" x14ac:dyDescent="0.3">
      <c r="C1288" t="s">
        <v>5653</v>
      </c>
    </row>
    <row r="1289" spans="3:3" customFormat="1" x14ac:dyDescent="0.3">
      <c r="C1289" t="s">
        <v>5655</v>
      </c>
    </row>
    <row r="1290" spans="3:3" customFormat="1" x14ac:dyDescent="0.3">
      <c r="C1290" t="s">
        <v>5656</v>
      </c>
    </row>
    <row r="1291" spans="3:3" customFormat="1" x14ac:dyDescent="0.3">
      <c r="C1291" t="s">
        <v>5658</v>
      </c>
    </row>
    <row r="1292" spans="3:3" customFormat="1" x14ac:dyDescent="0.3">
      <c r="C1292" t="s">
        <v>5659</v>
      </c>
    </row>
    <row r="1293" spans="3:3" customFormat="1" x14ac:dyDescent="0.3">
      <c r="C1293" t="s">
        <v>5661</v>
      </c>
    </row>
    <row r="1294" spans="3:3" customFormat="1" x14ac:dyDescent="0.3">
      <c r="C1294" t="s">
        <v>5662</v>
      </c>
    </row>
    <row r="1295" spans="3:3" customFormat="1" x14ac:dyDescent="0.3">
      <c r="C1295" t="s">
        <v>5664</v>
      </c>
    </row>
    <row r="1296" spans="3:3" customFormat="1" x14ac:dyDescent="0.3">
      <c r="C1296" t="s">
        <v>5665</v>
      </c>
    </row>
    <row r="1297" spans="3:3" customFormat="1" x14ac:dyDescent="0.3">
      <c r="C1297" t="s">
        <v>5667</v>
      </c>
    </row>
    <row r="1298" spans="3:3" customFormat="1" x14ac:dyDescent="0.3">
      <c r="C1298" t="s">
        <v>5668</v>
      </c>
    </row>
    <row r="1299" spans="3:3" customFormat="1" x14ac:dyDescent="0.3">
      <c r="C1299" t="s">
        <v>5670</v>
      </c>
    </row>
    <row r="1300" spans="3:3" customFormat="1" x14ac:dyDescent="0.3">
      <c r="C1300" t="s">
        <v>5671</v>
      </c>
    </row>
    <row r="1301" spans="3:3" customFormat="1" x14ac:dyDescent="0.3">
      <c r="C1301" t="s">
        <v>5673</v>
      </c>
    </row>
    <row r="1302" spans="3:3" customFormat="1" x14ac:dyDescent="0.3">
      <c r="C1302" t="s">
        <v>5674</v>
      </c>
    </row>
    <row r="1303" spans="3:3" customFormat="1" x14ac:dyDescent="0.3">
      <c r="C1303" t="s">
        <v>5676</v>
      </c>
    </row>
    <row r="1304" spans="3:3" customFormat="1" x14ac:dyDescent="0.3">
      <c r="C1304" t="s">
        <v>5677</v>
      </c>
    </row>
    <row r="1305" spans="3:3" customFormat="1" x14ac:dyDescent="0.3">
      <c r="C1305" t="s">
        <v>5679</v>
      </c>
    </row>
    <row r="1306" spans="3:3" customFormat="1" x14ac:dyDescent="0.3">
      <c r="C1306" t="s">
        <v>5680</v>
      </c>
    </row>
    <row r="1307" spans="3:3" customFormat="1" x14ac:dyDescent="0.3">
      <c r="C1307" t="s">
        <v>5682</v>
      </c>
    </row>
    <row r="1308" spans="3:3" customFormat="1" x14ac:dyDescent="0.3">
      <c r="C1308" t="s">
        <v>5683</v>
      </c>
    </row>
    <row r="1309" spans="3:3" customFormat="1" x14ac:dyDescent="0.3">
      <c r="C1309" t="s">
        <v>5685</v>
      </c>
    </row>
    <row r="1310" spans="3:3" customFormat="1" x14ac:dyDescent="0.3">
      <c r="C1310" t="s">
        <v>5686</v>
      </c>
    </row>
    <row r="1311" spans="3:3" customFormat="1" x14ac:dyDescent="0.3">
      <c r="C1311" t="s">
        <v>5688</v>
      </c>
    </row>
    <row r="1312" spans="3:3" customFormat="1" x14ac:dyDescent="0.3">
      <c r="C1312" t="s">
        <v>5689</v>
      </c>
    </row>
    <row r="1313" spans="3:3" customFormat="1" x14ac:dyDescent="0.3">
      <c r="C1313" t="s">
        <v>5691</v>
      </c>
    </row>
    <row r="1314" spans="3:3" customFormat="1" x14ac:dyDescent="0.3">
      <c r="C1314" t="s">
        <v>5692</v>
      </c>
    </row>
    <row r="1315" spans="3:3" customFormat="1" x14ac:dyDescent="0.3">
      <c r="C1315" t="s">
        <v>5694</v>
      </c>
    </row>
    <row r="1316" spans="3:3" customFormat="1" x14ac:dyDescent="0.3">
      <c r="C1316" t="s">
        <v>5695</v>
      </c>
    </row>
    <row r="1317" spans="3:3" customFormat="1" x14ac:dyDescent="0.3">
      <c r="C1317" t="s">
        <v>5697</v>
      </c>
    </row>
    <row r="1318" spans="3:3" customFormat="1" x14ac:dyDescent="0.3">
      <c r="C1318" t="s">
        <v>5698</v>
      </c>
    </row>
    <row r="1319" spans="3:3" customFormat="1" x14ac:dyDescent="0.3">
      <c r="C1319" t="s">
        <v>5700</v>
      </c>
    </row>
    <row r="1320" spans="3:3" customFormat="1" x14ac:dyDescent="0.3">
      <c r="C1320" t="s">
        <v>5701</v>
      </c>
    </row>
    <row r="1321" spans="3:3" customFormat="1" x14ac:dyDescent="0.3">
      <c r="C1321" t="s">
        <v>5703</v>
      </c>
    </row>
    <row r="1322" spans="3:3" customFormat="1" x14ac:dyDescent="0.3">
      <c r="C1322" t="s">
        <v>5704</v>
      </c>
    </row>
    <row r="1323" spans="3:3" customFormat="1" x14ac:dyDescent="0.3">
      <c r="C1323" t="s">
        <v>5706</v>
      </c>
    </row>
    <row r="1324" spans="3:3" customFormat="1" x14ac:dyDescent="0.3">
      <c r="C1324" t="s">
        <v>5707</v>
      </c>
    </row>
    <row r="1325" spans="3:3" customFormat="1" x14ac:dyDescent="0.3">
      <c r="C1325" t="s">
        <v>5709</v>
      </c>
    </row>
    <row r="1326" spans="3:3" customFormat="1" x14ac:dyDescent="0.3">
      <c r="C1326" t="s">
        <v>5710</v>
      </c>
    </row>
    <row r="1327" spans="3:3" customFormat="1" x14ac:dyDescent="0.3">
      <c r="C1327" t="s">
        <v>5712</v>
      </c>
    </row>
    <row r="1328" spans="3:3" customFormat="1" x14ac:dyDescent="0.3">
      <c r="C1328" t="s">
        <v>5713</v>
      </c>
    </row>
    <row r="1329" spans="3:3" customFormat="1" x14ac:dyDescent="0.3">
      <c r="C1329" t="s">
        <v>5715</v>
      </c>
    </row>
    <row r="1330" spans="3:3" customFormat="1" x14ac:dyDescent="0.3">
      <c r="C1330" t="s">
        <v>5716</v>
      </c>
    </row>
    <row r="1331" spans="3:3" customFormat="1" x14ac:dyDescent="0.3">
      <c r="C1331" t="s">
        <v>5718</v>
      </c>
    </row>
    <row r="1332" spans="3:3" customFormat="1" x14ac:dyDescent="0.3">
      <c r="C1332" t="s">
        <v>5719</v>
      </c>
    </row>
    <row r="1333" spans="3:3" customFormat="1" x14ac:dyDescent="0.3">
      <c r="C1333" t="s">
        <v>5721</v>
      </c>
    </row>
    <row r="1334" spans="3:3" customFormat="1" x14ac:dyDescent="0.3">
      <c r="C1334" t="s">
        <v>5722</v>
      </c>
    </row>
    <row r="1335" spans="3:3" customFormat="1" x14ac:dyDescent="0.3">
      <c r="C1335" t="s">
        <v>5724</v>
      </c>
    </row>
    <row r="1336" spans="3:3" customFormat="1" x14ac:dyDescent="0.3">
      <c r="C1336" t="s">
        <v>5725</v>
      </c>
    </row>
    <row r="1337" spans="3:3" customFormat="1" x14ac:dyDescent="0.3">
      <c r="C1337" t="s">
        <v>5727</v>
      </c>
    </row>
    <row r="1338" spans="3:3" customFormat="1" x14ac:dyDescent="0.3">
      <c r="C1338" t="s">
        <v>5728</v>
      </c>
    </row>
    <row r="1339" spans="3:3" customFormat="1" x14ac:dyDescent="0.3">
      <c r="C1339" t="s">
        <v>5730</v>
      </c>
    </row>
    <row r="1340" spans="3:3" customFormat="1" x14ac:dyDescent="0.3">
      <c r="C1340" t="s">
        <v>5731</v>
      </c>
    </row>
    <row r="1341" spans="3:3" customFormat="1" x14ac:dyDescent="0.3">
      <c r="C1341" t="s">
        <v>5733</v>
      </c>
    </row>
    <row r="1342" spans="3:3" customFormat="1" x14ac:dyDescent="0.3">
      <c r="C1342" t="s">
        <v>5734</v>
      </c>
    </row>
    <row r="1343" spans="3:3" customFormat="1" x14ac:dyDescent="0.3">
      <c r="C1343" t="s">
        <v>5736</v>
      </c>
    </row>
    <row r="1344" spans="3:3" customFormat="1" x14ac:dyDescent="0.3">
      <c r="C1344" t="s">
        <v>5737</v>
      </c>
    </row>
    <row r="1345" spans="3:3" customFormat="1" x14ac:dyDescent="0.3">
      <c r="C1345" t="s">
        <v>5739</v>
      </c>
    </row>
    <row r="1346" spans="3:3" customFormat="1" x14ac:dyDescent="0.3">
      <c r="C1346" t="s">
        <v>5740</v>
      </c>
    </row>
    <row r="1347" spans="3:3" customFormat="1" x14ac:dyDescent="0.3">
      <c r="C1347" t="s">
        <v>5742</v>
      </c>
    </row>
    <row r="1348" spans="3:3" customFormat="1" x14ac:dyDescent="0.3">
      <c r="C1348" t="s">
        <v>5743</v>
      </c>
    </row>
    <row r="1349" spans="3:3" customFormat="1" x14ac:dyDescent="0.3">
      <c r="C1349" t="s">
        <v>5745</v>
      </c>
    </row>
    <row r="1350" spans="3:3" customFormat="1" x14ac:dyDescent="0.3">
      <c r="C1350" t="s">
        <v>5746</v>
      </c>
    </row>
    <row r="1351" spans="3:3" customFormat="1" x14ac:dyDescent="0.3">
      <c r="C1351" t="s">
        <v>5748</v>
      </c>
    </row>
    <row r="1352" spans="3:3" customFormat="1" x14ac:dyDescent="0.3">
      <c r="C1352" t="s">
        <v>5749</v>
      </c>
    </row>
    <row r="1353" spans="3:3" customFormat="1" x14ac:dyDescent="0.3">
      <c r="C1353" t="s">
        <v>5751</v>
      </c>
    </row>
    <row r="1354" spans="3:3" customFormat="1" x14ac:dyDescent="0.3">
      <c r="C1354" t="s">
        <v>5752</v>
      </c>
    </row>
    <row r="1355" spans="3:3" customFormat="1" x14ac:dyDescent="0.3">
      <c r="C1355" t="s">
        <v>5754</v>
      </c>
    </row>
    <row r="1356" spans="3:3" customFormat="1" x14ac:dyDescent="0.3">
      <c r="C1356" t="s">
        <v>5755</v>
      </c>
    </row>
    <row r="1357" spans="3:3" customFormat="1" x14ac:dyDescent="0.3">
      <c r="C1357" t="s">
        <v>5757</v>
      </c>
    </row>
    <row r="1358" spans="3:3" customFormat="1" x14ac:dyDescent="0.3">
      <c r="C1358" t="s">
        <v>5758</v>
      </c>
    </row>
    <row r="1359" spans="3:3" customFormat="1" x14ac:dyDescent="0.3">
      <c r="C1359" t="s">
        <v>5760</v>
      </c>
    </row>
    <row r="1360" spans="3:3" customFormat="1" x14ac:dyDescent="0.3">
      <c r="C1360" t="s">
        <v>5761</v>
      </c>
    </row>
    <row r="1361" spans="3:3" customFormat="1" x14ac:dyDescent="0.3">
      <c r="C1361" t="s">
        <v>5763</v>
      </c>
    </row>
    <row r="1362" spans="3:3" customFormat="1" x14ac:dyDescent="0.3">
      <c r="C1362" t="s">
        <v>5764</v>
      </c>
    </row>
    <row r="1363" spans="3:3" customFormat="1" x14ac:dyDescent="0.3">
      <c r="C1363" t="s">
        <v>5766</v>
      </c>
    </row>
    <row r="1364" spans="3:3" customFormat="1" x14ac:dyDescent="0.3">
      <c r="C1364" t="s">
        <v>5767</v>
      </c>
    </row>
    <row r="1365" spans="3:3" customFormat="1" x14ac:dyDescent="0.3">
      <c r="C1365" t="s">
        <v>5769</v>
      </c>
    </row>
    <row r="1366" spans="3:3" customFormat="1" x14ac:dyDescent="0.3">
      <c r="C1366" t="s">
        <v>5770</v>
      </c>
    </row>
    <row r="1367" spans="3:3" customFormat="1" x14ac:dyDescent="0.3">
      <c r="C1367" t="s">
        <v>5772</v>
      </c>
    </row>
    <row r="1368" spans="3:3" customFormat="1" x14ac:dyDescent="0.3">
      <c r="C1368" t="s">
        <v>5773</v>
      </c>
    </row>
    <row r="1369" spans="3:3" customFormat="1" x14ac:dyDescent="0.3">
      <c r="C1369" t="s">
        <v>5775</v>
      </c>
    </row>
    <row r="1370" spans="3:3" customFormat="1" x14ac:dyDescent="0.3">
      <c r="C1370" t="s">
        <v>5776</v>
      </c>
    </row>
    <row r="1371" spans="3:3" customFormat="1" x14ac:dyDescent="0.3">
      <c r="C1371" t="s">
        <v>5778</v>
      </c>
    </row>
    <row r="1372" spans="3:3" customFormat="1" x14ac:dyDescent="0.3">
      <c r="C1372" t="s">
        <v>5779</v>
      </c>
    </row>
    <row r="1373" spans="3:3" customFormat="1" x14ac:dyDescent="0.3">
      <c r="C1373" t="s">
        <v>5781</v>
      </c>
    </row>
    <row r="1374" spans="3:3" customFormat="1" x14ac:dyDescent="0.3">
      <c r="C1374" t="s">
        <v>5782</v>
      </c>
    </row>
    <row r="1375" spans="3:3" customFormat="1" x14ac:dyDescent="0.3">
      <c r="C1375" t="s">
        <v>5784</v>
      </c>
    </row>
    <row r="1376" spans="3:3" customFormat="1" x14ac:dyDescent="0.3">
      <c r="C1376" t="s">
        <v>5785</v>
      </c>
    </row>
    <row r="1377" spans="3:3" customFormat="1" x14ac:dyDescent="0.3">
      <c r="C1377" t="s">
        <v>5787</v>
      </c>
    </row>
    <row r="1378" spans="3:3" customFormat="1" x14ac:dyDescent="0.3">
      <c r="C1378" t="s">
        <v>5788</v>
      </c>
    </row>
    <row r="1379" spans="3:3" customFormat="1" x14ac:dyDescent="0.3">
      <c r="C1379" t="s">
        <v>5790</v>
      </c>
    </row>
    <row r="1380" spans="3:3" customFormat="1" x14ac:dyDescent="0.3">
      <c r="C1380" t="s">
        <v>5791</v>
      </c>
    </row>
    <row r="1381" spans="3:3" customFormat="1" x14ac:dyDescent="0.3">
      <c r="C1381" t="s">
        <v>5793</v>
      </c>
    </row>
    <row r="1382" spans="3:3" customFormat="1" x14ac:dyDescent="0.3">
      <c r="C1382" t="s">
        <v>5794</v>
      </c>
    </row>
    <row r="1383" spans="3:3" customFormat="1" x14ac:dyDescent="0.3">
      <c r="C1383" t="s">
        <v>5796</v>
      </c>
    </row>
    <row r="1384" spans="3:3" customFormat="1" x14ac:dyDescent="0.3">
      <c r="C1384" t="s">
        <v>5797</v>
      </c>
    </row>
    <row r="1385" spans="3:3" customFormat="1" x14ac:dyDescent="0.3">
      <c r="C1385" t="s">
        <v>5799</v>
      </c>
    </row>
    <row r="1386" spans="3:3" customFormat="1" x14ac:dyDescent="0.3">
      <c r="C1386" t="s">
        <v>5800</v>
      </c>
    </row>
    <row r="1387" spans="3:3" customFormat="1" x14ac:dyDescent="0.3">
      <c r="C1387" t="s">
        <v>5802</v>
      </c>
    </row>
    <row r="1388" spans="3:3" customFormat="1" x14ac:dyDescent="0.3">
      <c r="C1388" t="s">
        <v>5803</v>
      </c>
    </row>
    <row r="1389" spans="3:3" customFormat="1" x14ac:dyDescent="0.3">
      <c r="C1389" t="s">
        <v>5805</v>
      </c>
    </row>
    <row r="1390" spans="3:3" customFormat="1" x14ac:dyDescent="0.3">
      <c r="C1390" t="s">
        <v>5806</v>
      </c>
    </row>
    <row r="1391" spans="3:3" customFormat="1" x14ac:dyDescent="0.3">
      <c r="C1391" t="s">
        <v>5808</v>
      </c>
    </row>
    <row r="1392" spans="3:3" customFormat="1" x14ac:dyDescent="0.3">
      <c r="C1392" t="s">
        <v>5809</v>
      </c>
    </row>
    <row r="1393" spans="3:3" customFormat="1" x14ac:dyDescent="0.3">
      <c r="C1393" t="s">
        <v>5811</v>
      </c>
    </row>
    <row r="1394" spans="3:3" customFormat="1" x14ac:dyDescent="0.3">
      <c r="C1394" t="s">
        <v>5812</v>
      </c>
    </row>
    <row r="1395" spans="3:3" customFormat="1" x14ac:dyDescent="0.3">
      <c r="C1395" t="s">
        <v>5814</v>
      </c>
    </row>
    <row r="1396" spans="3:3" customFormat="1" x14ac:dyDescent="0.3">
      <c r="C1396" t="s">
        <v>5815</v>
      </c>
    </row>
    <row r="1397" spans="3:3" customFormat="1" x14ac:dyDescent="0.3">
      <c r="C1397" t="s">
        <v>5817</v>
      </c>
    </row>
    <row r="1398" spans="3:3" customFormat="1" x14ac:dyDescent="0.3">
      <c r="C1398" t="s">
        <v>5818</v>
      </c>
    </row>
    <row r="1399" spans="3:3" customFormat="1" x14ac:dyDescent="0.3">
      <c r="C1399" t="s">
        <v>5820</v>
      </c>
    </row>
    <row r="1400" spans="3:3" customFormat="1" x14ac:dyDescent="0.3">
      <c r="C1400" t="s">
        <v>5821</v>
      </c>
    </row>
    <row r="1401" spans="3:3" customFormat="1" x14ac:dyDescent="0.3">
      <c r="C1401" t="s">
        <v>5823</v>
      </c>
    </row>
    <row r="1402" spans="3:3" customFormat="1" x14ac:dyDescent="0.3">
      <c r="C1402" t="s">
        <v>5824</v>
      </c>
    </row>
    <row r="1403" spans="3:3" customFormat="1" x14ac:dyDescent="0.3">
      <c r="C1403" t="s">
        <v>5826</v>
      </c>
    </row>
    <row r="1404" spans="3:3" customFormat="1" x14ac:dyDescent="0.3">
      <c r="C1404" t="s">
        <v>5827</v>
      </c>
    </row>
    <row r="1405" spans="3:3" customFormat="1" x14ac:dyDescent="0.3">
      <c r="C1405" t="s">
        <v>5829</v>
      </c>
    </row>
    <row r="1406" spans="3:3" customFormat="1" x14ac:dyDescent="0.3">
      <c r="C1406" t="s">
        <v>5830</v>
      </c>
    </row>
    <row r="1407" spans="3:3" customFormat="1" x14ac:dyDescent="0.3">
      <c r="C1407" t="s">
        <v>5832</v>
      </c>
    </row>
    <row r="1408" spans="3:3" customFormat="1" x14ac:dyDescent="0.3">
      <c r="C1408" t="s">
        <v>5833</v>
      </c>
    </row>
    <row r="1409" spans="3:3" customFormat="1" x14ac:dyDescent="0.3">
      <c r="C1409" t="s">
        <v>5835</v>
      </c>
    </row>
    <row r="1410" spans="3:3" customFormat="1" x14ac:dyDescent="0.3">
      <c r="C1410" t="s">
        <v>5836</v>
      </c>
    </row>
    <row r="1411" spans="3:3" customFormat="1" x14ac:dyDescent="0.3">
      <c r="C1411" t="s">
        <v>5838</v>
      </c>
    </row>
    <row r="1412" spans="3:3" customFormat="1" x14ac:dyDescent="0.3">
      <c r="C1412" t="s">
        <v>5839</v>
      </c>
    </row>
    <row r="1413" spans="3:3" customFormat="1" x14ac:dyDescent="0.3">
      <c r="C1413" t="s">
        <v>5841</v>
      </c>
    </row>
    <row r="1414" spans="3:3" customFormat="1" x14ac:dyDescent="0.3">
      <c r="C1414" t="s">
        <v>5842</v>
      </c>
    </row>
    <row r="1415" spans="3:3" customFormat="1" x14ac:dyDescent="0.3">
      <c r="C1415" t="s">
        <v>5844</v>
      </c>
    </row>
    <row r="1416" spans="3:3" customFormat="1" x14ac:dyDescent="0.3">
      <c r="C1416" t="s">
        <v>5845</v>
      </c>
    </row>
    <row r="1417" spans="3:3" customFormat="1" x14ac:dyDescent="0.3">
      <c r="C1417" t="s">
        <v>5847</v>
      </c>
    </row>
    <row r="1418" spans="3:3" customFormat="1" x14ac:dyDescent="0.3">
      <c r="C1418" t="s">
        <v>5848</v>
      </c>
    </row>
    <row r="1419" spans="3:3" customFormat="1" x14ac:dyDescent="0.3">
      <c r="C1419" t="s">
        <v>5850</v>
      </c>
    </row>
    <row r="1420" spans="3:3" customFormat="1" x14ac:dyDescent="0.3">
      <c r="C1420" t="s">
        <v>5851</v>
      </c>
    </row>
    <row r="1421" spans="3:3" customFormat="1" x14ac:dyDescent="0.3">
      <c r="C1421" t="s">
        <v>5853</v>
      </c>
    </row>
    <row r="1422" spans="3:3" customFormat="1" x14ac:dyDescent="0.3">
      <c r="C1422" t="s">
        <v>5854</v>
      </c>
    </row>
    <row r="1423" spans="3:3" customFormat="1" x14ac:dyDescent="0.3">
      <c r="C1423" t="s">
        <v>5856</v>
      </c>
    </row>
    <row r="1424" spans="3:3" customFormat="1" x14ac:dyDescent="0.3">
      <c r="C1424" t="s">
        <v>5857</v>
      </c>
    </row>
    <row r="1425" spans="3:3" customFormat="1" x14ac:dyDescent="0.3">
      <c r="C1425" t="s">
        <v>5859</v>
      </c>
    </row>
    <row r="1426" spans="3:3" customFormat="1" x14ac:dyDescent="0.3">
      <c r="C1426" t="s">
        <v>5860</v>
      </c>
    </row>
    <row r="1427" spans="3:3" customFormat="1" x14ac:dyDescent="0.3">
      <c r="C1427" t="s">
        <v>5862</v>
      </c>
    </row>
    <row r="1428" spans="3:3" customFormat="1" x14ac:dyDescent="0.3">
      <c r="C1428" t="s">
        <v>5863</v>
      </c>
    </row>
    <row r="1429" spans="3:3" customFormat="1" x14ac:dyDescent="0.3">
      <c r="C1429" t="s">
        <v>5865</v>
      </c>
    </row>
    <row r="1430" spans="3:3" customFormat="1" x14ac:dyDescent="0.3">
      <c r="C1430" t="s">
        <v>5866</v>
      </c>
    </row>
    <row r="1431" spans="3:3" customFormat="1" x14ac:dyDescent="0.3">
      <c r="C1431" t="s">
        <v>5868</v>
      </c>
    </row>
    <row r="1432" spans="3:3" customFormat="1" x14ac:dyDescent="0.3">
      <c r="C1432" t="s">
        <v>5869</v>
      </c>
    </row>
    <row r="1433" spans="3:3" customFormat="1" x14ac:dyDescent="0.3">
      <c r="C1433" t="s">
        <v>5871</v>
      </c>
    </row>
    <row r="1434" spans="3:3" customFormat="1" x14ac:dyDescent="0.3">
      <c r="C1434" t="s">
        <v>5872</v>
      </c>
    </row>
    <row r="1435" spans="3:3" customFormat="1" x14ac:dyDescent="0.3">
      <c r="C1435" t="s">
        <v>5874</v>
      </c>
    </row>
    <row r="1436" spans="3:3" customFormat="1" x14ac:dyDescent="0.3">
      <c r="C1436" t="s">
        <v>5875</v>
      </c>
    </row>
    <row r="1437" spans="3:3" customFormat="1" x14ac:dyDescent="0.3">
      <c r="C1437" t="s">
        <v>5877</v>
      </c>
    </row>
    <row r="1438" spans="3:3" customFormat="1" x14ac:dyDescent="0.3">
      <c r="C1438" t="s">
        <v>5878</v>
      </c>
    </row>
    <row r="1439" spans="3:3" customFormat="1" x14ac:dyDescent="0.3">
      <c r="C1439" t="s">
        <v>5880</v>
      </c>
    </row>
    <row r="1440" spans="3:3" customFormat="1" x14ac:dyDescent="0.3">
      <c r="C1440" t="s">
        <v>5881</v>
      </c>
    </row>
    <row r="1441" spans="3:3" customFormat="1" x14ac:dyDescent="0.3">
      <c r="C1441" t="s">
        <v>5883</v>
      </c>
    </row>
    <row r="1442" spans="3:3" customFormat="1" x14ac:dyDescent="0.3">
      <c r="C1442" t="s">
        <v>5884</v>
      </c>
    </row>
    <row r="1443" spans="3:3" customFormat="1" x14ac:dyDescent="0.3">
      <c r="C1443" t="s">
        <v>5886</v>
      </c>
    </row>
    <row r="1444" spans="3:3" customFormat="1" x14ac:dyDescent="0.3">
      <c r="C1444" t="s">
        <v>5887</v>
      </c>
    </row>
    <row r="1445" spans="3:3" customFormat="1" x14ac:dyDescent="0.3">
      <c r="C1445" t="s">
        <v>5889</v>
      </c>
    </row>
    <row r="1446" spans="3:3" customFormat="1" x14ac:dyDescent="0.3">
      <c r="C1446" t="s">
        <v>5890</v>
      </c>
    </row>
    <row r="1447" spans="3:3" customFormat="1" x14ac:dyDescent="0.3">
      <c r="C1447" t="s">
        <v>5892</v>
      </c>
    </row>
    <row r="1448" spans="3:3" customFormat="1" x14ac:dyDescent="0.3">
      <c r="C1448" t="s">
        <v>5893</v>
      </c>
    </row>
    <row r="1449" spans="3:3" customFormat="1" x14ac:dyDescent="0.3">
      <c r="C1449" t="s">
        <v>5895</v>
      </c>
    </row>
    <row r="1450" spans="3:3" customFormat="1" x14ac:dyDescent="0.3">
      <c r="C1450" t="s">
        <v>5896</v>
      </c>
    </row>
    <row r="1451" spans="3:3" customFormat="1" x14ac:dyDescent="0.3">
      <c r="C1451" t="s">
        <v>5898</v>
      </c>
    </row>
    <row r="1452" spans="3:3" customFormat="1" x14ac:dyDescent="0.3">
      <c r="C1452" t="s">
        <v>5899</v>
      </c>
    </row>
    <row r="1453" spans="3:3" customFormat="1" x14ac:dyDescent="0.3">
      <c r="C1453" t="s">
        <v>5901</v>
      </c>
    </row>
    <row r="1454" spans="3:3" customFormat="1" x14ac:dyDescent="0.3">
      <c r="C1454" t="s">
        <v>5902</v>
      </c>
    </row>
    <row r="1455" spans="3:3" customFormat="1" x14ac:dyDescent="0.3">
      <c r="C1455" t="s">
        <v>5904</v>
      </c>
    </row>
    <row r="1456" spans="3:3" customFormat="1" x14ac:dyDescent="0.3">
      <c r="C1456" t="s">
        <v>5905</v>
      </c>
    </row>
    <row r="1457" spans="3:3" customFormat="1" x14ac:dyDescent="0.3">
      <c r="C1457" t="s">
        <v>5907</v>
      </c>
    </row>
    <row r="1458" spans="3:3" customFormat="1" x14ac:dyDescent="0.3">
      <c r="C1458" t="s">
        <v>5908</v>
      </c>
    </row>
    <row r="1459" spans="3:3" customFormat="1" x14ac:dyDescent="0.3">
      <c r="C1459" t="s">
        <v>5910</v>
      </c>
    </row>
    <row r="1460" spans="3:3" customFormat="1" x14ac:dyDescent="0.3">
      <c r="C1460" t="s">
        <v>5911</v>
      </c>
    </row>
    <row r="1461" spans="3:3" customFormat="1" x14ac:dyDescent="0.3">
      <c r="C1461" t="s">
        <v>5913</v>
      </c>
    </row>
    <row r="1462" spans="3:3" customFormat="1" x14ac:dyDescent="0.3">
      <c r="C1462" t="s">
        <v>5914</v>
      </c>
    </row>
    <row r="1463" spans="3:3" customFormat="1" x14ac:dyDescent="0.3">
      <c r="C1463" t="s">
        <v>5916</v>
      </c>
    </row>
    <row r="1464" spans="3:3" customFormat="1" x14ac:dyDescent="0.3">
      <c r="C1464" t="s">
        <v>5917</v>
      </c>
    </row>
    <row r="1465" spans="3:3" customFormat="1" x14ac:dyDescent="0.3">
      <c r="C1465" t="s">
        <v>5919</v>
      </c>
    </row>
    <row r="1466" spans="3:3" customFormat="1" x14ac:dyDescent="0.3">
      <c r="C1466" t="s">
        <v>5920</v>
      </c>
    </row>
    <row r="1467" spans="3:3" customFormat="1" x14ac:dyDescent="0.3">
      <c r="C1467" t="s">
        <v>5922</v>
      </c>
    </row>
    <row r="1468" spans="3:3" customFormat="1" x14ac:dyDescent="0.3">
      <c r="C1468" t="s">
        <v>5923</v>
      </c>
    </row>
    <row r="1469" spans="3:3" customFormat="1" x14ac:dyDescent="0.3">
      <c r="C1469" t="s">
        <v>5925</v>
      </c>
    </row>
    <row r="1470" spans="3:3" customFormat="1" x14ac:dyDescent="0.3">
      <c r="C1470" t="s">
        <v>5926</v>
      </c>
    </row>
    <row r="1471" spans="3:3" customFormat="1" x14ac:dyDescent="0.3">
      <c r="C1471" t="s">
        <v>5928</v>
      </c>
    </row>
    <row r="1472" spans="3:3" customFormat="1" x14ac:dyDescent="0.3">
      <c r="C1472" t="s">
        <v>5929</v>
      </c>
    </row>
    <row r="1473" spans="3:3" customFormat="1" x14ac:dyDescent="0.3">
      <c r="C1473" t="s">
        <v>5931</v>
      </c>
    </row>
    <row r="1474" spans="3:3" customFormat="1" x14ac:dyDescent="0.3">
      <c r="C1474" t="s">
        <v>5932</v>
      </c>
    </row>
    <row r="1475" spans="3:3" customFormat="1" x14ac:dyDescent="0.3">
      <c r="C1475" t="s">
        <v>5934</v>
      </c>
    </row>
    <row r="1476" spans="3:3" customFormat="1" x14ac:dyDescent="0.3">
      <c r="C1476" t="s">
        <v>5935</v>
      </c>
    </row>
    <row r="1477" spans="3:3" customFormat="1" x14ac:dyDescent="0.3">
      <c r="C1477" t="s">
        <v>5937</v>
      </c>
    </row>
    <row r="1478" spans="3:3" customFormat="1" x14ac:dyDescent="0.3">
      <c r="C1478" t="s">
        <v>5938</v>
      </c>
    </row>
    <row r="1479" spans="3:3" customFormat="1" x14ac:dyDescent="0.3">
      <c r="C1479" t="s">
        <v>5940</v>
      </c>
    </row>
    <row r="1480" spans="3:3" customFormat="1" x14ac:dyDescent="0.3">
      <c r="C1480" t="s">
        <v>5941</v>
      </c>
    </row>
    <row r="1481" spans="3:3" customFormat="1" x14ac:dyDescent="0.3">
      <c r="C1481" t="s">
        <v>5943</v>
      </c>
    </row>
    <row r="1482" spans="3:3" customFormat="1" x14ac:dyDescent="0.3">
      <c r="C1482" t="s">
        <v>5944</v>
      </c>
    </row>
    <row r="1483" spans="3:3" customFormat="1" x14ac:dyDescent="0.3">
      <c r="C1483" t="s">
        <v>5946</v>
      </c>
    </row>
    <row r="1484" spans="3:3" customFormat="1" x14ac:dyDescent="0.3">
      <c r="C1484" t="s">
        <v>5947</v>
      </c>
    </row>
    <row r="1485" spans="3:3" customFormat="1" x14ac:dyDescent="0.3">
      <c r="C1485" t="s">
        <v>5949</v>
      </c>
    </row>
    <row r="1486" spans="3:3" customFormat="1" x14ac:dyDescent="0.3">
      <c r="C1486" t="s">
        <v>5950</v>
      </c>
    </row>
    <row r="1487" spans="3:3" customFormat="1" x14ac:dyDescent="0.3">
      <c r="C1487" t="s">
        <v>5952</v>
      </c>
    </row>
    <row r="1488" spans="3:3" customFormat="1" x14ac:dyDescent="0.3">
      <c r="C1488" t="s">
        <v>5953</v>
      </c>
    </row>
    <row r="1489" spans="3:3" customFormat="1" x14ac:dyDescent="0.3">
      <c r="C1489" t="s">
        <v>5955</v>
      </c>
    </row>
    <row r="1490" spans="3:3" customFormat="1" x14ac:dyDescent="0.3">
      <c r="C1490" t="s">
        <v>5956</v>
      </c>
    </row>
    <row r="1491" spans="3:3" customFormat="1" x14ac:dyDescent="0.3">
      <c r="C1491" t="s">
        <v>5958</v>
      </c>
    </row>
    <row r="1492" spans="3:3" customFormat="1" x14ac:dyDescent="0.3">
      <c r="C1492" t="s">
        <v>5959</v>
      </c>
    </row>
    <row r="1493" spans="3:3" customFormat="1" x14ac:dyDescent="0.3">
      <c r="C1493" t="s">
        <v>5961</v>
      </c>
    </row>
    <row r="1494" spans="3:3" customFormat="1" x14ac:dyDescent="0.3">
      <c r="C1494" t="s">
        <v>5962</v>
      </c>
    </row>
    <row r="1495" spans="3:3" customFormat="1" x14ac:dyDescent="0.3">
      <c r="C1495" t="s">
        <v>5964</v>
      </c>
    </row>
    <row r="1496" spans="3:3" customFormat="1" x14ac:dyDescent="0.3">
      <c r="C1496" t="s">
        <v>5965</v>
      </c>
    </row>
    <row r="1497" spans="3:3" customFormat="1" x14ac:dyDescent="0.3">
      <c r="C1497" t="s">
        <v>5967</v>
      </c>
    </row>
    <row r="1498" spans="3:3" customFormat="1" x14ac:dyDescent="0.3">
      <c r="C1498" t="s">
        <v>5968</v>
      </c>
    </row>
    <row r="1499" spans="3:3" customFormat="1" x14ac:dyDescent="0.3">
      <c r="C1499" t="s">
        <v>5970</v>
      </c>
    </row>
    <row r="1500" spans="3:3" customFormat="1" x14ac:dyDescent="0.3">
      <c r="C1500" t="s">
        <v>5971</v>
      </c>
    </row>
    <row r="1501" spans="3:3" customFormat="1" x14ac:dyDescent="0.3">
      <c r="C1501" t="s">
        <v>5973</v>
      </c>
    </row>
    <row r="1502" spans="3:3" customFormat="1" x14ac:dyDescent="0.3">
      <c r="C1502" t="s">
        <v>5974</v>
      </c>
    </row>
  </sheetData>
  <mergeCells count="4">
    <mergeCell ref="A1:B1"/>
    <mergeCell ref="C1:D1"/>
    <mergeCell ref="E1:F1"/>
    <mergeCell ref="G1:H1"/>
  </mergeCells>
  <pageMargins left="0.511811024" right="0.511811024" top="0.78740157499999996" bottom="0.78740157499999996" header="0.31496062000000002" footer="0.31496062000000002"/>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7"/>
  <dimension ref="A1:X1000"/>
  <sheetViews>
    <sheetView workbookViewId="0">
      <pane xSplit="1" ySplit="3" topLeftCell="J4" activePane="bottomRight" state="frozen"/>
      <selection pane="topRight" activeCell="B1" sqref="B1"/>
      <selection pane="bottomLeft" activeCell="A4" sqref="A4"/>
      <selection pane="bottomRight" activeCell="X598" sqref="X5:X598"/>
    </sheetView>
  </sheetViews>
  <sheetFormatPr defaultRowHeight="14.4" x14ac:dyDescent="0.3"/>
  <cols>
    <col min="1" max="1" width="18.6640625" customWidth="1"/>
    <col min="2" max="3" width="7.6640625" customWidth="1"/>
    <col min="4" max="5" width="18.6640625" customWidth="1"/>
    <col min="6" max="7" width="7.6640625" customWidth="1"/>
    <col min="8" max="9" width="18.6640625" customWidth="1"/>
    <col min="10" max="11" width="7.6640625" customWidth="1"/>
    <col min="12" max="13" width="18.6640625" customWidth="1"/>
    <col min="14" max="15" width="7.6640625" customWidth="1"/>
    <col min="16" max="17" width="18.6640625" customWidth="1"/>
    <col min="18" max="19" width="7.6640625" customWidth="1"/>
    <col min="20" max="21" width="18.6640625" customWidth="1"/>
    <col min="22" max="23" width="7.6640625" customWidth="1"/>
    <col min="24" max="24" width="18.6640625" customWidth="1"/>
    <col min="25" max="53" width="18.21875" customWidth="1"/>
  </cols>
  <sheetData>
    <row r="1" spans="1:24" x14ac:dyDescent="0.3">
      <c r="A1" s="145" t="s">
        <v>7241</v>
      </c>
      <c r="B1" s="145"/>
      <c r="C1" s="145"/>
      <c r="D1" s="145"/>
      <c r="E1" s="145" t="s">
        <v>7241</v>
      </c>
      <c r="F1" s="145"/>
      <c r="G1" s="145"/>
      <c r="H1" s="145"/>
      <c r="I1" s="145" t="s">
        <v>7241</v>
      </c>
      <c r="J1" s="145"/>
      <c r="K1" s="145"/>
      <c r="L1" s="145"/>
      <c r="M1" s="145" t="s">
        <v>7241</v>
      </c>
      <c r="N1" s="145"/>
      <c r="O1" s="145"/>
      <c r="P1" s="145"/>
      <c r="Q1" s="145" t="s">
        <v>7241</v>
      </c>
      <c r="R1" s="145"/>
      <c r="S1" s="145"/>
      <c r="T1" s="145"/>
      <c r="U1" s="145" t="s">
        <v>7241</v>
      </c>
      <c r="V1" s="145"/>
      <c r="W1" s="145"/>
      <c r="X1" s="145"/>
    </row>
    <row r="2" spans="1:24" x14ac:dyDescent="0.3">
      <c r="A2" s="150" t="s">
        <v>7242</v>
      </c>
      <c r="B2" s="151"/>
      <c r="C2" s="145" t="s">
        <v>7243</v>
      </c>
      <c r="D2" s="145"/>
      <c r="E2" s="150" t="s">
        <v>7242</v>
      </c>
      <c r="F2" s="151"/>
      <c r="G2" s="145" t="s">
        <v>7243</v>
      </c>
      <c r="H2" s="145"/>
      <c r="I2" s="150" t="s">
        <v>7242</v>
      </c>
      <c r="J2" s="151"/>
      <c r="K2" s="145" t="s">
        <v>7243</v>
      </c>
      <c r="L2" s="145"/>
      <c r="M2" s="150" t="s">
        <v>7242</v>
      </c>
      <c r="N2" s="151"/>
      <c r="O2" s="145" t="s">
        <v>7243</v>
      </c>
      <c r="P2" s="151"/>
      <c r="Q2" s="150" t="s">
        <v>7242</v>
      </c>
      <c r="R2" s="151"/>
      <c r="S2" s="145" t="s">
        <v>7243</v>
      </c>
      <c r="T2" s="145"/>
      <c r="U2" s="150" t="s">
        <v>7242</v>
      </c>
      <c r="V2" s="151"/>
      <c r="W2" s="145" t="s">
        <v>7243</v>
      </c>
      <c r="X2" s="145"/>
    </row>
    <row r="3" spans="1:24" x14ac:dyDescent="0.3">
      <c r="A3" s="150" t="s">
        <v>7244</v>
      </c>
      <c r="B3" s="151"/>
      <c r="C3" s="145" t="s">
        <v>7245</v>
      </c>
      <c r="D3" s="145"/>
      <c r="E3" s="150" t="s">
        <v>7282</v>
      </c>
      <c r="F3" s="151"/>
      <c r="G3" s="145" t="s">
        <v>7283</v>
      </c>
      <c r="H3" s="145"/>
      <c r="I3" s="150" t="s">
        <v>7320</v>
      </c>
      <c r="J3" s="151"/>
      <c r="K3" s="145" t="s">
        <v>7321</v>
      </c>
      <c r="L3" s="145"/>
      <c r="M3" s="150" t="s">
        <v>7358</v>
      </c>
      <c r="N3" s="151"/>
      <c r="O3" s="145" t="s">
        <v>7359</v>
      </c>
      <c r="P3" s="151"/>
      <c r="Q3" s="150" t="s">
        <v>7396</v>
      </c>
      <c r="R3" s="151"/>
      <c r="S3" s="145" t="s">
        <v>7397</v>
      </c>
      <c r="T3" s="145"/>
      <c r="U3" s="150" t="s">
        <v>7434</v>
      </c>
      <c r="V3" s="151"/>
      <c r="W3" s="145" t="s">
        <v>7435</v>
      </c>
      <c r="X3" s="145"/>
    </row>
    <row r="4" spans="1:24" x14ac:dyDescent="0.3">
      <c r="A4" s="126" t="s">
        <v>961</v>
      </c>
      <c r="B4" s="127" t="s">
        <v>962</v>
      </c>
      <c r="C4" s="66" t="s">
        <v>961</v>
      </c>
      <c r="D4" s="66" t="s">
        <v>962</v>
      </c>
      <c r="E4" s="126" t="s">
        <v>961</v>
      </c>
      <c r="F4" s="127" t="s">
        <v>962</v>
      </c>
      <c r="G4" s="66" t="s">
        <v>961</v>
      </c>
      <c r="H4" s="66" t="s">
        <v>962</v>
      </c>
      <c r="I4" s="126" t="s">
        <v>961</v>
      </c>
      <c r="J4" s="127" t="s">
        <v>962</v>
      </c>
      <c r="K4" s="66" t="s">
        <v>961</v>
      </c>
      <c r="L4" s="66" t="s">
        <v>962</v>
      </c>
      <c r="M4" s="126" t="s">
        <v>961</v>
      </c>
      <c r="N4" s="127" t="s">
        <v>962</v>
      </c>
      <c r="O4" s="66" t="s">
        <v>961</v>
      </c>
      <c r="P4" s="66" t="s">
        <v>962</v>
      </c>
      <c r="Q4" s="126" t="s">
        <v>961</v>
      </c>
      <c r="R4" s="127" t="s">
        <v>962</v>
      </c>
      <c r="S4" s="66" t="s">
        <v>961</v>
      </c>
      <c r="T4" s="66" t="s">
        <v>962</v>
      </c>
      <c r="U4" s="126" t="s">
        <v>961</v>
      </c>
      <c r="V4" s="127" t="s">
        <v>962</v>
      </c>
      <c r="W4" s="66" t="s">
        <v>961</v>
      </c>
      <c r="X4" s="66" t="s">
        <v>962</v>
      </c>
    </row>
    <row r="5" spans="1:24" x14ac:dyDescent="0.3">
      <c r="A5" s="118" t="s">
        <v>7246</v>
      </c>
      <c r="B5" s="119"/>
      <c r="D5" t="s">
        <v>7252</v>
      </c>
      <c r="E5" s="118" t="s">
        <v>7284</v>
      </c>
      <c r="F5" s="119"/>
      <c r="H5" t="s">
        <v>7290</v>
      </c>
      <c r="I5" s="118" t="s">
        <v>7322</v>
      </c>
      <c r="J5" s="119"/>
      <c r="L5" t="s">
        <v>7328</v>
      </c>
      <c r="M5" s="118" t="s">
        <v>7360</v>
      </c>
      <c r="N5" s="119"/>
      <c r="P5" t="s">
        <v>7366</v>
      </c>
      <c r="Q5" s="118" t="s">
        <v>7398</v>
      </c>
      <c r="R5" s="119"/>
      <c r="T5" t="s">
        <v>7404</v>
      </c>
      <c r="U5" s="118" t="s">
        <v>7436</v>
      </c>
      <c r="V5" s="119"/>
      <c r="X5" t="s">
        <v>7442</v>
      </c>
    </row>
    <row r="6" spans="1:24" x14ac:dyDescent="0.3">
      <c r="A6" s="118" t="s">
        <v>7247</v>
      </c>
      <c r="B6" s="119"/>
      <c r="D6" t="s">
        <v>7253</v>
      </c>
      <c r="E6" s="118" t="s">
        <v>7285</v>
      </c>
      <c r="F6" s="119"/>
      <c r="H6" t="s">
        <v>7291</v>
      </c>
      <c r="I6" s="118" t="s">
        <v>7323</v>
      </c>
      <c r="J6" s="119"/>
      <c r="L6" t="s">
        <v>7329</v>
      </c>
      <c r="M6" s="118" t="s">
        <v>7361</v>
      </c>
      <c r="N6" s="119"/>
      <c r="P6" t="s">
        <v>7367</v>
      </c>
      <c r="Q6" s="118" t="s">
        <v>7399</v>
      </c>
      <c r="R6" s="119"/>
      <c r="T6" t="s">
        <v>7405</v>
      </c>
      <c r="U6" s="118" t="s">
        <v>7437</v>
      </c>
      <c r="V6" s="119"/>
      <c r="X6" t="s">
        <v>7443</v>
      </c>
    </row>
    <row r="7" spans="1:24" x14ac:dyDescent="0.3">
      <c r="A7" s="118" t="s">
        <v>7258</v>
      </c>
      <c r="B7" s="119"/>
      <c r="D7" t="s">
        <v>7264</v>
      </c>
      <c r="E7" s="118" t="s">
        <v>7296</v>
      </c>
      <c r="F7" s="119"/>
      <c r="H7" t="s">
        <v>7302</v>
      </c>
      <c r="I7" s="118" t="s">
        <v>7334</v>
      </c>
      <c r="J7" s="119"/>
      <c r="L7" t="s">
        <v>7340</v>
      </c>
      <c r="M7" s="118" t="s">
        <v>7372</v>
      </c>
      <c r="N7" s="119"/>
      <c r="P7" t="s">
        <v>7378</v>
      </c>
      <c r="Q7" s="118" t="s">
        <v>7410</v>
      </c>
      <c r="R7" s="119"/>
      <c r="T7" t="s">
        <v>7416</v>
      </c>
      <c r="U7" s="118" t="s">
        <v>7448</v>
      </c>
      <c r="V7" s="119"/>
      <c r="X7" t="s">
        <v>7454</v>
      </c>
    </row>
    <row r="8" spans="1:24" x14ac:dyDescent="0.3">
      <c r="A8" s="118" t="s">
        <v>7259</v>
      </c>
      <c r="B8" s="119"/>
      <c r="D8" t="s">
        <v>7265</v>
      </c>
      <c r="E8" s="118" t="s">
        <v>7297</v>
      </c>
      <c r="F8" s="119"/>
      <c r="H8" t="s">
        <v>7303</v>
      </c>
      <c r="I8" s="118" t="s">
        <v>7335</v>
      </c>
      <c r="J8" s="119"/>
      <c r="L8" t="s">
        <v>7341</v>
      </c>
      <c r="M8" s="118" t="s">
        <v>7373</v>
      </c>
      <c r="N8" s="119"/>
      <c r="P8" t="s">
        <v>7379</v>
      </c>
      <c r="Q8" s="118" t="s">
        <v>7411</v>
      </c>
      <c r="R8" s="119"/>
      <c r="T8" t="s">
        <v>7417</v>
      </c>
      <c r="U8" s="118" t="s">
        <v>7449</v>
      </c>
      <c r="V8" s="119"/>
      <c r="X8" t="s">
        <v>7455</v>
      </c>
    </row>
    <row r="9" spans="1:24" x14ac:dyDescent="0.3">
      <c r="A9" s="118" t="s">
        <v>7270</v>
      </c>
      <c r="B9" s="119"/>
      <c r="D9" t="s">
        <v>7276</v>
      </c>
      <c r="E9" s="118" t="s">
        <v>7308</v>
      </c>
      <c r="F9" s="119"/>
      <c r="H9" t="s">
        <v>7314</v>
      </c>
      <c r="I9" s="118" t="s">
        <v>7346</v>
      </c>
      <c r="J9" s="119"/>
      <c r="L9" t="s">
        <v>7352</v>
      </c>
      <c r="M9" s="118" t="s">
        <v>7384</v>
      </c>
      <c r="N9" s="119"/>
      <c r="P9" t="s">
        <v>7390</v>
      </c>
      <c r="Q9" s="118" t="s">
        <v>7422</v>
      </c>
      <c r="R9" s="119"/>
      <c r="T9" t="s">
        <v>7428</v>
      </c>
      <c r="U9" s="118" t="s">
        <v>7460</v>
      </c>
      <c r="V9" s="119"/>
      <c r="X9" t="s">
        <v>7466</v>
      </c>
    </row>
    <row r="10" spans="1:24" x14ac:dyDescent="0.3">
      <c r="A10" s="118" t="s">
        <v>7271</v>
      </c>
      <c r="B10" s="119"/>
      <c r="D10" t="s">
        <v>7277</v>
      </c>
      <c r="E10" s="118" t="s">
        <v>7309</v>
      </c>
      <c r="F10" s="119"/>
      <c r="H10" t="s">
        <v>7315</v>
      </c>
      <c r="I10" s="118" t="s">
        <v>7347</v>
      </c>
      <c r="J10" s="119"/>
      <c r="L10" t="s">
        <v>7353</v>
      </c>
      <c r="M10" s="118" t="s">
        <v>7385</v>
      </c>
      <c r="N10" s="119"/>
      <c r="P10" t="s">
        <v>7391</v>
      </c>
      <c r="Q10" s="118" t="s">
        <v>7423</v>
      </c>
      <c r="R10" s="119"/>
      <c r="T10" t="s">
        <v>7429</v>
      </c>
      <c r="U10" s="118" t="s">
        <v>7461</v>
      </c>
      <c r="V10" s="119"/>
      <c r="X10" t="s">
        <v>7467</v>
      </c>
    </row>
    <row r="11" spans="1:24" x14ac:dyDescent="0.3">
      <c r="A11" s="118" t="s">
        <v>7472</v>
      </c>
      <c r="B11" s="119"/>
      <c r="D11" t="s">
        <v>7478</v>
      </c>
      <c r="E11" s="118" t="s">
        <v>7508</v>
      </c>
      <c r="F11" s="119"/>
      <c r="H11" t="s">
        <v>7514</v>
      </c>
      <c r="I11" s="118" t="s">
        <v>7544</v>
      </c>
      <c r="J11" s="119"/>
      <c r="L11" t="s">
        <v>7550</v>
      </c>
      <c r="M11" s="118" t="s">
        <v>7580</v>
      </c>
      <c r="N11" s="119"/>
      <c r="P11" t="s">
        <v>7586</v>
      </c>
      <c r="Q11" s="118" t="s">
        <v>7616</v>
      </c>
      <c r="R11" s="119"/>
      <c r="T11" t="s">
        <v>7622</v>
      </c>
      <c r="U11" s="118" t="s">
        <v>7652</v>
      </c>
      <c r="V11" s="119"/>
      <c r="X11" t="s">
        <v>7658</v>
      </c>
    </row>
    <row r="12" spans="1:24" x14ac:dyDescent="0.3">
      <c r="A12" s="118" t="s">
        <v>7473</v>
      </c>
      <c r="B12" s="119"/>
      <c r="D12" t="s">
        <v>7479</v>
      </c>
      <c r="E12" s="118" t="s">
        <v>7509</v>
      </c>
      <c r="F12" s="119"/>
      <c r="H12" t="s">
        <v>7515</v>
      </c>
      <c r="I12" s="118" t="s">
        <v>7545</v>
      </c>
      <c r="J12" s="119"/>
      <c r="L12" t="s">
        <v>7551</v>
      </c>
      <c r="M12" s="118" t="s">
        <v>7581</v>
      </c>
      <c r="N12" s="119"/>
      <c r="P12" t="s">
        <v>7587</v>
      </c>
      <c r="Q12" s="118" t="s">
        <v>7617</v>
      </c>
      <c r="R12" s="119"/>
      <c r="T12" t="s">
        <v>7623</v>
      </c>
      <c r="U12" s="118" t="s">
        <v>7653</v>
      </c>
      <c r="V12" s="119"/>
      <c r="X12" t="s">
        <v>7659</v>
      </c>
    </row>
    <row r="13" spans="1:24" x14ac:dyDescent="0.3">
      <c r="A13" s="118" t="s">
        <v>7484</v>
      </c>
      <c r="B13" s="119"/>
      <c r="D13" t="s">
        <v>7490</v>
      </c>
      <c r="E13" s="118" t="s">
        <v>7520</v>
      </c>
      <c r="F13" s="119"/>
      <c r="H13" t="s">
        <v>7526</v>
      </c>
      <c r="I13" s="118" t="s">
        <v>7556</v>
      </c>
      <c r="J13" s="119"/>
      <c r="L13" t="s">
        <v>7562</v>
      </c>
      <c r="M13" s="118" t="s">
        <v>7592</v>
      </c>
      <c r="N13" s="119"/>
      <c r="P13" t="s">
        <v>7598</v>
      </c>
      <c r="Q13" s="118" t="s">
        <v>7628</v>
      </c>
      <c r="R13" s="119"/>
      <c r="T13" t="s">
        <v>7634</v>
      </c>
      <c r="U13" s="118" t="s">
        <v>7664</v>
      </c>
      <c r="V13" s="119"/>
      <c r="X13" t="s">
        <v>7670</v>
      </c>
    </row>
    <row r="14" spans="1:24" x14ac:dyDescent="0.3">
      <c r="A14" s="118" t="s">
        <v>7485</v>
      </c>
      <c r="B14" s="119"/>
      <c r="D14" t="s">
        <v>7491</v>
      </c>
      <c r="E14" s="118" t="s">
        <v>7521</v>
      </c>
      <c r="F14" s="119"/>
      <c r="H14" t="s">
        <v>7527</v>
      </c>
      <c r="I14" s="118" t="s">
        <v>7557</v>
      </c>
      <c r="J14" s="119"/>
      <c r="L14" t="s">
        <v>7563</v>
      </c>
      <c r="M14" s="118" t="s">
        <v>7593</v>
      </c>
      <c r="N14" s="119"/>
      <c r="P14" t="s">
        <v>7599</v>
      </c>
      <c r="Q14" s="118" t="s">
        <v>7629</v>
      </c>
      <c r="R14" s="119"/>
      <c r="T14" t="s">
        <v>7635</v>
      </c>
      <c r="U14" s="118" t="s">
        <v>7665</v>
      </c>
      <c r="V14" s="119"/>
      <c r="X14" t="s">
        <v>7671</v>
      </c>
    </row>
    <row r="15" spans="1:24" x14ac:dyDescent="0.3">
      <c r="A15" s="118" t="s">
        <v>7496</v>
      </c>
      <c r="B15" s="119"/>
      <c r="D15" t="s">
        <v>7502</v>
      </c>
      <c r="E15" s="118" t="s">
        <v>7532</v>
      </c>
      <c r="F15" s="119"/>
      <c r="H15" t="s">
        <v>7538</v>
      </c>
      <c r="I15" s="118" t="s">
        <v>7568</v>
      </c>
      <c r="J15" s="119"/>
      <c r="L15" t="s">
        <v>7574</v>
      </c>
      <c r="M15" s="118" t="s">
        <v>7604</v>
      </c>
      <c r="N15" s="119"/>
      <c r="P15" t="s">
        <v>7610</v>
      </c>
      <c r="Q15" s="118" t="s">
        <v>7640</v>
      </c>
      <c r="R15" s="119"/>
      <c r="T15" t="s">
        <v>7646</v>
      </c>
      <c r="U15" s="118" t="s">
        <v>7676</v>
      </c>
      <c r="V15" s="119"/>
      <c r="X15" t="s">
        <v>7682</v>
      </c>
    </row>
    <row r="16" spans="1:24" x14ac:dyDescent="0.3">
      <c r="A16" s="118" t="s">
        <v>7497</v>
      </c>
      <c r="B16" s="119"/>
      <c r="D16" t="s">
        <v>7503</v>
      </c>
      <c r="E16" s="118" t="s">
        <v>7533</v>
      </c>
      <c r="F16" s="119"/>
      <c r="H16" t="s">
        <v>7539</v>
      </c>
      <c r="I16" s="118" t="s">
        <v>7569</v>
      </c>
      <c r="J16" s="119"/>
      <c r="L16" t="s">
        <v>7575</v>
      </c>
      <c r="M16" s="118" t="s">
        <v>7605</v>
      </c>
      <c r="N16" s="119"/>
      <c r="P16" t="s">
        <v>7611</v>
      </c>
      <c r="Q16" s="118" t="s">
        <v>7641</v>
      </c>
      <c r="R16" s="119"/>
      <c r="T16" t="s">
        <v>7647</v>
      </c>
      <c r="U16" s="118" t="s">
        <v>7677</v>
      </c>
      <c r="V16" s="119"/>
      <c r="X16" t="s">
        <v>7683</v>
      </c>
    </row>
    <row r="17" spans="1:24" x14ac:dyDescent="0.3">
      <c r="A17" s="118" t="s">
        <v>7688</v>
      </c>
      <c r="B17" s="119"/>
      <c r="D17" t="s">
        <v>7694</v>
      </c>
      <c r="E17" s="118" t="s">
        <v>7724</v>
      </c>
      <c r="F17" s="119"/>
      <c r="H17" t="s">
        <v>7730</v>
      </c>
      <c r="I17" s="118" t="s">
        <v>7760</v>
      </c>
      <c r="J17" s="119"/>
      <c r="L17" t="s">
        <v>7766</v>
      </c>
      <c r="M17" s="118" t="s">
        <v>7796</v>
      </c>
      <c r="N17" s="119"/>
      <c r="P17" t="s">
        <v>7802</v>
      </c>
      <c r="Q17" s="118" t="s">
        <v>7832</v>
      </c>
      <c r="R17" s="119"/>
      <c r="T17" t="s">
        <v>7838</v>
      </c>
      <c r="U17" s="118" t="s">
        <v>7868</v>
      </c>
      <c r="V17" s="119"/>
      <c r="X17" t="s">
        <v>7874</v>
      </c>
    </row>
    <row r="18" spans="1:24" x14ac:dyDescent="0.3">
      <c r="A18" s="118" t="s">
        <v>7689</v>
      </c>
      <c r="B18" s="119"/>
      <c r="D18" t="s">
        <v>7695</v>
      </c>
      <c r="E18" s="118" t="s">
        <v>7725</v>
      </c>
      <c r="F18" s="119"/>
      <c r="H18" t="s">
        <v>7731</v>
      </c>
      <c r="I18" s="118" t="s">
        <v>7761</v>
      </c>
      <c r="J18" s="119"/>
      <c r="L18" t="s">
        <v>7767</v>
      </c>
      <c r="M18" s="118" t="s">
        <v>7797</v>
      </c>
      <c r="N18" s="119"/>
      <c r="P18" t="s">
        <v>7803</v>
      </c>
      <c r="Q18" s="118" t="s">
        <v>7833</v>
      </c>
      <c r="R18" s="119"/>
      <c r="T18" t="s">
        <v>7839</v>
      </c>
      <c r="U18" s="118" t="s">
        <v>7869</v>
      </c>
      <c r="V18" s="119"/>
      <c r="X18" t="s">
        <v>7875</v>
      </c>
    </row>
    <row r="19" spans="1:24" x14ac:dyDescent="0.3">
      <c r="A19" s="118" t="s">
        <v>7700</v>
      </c>
      <c r="B19" s="119"/>
      <c r="D19" t="s">
        <v>7706</v>
      </c>
      <c r="E19" s="118" t="s">
        <v>7736</v>
      </c>
      <c r="F19" s="119"/>
      <c r="H19" t="s">
        <v>7742</v>
      </c>
      <c r="I19" s="118" t="s">
        <v>7772</v>
      </c>
      <c r="J19" s="119"/>
      <c r="L19" t="s">
        <v>7778</v>
      </c>
      <c r="M19" s="118" t="s">
        <v>7808</v>
      </c>
      <c r="N19" s="119"/>
      <c r="P19" t="s">
        <v>7814</v>
      </c>
      <c r="Q19" s="118" t="s">
        <v>7844</v>
      </c>
      <c r="R19" s="119"/>
      <c r="T19" t="s">
        <v>7850</v>
      </c>
      <c r="U19" s="118" t="s">
        <v>7880</v>
      </c>
      <c r="V19" s="119"/>
      <c r="X19" t="s">
        <v>7886</v>
      </c>
    </row>
    <row r="20" spans="1:24" x14ac:dyDescent="0.3">
      <c r="A20" s="118" t="s">
        <v>7701</v>
      </c>
      <c r="B20" s="119"/>
      <c r="D20" t="s">
        <v>7707</v>
      </c>
      <c r="E20" s="118" t="s">
        <v>7737</v>
      </c>
      <c r="F20" s="119"/>
      <c r="H20" t="s">
        <v>7743</v>
      </c>
      <c r="I20" s="118" t="s">
        <v>7773</v>
      </c>
      <c r="J20" s="119"/>
      <c r="L20" t="s">
        <v>7779</v>
      </c>
      <c r="M20" s="118" t="s">
        <v>7809</v>
      </c>
      <c r="N20" s="119"/>
      <c r="P20" t="s">
        <v>7815</v>
      </c>
      <c r="Q20" s="118" t="s">
        <v>7845</v>
      </c>
      <c r="R20" s="119"/>
      <c r="T20" t="s">
        <v>7851</v>
      </c>
      <c r="U20" s="118" t="s">
        <v>7881</v>
      </c>
      <c r="V20" s="119"/>
      <c r="X20" t="s">
        <v>7887</v>
      </c>
    </row>
    <row r="21" spans="1:24" x14ac:dyDescent="0.3">
      <c r="A21" s="118" t="s">
        <v>7712</v>
      </c>
      <c r="B21" s="119"/>
      <c r="D21" t="s">
        <v>7718</v>
      </c>
      <c r="E21" s="118" t="s">
        <v>7748</v>
      </c>
      <c r="F21" s="119"/>
      <c r="H21" t="s">
        <v>7754</v>
      </c>
      <c r="I21" s="118" t="s">
        <v>7784</v>
      </c>
      <c r="J21" s="119"/>
      <c r="L21" t="s">
        <v>7790</v>
      </c>
      <c r="M21" s="118" t="s">
        <v>7820</v>
      </c>
      <c r="N21" s="119"/>
      <c r="P21" t="s">
        <v>7826</v>
      </c>
      <c r="Q21" s="118" t="s">
        <v>7856</v>
      </c>
      <c r="R21" s="119"/>
      <c r="T21" t="s">
        <v>7862</v>
      </c>
      <c r="U21" s="118" t="s">
        <v>7892</v>
      </c>
      <c r="V21" s="119"/>
      <c r="X21" t="s">
        <v>7898</v>
      </c>
    </row>
    <row r="22" spans="1:24" x14ac:dyDescent="0.3">
      <c r="A22" s="118" t="s">
        <v>7713</v>
      </c>
      <c r="B22" s="119"/>
      <c r="D22" t="s">
        <v>7719</v>
      </c>
      <c r="E22" s="118" t="s">
        <v>7749</v>
      </c>
      <c r="F22" s="119"/>
      <c r="H22" t="s">
        <v>7755</v>
      </c>
      <c r="I22" s="118" t="s">
        <v>7785</v>
      </c>
      <c r="J22" s="119"/>
      <c r="L22" t="s">
        <v>7791</v>
      </c>
      <c r="M22" s="118" t="s">
        <v>7821</v>
      </c>
      <c r="N22" s="119"/>
      <c r="P22" t="s">
        <v>7827</v>
      </c>
      <c r="Q22" s="118" t="s">
        <v>7857</v>
      </c>
      <c r="R22" s="119"/>
      <c r="T22" t="s">
        <v>7863</v>
      </c>
      <c r="U22" s="118" t="s">
        <v>7893</v>
      </c>
      <c r="V22" s="119"/>
      <c r="X22" t="s">
        <v>7899</v>
      </c>
    </row>
    <row r="23" spans="1:24" x14ac:dyDescent="0.3">
      <c r="A23" s="118" t="s">
        <v>7904</v>
      </c>
      <c r="B23" s="119"/>
      <c r="D23" t="s">
        <v>7910</v>
      </c>
      <c r="E23" s="118" t="s">
        <v>7940</v>
      </c>
      <c r="F23" s="119"/>
      <c r="H23" t="s">
        <v>7946</v>
      </c>
      <c r="I23" s="118" t="s">
        <v>7976</v>
      </c>
      <c r="J23" s="119"/>
      <c r="L23" t="s">
        <v>7982</v>
      </c>
      <c r="M23" s="118" t="s">
        <v>8012</v>
      </c>
      <c r="N23" s="119"/>
      <c r="P23" t="s">
        <v>8018</v>
      </c>
      <c r="Q23" s="118" t="s">
        <v>8048</v>
      </c>
      <c r="R23" s="119"/>
      <c r="T23" t="s">
        <v>8054</v>
      </c>
      <c r="U23" s="118" t="s">
        <v>8084</v>
      </c>
      <c r="V23" s="119"/>
      <c r="X23" t="s">
        <v>8090</v>
      </c>
    </row>
    <row r="24" spans="1:24" x14ac:dyDescent="0.3">
      <c r="A24" s="118" t="s">
        <v>7905</v>
      </c>
      <c r="B24" s="119"/>
      <c r="D24" t="s">
        <v>7911</v>
      </c>
      <c r="E24" s="118" t="s">
        <v>7941</v>
      </c>
      <c r="F24" s="119"/>
      <c r="H24" t="s">
        <v>7947</v>
      </c>
      <c r="I24" s="118" t="s">
        <v>7977</v>
      </c>
      <c r="J24" s="119"/>
      <c r="L24" t="s">
        <v>7983</v>
      </c>
      <c r="M24" s="118" t="s">
        <v>8013</v>
      </c>
      <c r="N24" s="119"/>
      <c r="P24" t="s">
        <v>8019</v>
      </c>
      <c r="Q24" s="118" t="s">
        <v>8049</v>
      </c>
      <c r="R24" s="119"/>
      <c r="T24" t="s">
        <v>8055</v>
      </c>
      <c r="U24" s="118" t="s">
        <v>8085</v>
      </c>
      <c r="V24" s="119"/>
      <c r="X24" t="s">
        <v>8091</v>
      </c>
    </row>
    <row r="25" spans="1:24" x14ac:dyDescent="0.3">
      <c r="A25" s="118" t="s">
        <v>7916</v>
      </c>
      <c r="B25" s="119"/>
      <c r="D25" t="s">
        <v>7922</v>
      </c>
      <c r="E25" s="118" t="s">
        <v>7952</v>
      </c>
      <c r="F25" s="119"/>
      <c r="H25" t="s">
        <v>7958</v>
      </c>
      <c r="I25" s="118" t="s">
        <v>7988</v>
      </c>
      <c r="J25" s="119"/>
      <c r="L25" t="s">
        <v>7994</v>
      </c>
      <c r="M25" s="118" t="s">
        <v>8024</v>
      </c>
      <c r="N25" s="119"/>
      <c r="P25" t="s">
        <v>8030</v>
      </c>
      <c r="Q25" s="118" t="s">
        <v>8060</v>
      </c>
      <c r="R25" s="119"/>
      <c r="T25" t="s">
        <v>8066</v>
      </c>
      <c r="U25" s="118" t="s">
        <v>8096</v>
      </c>
      <c r="V25" s="119"/>
      <c r="X25" t="s">
        <v>8102</v>
      </c>
    </row>
    <row r="26" spans="1:24" x14ac:dyDescent="0.3">
      <c r="A26" s="118" t="s">
        <v>7917</v>
      </c>
      <c r="B26" s="119"/>
      <c r="D26" t="s">
        <v>7923</v>
      </c>
      <c r="E26" s="118" t="s">
        <v>7953</v>
      </c>
      <c r="F26" s="119"/>
      <c r="H26" t="s">
        <v>7959</v>
      </c>
      <c r="I26" s="118" t="s">
        <v>7989</v>
      </c>
      <c r="J26" s="119"/>
      <c r="L26" t="s">
        <v>7995</v>
      </c>
      <c r="M26" s="118" t="s">
        <v>8025</v>
      </c>
      <c r="N26" s="119"/>
      <c r="P26" t="s">
        <v>8031</v>
      </c>
      <c r="Q26" s="118" t="s">
        <v>8061</v>
      </c>
      <c r="R26" s="119"/>
      <c r="T26" t="s">
        <v>8067</v>
      </c>
      <c r="U26" s="118" t="s">
        <v>8097</v>
      </c>
      <c r="V26" s="119"/>
      <c r="X26" t="s">
        <v>8103</v>
      </c>
    </row>
    <row r="27" spans="1:24" x14ac:dyDescent="0.3">
      <c r="A27" s="118" t="s">
        <v>7928</v>
      </c>
      <c r="B27" s="119"/>
      <c r="D27" t="s">
        <v>7934</v>
      </c>
      <c r="E27" s="118" t="s">
        <v>7964</v>
      </c>
      <c r="F27" s="119"/>
      <c r="H27" t="s">
        <v>7970</v>
      </c>
      <c r="I27" s="118" t="s">
        <v>8000</v>
      </c>
      <c r="J27" s="119"/>
      <c r="L27" t="s">
        <v>8006</v>
      </c>
      <c r="M27" s="118" t="s">
        <v>8036</v>
      </c>
      <c r="N27" s="119"/>
      <c r="P27" t="s">
        <v>8042</v>
      </c>
      <c r="Q27" s="118" t="s">
        <v>8072</v>
      </c>
      <c r="R27" s="119"/>
      <c r="T27" t="s">
        <v>8078</v>
      </c>
      <c r="U27" s="118" t="s">
        <v>8108</v>
      </c>
      <c r="V27" s="119"/>
      <c r="X27" t="s">
        <v>8114</v>
      </c>
    </row>
    <row r="28" spans="1:24" x14ac:dyDescent="0.3">
      <c r="A28" s="118" t="s">
        <v>7929</v>
      </c>
      <c r="B28" s="119"/>
      <c r="D28" t="s">
        <v>7935</v>
      </c>
      <c r="E28" s="118" t="s">
        <v>7965</v>
      </c>
      <c r="F28" s="119"/>
      <c r="H28" t="s">
        <v>7971</v>
      </c>
      <c r="I28" s="118" t="s">
        <v>8001</v>
      </c>
      <c r="J28" s="119"/>
      <c r="L28" t="s">
        <v>8007</v>
      </c>
      <c r="M28" s="118" t="s">
        <v>8037</v>
      </c>
      <c r="N28" s="119"/>
      <c r="P28" t="s">
        <v>8043</v>
      </c>
      <c r="Q28" s="118" t="s">
        <v>8073</v>
      </c>
      <c r="R28" s="119"/>
      <c r="T28" t="s">
        <v>8079</v>
      </c>
      <c r="U28" s="118" t="s">
        <v>8109</v>
      </c>
      <c r="V28" s="119"/>
      <c r="X28" t="s">
        <v>8115</v>
      </c>
    </row>
    <row r="29" spans="1:24" x14ac:dyDescent="0.3">
      <c r="A29" s="118" t="s">
        <v>8120</v>
      </c>
      <c r="B29" s="119"/>
      <c r="D29" t="s">
        <v>8126</v>
      </c>
      <c r="E29" s="118" t="s">
        <v>8156</v>
      </c>
      <c r="F29" s="119"/>
      <c r="H29" t="s">
        <v>8162</v>
      </c>
      <c r="I29" s="118" t="s">
        <v>8192</v>
      </c>
      <c r="J29" s="119"/>
      <c r="L29" t="s">
        <v>8198</v>
      </c>
      <c r="M29" s="118" t="s">
        <v>8228</v>
      </c>
      <c r="N29" s="119"/>
      <c r="P29" t="s">
        <v>8234</v>
      </c>
      <c r="Q29" s="118" t="s">
        <v>8264</v>
      </c>
      <c r="R29" s="119"/>
      <c r="T29" t="s">
        <v>8270</v>
      </c>
      <c r="U29" s="118" t="s">
        <v>8300</v>
      </c>
      <c r="V29" s="119"/>
      <c r="X29" t="s">
        <v>8306</v>
      </c>
    </row>
    <row r="30" spans="1:24" x14ac:dyDescent="0.3">
      <c r="A30" s="118" t="s">
        <v>8121</v>
      </c>
      <c r="B30" s="119"/>
      <c r="D30" t="s">
        <v>8127</v>
      </c>
      <c r="E30" s="118" t="s">
        <v>8157</v>
      </c>
      <c r="F30" s="119"/>
      <c r="H30" t="s">
        <v>8163</v>
      </c>
      <c r="I30" s="118" t="s">
        <v>8193</v>
      </c>
      <c r="J30" s="119"/>
      <c r="L30" t="s">
        <v>8199</v>
      </c>
      <c r="M30" s="118" t="s">
        <v>8229</v>
      </c>
      <c r="N30" s="119"/>
      <c r="P30" t="s">
        <v>8235</v>
      </c>
      <c r="Q30" s="118" t="s">
        <v>8265</v>
      </c>
      <c r="R30" s="119"/>
      <c r="T30" t="s">
        <v>8271</v>
      </c>
      <c r="U30" s="118" t="s">
        <v>8301</v>
      </c>
      <c r="V30" s="119"/>
      <c r="X30" t="s">
        <v>8307</v>
      </c>
    </row>
    <row r="31" spans="1:24" x14ac:dyDescent="0.3">
      <c r="A31" s="118" t="s">
        <v>8132</v>
      </c>
      <c r="B31" s="119"/>
      <c r="D31" t="s">
        <v>8138</v>
      </c>
      <c r="E31" s="118" t="s">
        <v>8168</v>
      </c>
      <c r="F31" s="119"/>
      <c r="H31" t="s">
        <v>8174</v>
      </c>
      <c r="I31" s="118" t="s">
        <v>8204</v>
      </c>
      <c r="J31" s="119"/>
      <c r="L31" t="s">
        <v>8210</v>
      </c>
      <c r="M31" s="118" t="s">
        <v>8240</v>
      </c>
      <c r="N31" s="119"/>
      <c r="P31" t="s">
        <v>8246</v>
      </c>
      <c r="Q31" s="118" t="s">
        <v>8276</v>
      </c>
      <c r="R31" s="119"/>
      <c r="T31" t="s">
        <v>8282</v>
      </c>
      <c r="U31" s="118" t="s">
        <v>8312</v>
      </c>
      <c r="V31" s="119"/>
      <c r="X31" t="s">
        <v>8318</v>
      </c>
    </row>
    <row r="32" spans="1:24" x14ac:dyDescent="0.3">
      <c r="A32" s="118" t="s">
        <v>8133</v>
      </c>
      <c r="B32" s="119"/>
      <c r="D32" t="s">
        <v>8139</v>
      </c>
      <c r="E32" s="118" t="s">
        <v>8169</v>
      </c>
      <c r="F32" s="119"/>
      <c r="H32" t="s">
        <v>8175</v>
      </c>
      <c r="I32" s="118" t="s">
        <v>8205</v>
      </c>
      <c r="J32" s="119"/>
      <c r="L32" t="s">
        <v>8211</v>
      </c>
      <c r="M32" s="118" t="s">
        <v>8241</v>
      </c>
      <c r="N32" s="119"/>
      <c r="P32" t="s">
        <v>8247</v>
      </c>
      <c r="Q32" s="118" t="s">
        <v>8277</v>
      </c>
      <c r="R32" s="119"/>
      <c r="T32" t="s">
        <v>8283</v>
      </c>
      <c r="U32" s="118" t="s">
        <v>8313</v>
      </c>
      <c r="V32" s="119"/>
      <c r="X32" t="s">
        <v>8319</v>
      </c>
    </row>
    <row r="33" spans="1:24" x14ac:dyDescent="0.3">
      <c r="A33" s="118" t="s">
        <v>8144</v>
      </c>
      <c r="B33" s="119"/>
      <c r="D33" t="s">
        <v>8150</v>
      </c>
      <c r="E33" s="118" t="s">
        <v>8180</v>
      </c>
      <c r="F33" s="119"/>
      <c r="H33" t="s">
        <v>8186</v>
      </c>
      <c r="I33" s="118" t="s">
        <v>8216</v>
      </c>
      <c r="J33" s="119"/>
      <c r="L33" t="s">
        <v>8222</v>
      </c>
      <c r="M33" s="118" t="s">
        <v>8252</v>
      </c>
      <c r="N33" s="119"/>
      <c r="P33" t="s">
        <v>8258</v>
      </c>
      <c r="Q33" s="118" t="s">
        <v>8288</v>
      </c>
      <c r="R33" s="119"/>
      <c r="T33" t="s">
        <v>8294</v>
      </c>
      <c r="U33" s="118" t="s">
        <v>8324</v>
      </c>
      <c r="V33" s="119"/>
      <c r="X33" t="s">
        <v>8330</v>
      </c>
    </row>
    <row r="34" spans="1:24" x14ac:dyDescent="0.3">
      <c r="A34" s="118" t="s">
        <v>8145</v>
      </c>
      <c r="B34" s="119"/>
      <c r="D34" t="s">
        <v>8151</v>
      </c>
      <c r="E34" s="118" t="s">
        <v>8181</v>
      </c>
      <c r="F34" s="119"/>
      <c r="H34" t="s">
        <v>8187</v>
      </c>
      <c r="I34" s="118" t="s">
        <v>8217</v>
      </c>
      <c r="J34" s="119"/>
      <c r="L34" t="s">
        <v>8223</v>
      </c>
      <c r="M34" s="118" t="s">
        <v>8253</v>
      </c>
      <c r="N34" s="119"/>
      <c r="P34" t="s">
        <v>8259</v>
      </c>
      <c r="Q34" s="118" t="s">
        <v>8289</v>
      </c>
      <c r="R34" s="119"/>
      <c r="T34" t="s">
        <v>8295</v>
      </c>
      <c r="U34" s="118" t="s">
        <v>8325</v>
      </c>
      <c r="V34" s="119"/>
      <c r="X34" t="s">
        <v>8331</v>
      </c>
    </row>
    <row r="35" spans="1:24" x14ac:dyDescent="0.3">
      <c r="A35" s="118" t="s">
        <v>8336</v>
      </c>
      <c r="B35" s="119"/>
      <c r="D35" t="s">
        <v>8342</v>
      </c>
      <c r="E35" s="118" t="s">
        <v>8372</v>
      </c>
      <c r="F35" s="119"/>
      <c r="H35" t="s">
        <v>8378</v>
      </c>
      <c r="I35" s="118" t="s">
        <v>8408</v>
      </c>
      <c r="J35" s="119"/>
      <c r="L35" t="s">
        <v>8414</v>
      </c>
      <c r="M35" s="118" t="s">
        <v>8444</v>
      </c>
      <c r="N35" s="119"/>
      <c r="P35" t="s">
        <v>8450</v>
      </c>
      <c r="Q35" s="118" t="s">
        <v>8480</v>
      </c>
      <c r="R35" s="119"/>
      <c r="T35" t="s">
        <v>8486</v>
      </c>
      <c r="U35" s="118" t="s">
        <v>8516</v>
      </c>
      <c r="V35" s="119"/>
      <c r="X35" t="s">
        <v>8522</v>
      </c>
    </row>
    <row r="36" spans="1:24" x14ac:dyDescent="0.3">
      <c r="A36" s="118" t="s">
        <v>8337</v>
      </c>
      <c r="B36" s="119"/>
      <c r="D36" t="s">
        <v>8343</v>
      </c>
      <c r="E36" s="118" t="s">
        <v>8373</v>
      </c>
      <c r="F36" s="119"/>
      <c r="H36" t="s">
        <v>8379</v>
      </c>
      <c r="I36" s="118" t="s">
        <v>8409</v>
      </c>
      <c r="J36" s="119"/>
      <c r="L36" t="s">
        <v>8415</v>
      </c>
      <c r="M36" s="118" t="s">
        <v>8445</v>
      </c>
      <c r="N36" s="119"/>
      <c r="P36" t="s">
        <v>8451</v>
      </c>
      <c r="Q36" s="118" t="s">
        <v>8481</v>
      </c>
      <c r="R36" s="119"/>
      <c r="T36" t="s">
        <v>8487</v>
      </c>
      <c r="U36" s="118" t="s">
        <v>8517</v>
      </c>
      <c r="V36" s="119"/>
      <c r="X36" t="s">
        <v>8523</v>
      </c>
    </row>
    <row r="37" spans="1:24" x14ac:dyDescent="0.3">
      <c r="A37" s="118" t="s">
        <v>8348</v>
      </c>
      <c r="B37" s="119"/>
      <c r="D37" t="s">
        <v>8354</v>
      </c>
      <c r="E37" s="118" t="s">
        <v>8384</v>
      </c>
      <c r="F37" s="119"/>
      <c r="H37" t="s">
        <v>8390</v>
      </c>
      <c r="I37" s="118" t="s">
        <v>8420</v>
      </c>
      <c r="J37" s="119"/>
      <c r="L37" t="s">
        <v>8426</v>
      </c>
      <c r="M37" s="118" t="s">
        <v>8456</v>
      </c>
      <c r="N37" s="119"/>
      <c r="P37" t="s">
        <v>8462</v>
      </c>
      <c r="Q37" s="118" t="s">
        <v>8492</v>
      </c>
      <c r="R37" s="119"/>
      <c r="T37" t="s">
        <v>8498</v>
      </c>
      <c r="U37" s="118" t="s">
        <v>8528</v>
      </c>
      <c r="V37" s="119"/>
      <c r="X37" t="s">
        <v>8534</v>
      </c>
    </row>
    <row r="38" spans="1:24" x14ac:dyDescent="0.3">
      <c r="A38" s="118" t="s">
        <v>8349</v>
      </c>
      <c r="B38" s="119"/>
      <c r="D38" t="s">
        <v>8355</v>
      </c>
      <c r="E38" s="118" t="s">
        <v>8385</v>
      </c>
      <c r="F38" s="119"/>
      <c r="H38" t="s">
        <v>8391</v>
      </c>
      <c r="I38" s="118" t="s">
        <v>8421</v>
      </c>
      <c r="J38" s="119"/>
      <c r="L38" t="s">
        <v>8427</v>
      </c>
      <c r="M38" s="118" t="s">
        <v>8457</v>
      </c>
      <c r="N38" s="119"/>
      <c r="P38" t="s">
        <v>8463</v>
      </c>
      <c r="Q38" s="118" t="s">
        <v>8493</v>
      </c>
      <c r="R38" s="119"/>
      <c r="T38" t="s">
        <v>8499</v>
      </c>
      <c r="U38" s="118" t="s">
        <v>8529</v>
      </c>
      <c r="V38" s="119"/>
      <c r="X38" t="s">
        <v>8535</v>
      </c>
    </row>
    <row r="39" spans="1:24" x14ac:dyDescent="0.3">
      <c r="A39" s="118" t="s">
        <v>8360</v>
      </c>
      <c r="B39" s="119"/>
      <c r="D39" t="s">
        <v>8366</v>
      </c>
      <c r="E39" s="118" t="s">
        <v>8396</v>
      </c>
      <c r="F39" s="119"/>
      <c r="H39" t="s">
        <v>8402</v>
      </c>
      <c r="I39" s="118" t="s">
        <v>8432</v>
      </c>
      <c r="J39" s="119"/>
      <c r="L39" t="s">
        <v>8438</v>
      </c>
      <c r="M39" s="118" t="s">
        <v>8468</v>
      </c>
      <c r="N39" s="119"/>
      <c r="P39" t="s">
        <v>8474</v>
      </c>
      <c r="Q39" s="118" t="s">
        <v>8504</v>
      </c>
      <c r="R39" s="119"/>
      <c r="T39" t="s">
        <v>8510</v>
      </c>
      <c r="U39" s="118" t="s">
        <v>8540</v>
      </c>
      <c r="V39" s="119"/>
      <c r="X39" t="s">
        <v>8546</v>
      </c>
    </row>
    <row r="40" spans="1:24" x14ac:dyDescent="0.3">
      <c r="A40" s="118" t="s">
        <v>8361</v>
      </c>
      <c r="B40" s="119"/>
      <c r="D40" t="s">
        <v>8367</v>
      </c>
      <c r="E40" s="118" t="s">
        <v>8397</v>
      </c>
      <c r="F40" s="119"/>
      <c r="H40" t="s">
        <v>8403</v>
      </c>
      <c r="I40" s="118" t="s">
        <v>8433</v>
      </c>
      <c r="J40" s="119"/>
      <c r="L40" t="s">
        <v>8439</v>
      </c>
      <c r="M40" s="118" t="s">
        <v>8469</v>
      </c>
      <c r="N40" s="119"/>
      <c r="P40" t="s">
        <v>8475</v>
      </c>
      <c r="Q40" s="118" t="s">
        <v>8505</v>
      </c>
      <c r="R40" s="119"/>
      <c r="T40" t="s">
        <v>8511</v>
      </c>
      <c r="U40" s="118" t="s">
        <v>8541</v>
      </c>
      <c r="V40" s="119"/>
      <c r="X40" t="s">
        <v>8547</v>
      </c>
    </row>
    <row r="41" spans="1:24" x14ac:dyDescent="0.3">
      <c r="A41" s="118" t="s">
        <v>8552</v>
      </c>
      <c r="B41" s="119"/>
      <c r="D41" t="s">
        <v>8558</v>
      </c>
      <c r="E41" s="118" t="s">
        <v>8588</v>
      </c>
      <c r="F41" s="119"/>
      <c r="H41" t="s">
        <v>8594</v>
      </c>
      <c r="I41" s="118" t="s">
        <v>8624</v>
      </c>
      <c r="J41" s="119"/>
      <c r="L41" t="s">
        <v>8630</v>
      </c>
      <c r="M41" s="118" t="s">
        <v>8660</v>
      </c>
      <c r="N41" s="119"/>
      <c r="P41" t="s">
        <v>8666</v>
      </c>
      <c r="Q41" s="118" t="s">
        <v>8696</v>
      </c>
      <c r="R41" s="119"/>
      <c r="T41" t="s">
        <v>8702</v>
      </c>
      <c r="U41" s="118" t="s">
        <v>8732</v>
      </c>
      <c r="V41" s="119"/>
      <c r="X41" t="s">
        <v>8738</v>
      </c>
    </row>
    <row r="42" spans="1:24" x14ac:dyDescent="0.3">
      <c r="A42" s="118" t="s">
        <v>8553</v>
      </c>
      <c r="B42" s="119"/>
      <c r="D42" t="s">
        <v>8559</v>
      </c>
      <c r="E42" s="118" t="s">
        <v>8589</v>
      </c>
      <c r="F42" s="119"/>
      <c r="H42" t="s">
        <v>8595</v>
      </c>
      <c r="I42" s="118" t="s">
        <v>8625</v>
      </c>
      <c r="J42" s="119"/>
      <c r="L42" t="s">
        <v>8631</v>
      </c>
      <c r="M42" s="118" t="s">
        <v>8661</v>
      </c>
      <c r="N42" s="119"/>
      <c r="P42" t="s">
        <v>8667</v>
      </c>
      <c r="Q42" s="118" t="s">
        <v>8697</v>
      </c>
      <c r="R42" s="119"/>
      <c r="T42" t="s">
        <v>8703</v>
      </c>
      <c r="U42" s="118" t="s">
        <v>8733</v>
      </c>
      <c r="V42" s="119"/>
      <c r="X42" t="s">
        <v>8739</v>
      </c>
    </row>
    <row r="43" spans="1:24" x14ac:dyDescent="0.3">
      <c r="A43" s="118" t="s">
        <v>8564</v>
      </c>
      <c r="B43" s="119"/>
      <c r="D43" t="s">
        <v>8570</v>
      </c>
      <c r="E43" s="118" t="s">
        <v>8600</v>
      </c>
      <c r="F43" s="119"/>
      <c r="H43" t="s">
        <v>8606</v>
      </c>
      <c r="I43" s="118" t="s">
        <v>8636</v>
      </c>
      <c r="J43" s="119"/>
      <c r="L43" t="s">
        <v>8642</v>
      </c>
      <c r="M43" s="118" t="s">
        <v>8672</v>
      </c>
      <c r="N43" s="119"/>
      <c r="P43" t="s">
        <v>8678</v>
      </c>
      <c r="Q43" s="118" t="s">
        <v>8708</v>
      </c>
      <c r="R43" s="119"/>
      <c r="T43" t="s">
        <v>8714</v>
      </c>
      <c r="U43" s="118" t="s">
        <v>8744</v>
      </c>
      <c r="V43" s="119"/>
      <c r="X43" t="s">
        <v>8750</v>
      </c>
    </row>
    <row r="44" spans="1:24" x14ac:dyDescent="0.3">
      <c r="A44" s="118" t="s">
        <v>8565</v>
      </c>
      <c r="B44" s="119"/>
      <c r="D44" t="s">
        <v>8571</v>
      </c>
      <c r="E44" s="118" t="s">
        <v>8601</v>
      </c>
      <c r="F44" s="119"/>
      <c r="H44" t="s">
        <v>8607</v>
      </c>
      <c r="I44" s="118" t="s">
        <v>8637</v>
      </c>
      <c r="J44" s="119"/>
      <c r="L44" t="s">
        <v>8643</v>
      </c>
      <c r="M44" s="118" t="s">
        <v>8673</v>
      </c>
      <c r="N44" s="119"/>
      <c r="P44" t="s">
        <v>8679</v>
      </c>
      <c r="Q44" s="118" t="s">
        <v>8709</v>
      </c>
      <c r="R44" s="119"/>
      <c r="T44" t="s">
        <v>8715</v>
      </c>
      <c r="U44" s="118" t="s">
        <v>8745</v>
      </c>
      <c r="V44" s="119"/>
      <c r="X44" t="s">
        <v>8751</v>
      </c>
    </row>
    <row r="45" spans="1:24" x14ac:dyDescent="0.3">
      <c r="A45" s="118" t="s">
        <v>8576</v>
      </c>
      <c r="B45" s="119"/>
      <c r="D45" t="s">
        <v>8582</v>
      </c>
      <c r="E45" s="118" t="s">
        <v>8612</v>
      </c>
      <c r="F45" s="119"/>
      <c r="H45" t="s">
        <v>8618</v>
      </c>
      <c r="I45" s="118" t="s">
        <v>8648</v>
      </c>
      <c r="J45" s="119"/>
      <c r="L45" t="s">
        <v>8654</v>
      </c>
      <c r="M45" s="118" t="s">
        <v>8684</v>
      </c>
      <c r="N45" s="119"/>
      <c r="P45" t="s">
        <v>8690</v>
      </c>
      <c r="Q45" s="118" t="s">
        <v>8720</v>
      </c>
      <c r="R45" s="119"/>
      <c r="T45" t="s">
        <v>8726</v>
      </c>
      <c r="U45" s="118" t="s">
        <v>8756</v>
      </c>
      <c r="V45" s="119"/>
      <c r="X45" t="s">
        <v>8762</v>
      </c>
    </row>
    <row r="46" spans="1:24" x14ac:dyDescent="0.3">
      <c r="A46" s="118" t="s">
        <v>8577</v>
      </c>
      <c r="B46" s="119"/>
      <c r="D46" t="s">
        <v>8583</v>
      </c>
      <c r="E46" s="118" t="s">
        <v>8613</v>
      </c>
      <c r="F46" s="119"/>
      <c r="H46" t="s">
        <v>8619</v>
      </c>
      <c r="I46" s="118" t="s">
        <v>8649</v>
      </c>
      <c r="J46" s="119"/>
      <c r="L46" t="s">
        <v>8655</v>
      </c>
      <c r="M46" s="118" t="s">
        <v>8685</v>
      </c>
      <c r="N46" s="119"/>
      <c r="P46" t="s">
        <v>8691</v>
      </c>
      <c r="Q46" s="118" t="s">
        <v>8721</v>
      </c>
      <c r="R46" s="119"/>
      <c r="T46" t="s">
        <v>8727</v>
      </c>
      <c r="U46" s="118" t="s">
        <v>8757</v>
      </c>
      <c r="V46" s="119"/>
      <c r="X46" t="s">
        <v>8763</v>
      </c>
    </row>
    <row r="47" spans="1:24" x14ac:dyDescent="0.3">
      <c r="A47" s="118" t="s">
        <v>8768</v>
      </c>
      <c r="B47" s="119"/>
      <c r="D47" t="s">
        <v>8774</v>
      </c>
      <c r="E47" s="118" t="s">
        <v>8804</v>
      </c>
      <c r="F47" s="119"/>
      <c r="H47" t="s">
        <v>8810</v>
      </c>
      <c r="I47" s="118" t="s">
        <v>8840</v>
      </c>
      <c r="J47" s="119"/>
      <c r="L47" t="s">
        <v>8846</v>
      </c>
      <c r="M47" s="118" t="s">
        <v>8876</v>
      </c>
      <c r="N47" s="119"/>
      <c r="P47" t="s">
        <v>8882</v>
      </c>
      <c r="Q47" s="118" t="s">
        <v>8912</v>
      </c>
      <c r="R47" s="119"/>
      <c r="T47" t="s">
        <v>8918</v>
      </c>
      <c r="U47" s="118" t="s">
        <v>8948</v>
      </c>
      <c r="V47" s="119"/>
      <c r="X47" t="s">
        <v>8954</v>
      </c>
    </row>
    <row r="48" spans="1:24" x14ac:dyDescent="0.3">
      <c r="A48" s="118" t="s">
        <v>8769</v>
      </c>
      <c r="B48" s="119"/>
      <c r="D48" t="s">
        <v>8775</v>
      </c>
      <c r="E48" s="118" t="s">
        <v>8805</v>
      </c>
      <c r="F48" s="119"/>
      <c r="H48" t="s">
        <v>8811</v>
      </c>
      <c r="I48" s="118" t="s">
        <v>8841</v>
      </c>
      <c r="J48" s="119"/>
      <c r="L48" t="s">
        <v>8847</v>
      </c>
      <c r="M48" s="118" t="s">
        <v>8877</v>
      </c>
      <c r="N48" s="119"/>
      <c r="P48" t="s">
        <v>8883</v>
      </c>
      <c r="Q48" s="118" t="s">
        <v>8913</v>
      </c>
      <c r="R48" s="119"/>
      <c r="T48" t="s">
        <v>8919</v>
      </c>
      <c r="U48" s="118" t="s">
        <v>8949</v>
      </c>
      <c r="V48" s="119"/>
      <c r="X48" t="s">
        <v>8955</v>
      </c>
    </row>
    <row r="49" spans="1:24" x14ac:dyDescent="0.3">
      <c r="A49" s="118" t="s">
        <v>8780</v>
      </c>
      <c r="B49" s="119"/>
      <c r="D49" t="s">
        <v>8786</v>
      </c>
      <c r="E49" s="118" t="s">
        <v>8816</v>
      </c>
      <c r="F49" s="119"/>
      <c r="H49" t="s">
        <v>8822</v>
      </c>
      <c r="I49" s="118" t="s">
        <v>8852</v>
      </c>
      <c r="J49" s="119"/>
      <c r="L49" t="s">
        <v>8858</v>
      </c>
      <c r="M49" s="118" t="s">
        <v>8888</v>
      </c>
      <c r="N49" s="119"/>
      <c r="P49" t="s">
        <v>8894</v>
      </c>
      <c r="Q49" s="118" t="s">
        <v>8924</v>
      </c>
      <c r="R49" s="119"/>
      <c r="T49" t="s">
        <v>8930</v>
      </c>
      <c r="U49" s="118" t="s">
        <v>8960</v>
      </c>
      <c r="V49" s="119"/>
      <c r="X49" t="s">
        <v>8966</v>
      </c>
    </row>
    <row r="50" spans="1:24" x14ac:dyDescent="0.3">
      <c r="A50" s="118" t="s">
        <v>8781</v>
      </c>
      <c r="B50" s="119"/>
      <c r="D50" t="s">
        <v>8787</v>
      </c>
      <c r="E50" s="118" t="s">
        <v>8817</v>
      </c>
      <c r="F50" s="119"/>
      <c r="H50" t="s">
        <v>8823</v>
      </c>
      <c r="I50" s="118" t="s">
        <v>8853</v>
      </c>
      <c r="J50" s="119"/>
      <c r="L50" t="s">
        <v>8859</v>
      </c>
      <c r="M50" s="118" t="s">
        <v>8889</v>
      </c>
      <c r="N50" s="119"/>
      <c r="P50" t="s">
        <v>8895</v>
      </c>
      <c r="Q50" s="118" t="s">
        <v>8925</v>
      </c>
      <c r="R50" s="119"/>
      <c r="T50" t="s">
        <v>8931</v>
      </c>
      <c r="U50" s="118" t="s">
        <v>8961</v>
      </c>
      <c r="V50" s="119"/>
      <c r="X50" t="s">
        <v>8967</v>
      </c>
    </row>
    <row r="51" spans="1:24" x14ac:dyDescent="0.3">
      <c r="A51" s="118" t="s">
        <v>8792</v>
      </c>
      <c r="B51" s="119"/>
      <c r="D51" t="s">
        <v>8798</v>
      </c>
      <c r="E51" s="118" t="s">
        <v>8828</v>
      </c>
      <c r="F51" s="119"/>
      <c r="H51" t="s">
        <v>8834</v>
      </c>
      <c r="I51" s="118" t="s">
        <v>8864</v>
      </c>
      <c r="J51" s="119"/>
      <c r="L51" t="s">
        <v>8870</v>
      </c>
      <c r="M51" s="118" t="s">
        <v>8900</v>
      </c>
      <c r="N51" s="119"/>
      <c r="P51" t="s">
        <v>8906</v>
      </c>
      <c r="Q51" s="118" t="s">
        <v>8936</v>
      </c>
      <c r="R51" s="119"/>
      <c r="T51" t="s">
        <v>8942</v>
      </c>
      <c r="U51" s="118" t="s">
        <v>8972</v>
      </c>
      <c r="V51" s="119"/>
      <c r="X51" t="s">
        <v>8978</v>
      </c>
    </row>
    <row r="52" spans="1:24" x14ac:dyDescent="0.3">
      <c r="A52" s="118" t="s">
        <v>8793</v>
      </c>
      <c r="B52" s="119"/>
      <c r="D52" t="s">
        <v>8799</v>
      </c>
      <c r="E52" s="118" t="s">
        <v>8829</v>
      </c>
      <c r="F52" s="119"/>
      <c r="H52" t="s">
        <v>8835</v>
      </c>
      <c r="I52" s="118" t="s">
        <v>8865</v>
      </c>
      <c r="J52" s="119"/>
      <c r="L52" t="s">
        <v>8871</v>
      </c>
      <c r="M52" s="118" t="s">
        <v>8901</v>
      </c>
      <c r="N52" s="119"/>
      <c r="P52" t="s">
        <v>8907</v>
      </c>
      <c r="Q52" s="118" t="s">
        <v>8937</v>
      </c>
      <c r="R52" s="119"/>
      <c r="T52" t="s">
        <v>8943</v>
      </c>
      <c r="U52" s="118" t="s">
        <v>8973</v>
      </c>
      <c r="V52" s="119"/>
      <c r="X52" t="s">
        <v>8979</v>
      </c>
    </row>
    <row r="53" spans="1:24" x14ac:dyDescent="0.3">
      <c r="A53" s="118" t="s">
        <v>8984</v>
      </c>
      <c r="B53" s="119"/>
      <c r="D53" t="s">
        <v>8990</v>
      </c>
      <c r="E53" s="118" t="s">
        <v>9020</v>
      </c>
      <c r="F53" s="119"/>
      <c r="H53" t="s">
        <v>9026</v>
      </c>
      <c r="I53" s="118" t="s">
        <v>9056</v>
      </c>
      <c r="J53" s="119"/>
      <c r="L53" t="s">
        <v>9062</v>
      </c>
      <c r="M53" s="118" t="s">
        <v>9092</v>
      </c>
      <c r="N53" s="119"/>
      <c r="P53" t="s">
        <v>9098</v>
      </c>
      <c r="Q53" s="118" t="s">
        <v>9128</v>
      </c>
      <c r="R53" s="119"/>
      <c r="T53" t="s">
        <v>9134</v>
      </c>
      <c r="U53" s="118" t="s">
        <v>9164</v>
      </c>
      <c r="V53" s="119"/>
      <c r="X53" t="s">
        <v>9170</v>
      </c>
    </row>
    <row r="54" spans="1:24" x14ac:dyDescent="0.3">
      <c r="A54" s="118" t="s">
        <v>8985</v>
      </c>
      <c r="B54" s="119"/>
      <c r="D54" t="s">
        <v>8991</v>
      </c>
      <c r="E54" s="118" t="s">
        <v>9021</v>
      </c>
      <c r="F54" s="119"/>
      <c r="H54" t="s">
        <v>9027</v>
      </c>
      <c r="I54" s="118" t="s">
        <v>9057</v>
      </c>
      <c r="J54" s="119"/>
      <c r="L54" t="s">
        <v>9063</v>
      </c>
      <c r="M54" s="118" t="s">
        <v>9093</v>
      </c>
      <c r="N54" s="119"/>
      <c r="P54" t="s">
        <v>9099</v>
      </c>
      <c r="Q54" s="118" t="s">
        <v>9129</v>
      </c>
      <c r="R54" s="119"/>
      <c r="T54" t="s">
        <v>9135</v>
      </c>
      <c r="U54" s="118" t="s">
        <v>9165</v>
      </c>
      <c r="V54" s="119"/>
      <c r="X54" t="s">
        <v>9171</v>
      </c>
    </row>
    <row r="55" spans="1:24" x14ac:dyDescent="0.3">
      <c r="A55" s="118" t="s">
        <v>8996</v>
      </c>
      <c r="B55" s="119"/>
      <c r="D55" t="s">
        <v>9002</v>
      </c>
      <c r="E55" s="118" t="s">
        <v>9032</v>
      </c>
      <c r="F55" s="119"/>
      <c r="H55" t="s">
        <v>9038</v>
      </c>
      <c r="I55" s="118" t="s">
        <v>9068</v>
      </c>
      <c r="J55" s="119"/>
      <c r="L55" t="s">
        <v>9074</v>
      </c>
      <c r="M55" s="118" t="s">
        <v>9104</v>
      </c>
      <c r="N55" s="119"/>
      <c r="P55" t="s">
        <v>9110</v>
      </c>
      <c r="Q55" s="118" t="s">
        <v>9140</v>
      </c>
      <c r="R55" s="119"/>
      <c r="T55" t="s">
        <v>9146</v>
      </c>
      <c r="U55" s="118" t="s">
        <v>9176</v>
      </c>
      <c r="V55" s="119"/>
      <c r="X55" t="s">
        <v>9182</v>
      </c>
    </row>
    <row r="56" spans="1:24" x14ac:dyDescent="0.3">
      <c r="A56" s="118" t="s">
        <v>8997</v>
      </c>
      <c r="B56" s="119"/>
      <c r="D56" t="s">
        <v>9003</v>
      </c>
      <c r="E56" s="118" t="s">
        <v>9033</v>
      </c>
      <c r="F56" s="119"/>
      <c r="H56" t="s">
        <v>9039</v>
      </c>
      <c r="I56" s="118" t="s">
        <v>9069</v>
      </c>
      <c r="J56" s="119"/>
      <c r="L56" t="s">
        <v>9075</v>
      </c>
      <c r="M56" s="118" t="s">
        <v>9105</v>
      </c>
      <c r="N56" s="119"/>
      <c r="P56" t="s">
        <v>9111</v>
      </c>
      <c r="Q56" s="118" t="s">
        <v>9141</v>
      </c>
      <c r="R56" s="119"/>
      <c r="T56" t="s">
        <v>9147</v>
      </c>
      <c r="U56" s="118" t="s">
        <v>9177</v>
      </c>
      <c r="V56" s="119"/>
      <c r="X56" t="s">
        <v>9183</v>
      </c>
    </row>
    <row r="57" spans="1:24" x14ac:dyDescent="0.3">
      <c r="A57" s="118" t="s">
        <v>9008</v>
      </c>
      <c r="B57" s="119"/>
      <c r="D57" t="s">
        <v>9014</v>
      </c>
      <c r="E57" s="118" t="s">
        <v>9044</v>
      </c>
      <c r="F57" s="119"/>
      <c r="H57" t="s">
        <v>9050</v>
      </c>
      <c r="I57" s="118" t="s">
        <v>9080</v>
      </c>
      <c r="J57" s="119"/>
      <c r="L57" t="s">
        <v>9086</v>
      </c>
      <c r="M57" s="118" t="s">
        <v>9116</v>
      </c>
      <c r="N57" s="119"/>
      <c r="P57" t="s">
        <v>9122</v>
      </c>
      <c r="Q57" s="118" t="s">
        <v>9152</v>
      </c>
      <c r="R57" s="119"/>
      <c r="T57" t="s">
        <v>9158</v>
      </c>
      <c r="U57" s="118" t="s">
        <v>9188</v>
      </c>
      <c r="V57" s="119"/>
      <c r="X57" t="s">
        <v>9194</v>
      </c>
    </row>
    <row r="58" spans="1:24" x14ac:dyDescent="0.3">
      <c r="A58" s="118" t="s">
        <v>9009</v>
      </c>
      <c r="B58" s="119"/>
      <c r="D58" t="s">
        <v>9015</v>
      </c>
      <c r="E58" s="118" t="s">
        <v>9045</v>
      </c>
      <c r="F58" s="119"/>
      <c r="H58" t="s">
        <v>9051</v>
      </c>
      <c r="I58" s="118" t="s">
        <v>9081</v>
      </c>
      <c r="J58" s="119"/>
      <c r="L58" t="s">
        <v>9087</v>
      </c>
      <c r="M58" s="118" t="s">
        <v>9117</v>
      </c>
      <c r="N58" s="119"/>
      <c r="P58" t="s">
        <v>9123</v>
      </c>
      <c r="Q58" s="118" t="s">
        <v>9153</v>
      </c>
      <c r="R58" s="119"/>
      <c r="T58" t="s">
        <v>9159</v>
      </c>
      <c r="U58" s="118" t="s">
        <v>9189</v>
      </c>
      <c r="V58" s="119"/>
      <c r="X58" t="s">
        <v>9195</v>
      </c>
    </row>
    <row r="59" spans="1:24" x14ac:dyDescent="0.3">
      <c r="A59" s="118" t="s">
        <v>9200</v>
      </c>
      <c r="B59" s="119"/>
      <c r="D59" t="s">
        <v>9206</v>
      </c>
      <c r="E59" s="118" t="s">
        <v>9236</v>
      </c>
      <c r="F59" s="119"/>
      <c r="H59" t="s">
        <v>9242</v>
      </c>
      <c r="I59" s="118" t="s">
        <v>9272</v>
      </c>
      <c r="J59" s="119"/>
      <c r="L59" t="s">
        <v>9278</v>
      </c>
      <c r="M59" s="118" t="s">
        <v>9308</v>
      </c>
      <c r="N59" s="119"/>
      <c r="P59" t="s">
        <v>9314</v>
      </c>
      <c r="Q59" s="118" t="s">
        <v>9344</v>
      </c>
      <c r="R59" s="119"/>
      <c r="T59" t="s">
        <v>9350</v>
      </c>
      <c r="U59" s="118" t="s">
        <v>9380</v>
      </c>
      <c r="V59" s="119"/>
      <c r="X59" t="s">
        <v>9386</v>
      </c>
    </row>
    <row r="60" spans="1:24" x14ac:dyDescent="0.3">
      <c r="A60" s="118" t="s">
        <v>9201</v>
      </c>
      <c r="B60" s="119"/>
      <c r="D60" t="s">
        <v>9207</v>
      </c>
      <c r="E60" s="118" t="s">
        <v>9237</v>
      </c>
      <c r="F60" s="119"/>
      <c r="H60" t="s">
        <v>9243</v>
      </c>
      <c r="I60" s="118" t="s">
        <v>9273</v>
      </c>
      <c r="J60" s="119"/>
      <c r="L60" t="s">
        <v>9279</v>
      </c>
      <c r="M60" s="118" t="s">
        <v>9309</v>
      </c>
      <c r="N60" s="119"/>
      <c r="P60" t="s">
        <v>9315</v>
      </c>
      <c r="Q60" s="118" t="s">
        <v>9345</v>
      </c>
      <c r="R60" s="119"/>
      <c r="T60" t="s">
        <v>9351</v>
      </c>
      <c r="U60" s="118" t="s">
        <v>9381</v>
      </c>
      <c r="V60" s="119"/>
      <c r="X60" t="s">
        <v>9387</v>
      </c>
    </row>
    <row r="61" spans="1:24" x14ac:dyDescent="0.3">
      <c r="A61" s="118" t="s">
        <v>9212</v>
      </c>
      <c r="B61" s="119"/>
      <c r="D61" t="s">
        <v>9218</v>
      </c>
      <c r="E61" s="118" t="s">
        <v>9248</v>
      </c>
      <c r="F61" s="119"/>
      <c r="H61" t="s">
        <v>9254</v>
      </c>
      <c r="I61" s="118" t="s">
        <v>9284</v>
      </c>
      <c r="J61" s="119"/>
      <c r="L61" t="s">
        <v>9290</v>
      </c>
      <c r="M61" s="118" t="s">
        <v>9320</v>
      </c>
      <c r="N61" s="119"/>
      <c r="P61" t="s">
        <v>9326</v>
      </c>
      <c r="Q61" s="118" t="s">
        <v>9356</v>
      </c>
      <c r="R61" s="119"/>
      <c r="T61" t="s">
        <v>9362</v>
      </c>
      <c r="U61" s="118" t="s">
        <v>9392</v>
      </c>
      <c r="V61" s="119"/>
      <c r="X61" t="s">
        <v>9398</v>
      </c>
    </row>
    <row r="62" spans="1:24" x14ac:dyDescent="0.3">
      <c r="A62" s="118" t="s">
        <v>9213</v>
      </c>
      <c r="B62" s="119"/>
      <c r="D62" t="s">
        <v>9219</v>
      </c>
      <c r="E62" s="118" t="s">
        <v>9249</v>
      </c>
      <c r="F62" s="119"/>
      <c r="H62" t="s">
        <v>9255</v>
      </c>
      <c r="I62" s="118" t="s">
        <v>9285</v>
      </c>
      <c r="J62" s="119"/>
      <c r="L62" t="s">
        <v>9291</v>
      </c>
      <c r="M62" s="118" t="s">
        <v>9321</v>
      </c>
      <c r="N62" s="119"/>
      <c r="P62" t="s">
        <v>9327</v>
      </c>
      <c r="Q62" s="118" t="s">
        <v>9357</v>
      </c>
      <c r="R62" s="119"/>
      <c r="T62" t="s">
        <v>9363</v>
      </c>
      <c r="U62" s="118" t="s">
        <v>9393</v>
      </c>
      <c r="V62" s="119"/>
      <c r="X62" t="s">
        <v>9399</v>
      </c>
    </row>
    <row r="63" spans="1:24" x14ac:dyDescent="0.3">
      <c r="A63" s="118" t="s">
        <v>9224</v>
      </c>
      <c r="B63" s="119"/>
      <c r="D63" t="s">
        <v>9230</v>
      </c>
      <c r="E63" s="118" t="s">
        <v>9260</v>
      </c>
      <c r="F63" s="119"/>
      <c r="H63" t="s">
        <v>9266</v>
      </c>
      <c r="I63" s="118" t="s">
        <v>9296</v>
      </c>
      <c r="J63" s="119"/>
      <c r="L63" t="s">
        <v>9302</v>
      </c>
      <c r="M63" s="118" t="s">
        <v>9332</v>
      </c>
      <c r="N63" s="119"/>
      <c r="P63" t="s">
        <v>9338</v>
      </c>
      <c r="Q63" s="118" t="s">
        <v>9368</v>
      </c>
      <c r="R63" s="119"/>
      <c r="T63" t="s">
        <v>9374</v>
      </c>
      <c r="U63" s="118" t="s">
        <v>9404</v>
      </c>
      <c r="V63" s="119"/>
      <c r="X63" t="s">
        <v>9410</v>
      </c>
    </row>
    <row r="64" spans="1:24" x14ac:dyDescent="0.3">
      <c r="A64" s="118" t="s">
        <v>9225</v>
      </c>
      <c r="B64" s="119"/>
      <c r="D64" t="s">
        <v>9231</v>
      </c>
      <c r="E64" s="118" t="s">
        <v>9261</v>
      </c>
      <c r="F64" s="119"/>
      <c r="H64" t="s">
        <v>9267</v>
      </c>
      <c r="I64" s="118" t="s">
        <v>9297</v>
      </c>
      <c r="J64" s="119"/>
      <c r="L64" t="s">
        <v>9303</v>
      </c>
      <c r="M64" s="118" t="s">
        <v>9333</v>
      </c>
      <c r="N64" s="119"/>
      <c r="P64" t="s">
        <v>9339</v>
      </c>
      <c r="Q64" s="118" t="s">
        <v>9369</v>
      </c>
      <c r="R64" s="119"/>
      <c r="T64" t="s">
        <v>9375</v>
      </c>
      <c r="U64" s="118" t="s">
        <v>9405</v>
      </c>
      <c r="V64" s="119"/>
      <c r="X64" t="s">
        <v>9411</v>
      </c>
    </row>
    <row r="65" spans="1:24" x14ac:dyDescent="0.3">
      <c r="A65" s="118" t="s">
        <v>9416</v>
      </c>
      <c r="B65" s="119"/>
      <c r="D65" t="s">
        <v>9422</v>
      </c>
      <c r="E65" s="118" t="s">
        <v>9452</v>
      </c>
      <c r="F65" s="119"/>
      <c r="H65" t="s">
        <v>9458</v>
      </c>
      <c r="I65" s="118" t="s">
        <v>9488</v>
      </c>
      <c r="J65" s="119"/>
      <c r="L65" t="s">
        <v>9494</v>
      </c>
      <c r="M65" s="118" t="s">
        <v>9524</v>
      </c>
      <c r="N65" s="119"/>
      <c r="P65" t="s">
        <v>9530</v>
      </c>
      <c r="Q65" s="118" t="s">
        <v>9560</v>
      </c>
      <c r="R65" s="119"/>
      <c r="T65" t="s">
        <v>9566</v>
      </c>
      <c r="U65" s="118" t="s">
        <v>9596</v>
      </c>
      <c r="V65" s="119"/>
      <c r="X65" t="s">
        <v>9602</v>
      </c>
    </row>
    <row r="66" spans="1:24" x14ac:dyDescent="0.3">
      <c r="A66" s="118" t="s">
        <v>9417</v>
      </c>
      <c r="B66" s="119"/>
      <c r="D66" t="s">
        <v>9423</v>
      </c>
      <c r="E66" s="118" t="s">
        <v>9453</v>
      </c>
      <c r="F66" s="119"/>
      <c r="H66" t="s">
        <v>9459</v>
      </c>
      <c r="I66" s="118" t="s">
        <v>9489</v>
      </c>
      <c r="J66" s="119"/>
      <c r="L66" t="s">
        <v>9495</v>
      </c>
      <c r="M66" s="118" t="s">
        <v>9525</v>
      </c>
      <c r="N66" s="119"/>
      <c r="P66" t="s">
        <v>9531</v>
      </c>
      <c r="Q66" s="118" t="s">
        <v>9561</v>
      </c>
      <c r="R66" s="119"/>
      <c r="T66" t="s">
        <v>9567</v>
      </c>
      <c r="U66" s="118" t="s">
        <v>9597</v>
      </c>
      <c r="V66" s="119"/>
      <c r="X66" t="s">
        <v>9603</v>
      </c>
    </row>
    <row r="67" spans="1:24" x14ac:dyDescent="0.3">
      <c r="A67" s="118" t="s">
        <v>9428</v>
      </c>
      <c r="B67" s="119"/>
      <c r="D67" t="s">
        <v>9434</v>
      </c>
      <c r="E67" s="118" t="s">
        <v>9464</v>
      </c>
      <c r="F67" s="119"/>
      <c r="H67" t="s">
        <v>9470</v>
      </c>
      <c r="I67" s="118" t="s">
        <v>9500</v>
      </c>
      <c r="J67" s="119"/>
      <c r="L67" t="s">
        <v>9506</v>
      </c>
      <c r="M67" s="118" t="s">
        <v>9536</v>
      </c>
      <c r="N67" s="119"/>
      <c r="P67" t="s">
        <v>9542</v>
      </c>
      <c r="Q67" s="118" t="s">
        <v>9572</v>
      </c>
      <c r="R67" s="119"/>
      <c r="T67" t="s">
        <v>9578</v>
      </c>
      <c r="U67" s="118" t="s">
        <v>9608</v>
      </c>
      <c r="V67" s="119"/>
      <c r="X67" t="s">
        <v>9614</v>
      </c>
    </row>
    <row r="68" spans="1:24" x14ac:dyDescent="0.3">
      <c r="A68" s="118" t="s">
        <v>9429</v>
      </c>
      <c r="B68" s="119"/>
      <c r="D68" t="s">
        <v>9435</v>
      </c>
      <c r="E68" s="118" t="s">
        <v>9465</v>
      </c>
      <c r="F68" s="119"/>
      <c r="H68" t="s">
        <v>9471</v>
      </c>
      <c r="I68" s="118" t="s">
        <v>9501</v>
      </c>
      <c r="J68" s="119"/>
      <c r="L68" t="s">
        <v>9507</v>
      </c>
      <c r="M68" s="118" t="s">
        <v>9537</v>
      </c>
      <c r="N68" s="119"/>
      <c r="P68" t="s">
        <v>9543</v>
      </c>
      <c r="Q68" s="118" t="s">
        <v>9573</v>
      </c>
      <c r="R68" s="119"/>
      <c r="T68" t="s">
        <v>9579</v>
      </c>
      <c r="U68" s="118" t="s">
        <v>9609</v>
      </c>
      <c r="V68" s="119"/>
      <c r="X68" t="s">
        <v>9615</v>
      </c>
    </row>
    <row r="69" spans="1:24" x14ac:dyDescent="0.3">
      <c r="A69" s="118" t="s">
        <v>9440</v>
      </c>
      <c r="B69" s="119"/>
      <c r="D69" t="s">
        <v>9446</v>
      </c>
      <c r="E69" s="118" t="s">
        <v>9476</v>
      </c>
      <c r="F69" s="119"/>
      <c r="H69" t="s">
        <v>9482</v>
      </c>
      <c r="I69" s="118" t="s">
        <v>9512</v>
      </c>
      <c r="J69" s="119"/>
      <c r="L69" t="s">
        <v>9518</v>
      </c>
      <c r="M69" s="118" t="s">
        <v>9548</v>
      </c>
      <c r="N69" s="119"/>
      <c r="P69" t="s">
        <v>9554</v>
      </c>
      <c r="Q69" s="118" t="s">
        <v>9584</v>
      </c>
      <c r="R69" s="119"/>
      <c r="T69" t="s">
        <v>9590</v>
      </c>
      <c r="U69" s="118" t="s">
        <v>9620</v>
      </c>
      <c r="V69" s="119"/>
      <c r="X69" t="s">
        <v>9626</v>
      </c>
    </row>
    <row r="70" spans="1:24" x14ac:dyDescent="0.3">
      <c r="A70" s="118" t="s">
        <v>9441</v>
      </c>
      <c r="B70" s="119"/>
      <c r="D70" t="s">
        <v>9447</v>
      </c>
      <c r="E70" s="118" t="s">
        <v>9477</v>
      </c>
      <c r="F70" s="119"/>
      <c r="H70" t="s">
        <v>9483</v>
      </c>
      <c r="I70" s="118" t="s">
        <v>9513</v>
      </c>
      <c r="J70" s="119"/>
      <c r="L70" t="s">
        <v>9519</v>
      </c>
      <c r="M70" s="118" t="s">
        <v>9549</v>
      </c>
      <c r="N70" s="119"/>
      <c r="P70" t="s">
        <v>9555</v>
      </c>
      <c r="Q70" s="118" t="s">
        <v>9585</v>
      </c>
      <c r="R70" s="119"/>
      <c r="T70" t="s">
        <v>9591</v>
      </c>
      <c r="U70" s="118" t="s">
        <v>9621</v>
      </c>
      <c r="V70" s="119"/>
      <c r="X70" t="s">
        <v>9627</v>
      </c>
    </row>
    <row r="71" spans="1:24" x14ac:dyDescent="0.3">
      <c r="A71" s="118" t="s">
        <v>9632</v>
      </c>
      <c r="B71" s="119"/>
      <c r="D71" t="s">
        <v>9638</v>
      </c>
      <c r="E71" s="118" t="s">
        <v>9668</v>
      </c>
      <c r="F71" s="119"/>
      <c r="H71" t="s">
        <v>9674</v>
      </c>
      <c r="I71" s="118" t="s">
        <v>9704</v>
      </c>
      <c r="J71" s="119"/>
      <c r="L71" t="s">
        <v>9710</v>
      </c>
      <c r="M71" s="118" t="s">
        <v>9740</v>
      </c>
      <c r="N71" s="119"/>
      <c r="P71" t="s">
        <v>9746</v>
      </c>
      <c r="Q71" s="118" t="s">
        <v>9776</v>
      </c>
      <c r="R71" s="119"/>
      <c r="T71" t="s">
        <v>9782</v>
      </c>
      <c r="U71" s="118" t="s">
        <v>9812</v>
      </c>
      <c r="V71" s="119"/>
      <c r="X71" t="s">
        <v>9818</v>
      </c>
    </row>
    <row r="72" spans="1:24" x14ac:dyDescent="0.3">
      <c r="A72" s="118" t="s">
        <v>9633</v>
      </c>
      <c r="B72" s="119"/>
      <c r="D72" t="s">
        <v>9639</v>
      </c>
      <c r="E72" s="118" t="s">
        <v>9669</v>
      </c>
      <c r="F72" s="119"/>
      <c r="H72" t="s">
        <v>9675</v>
      </c>
      <c r="I72" s="118" t="s">
        <v>9705</v>
      </c>
      <c r="J72" s="119"/>
      <c r="L72" t="s">
        <v>9711</v>
      </c>
      <c r="M72" s="118" t="s">
        <v>9741</v>
      </c>
      <c r="N72" s="119"/>
      <c r="P72" t="s">
        <v>9747</v>
      </c>
      <c r="Q72" s="118" t="s">
        <v>9777</v>
      </c>
      <c r="R72" s="119"/>
      <c r="T72" t="s">
        <v>9783</v>
      </c>
      <c r="U72" s="118" t="s">
        <v>9813</v>
      </c>
      <c r="V72" s="119"/>
      <c r="X72" t="s">
        <v>9819</v>
      </c>
    </row>
    <row r="73" spans="1:24" x14ac:dyDescent="0.3">
      <c r="A73" s="118" t="s">
        <v>9644</v>
      </c>
      <c r="B73" s="119"/>
      <c r="D73" t="s">
        <v>9650</v>
      </c>
      <c r="E73" s="118" t="s">
        <v>9680</v>
      </c>
      <c r="F73" s="119"/>
      <c r="H73" t="s">
        <v>9686</v>
      </c>
      <c r="I73" s="118" t="s">
        <v>9716</v>
      </c>
      <c r="J73" s="119"/>
      <c r="L73" t="s">
        <v>9722</v>
      </c>
      <c r="M73" s="118" t="s">
        <v>9752</v>
      </c>
      <c r="N73" s="119"/>
      <c r="P73" t="s">
        <v>9758</v>
      </c>
      <c r="Q73" s="118" t="s">
        <v>9788</v>
      </c>
      <c r="R73" s="119"/>
      <c r="T73" t="s">
        <v>9794</v>
      </c>
      <c r="U73" s="118" t="s">
        <v>9824</v>
      </c>
      <c r="V73" s="119"/>
      <c r="X73" t="s">
        <v>9830</v>
      </c>
    </row>
    <row r="74" spans="1:24" x14ac:dyDescent="0.3">
      <c r="A74" s="118" t="s">
        <v>9645</v>
      </c>
      <c r="B74" s="119"/>
      <c r="D74" t="s">
        <v>9651</v>
      </c>
      <c r="E74" s="118" t="s">
        <v>9681</v>
      </c>
      <c r="F74" s="119"/>
      <c r="H74" t="s">
        <v>9687</v>
      </c>
      <c r="I74" s="118" t="s">
        <v>9717</v>
      </c>
      <c r="J74" s="119"/>
      <c r="L74" t="s">
        <v>9723</v>
      </c>
      <c r="M74" s="118" t="s">
        <v>9753</v>
      </c>
      <c r="N74" s="119"/>
      <c r="P74" t="s">
        <v>9759</v>
      </c>
      <c r="Q74" s="118" t="s">
        <v>9789</v>
      </c>
      <c r="R74" s="119"/>
      <c r="T74" t="s">
        <v>9795</v>
      </c>
      <c r="U74" s="118" t="s">
        <v>9825</v>
      </c>
      <c r="V74" s="119"/>
      <c r="X74" t="s">
        <v>9831</v>
      </c>
    </row>
    <row r="75" spans="1:24" x14ac:dyDescent="0.3">
      <c r="A75" s="118" t="s">
        <v>9656</v>
      </c>
      <c r="B75" s="119"/>
      <c r="D75" t="s">
        <v>9662</v>
      </c>
      <c r="E75" s="118" t="s">
        <v>9692</v>
      </c>
      <c r="F75" s="119"/>
      <c r="H75" t="s">
        <v>9698</v>
      </c>
      <c r="I75" s="118" t="s">
        <v>9728</v>
      </c>
      <c r="J75" s="119"/>
      <c r="L75" t="s">
        <v>9734</v>
      </c>
      <c r="M75" s="118" t="s">
        <v>9764</v>
      </c>
      <c r="N75" s="119"/>
      <c r="P75" t="s">
        <v>9770</v>
      </c>
      <c r="Q75" s="118" t="s">
        <v>9800</v>
      </c>
      <c r="R75" s="119"/>
      <c r="T75" t="s">
        <v>9806</v>
      </c>
      <c r="U75" s="118" t="s">
        <v>9836</v>
      </c>
      <c r="V75" s="119"/>
      <c r="X75" t="s">
        <v>9842</v>
      </c>
    </row>
    <row r="76" spans="1:24" x14ac:dyDescent="0.3">
      <c r="A76" s="118" t="s">
        <v>9657</v>
      </c>
      <c r="B76" s="119"/>
      <c r="D76" t="s">
        <v>9663</v>
      </c>
      <c r="E76" s="118" t="s">
        <v>9693</v>
      </c>
      <c r="F76" s="119"/>
      <c r="H76" t="s">
        <v>9699</v>
      </c>
      <c r="I76" s="118" t="s">
        <v>9729</v>
      </c>
      <c r="J76" s="119"/>
      <c r="L76" t="s">
        <v>9735</v>
      </c>
      <c r="M76" s="118" t="s">
        <v>9765</v>
      </c>
      <c r="N76" s="119"/>
      <c r="P76" t="s">
        <v>9771</v>
      </c>
      <c r="Q76" s="118" t="s">
        <v>9801</v>
      </c>
      <c r="R76" s="119"/>
      <c r="T76" t="s">
        <v>9807</v>
      </c>
      <c r="U76" s="118" t="s">
        <v>9837</v>
      </c>
      <c r="V76" s="119"/>
      <c r="X76" t="s">
        <v>9843</v>
      </c>
    </row>
    <row r="77" spans="1:24" x14ac:dyDescent="0.3">
      <c r="A77" s="118" t="s">
        <v>9848</v>
      </c>
      <c r="B77" s="119"/>
      <c r="D77" t="s">
        <v>9854</v>
      </c>
      <c r="E77" s="118" t="s">
        <v>9884</v>
      </c>
      <c r="F77" s="119"/>
      <c r="H77" t="s">
        <v>9890</v>
      </c>
      <c r="I77" s="118" t="s">
        <v>9920</v>
      </c>
      <c r="J77" s="119"/>
      <c r="L77" t="s">
        <v>9926</v>
      </c>
      <c r="M77" s="118" t="s">
        <v>9956</v>
      </c>
      <c r="N77" s="119"/>
      <c r="P77" t="s">
        <v>9962</v>
      </c>
      <c r="Q77" s="118" t="s">
        <v>9992</v>
      </c>
      <c r="R77" s="119"/>
      <c r="T77" t="s">
        <v>9998</v>
      </c>
      <c r="U77" s="118" t="s">
        <v>10028</v>
      </c>
      <c r="V77" s="119"/>
      <c r="X77" t="s">
        <v>10034</v>
      </c>
    </row>
    <row r="78" spans="1:24" x14ac:dyDescent="0.3">
      <c r="A78" s="118" t="s">
        <v>9849</v>
      </c>
      <c r="B78" s="119"/>
      <c r="D78" t="s">
        <v>9855</v>
      </c>
      <c r="E78" s="118" t="s">
        <v>9885</v>
      </c>
      <c r="F78" s="119"/>
      <c r="H78" t="s">
        <v>9891</v>
      </c>
      <c r="I78" s="118" t="s">
        <v>9921</v>
      </c>
      <c r="J78" s="119"/>
      <c r="L78" t="s">
        <v>9927</v>
      </c>
      <c r="M78" s="118" t="s">
        <v>9957</v>
      </c>
      <c r="N78" s="119"/>
      <c r="P78" t="s">
        <v>9963</v>
      </c>
      <c r="Q78" s="118" t="s">
        <v>9993</v>
      </c>
      <c r="R78" s="119"/>
      <c r="T78" t="s">
        <v>9999</v>
      </c>
      <c r="U78" s="118" t="s">
        <v>10029</v>
      </c>
      <c r="V78" s="119"/>
      <c r="X78" t="s">
        <v>10035</v>
      </c>
    </row>
    <row r="79" spans="1:24" x14ac:dyDescent="0.3">
      <c r="A79" s="118" t="s">
        <v>9860</v>
      </c>
      <c r="B79" s="119"/>
      <c r="D79" t="s">
        <v>9866</v>
      </c>
      <c r="E79" s="118" t="s">
        <v>9896</v>
      </c>
      <c r="F79" s="119"/>
      <c r="H79" t="s">
        <v>9902</v>
      </c>
      <c r="I79" s="118" t="s">
        <v>9932</v>
      </c>
      <c r="J79" s="119"/>
      <c r="L79" t="s">
        <v>9938</v>
      </c>
      <c r="M79" s="118" t="s">
        <v>9968</v>
      </c>
      <c r="N79" s="119"/>
      <c r="P79" t="s">
        <v>9974</v>
      </c>
      <c r="Q79" s="118" t="s">
        <v>10004</v>
      </c>
      <c r="R79" s="119"/>
      <c r="T79" t="s">
        <v>10010</v>
      </c>
      <c r="U79" s="118" t="s">
        <v>10040</v>
      </c>
      <c r="V79" s="119"/>
      <c r="X79" t="s">
        <v>10046</v>
      </c>
    </row>
    <row r="80" spans="1:24" x14ac:dyDescent="0.3">
      <c r="A80" s="118" t="s">
        <v>9861</v>
      </c>
      <c r="B80" s="119"/>
      <c r="D80" t="s">
        <v>9867</v>
      </c>
      <c r="E80" s="118" t="s">
        <v>9897</v>
      </c>
      <c r="F80" s="119"/>
      <c r="H80" t="s">
        <v>9903</v>
      </c>
      <c r="I80" s="118" t="s">
        <v>9933</v>
      </c>
      <c r="J80" s="119"/>
      <c r="L80" t="s">
        <v>9939</v>
      </c>
      <c r="M80" s="118" t="s">
        <v>9969</v>
      </c>
      <c r="N80" s="119"/>
      <c r="P80" t="s">
        <v>9975</v>
      </c>
      <c r="Q80" s="118" t="s">
        <v>10005</v>
      </c>
      <c r="R80" s="119"/>
      <c r="T80" t="s">
        <v>10011</v>
      </c>
      <c r="U80" s="118" t="s">
        <v>10041</v>
      </c>
      <c r="V80" s="119"/>
      <c r="X80" t="s">
        <v>10047</v>
      </c>
    </row>
    <row r="81" spans="1:24" x14ac:dyDescent="0.3">
      <c r="A81" s="118" t="s">
        <v>9872</v>
      </c>
      <c r="B81" s="119"/>
      <c r="D81" t="s">
        <v>9878</v>
      </c>
      <c r="E81" s="118" t="s">
        <v>9908</v>
      </c>
      <c r="F81" s="119"/>
      <c r="H81" t="s">
        <v>9914</v>
      </c>
      <c r="I81" s="118" t="s">
        <v>9944</v>
      </c>
      <c r="J81" s="119"/>
      <c r="L81" t="s">
        <v>9950</v>
      </c>
      <c r="M81" s="118" t="s">
        <v>9980</v>
      </c>
      <c r="N81" s="119"/>
      <c r="P81" t="s">
        <v>9986</v>
      </c>
      <c r="Q81" s="118" t="s">
        <v>10016</v>
      </c>
      <c r="R81" s="119"/>
      <c r="T81" t="s">
        <v>10022</v>
      </c>
      <c r="U81" s="118" t="s">
        <v>10052</v>
      </c>
      <c r="V81" s="119"/>
      <c r="X81" t="s">
        <v>10058</v>
      </c>
    </row>
    <row r="82" spans="1:24" x14ac:dyDescent="0.3">
      <c r="A82" s="118" t="s">
        <v>9873</v>
      </c>
      <c r="B82" s="119"/>
      <c r="D82" t="s">
        <v>9879</v>
      </c>
      <c r="E82" s="118" t="s">
        <v>9909</v>
      </c>
      <c r="F82" s="119"/>
      <c r="H82" t="s">
        <v>9915</v>
      </c>
      <c r="I82" s="118" t="s">
        <v>9945</v>
      </c>
      <c r="J82" s="119"/>
      <c r="L82" t="s">
        <v>9951</v>
      </c>
      <c r="M82" s="118" t="s">
        <v>9981</v>
      </c>
      <c r="N82" s="119"/>
      <c r="P82" t="s">
        <v>9987</v>
      </c>
      <c r="Q82" s="118" t="s">
        <v>10017</v>
      </c>
      <c r="R82" s="119"/>
      <c r="T82" t="s">
        <v>10023</v>
      </c>
      <c r="U82" s="118" t="s">
        <v>10053</v>
      </c>
      <c r="V82" s="119"/>
      <c r="X82" t="s">
        <v>10059</v>
      </c>
    </row>
    <row r="83" spans="1:24" x14ac:dyDescent="0.3">
      <c r="A83" s="118" t="s">
        <v>10064</v>
      </c>
      <c r="B83" s="119"/>
      <c r="D83" t="s">
        <v>10070</v>
      </c>
      <c r="E83" s="118" t="s">
        <v>10100</v>
      </c>
      <c r="F83" s="119"/>
      <c r="H83" t="s">
        <v>10106</v>
      </c>
      <c r="I83" s="118" t="s">
        <v>10136</v>
      </c>
      <c r="J83" s="119"/>
      <c r="L83" t="s">
        <v>10142</v>
      </c>
      <c r="M83" s="118" t="s">
        <v>10172</v>
      </c>
      <c r="N83" s="119"/>
      <c r="P83" t="s">
        <v>10178</v>
      </c>
      <c r="Q83" s="118" t="s">
        <v>10208</v>
      </c>
      <c r="R83" s="119"/>
      <c r="T83" t="s">
        <v>10214</v>
      </c>
      <c r="U83" s="118" t="s">
        <v>10244</v>
      </c>
      <c r="V83" s="119"/>
      <c r="X83" t="s">
        <v>10250</v>
      </c>
    </row>
    <row r="84" spans="1:24" x14ac:dyDescent="0.3">
      <c r="A84" s="118" t="s">
        <v>10065</v>
      </c>
      <c r="B84" s="119"/>
      <c r="D84" t="s">
        <v>10071</v>
      </c>
      <c r="E84" s="118" t="s">
        <v>10101</v>
      </c>
      <c r="F84" s="119"/>
      <c r="H84" t="s">
        <v>10107</v>
      </c>
      <c r="I84" s="118" t="s">
        <v>10137</v>
      </c>
      <c r="J84" s="119"/>
      <c r="L84" t="s">
        <v>10143</v>
      </c>
      <c r="M84" s="118" t="s">
        <v>10173</v>
      </c>
      <c r="N84" s="119"/>
      <c r="P84" t="s">
        <v>10179</v>
      </c>
      <c r="Q84" s="118" t="s">
        <v>10209</v>
      </c>
      <c r="R84" s="119"/>
      <c r="T84" t="s">
        <v>10215</v>
      </c>
      <c r="U84" s="118" t="s">
        <v>10245</v>
      </c>
      <c r="V84" s="119"/>
      <c r="X84" t="s">
        <v>10251</v>
      </c>
    </row>
    <row r="85" spans="1:24" x14ac:dyDescent="0.3">
      <c r="A85" s="118" t="s">
        <v>10076</v>
      </c>
      <c r="B85" s="119"/>
      <c r="D85" t="s">
        <v>10082</v>
      </c>
      <c r="E85" s="118" t="s">
        <v>10112</v>
      </c>
      <c r="F85" s="119"/>
      <c r="H85" t="s">
        <v>10118</v>
      </c>
      <c r="I85" s="118" t="s">
        <v>10148</v>
      </c>
      <c r="J85" s="119"/>
      <c r="L85" t="s">
        <v>10154</v>
      </c>
      <c r="M85" s="118" t="s">
        <v>10184</v>
      </c>
      <c r="N85" s="119"/>
      <c r="P85" t="s">
        <v>10190</v>
      </c>
      <c r="Q85" s="118" t="s">
        <v>10220</v>
      </c>
      <c r="R85" s="119"/>
      <c r="T85" t="s">
        <v>10226</v>
      </c>
      <c r="U85" s="118" t="s">
        <v>10256</v>
      </c>
      <c r="V85" s="119"/>
      <c r="X85" t="s">
        <v>10262</v>
      </c>
    </row>
    <row r="86" spans="1:24" x14ac:dyDescent="0.3">
      <c r="A86" s="118" t="s">
        <v>10077</v>
      </c>
      <c r="B86" s="119"/>
      <c r="D86" t="s">
        <v>10083</v>
      </c>
      <c r="E86" s="118" t="s">
        <v>10113</v>
      </c>
      <c r="F86" s="119"/>
      <c r="H86" t="s">
        <v>10119</v>
      </c>
      <c r="I86" s="118" t="s">
        <v>10149</v>
      </c>
      <c r="J86" s="119"/>
      <c r="L86" t="s">
        <v>10155</v>
      </c>
      <c r="M86" s="118" t="s">
        <v>10185</v>
      </c>
      <c r="N86" s="119"/>
      <c r="P86" t="s">
        <v>10191</v>
      </c>
      <c r="Q86" s="118" t="s">
        <v>10221</v>
      </c>
      <c r="R86" s="119"/>
      <c r="T86" t="s">
        <v>10227</v>
      </c>
      <c r="U86" s="118" t="s">
        <v>10257</v>
      </c>
      <c r="V86" s="119"/>
      <c r="X86" t="s">
        <v>10263</v>
      </c>
    </row>
    <row r="87" spans="1:24" x14ac:dyDescent="0.3">
      <c r="A87" s="118" t="s">
        <v>10088</v>
      </c>
      <c r="B87" s="119"/>
      <c r="D87" t="s">
        <v>10094</v>
      </c>
      <c r="E87" s="118" t="s">
        <v>10124</v>
      </c>
      <c r="F87" s="119"/>
      <c r="H87" t="s">
        <v>10130</v>
      </c>
      <c r="I87" s="118" t="s">
        <v>10160</v>
      </c>
      <c r="J87" s="119"/>
      <c r="L87" t="s">
        <v>10166</v>
      </c>
      <c r="M87" s="118" t="s">
        <v>10196</v>
      </c>
      <c r="N87" s="119"/>
      <c r="P87" t="s">
        <v>10202</v>
      </c>
      <c r="Q87" s="118" t="s">
        <v>10232</v>
      </c>
      <c r="R87" s="119"/>
      <c r="T87" t="s">
        <v>10238</v>
      </c>
      <c r="U87" s="118" t="s">
        <v>10268</v>
      </c>
      <c r="V87" s="119"/>
      <c r="X87" t="s">
        <v>10274</v>
      </c>
    </row>
    <row r="88" spans="1:24" x14ac:dyDescent="0.3">
      <c r="A88" s="118" t="s">
        <v>10089</v>
      </c>
      <c r="B88" s="119"/>
      <c r="D88" t="s">
        <v>10095</v>
      </c>
      <c r="E88" s="118" t="s">
        <v>10125</v>
      </c>
      <c r="F88" s="119"/>
      <c r="H88" t="s">
        <v>10131</v>
      </c>
      <c r="I88" s="118" t="s">
        <v>10161</v>
      </c>
      <c r="J88" s="119"/>
      <c r="L88" t="s">
        <v>10167</v>
      </c>
      <c r="M88" s="118" t="s">
        <v>10197</v>
      </c>
      <c r="N88" s="119"/>
      <c r="P88" t="s">
        <v>10203</v>
      </c>
      <c r="Q88" s="118" t="s">
        <v>10233</v>
      </c>
      <c r="R88" s="119"/>
      <c r="T88" t="s">
        <v>10239</v>
      </c>
      <c r="U88" s="118" t="s">
        <v>10269</v>
      </c>
      <c r="V88" s="119"/>
      <c r="X88" t="s">
        <v>10275</v>
      </c>
    </row>
    <row r="89" spans="1:24" x14ac:dyDescent="0.3">
      <c r="A89" s="118" t="s">
        <v>10280</v>
      </c>
      <c r="B89" s="119"/>
      <c r="D89" t="s">
        <v>10286</v>
      </c>
      <c r="E89" s="118" t="s">
        <v>10316</v>
      </c>
      <c r="F89" s="119"/>
      <c r="H89" t="s">
        <v>10322</v>
      </c>
      <c r="I89" s="118" t="s">
        <v>10352</v>
      </c>
      <c r="J89" s="119"/>
      <c r="L89" t="s">
        <v>10358</v>
      </c>
      <c r="M89" s="118" t="s">
        <v>10388</v>
      </c>
      <c r="N89" s="119"/>
      <c r="P89" t="s">
        <v>10394</v>
      </c>
      <c r="Q89" s="118" t="s">
        <v>10424</v>
      </c>
      <c r="R89" s="119"/>
      <c r="T89" t="s">
        <v>10430</v>
      </c>
      <c r="U89" s="118" t="s">
        <v>10460</v>
      </c>
      <c r="V89" s="119"/>
      <c r="X89" t="s">
        <v>10466</v>
      </c>
    </row>
    <row r="90" spans="1:24" x14ac:dyDescent="0.3">
      <c r="A90" s="118" t="s">
        <v>10281</v>
      </c>
      <c r="B90" s="119"/>
      <c r="D90" t="s">
        <v>10287</v>
      </c>
      <c r="E90" s="118" t="s">
        <v>10317</v>
      </c>
      <c r="F90" s="119"/>
      <c r="H90" t="s">
        <v>10323</v>
      </c>
      <c r="I90" s="118" t="s">
        <v>10353</v>
      </c>
      <c r="J90" s="119"/>
      <c r="L90" t="s">
        <v>10359</v>
      </c>
      <c r="M90" s="118" t="s">
        <v>10389</v>
      </c>
      <c r="N90" s="119"/>
      <c r="P90" t="s">
        <v>10395</v>
      </c>
      <c r="Q90" s="118" t="s">
        <v>10425</v>
      </c>
      <c r="R90" s="119"/>
      <c r="T90" t="s">
        <v>10431</v>
      </c>
      <c r="U90" s="118" t="s">
        <v>10461</v>
      </c>
      <c r="V90" s="119"/>
      <c r="X90" t="s">
        <v>10467</v>
      </c>
    </row>
    <row r="91" spans="1:24" x14ac:dyDescent="0.3">
      <c r="A91" s="118" t="s">
        <v>10292</v>
      </c>
      <c r="B91" s="119"/>
      <c r="D91" t="s">
        <v>10298</v>
      </c>
      <c r="E91" s="118" t="s">
        <v>10328</v>
      </c>
      <c r="F91" s="119"/>
      <c r="H91" t="s">
        <v>10334</v>
      </c>
      <c r="I91" s="118" t="s">
        <v>10364</v>
      </c>
      <c r="J91" s="119"/>
      <c r="L91" t="s">
        <v>10370</v>
      </c>
      <c r="M91" s="118" t="s">
        <v>10400</v>
      </c>
      <c r="N91" s="119"/>
      <c r="P91" t="s">
        <v>10406</v>
      </c>
      <c r="Q91" s="118" t="s">
        <v>10436</v>
      </c>
      <c r="R91" s="119"/>
      <c r="T91" t="s">
        <v>10442</v>
      </c>
      <c r="U91" s="118" t="s">
        <v>10472</v>
      </c>
      <c r="V91" s="119"/>
      <c r="X91" t="s">
        <v>10478</v>
      </c>
    </row>
    <row r="92" spans="1:24" x14ac:dyDescent="0.3">
      <c r="A92" s="118" t="s">
        <v>10293</v>
      </c>
      <c r="B92" s="119"/>
      <c r="D92" t="s">
        <v>10299</v>
      </c>
      <c r="E92" s="118" t="s">
        <v>10329</v>
      </c>
      <c r="F92" s="119"/>
      <c r="H92" t="s">
        <v>10335</v>
      </c>
      <c r="I92" s="118" t="s">
        <v>10365</v>
      </c>
      <c r="J92" s="119"/>
      <c r="L92" t="s">
        <v>10371</v>
      </c>
      <c r="M92" s="118" t="s">
        <v>10401</v>
      </c>
      <c r="N92" s="119"/>
      <c r="P92" t="s">
        <v>10407</v>
      </c>
      <c r="Q92" s="118" t="s">
        <v>10437</v>
      </c>
      <c r="R92" s="119"/>
      <c r="T92" t="s">
        <v>10443</v>
      </c>
      <c r="U92" s="118" t="s">
        <v>10473</v>
      </c>
      <c r="V92" s="119"/>
      <c r="X92" t="s">
        <v>10479</v>
      </c>
    </row>
    <row r="93" spans="1:24" x14ac:dyDescent="0.3">
      <c r="A93" s="118" t="s">
        <v>10304</v>
      </c>
      <c r="B93" s="119"/>
      <c r="D93" t="s">
        <v>10310</v>
      </c>
      <c r="E93" s="118" t="s">
        <v>10340</v>
      </c>
      <c r="F93" s="119"/>
      <c r="H93" t="s">
        <v>10346</v>
      </c>
      <c r="I93" s="118" t="s">
        <v>10376</v>
      </c>
      <c r="J93" s="119"/>
      <c r="L93" t="s">
        <v>10382</v>
      </c>
      <c r="M93" s="118" t="s">
        <v>10412</v>
      </c>
      <c r="N93" s="119"/>
      <c r="P93" t="s">
        <v>10418</v>
      </c>
      <c r="Q93" s="118" t="s">
        <v>10448</v>
      </c>
      <c r="R93" s="119"/>
      <c r="T93" t="s">
        <v>10454</v>
      </c>
      <c r="U93" s="118" t="s">
        <v>10484</v>
      </c>
      <c r="V93" s="119"/>
      <c r="X93" t="s">
        <v>10490</v>
      </c>
    </row>
    <row r="94" spans="1:24" x14ac:dyDescent="0.3">
      <c r="A94" s="118" t="s">
        <v>10305</v>
      </c>
      <c r="B94" s="119"/>
      <c r="D94" t="s">
        <v>10311</v>
      </c>
      <c r="E94" s="118" t="s">
        <v>10341</v>
      </c>
      <c r="F94" s="119"/>
      <c r="H94" t="s">
        <v>10347</v>
      </c>
      <c r="I94" s="118" t="s">
        <v>10377</v>
      </c>
      <c r="J94" s="119"/>
      <c r="L94" t="s">
        <v>10383</v>
      </c>
      <c r="M94" s="118" t="s">
        <v>10413</v>
      </c>
      <c r="N94" s="119"/>
      <c r="P94" t="s">
        <v>10419</v>
      </c>
      <c r="Q94" s="118" t="s">
        <v>10449</v>
      </c>
      <c r="R94" s="119"/>
      <c r="T94" t="s">
        <v>10455</v>
      </c>
      <c r="U94" s="118" t="s">
        <v>10485</v>
      </c>
      <c r="V94" s="119"/>
      <c r="X94" t="s">
        <v>10491</v>
      </c>
    </row>
    <row r="95" spans="1:24" x14ac:dyDescent="0.3">
      <c r="A95" s="118" t="s">
        <v>10496</v>
      </c>
      <c r="B95" s="119"/>
      <c r="D95" t="s">
        <v>10502</v>
      </c>
      <c r="E95" s="118" t="s">
        <v>10532</v>
      </c>
      <c r="F95" s="119"/>
      <c r="H95" t="s">
        <v>10538</v>
      </c>
      <c r="I95" s="118" t="s">
        <v>10568</v>
      </c>
      <c r="J95" s="119"/>
      <c r="L95" t="s">
        <v>10574</v>
      </c>
      <c r="M95" s="118" t="s">
        <v>10604</v>
      </c>
      <c r="N95" s="119"/>
      <c r="P95" t="s">
        <v>10610</v>
      </c>
      <c r="Q95" s="118" t="s">
        <v>10640</v>
      </c>
      <c r="R95" s="119"/>
      <c r="T95" t="s">
        <v>10646</v>
      </c>
      <c r="U95" s="118" t="s">
        <v>10676</v>
      </c>
      <c r="V95" s="119"/>
      <c r="X95" t="s">
        <v>10682</v>
      </c>
    </row>
    <row r="96" spans="1:24" x14ac:dyDescent="0.3">
      <c r="A96" s="118" t="s">
        <v>10497</v>
      </c>
      <c r="B96" s="119"/>
      <c r="D96" t="s">
        <v>10503</v>
      </c>
      <c r="E96" s="118" t="s">
        <v>10533</v>
      </c>
      <c r="F96" s="119"/>
      <c r="H96" t="s">
        <v>10539</v>
      </c>
      <c r="I96" s="118" t="s">
        <v>10569</v>
      </c>
      <c r="J96" s="119"/>
      <c r="L96" t="s">
        <v>10575</v>
      </c>
      <c r="M96" s="118" t="s">
        <v>10605</v>
      </c>
      <c r="N96" s="119"/>
      <c r="P96" t="s">
        <v>10611</v>
      </c>
      <c r="Q96" s="118" t="s">
        <v>10641</v>
      </c>
      <c r="R96" s="119"/>
      <c r="T96" t="s">
        <v>10647</v>
      </c>
      <c r="U96" s="118" t="s">
        <v>10677</v>
      </c>
      <c r="V96" s="119"/>
      <c r="X96" t="s">
        <v>10683</v>
      </c>
    </row>
    <row r="97" spans="1:24" x14ac:dyDescent="0.3">
      <c r="A97" s="118" t="s">
        <v>10508</v>
      </c>
      <c r="B97" s="119"/>
      <c r="D97" t="s">
        <v>10514</v>
      </c>
      <c r="E97" s="118" t="s">
        <v>10544</v>
      </c>
      <c r="F97" s="119"/>
      <c r="H97" t="s">
        <v>10550</v>
      </c>
      <c r="I97" s="118" t="s">
        <v>10580</v>
      </c>
      <c r="J97" s="119"/>
      <c r="L97" t="s">
        <v>10586</v>
      </c>
      <c r="M97" s="118" t="s">
        <v>10616</v>
      </c>
      <c r="N97" s="119"/>
      <c r="P97" t="s">
        <v>10622</v>
      </c>
      <c r="Q97" s="118" t="s">
        <v>10652</v>
      </c>
      <c r="R97" s="119"/>
      <c r="T97" t="s">
        <v>10658</v>
      </c>
      <c r="U97" s="118" t="s">
        <v>10688</v>
      </c>
      <c r="V97" s="119"/>
      <c r="X97" t="s">
        <v>10694</v>
      </c>
    </row>
    <row r="98" spans="1:24" x14ac:dyDescent="0.3">
      <c r="A98" s="118" t="s">
        <v>10509</v>
      </c>
      <c r="B98" s="119"/>
      <c r="D98" t="s">
        <v>10515</v>
      </c>
      <c r="E98" s="118" t="s">
        <v>10545</v>
      </c>
      <c r="F98" s="119"/>
      <c r="H98" t="s">
        <v>10551</v>
      </c>
      <c r="I98" s="118" t="s">
        <v>10581</v>
      </c>
      <c r="J98" s="119"/>
      <c r="L98" t="s">
        <v>10587</v>
      </c>
      <c r="M98" s="118" t="s">
        <v>10617</v>
      </c>
      <c r="N98" s="119"/>
      <c r="P98" t="s">
        <v>10623</v>
      </c>
      <c r="Q98" s="118" t="s">
        <v>10653</v>
      </c>
      <c r="R98" s="119"/>
      <c r="T98" t="s">
        <v>10659</v>
      </c>
      <c r="U98" s="118" t="s">
        <v>10689</v>
      </c>
      <c r="V98" s="119"/>
      <c r="X98" t="s">
        <v>10695</v>
      </c>
    </row>
    <row r="99" spans="1:24" x14ac:dyDescent="0.3">
      <c r="A99" s="118" t="s">
        <v>10520</v>
      </c>
      <c r="B99" s="119"/>
      <c r="D99" t="s">
        <v>10526</v>
      </c>
      <c r="E99" s="118" t="s">
        <v>10556</v>
      </c>
      <c r="F99" s="119"/>
      <c r="H99" t="s">
        <v>10562</v>
      </c>
      <c r="I99" s="118" t="s">
        <v>10592</v>
      </c>
      <c r="J99" s="119"/>
      <c r="L99" t="s">
        <v>10598</v>
      </c>
      <c r="M99" s="118" t="s">
        <v>10628</v>
      </c>
      <c r="N99" s="119"/>
      <c r="P99" t="s">
        <v>10634</v>
      </c>
      <c r="Q99" s="118" t="s">
        <v>10664</v>
      </c>
      <c r="R99" s="119"/>
      <c r="T99" t="s">
        <v>10670</v>
      </c>
      <c r="U99" s="118" t="s">
        <v>10700</v>
      </c>
      <c r="V99" s="119"/>
      <c r="X99" t="s">
        <v>10706</v>
      </c>
    </row>
    <row r="100" spans="1:24" x14ac:dyDescent="0.3">
      <c r="A100" s="118" t="s">
        <v>10521</v>
      </c>
      <c r="B100" s="119"/>
      <c r="D100" t="s">
        <v>10527</v>
      </c>
      <c r="E100" s="118" t="s">
        <v>10557</v>
      </c>
      <c r="F100" s="119"/>
      <c r="H100" t="s">
        <v>10563</v>
      </c>
      <c r="I100" s="118" t="s">
        <v>10593</v>
      </c>
      <c r="J100" s="119"/>
      <c r="L100" t="s">
        <v>10599</v>
      </c>
      <c r="M100" s="118" t="s">
        <v>10629</v>
      </c>
      <c r="N100" s="119"/>
      <c r="P100" t="s">
        <v>10635</v>
      </c>
      <c r="Q100" s="118" t="s">
        <v>10665</v>
      </c>
      <c r="R100" s="119"/>
      <c r="T100" t="s">
        <v>10671</v>
      </c>
      <c r="U100" s="118" t="s">
        <v>10701</v>
      </c>
      <c r="V100" s="119"/>
      <c r="X100" t="s">
        <v>10707</v>
      </c>
    </row>
    <row r="101" spans="1:24" x14ac:dyDescent="0.3">
      <c r="A101" s="118" t="s">
        <v>10712</v>
      </c>
      <c r="B101" s="119"/>
      <c r="D101" t="s">
        <v>10718</v>
      </c>
      <c r="E101" s="118" t="s">
        <v>10748</v>
      </c>
      <c r="F101" s="119"/>
      <c r="H101" t="s">
        <v>10754</v>
      </c>
      <c r="I101" s="118" t="s">
        <v>10784</v>
      </c>
      <c r="J101" s="119"/>
      <c r="L101" t="s">
        <v>10790</v>
      </c>
      <c r="M101" s="118" t="s">
        <v>10820</v>
      </c>
      <c r="N101" s="119"/>
      <c r="P101" t="s">
        <v>10826</v>
      </c>
      <c r="Q101" s="118" t="s">
        <v>10856</v>
      </c>
      <c r="R101" s="119"/>
      <c r="T101" t="s">
        <v>10862</v>
      </c>
      <c r="U101" s="118" t="s">
        <v>10892</v>
      </c>
      <c r="V101" s="119"/>
      <c r="X101" t="s">
        <v>10898</v>
      </c>
    </row>
    <row r="102" spans="1:24" x14ac:dyDescent="0.3">
      <c r="A102" s="118" t="s">
        <v>10713</v>
      </c>
      <c r="B102" s="119"/>
      <c r="D102" t="s">
        <v>10719</v>
      </c>
      <c r="E102" s="118" t="s">
        <v>10749</v>
      </c>
      <c r="F102" s="119"/>
      <c r="H102" t="s">
        <v>10755</v>
      </c>
      <c r="I102" s="118" t="s">
        <v>10785</v>
      </c>
      <c r="J102" s="119"/>
      <c r="L102" t="s">
        <v>10791</v>
      </c>
      <c r="M102" s="118" t="s">
        <v>10821</v>
      </c>
      <c r="N102" s="119"/>
      <c r="P102" t="s">
        <v>10827</v>
      </c>
      <c r="Q102" s="118" t="s">
        <v>10857</v>
      </c>
      <c r="R102" s="119"/>
      <c r="T102" t="s">
        <v>10863</v>
      </c>
      <c r="U102" s="118" t="s">
        <v>10893</v>
      </c>
      <c r="V102" s="119"/>
      <c r="X102" t="s">
        <v>10899</v>
      </c>
    </row>
    <row r="103" spans="1:24" x14ac:dyDescent="0.3">
      <c r="A103" s="118" t="s">
        <v>10724</v>
      </c>
      <c r="B103" s="119"/>
      <c r="D103" t="s">
        <v>10730</v>
      </c>
      <c r="E103" s="118" t="s">
        <v>10760</v>
      </c>
      <c r="F103" s="119"/>
      <c r="H103" t="s">
        <v>10766</v>
      </c>
      <c r="I103" s="118" t="s">
        <v>10796</v>
      </c>
      <c r="J103" s="119"/>
      <c r="L103" t="s">
        <v>10802</v>
      </c>
      <c r="M103" s="118" t="s">
        <v>10832</v>
      </c>
      <c r="N103" s="119"/>
      <c r="P103" t="s">
        <v>10838</v>
      </c>
      <c r="Q103" s="118" t="s">
        <v>10868</v>
      </c>
      <c r="R103" s="119"/>
      <c r="T103" t="s">
        <v>10874</v>
      </c>
      <c r="U103" s="118" t="s">
        <v>10904</v>
      </c>
      <c r="V103" s="119"/>
      <c r="X103" t="s">
        <v>10910</v>
      </c>
    </row>
    <row r="104" spans="1:24" x14ac:dyDescent="0.3">
      <c r="A104" s="118" t="s">
        <v>10725</v>
      </c>
      <c r="B104" s="119"/>
      <c r="D104" t="s">
        <v>10731</v>
      </c>
      <c r="E104" s="118" t="s">
        <v>10761</v>
      </c>
      <c r="F104" s="119"/>
      <c r="H104" t="s">
        <v>10767</v>
      </c>
      <c r="I104" s="118" t="s">
        <v>10797</v>
      </c>
      <c r="J104" s="119"/>
      <c r="L104" t="s">
        <v>10803</v>
      </c>
      <c r="M104" s="118" t="s">
        <v>10833</v>
      </c>
      <c r="N104" s="119"/>
      <c r="P104" t="s">
        <v>10839</v>
      </c>
      <c r="Q104" s="118" t="s">
        <v>10869</v>
      </c>
      <c r="R104" s="119"/>
      <c r="T104" t="s">
        <v>10875</v>
      </c>
      <c r="U104" s="118" t="s">
        <v>10905</v>
      </c>
      <c r="V104" s="119"/>
      <c r="X104" t="s">
        <v>10911</v>
      </c>
    </row>
    <row r="105" spans="1:24" x14ac:dyDescent="0.3">
      <c r="A105" s="118" t="s">
        <v>10736</v>
      </c>
      <c r="B105" s="119"/>
      <c r="D105" t="s">
        <v>10742</v>
      </c>
      <c r="E105" s="118" t="s">
        <v>10772</v>
      </c>
      <c r="F105" s="119"/>
      <c r="H105" t="s">
        <v>10778</v>
      </c>
      <c r="I105" s="118" t="s">
        <v>10808</v>
      </c>
      <c r="J105" s="119"/>
      <c r="L105" t="s">
        <v>10814</v>
      </c>
      <c r="M105" s="118" t="s">
        <v>10844</v>
      </c>
      <c r="N105" s="119"/>
      <c r="P105" t="s">
        <v>10850</v>
      </c>
      <c r="Q105" s="118" t="s">
        <v>10880</v>
      </c>
      <c r="R105" s="119"/>
      <c r="T105" t="s">
        <v>10886</v>
      </c>
      <c r="U105" s="118" t="s">
        <v>10916</v>
      </c>
      <c r="V105" s="119"/>
      <c r="X105" t="s">
        <v>10922</v>
      </c>
    </row>
    <row r="106" spans="1:24" x14ac:dyDescent="0.3">
      <c r="A106" s="118" t="s">
        <v>10737</v>
      </c>
      <c r="B106" s="119"/>
      <c r="D106" t="s">
        <v>10743</v>
      </c>
      <c r="E106" s="118" t="s">
        <v>10773</v>
      </c>
      <c r="F106" s="119"/>
      <c r="H106" t="s">
        <v>10779</v>
      </c>
      <c r="I106" s="118" t="s">
        <v>10809</v>
      </c>
      <c r="J106" s="119"/>
      <c r="L106" t="s">
        <v>10815</v>
      </c>
      <c r="M106" s="118" t="s">
        <v>10845</v>
      </c>
      <c r="N106" s="119"/>
      <c r="P106" t="s">
        <v>10851</v>
      </c>
      <c r="Q106" s="118" t="s">
        <v>10881</v>
      </c>
      <c r="R106" s="119"/>
      <c r="T106" t="s">
        <v>10887</v>
      </c>
      <c r="U106" s="118" t="s">
        <v>10917</v>
      </c>
      <c r="V106" s="119"/>
      <c r="X106" t="s">
        <v>10923</v>
      </c>
    </row>
    <row r="107" spans="1:24" x14ac:dyDescent="0.3">
      <c r="A107" s="118" t="s">
        <v>10928</v>
      </c>
      <c r="B107" s="119"/>
      <c r="D107" t="s">
        <v>10934</v>
      </c>
      <c r="E107" s="118" t="s">
        <v>10964</v>
      </c>
      <c r="F107" s="119"/>
      <c r="H107" t="s">
        <v>10970</v>
      </c>
      <c r="I107" s="118" t="s">
        <v>11000</v>
      </c>
      <c r="J107" s="119"/>
      <c r="L107" t="s">
        <v>11006</v>
      </c>
      <c r="M107" s="118" t="s">
        <v>11036</v>
      </c>
      <c r="N107" s="119"/>
      <c r="P107" t="s">
        <v>11042</v>
      </c>
      <c r="Q107" s="118" t="s">
        <v>11072</v>
      </c>
      <c r="R107" s="119"/>
      <c r="T107" t="s">
        <v>11078</v>
      </c>
      <c r="U107" s="118" t="s">
        <v>11108</v>
      </c>
      <c r="V107" s="119"/>
      <c r="X107" t="s">
        <v>11114</v>
      </c>
    </row>
    <row r="108" spans="1:24" x14ac:dyDescent="0.3">
      <c r="A108" s="118" t="s">
        <v>10929</v>
      </c>
      <c r="B108" s="119"/>
      <c r="D108" t="s">
        <v>10935</v>
      </c>
      <c r="E108" s="118" t="s">
        <v>10965</v>
      </c>
      <c r="F108" s="119"/>
      <c r="H108" t="s">
        <v>10971</v>
      </c>
      <c r="I108" s="118" t="s">
        <v>11001</v>
      </c>
      <c r="J108" s="119"/>
      <c r="L108" t="s">
        <v>11007</v>
      </c>
      <c r="M108" s="118" t="s">
        <v>11037</v>
      </c>
      <c r="N108" s="119"/>
      <c r="P108" t="s">
        <v>11043</v>
      </c>
      <c r="Q108" s="118" t="s">
        <v>11073</v>
      </c>
      <c r="R108" s="119"/>
      <c r="T108" t="s">
        <v>11079</v>
      </c>
      <c r="U108" s="118" t="s">
        <v>11109</v>
      </c>
      <c r="V108" s="119"/>
      <c r="X108" t="s">
        <v>11115</v>
      </c>
    </row>
    <row r="109" spans="1:24" x14ac:dyDescent="0.3">
      <c r="A109" s="118" t="s">
        <v>10940</v>
      </c>
      <c r="B109" s="119"/>
      <c r="D109" t="s">
        <v>10946</v>
      </c>
      <c r="E109" s="118" t="s">
        <v>10976</v>
      </c>
      <c r="F109" s="119"/>
      <c r="H109" t="s">
        <v>10982</v>
      </c>
      <c r="I109" s="118" t="s">
        <v>11012</v>
      </c>
      <c r="J109" s="119"/>
      <c r="L109" t="s">
        <v>11018</v>
      </c>
      <c r="M109" s="118" t="s">
        <v>11048</v>
      </c>
      <c r="N109" s="119"/>
      <c r="P109" t="s">
        <v>11054</v>
      </c>
      <c r="Q109" s="118" t="s">
        <v>11084</v>
      </c>
      <c r="R109" s="119"/>
      <c r="T109" t="s">
        <v>11090</v>
      </c>
      <c r="U109" s="118" t="s">
        <v>11120</v>
      </c>
      <c r="V109" s="119"/>
      <c r="X109" t="s">
        <v>11126</v>
      </c>
    </row>
    <row r="110" spans="1:24" x14ac:dyDescent="0.3">
      <c r="A110" s="118" t="s">
        <v>10941</v>
      </c>
      <c r="B110" s="119"/>
      <c r="D110" t="s">
        <v>10947</v>
      </c>
      <c r="E110" s="118" t="s">
        <v>10977</v>
      </c>
      <c r="F110" s="119"/>
      <c r="H110" t="s">
        <v>10983</v>
      </c>
      <c r="I110" s="118" t="s">
        <v>11013</v>
      </c>
      <c r="J110" s="119"/>
      <c r="L110" t="s">
        <v>11019</v>
      </c>
      <c r="M110" s="118" t="s">
        <v>11049</v>
      </c>
      <c r="N110" s="119"/>
      <c r="P110" t="s">
        <v>11055</v>
      </c>
      <c r="Q110" s="118" t="s">
        <v>11085</v>
      </c>
      <c r="R110" s="119"/>
      <c r="T110" t="s">
        <v>11091</v>
      </c>
      <c r="U110" s="118" t="s">
        <v>11121</v>
      </c>
      <c r="V110" s="119"/>
      <c r="X110" t="s">
        <v>11127</v>
      </c>
    </row>
    <row r="111" spans="1:24" x14ac:dyDescent="0.3">
      <c r="A111" s="118" t="s">
        <v>10952</v>
      </c>
      <c r="B111" s="119"/>
      <c r="D111" t="s">
        <v>10958</v>
      </c>
      <c r="E111" s="118" t="s">
        <v>10988</v>
      </c>
      <c r="F111" s="119"/>
      <c r="H111" t="s">
        <v>10994</v>
      </c>
      <c r="I111" s="118" t="s">
        <v>11024</v>
      </c>
      <c r="J111" s="119"/>
      <c r="L111" t="s">
        <v>11030</v>
      </c>
      <c r="M111" s="118" t="s">
        <v>11060</v>
      </c>
      <c r="N111" s="119"/>
      <c r="P111" t="s">
        <v>11066</v>
      </c>
      <c r="Q111" s="118" t="s">
        <v>11096</v>
      </c>
      <c r="R111" s="119"/>
      <c r="T111" t="s">
        <v>11102</v>
      </c>
      <c r="U111" s="118" t="s">
        <v>11132</v>
      </c>
      <c r="V111" s="119"/>
      <c r="X111" t="s">
        <v>11138</v>
      </c>
    </row>
    <row r="112" spans="1:24" x14ac:dyDescent="0.3">
      <c r="A112" s="118" t="s">
        <v>10953</v>
      </c>
      <c r="B112" s="119"/>
      <c r="D112" t="s">
        <v>10959</v>
      </c>
      <c r="E112" s="118" t="s">
        <v>10989</v>
      </c>
      <c r="F112" s="119"/>
      <c r="H112" t="s">
        <v>10995</v>
      </c>
      <c r="I112" s="118" t="s">
        <v>11025</v>
      </c>
      <c r="J112" s="119"/>
      <c r="L112" t="s">
        <v>11031</v>
      </c>
      <c r="M112" s="118" t="s">
        <v>11061</v>
      </c>
      <c r="N112" s="119"/>
      <c r="P112" t="s">
        <v>11067</v>
      </c>
      <c r="Q112" s="118" t="s">
        <v>11097</v>
      </c>
      <c r="R112" s="119"/>
      <c r="T112" t="s">
        <v>11103</v>
      </c>
      <c r="U112" s="118" t="s">
        <v>11133</v>
      </c>
      <c r="V112" s="119"/>
      <c r="X112" t="s">
        <v>11139</v>
      </c>
    </row>
    <row r="113" spans="1:24" x14ac:dyDescent="0.3">
      <c r="A113" s="118" t="s">
        <v>11144</v>
      </c>
      <c r="B113" s="119"/>
      <c r="D113" t="s">
        <v>11150</v>
      </c>
      <c r="E113" s="118" t="s">
        <v>11180</v>
      </c>
      <c r="F113" s="119"/>
      <c r="H113" t="s">
        <v>11186</v>
      </c>
      <c r="I113" s="118" t="s">
        <v>11216</v>
      </c>
      <c r="J113" s="119"/>
      <c r="L113" t="s">
        <v>11222</v>
      </c>
      <c r="M113" s="118" t="s">
        <v>11252</v>
      </c>
      <c r="N113" s="119"/>
      <c r="P113" t="s">
        <v>11258</v>
      </c>
      <c r="Q113" s="118" t="s">
        <v>11288</v>
      </c>
      <c r="R113" s="119"/>
      <c r="T113" t="s">
        <v>11294</v>
      </c>
      <c r="U113" s="118" t="s">
        <v>11324</v>
      </c>
      <c r="V113" s="119"/>
      <c r="X113" t="s">
        <v>11330</v>
      </c>
    </row>
    <row r="114" spans="1:24" x14ac:dyDescent="0.3">
      <c r="A114" s="118" t="s">
        <v>11145</v>
      </c>
      <c r="B114" s="119"/>
      <c r="D114" t="s">
        <v>11151</v>
      </c>
      <c r="E114" s="118" t="s">
        <v>11181</v>
      </c>
      <c r="F114" s="119"/>
      <c r="H114" t="s">
        <v>11187</v>
      </c>
      <c r="I114" s="118" t="s">
        <v>11217</v>
      </c>
      <c r="J114" s="119"/>
      <c r="L114" t="s">
        <v>11223</v>
      </c>
      <c r="M114" s="118" t="s">
        <v>11253</v>
      </c>
      <c r="N114" s="119"/>
      <c r="P114" t="s">
        <v>11259</v>
      </c>
      <c r="Q114" s="118" t="s">
        <v>11289</v>
      </c>
      <c r="R114" s="119"/>
      <c r="T114" t="s">
        <v>11295</v>
      </c>
      <c r="U114" s="118" t="s">
        <v>11325</v>
      </c>
      <c r="V114" s="119"/>
      <c r="X114" t="s">
        <v>11331</v>
      </c>
    </row>
    <row r="115" spans="1:24" x14ac:dyDescent="0.3">
      <c r="A115" s="118" t="s">
        <v>11156</v>
      </c>
      <c r="B115" s="119"/>
      <c r="D115" t="s">
        <v>11162</v>
      </c>
      <c r="E115" s="118" t="s">
        <v>11192</v>
      </c>
      <c r="F115" s="119"/>
      <c r="H115" t="s">
        <v>11198</v>
      </c>
      <c r="I115" s="118" t="s">
        <v>11228</v>
      </c>
      <c r="J115" s="119"/>
      <c r="L115" t="s">
        <v>11234</v>
      </c>
      <c r="M115" s="118" t="s">
        <v>11264</v>
      </c>
      <c r="N115" s="119"/>
      <c r="P115" t="s">
        <v>11270</v>
      </c>
      <c r="Q115" s="118" t="s">
        <v>11300</v>
      </c>
      <c r="R115" s="119"/>
      <c r="T115" t="s">
        <v>11306</v>
      </c>
      <c r="U115" s="118" t="s">
        <v>11336</v>
      </c>
      <c r="V115" s="119"/>
      <c r="X115" t="s">
        <v>11342</v>
      </c>
    </row>
    <row r="116" spans="1:24" x14ac:dyDescent="0.3">
      <c r="A116" s="118" t="s">
        <v>11157</v>
      </c>
      <c r="B116" s="119"/>
      <c r="D116" t="s">
        <v>11163</v>
      </c>
      <c r="E116" s="118" t="s">
        <v>11193</v>
      </c>
      <c r="F116" s="119"/>
      <c r="H116" t="s">
        <v>11199</v>
      </c>
      <c r="I116" s="118" t="s">
        <v>11229</v>
      </c>
      <c r="J116" s="119"/>
      <c r="L116" t="s">
        <v>11235</v>
      </c>
      <c r="M116" s="118" t="s">
        <v>11265</v>
      </c>
      <c r="N116" s="119"/>
      <c r="P116" t="s">
        <v>11271</v>
      </c>
      <c r="Q116" s="118" t="s">
        <v>11301</v>
      </c>
      <c r="R116" s="119"/>
      <c r="T116" t="s">
        <v>11307</v>
      </c>
      <c r="U116" s="118" t="s">
        <v>11337</v>
      </c>
      <c r="V116" s="119"/>
      <c r="X116" t="s">
        <v>11343</v>
      </c>
    </row>
    <row r="117" spans="1:24" x14ac:dyDescent="0.3">
      <c r="A117" s="118" t="s">
        <v>11168</v>
      </c>
      <c r="B117" s="119"/>
      <c r="D117" t="s">
        <v>11174</v>
      </c>
      <c r="E117" s="118" t="s">
        <v>11204</v>
      </c>
      <c r="F117" s="119"/>
      <c r="H117" t="s">
        <v>11210</v>
      </c>
      <c r="I117" s="118" t="s">
        <v>11240</v>
      </c>
      <c r="J117" s="119"/>
      <c r="L117" t="s">
        <v>11246</v>
      </c>
      <c r="M117" s="118" t="s">
        <v>11276</v>
      </c>
      <c r="N117" s="119"/>
      <c r="P117" t="s">
        <v>11282</v>
      </c>
      <c r="Q117" s="118" t="s">
        <v>11312</v>
      </c>
      <c r="R117" s="119"/>
      <c r="T117" t="s">
        <v>11318</v>
      </c>
      <c r="U117" s="118" t="s">
        <v>11348</v>
      </c>
      <c r="V117" s="119"/>
      <c r="X117" t="s">
        <v>11354</v>
      </c>
    </row>
    <row r="118" spans="1:24" x14ac:dyDescent="0.3">
      <c r="A118" s="118" t="s">
        <v>11169</v>
      </c>
      <c r="B118" s="119"/>
      <c r="D118" t="s">
        <v>11175</v>
      </c>
      <c r="E118" s="118" t="s">
        <v>11205</v>
      </c>
      <c r="F118" s="119"/>
      <c r="H118" t="s">
        <v>11211</v>
      </c>
      <c r="I118" s="118" t="s">
        <v>11241</v>
      </c>
      <c r="J118" s="119"/>
      <c r="L118" t="s">
        <v>11247</v>
      </c>
      <c r="M118" s="118" t="s">
        <v>11277</v>
      </c>
      <c r="N118" s="119"/>
      <c r="P118" t="s">
        <v>11283</v>
      </c>
      <c r="Q118" s="118" t="s">
        <v>11313</v>
      </c>
      <c r="R118" s="119"/>
      <c r="T118" t="s">
        <v>11319</v>
      </c>
      <c r="U118" s="118" t="s">
        <v>11349</v>
      </c>
      <c r="V118" s="119"/>
      <c r="X118" t="s">
        <v>11355</v>
      </c>
    </row>
    <row r="119" spans="1:24" x14ac:dyDescent="0.3">
      <c r="A119" s="118" t="s">
        <v>11360</v>
      </c>
      <c r="B119" s="119"/>
      <c r="D119" t="s">
        <v>11366</v>
      </c>
      <c r="E119" s="118" t="s">
        <v>11396</v>
      </c>
      <c r="F119" s="119"/>
      <c r="H119" t="s">
        <v>11402</v>
      </c>
      <c r="I119" s="118" t="s">
        <v>11432</v>
      </c>
      <c r="J119" s="119"/>
      <c r="L119" t="s">
        <v>11438</v>
      </c>
      <c r="M119" s="118" t="s">
        <v>11468</v>
      </c>
      <c r="N119" s="119"/>
      <c r="P119" t="s">
        <v>11474</v>
      </c>
      <c r="Q119" s="118" t="s">
        <v>11504</v>
      </c>
      <c r="R119" s="119"/>
      <c r="T119" t="s">
        <v>11510</v>
      </c>
      <c r="U119" s="118" t="s">
        <v>11540</v>
      </c>
      <c r="V119" s="119"/>
      <c r="X119" t="s">
        <v>11546</v>
      </c>
    </row>
    <row r="120" spans="1:24" x14ac:dyDescent="0.3">
      <c r="A120" s="118" t="s">
        <v>11361</v>
      </c>
      <c r="B120" s="119"/>
      <c r="D120" t="s">
        <v>11367</v>
      </c>
      <c r="E120" s="118" t="s">
        <v>11397</v>
      </c>
      <c r="F120" s="119"/>
      <c r="H120" t="s">
        <v>11403</v>
      </c>
      <c r="I120" s="118" t="s">
        <v>11433</v>
      </c>
      <c r="J120" s="119"/>
      <c r="L120" t="s">
        <v>11439</v>
      </c>
      <c r="M120" s="118" t="s">
        <v>11469</v>
      </c>
      <c r="N120" s="119"/>
      <c r="P120" t="s">
        <v>11475</v>
      </c>
      <c r="Q120" s="118" t="s">
        <v>11505</v>
      </c>
      <c r="R120" s="119"/>
      <c r="T120" t="s">
        <v>11511</v>
      </c>
      <c r="U120" s="118" t="s">
        <v>11541</v>
      </c>
      <c r="V120" s="119"/>
      <c r="X120" t="s">
        <v>11547</v>
      </c>
    </row>
    <row r="121" spans="1:24" x14ac:dyDescent="0.3">
      <c r="A121" s="118" t="s">
        <v>11372</v>
      </c>
      <c r="B121" s="119"/>
      <c r="D121" t="s">
        <v>11378</v>
      </c>
      <c r="E121" s="118" t="s">
        <v>11408</v>
      </c>
      <c r="F121" s="119"/>
      <c r="H121" t="s">
        <v>11414</v>
      </c>
      <c r="I121" s="118" t="s">
        <v>11444</v>
      </c>
      <c r="J121" s="119"/>
      <c r="L121" t="s">
        <v>11450</v>
      </c>
      <c r="M121" s="118" t="s">
        <v>11480</v>
      </c>
      <c r="N121" s="119"/>
      <c r="P121" t="s">
        <v>11486</v>
      </c>
      <c r="Q121" s="118" t="s">
        <v>11516</v>
      </c>
      <c r="R121" s="119"/>
      <c r="T121" t="s">
        <v>11522</v>
      </c>
      <c r="U121" s="118" t="s">
        <v>11552</v>
      </c>
      <c r="V121" s="119"/>
      <c r="X121" t="s">
        <v>11558</v>
      </c>
    </row>
    <row r="122" spans="1:24" x14ac:dyDescent="0.3">
      <c r="A122" s="118" t="s">
        <v>11373</v>
      </c>
      <c r="B122" s="119"/>
      <c r="D122" t="s">
        <v>11379</v>
      </c>
      <c r="E122" s="118" t="s">
        <v>11409</v>
      </c>
      <c r="F122" s="119"/>
      <c r="H122" t="s">
        <v>11415</v>
      </c>
      <c r="I122" s="118" t="s">
        <v>11445</v>
      </c>
      <c r="J122" s="119"/>
      <c r="L122" t="s">
        <v>11451</v>
      </c>
      <c r="M122" s="118" t="s">
        <v>11481</v>
      </c>
      <c r="N122" s="119"/>
      <c r="P122" t="s">
        <v>11487</v>
      </c>
      <c r="Q122" s="118" t="s">
        <v>11517</v>
      </c>
      <c r="R122" s="119"/>
      <c r="T122" t="s">
        <v>11523</v>
      </c>
      <c r="U122" s="118" t="s">
        <v>11553</v>
      </c>
      <c r="V122" s="119"/>
      <c r="X122" t="s">
        <v>11559</v>
      </c>
    </row>
    <row r="123" spans="1:24" x14ac:dyDescent="0.3">
      <c r="A123" s="118" t="s">
        <v>11384</v>
      </c>
      <c r="B123" s="119"/>
      <c r="D123" t="s">
        <v>11390</v>
      </c>
      <c r="E123" s="118" t="s">
        <v>11420</v>
      </c>
      <c r="F123" s="119"/>
      <c r="H123" t="s">
        <v>11426</v>
      </c>
      <c r="I123" s="118" t="s">
        <v>11456</v>
      </c>
      <c r="J123" s="119"/>
      <c r="L123" t="s">
        <v>11462</v>
      </c>
      <c r="M123" s="118" t="s">
        <v>11492</v>
      </c>
      <c r="N123" s="119"/>
      <c r="P123" t="s">
        <v>11498</v>
      </c>
      <c r="Q123" s="118" t="s">
        <v>11528</v>
      </c>
      <c r="R123" s="119"/>
      <c r="T123" t="s">
        <v>11534</v>
      </c>
      <c r="U123" s="118" t="s">
        <v>11564</v>
      </c>
      <c r="V123" s="119"/>
      <c r="X123" t="s">
        <v>11570</v>
      </c>
    </row>
    <row r="124" spans="1:24" x14ac:dyDescent="0.3">
      <c r="A124" s="118" t="s">
        <v>11385</v>
      </c>
      <c r="B124" s="119"/>
      <c r="D124" t="s">
        <v>11391</v>
      </c>
      <c r="E124" s="118" t="s">
        <v>11421</v>
      </c>
      <c r="F124" s="119"/>
      <c r="H124" t="s">
        <v>11427</v>
      </c>
      <c r="I124" s="118" t="s">
        <v>11457</v>
      </c>
      <c r="J124" s="119"/>
      <c r="L124" t="s">
        <v>11463</v>
      </c>
      <c r="M124" s="118" t="s">
        <v>11493</v>
      </c>
      <c r="N124" s="119"/>
      <c r="P124" t="s">
        <v>11499</v>
      </c>
      <c r="Q124" s="118" t="s">
        <v>11529</v>
      </c>
      <c r="R124" s="119"/>
      <c r="T124" t="s">
        <v>11535</v>
      </c>
      <c r="U124" s="118" t="s">
        <v>11565</v>
      </c>
      <c r="V124" s="119"/>
      <c r="X124" t="s">
        <v>11571</v>
      </c>
    </row>
    <row r="125" spans="1:24" x14ac:dyDescent="0.3">
      <c r="A125" s="118" t="s">
        <v>11576</v>
      </c>
      <c r="B125" s="119"/>
      <c r="D125" t="s">
        <v>11582</v>
      </c>
      <c r="E125" s="118" t="s">
        <v>11612</v>
      </c>
      <c r="F125" s="119"/>
      <c r="H125" t="s">
        <v>11618</v>
      </c>
      <c r="I125" s="118" t="s">
        <v>11648</v>
      </c>
      <c r="J125" s="119"/>
      <c r="L125" t="s">
        <v>11654</v>
      </c>
      <c r="M125" s="118" t="s">
        <v>11684</v>
      </c>
      <c r="N125" s="119"/>
      <c r="P125" t="s">
        <v>11690</v>
      </c>
      <c r="Q125" s="118" t="s">
        <v>11720</v>
      </c>
      <c r="R125" s="119"/>
      <c r="T125" t="s">
        <v>11726</v>
      </c>
      <c r="U125" s="118" t="s">
        <v>11756</v>
      </c>
      <c r="V125" s="119"/>
      <c r="X125" t="s">
        <v>11762</v>
      </c>
    </row>
    <row r="126" spans="1:24" x14ac:dyDescent="0.3">
      <c r="A126" s="118" t="s">
        <v>11577</v>
      </c>
      <c r="B126" s="119"/>
      <c r="D126" t="s">
        <v>11583</v>
      </c>
      <c r="E126" s="118" t="s">
        <v>11613</v>
      </c>
      <c r="F126" s="119"/>
      <c r="H126" t="s">
        <v>11619</v>
      </c>
      <c r="I126" s="118" t="s">
        <v>11649</v>
      </c>
      <c r="J126" s="119"/>
      <c r="L126" t="s">
        <v>11655</v>
      </c>
      <c r="M126" s="118" t="s">
        <v>11685</v>
      </c>
      <c r="N126" s="119"/>
      <c r="P126" t="s">
        <v>11691</v>
      </c>
      <c r="Q126" s="118" t="s">
        <v>11721</v>
      </c>
      <c r="R126" s="119"/>
      <c r="T126" t="s">
        <v>11727</v>
      </c>
      <c r="U126" s="118" t="s">
        <v>11757</v>
      </c>
      <c r="V126" s="119"/>
      <c r="X126" t="s">
        <v>11763</v>
      </c>
    </row>
    <row r="127" spans="1:24" x14ac:dyDescent="0.3">
      <c r="A127" s="118" t="s">
        <v>11588</v>
      </c>
      <c r="B127" s="119"/>
      <c r="D127" t="s">
        <v>11594</v>
      </c>
      <c r="E127" s="118" t="s">
        <v>11624</v>
      </c>
      <c r="F127" s="119"/>
      <c r="H127" t="s">
        <v>11630</v>
      </c>
      <c r="I127" s="118" t="s">
        <v>11660</v>
      </c>
      <c r="J127" s="119"/>
      <c r="L127" t="s">
        <v>11666</v>
      </c>
      <c r="M127" s="118" t="s">
        <v>11696</v>
      </c>
      <c r="N127" s="119"/>
      <c r="P127" t="s">
        <v>11702</v>
      </c>
      <c r="Q127" s="118" t="s">
        <v>11732</v>
      </c>
      <c r="R127" s="119"/>
      <c r="T127" t="s">
        <v>11738</v>
      </c>
      <c r="U127" s="118" t="s">
        <v>11768</v>
      </c>
      <c r="V127" s="119"/>
      <c r="X127" t="s">
        <v>11774</v>
      </c>
    </row>
    <row r="128" spans="1:24" x14ac:dyDescent="0.3">
      <c r="A128" s="118" t="s">
        <v>11589</v>
      </c>
      <c r="B128" s="119"/>
      <c r="D128" t="s">
        <v>11595</v>
      </c>
      <c r="E128" s="118" t="s">
        <v>11625</v>
      </c>
      <c r="F128" s="119"/>
      <c r="H128" t="s">
        <v>11631</v>
      </c>
      <c r="I128" s="118" t="s">
        <v>11661</v>
      </c>
      <c r="J128" s="119"/>
      <c r="L128" t="s">
        <v>11667</v>
      </c>
      <c r="M128" s="118" t="s">
        <v>11697</v>
      </c>
      <c r="N128" s="119"/>
      <c r="P128" t="s">
        <v>11703</v>
      </c>
      <c r="Q128" s="118" t="s">
        <v>11733</v>
      </c>
      <c r="R128" s="119"/>
      <c r="T128" t="s">
        <v>11739</v>
      </c>
      <c r="U128" s="118" t="s">
        <v>11769</v>
      </c>
      <c r="V128" s="119"/>
      <c r="X128" t="s">
        <v>11775</v>
      </c>
    </row>
    <row r="129" spans="1:24" x14ac:dyDescent="0.3">
      <c r="A129" s="118" t="s">
        <v>11600</v>
      </c>
      <c r="B129" s="119"/>
      <c r="D129" t="s">
        <v>11606</v>
      </c>
      <c r="E129" s="118" t="s">
        <v>11636</v>
      </c>
      <c r="F129" s="119"/>
      <c r="H129" t="s">
        <v>11642</v>
      </c>
      <c r="I129" s="118" t="s">
        <v>11672</v>
      </c>
      <c r="J129" s="119"/>
      <c r="L129" t="s">
        <v>11678</v>
      </c>
      <c r="M129" s="118" t="s">
        <v>11708</v>
      </c>
      <c r="N129" s="119"/>
      <c r="P129" t="s">
        <v>11714</v>
      </c>
      <c r="Q129" s="118" t="s">
        <v>11744</v>
      </c>
      <c r="R129" s="119"/>
      <c r="T129" t="s">
        <v>11750</v>
      </c>
      <c r="U129" s="118" t="s">
        <v>11780</v>
      </c>
      <c r="V129" s="119"/>
      <c r="X129" t="s">
        <v>11786</v>
      </c>
    </row>
    <row r="130" spans="1:24" x14ac:dyDescent="0.3">
      <c r="A130" s="118" t="s">
        <v>11601</v>
      </c>
      <c r="B130" s="119"/>
      <c r="D130" t="s">
        <v>11607</v>
      </c>
      <c r="E130" s="118" t="s">
        <v>11637</v>
      </c>
      <c r="F130" s="119"/>
      <c r="H130" t="s">
        <v>11643</v>
      </c>
      <c r="I130" s="118" t="s">
        <v>11673</v>
      </c>
      <c r="J130" s="119"/>
      <c r="L130" t="s">
        <v>11679</v>
      </c>
      <c r="M130" s="118" t="s">
        <v>11709</v>
      </c>
      <c r="N130" s="119"/>
      <c r="P130" t="s">
        <v>11715</v>
      </c>
      <c r="Q130" s="118" t="s">
        <v>11745</v>
      </c>
      <c r="R130" s="119"/>
      <c r="T130" t="s">
        <v>11751</v>
      </c>
      <c r="U130" s="118" t="s">
        <v>11781</v>
      </c>
      <c r="V130" s="119"/>
      <c r="X130" t="s">
        <v>11787</v>
      </c>
    </row>
    <row r="131" spans="1:24" x14ac:dyDescent="0.3">
      <c r="A131" s="118" t="s">
        <v>11792</v>
      </c>
      <c r="B131" s="119"/>
      <c r="D131" t="s">
        <v>11798</v>
      </c>
      <c r="E131" s="118" t="s">
        <v>11828</v>
      </c>
      <c r="F131" s="119"/>
      <c r="H131" t="s">
        <v>11834</v>
      </c>
      <c r="I131" s="118" t="s">
        <v>11864</v>
      </c>
      <c r="J131" s="119"/>
      <c r="L131" t="s">
        <v>11870</v>
      </c>
      <c r="M131" s="118" t="s">
        <v>11900</v>
      </c>
      <c r="N131" s="119"/>
      <c r="P131" t="s">
        <v>11906</v>
      </c>
      <c r="Q131" s="118" t="s">
        <v>11936</v>
      </c>
      <c r="R131" s="119"/>
      <c r="T131" t="s">
        <v>11942</v>
      </c>
      <c r="U131" s="118" t="s">
        <v>11972</v>
      </c>
      <c r="V131" s="119"/>
      <c r="X131" t="s">
        <v>11978</v>
      </c>
    </row>
    <row r="132" spans="1:24" x14ac:dyDescent="0.3">
      <c r="A132" s="118" t="s">
        <v>11793</v>
      </c>
      <c r="B132" s="119"/>
      <c r="D132" t="s">
        <v>11799</v>
      </c>
      <c r="E132" s="118" t="s">
        <v>11829</v>
      </c>
      <c r="F132" s="119"/>
      <c r="H132" t="s">
        <v>11835</v>
      </c>
      <c r="I132" s="118" t="s">
        <v>11865</v>
      </c>
      <c r="J132" s="119"/>
      <c r="L132" t="s">
        <v>11871</v>
      </c>
      <c r="M132" s="118" t="s">
        <v>11901</v>
      </c>
      <c r="N132" s="119"/>
      <c r="P132" t="s">
        <v>11907</v>
      </c>
      <c r="Q132" s="118" t="s">
        <v>11937</v>
      </c>
      <c r="R132" s="119"/>
      <c r="T132" t="s">
        <v>11943</v>
      </c>
      <c r="U132" s="118" t="s">
        <v>11973</v>
      </c>
      <c r="V132" s="119"/>
      <c r="X132" t="s">
        <v>11979</v>
      </c>
    </row>
    <row r="133" spans="1:24" x14ac:dyDescent="0.3">
      <c r="A133" s="118" t="s">
        <v>11804</v>
      </c>
      <c r="B133" s="119"/>
      <c r="D133" t="s">
        <v>11810</v>
      </c>
      <c r="E133" s="118" t="s">
        <v>11840</v>
      </c>
      <c r="F133" s="119"/>
      <c r="H133" t="s">
        <v>11846</v>
      </c>
      <c r="I133" s="118" t="s">
        <v>11876</v>
      </c>
      <c r="J133" s="119"/>
      <c r="L133" t="s">
        <v>11882</v>
      </c>
      <c r="M133" s="118" t="s">
        <v>11912</v>
      </c>
      <c r="N133" s="119"/>
      <c r="P133" t="s">
        <v>11918</v>
      </c>
      <c r="Q133" s="118" t="s">
        <v>11948</v>
      </c>
      <c r="R133" s="119"/>
      <c r="T133" t="s">
        <v>11954</v>
      </c>
      <c r="U133" s="118" t="s">
        <v>11984</v>
      </c>
      <c r="V133" s="119"/>
      <c r="X133" t="s">
        <v>11990</v>
      </c>
    </row>
    <row r="134" spans="1:24" x14ac:dyDescent="0.3">
      <c r="A134" s="118" t="s">
        <v>11805</v>
      </c>
      <c r="B134" s="119"/>
      <c r="D134" t="s">
        <v>11811</v>
      </c>
      <c r="E134" s="118" t="s">
        <v>11841</v>
      </c>
      <c r="F134" s="119"/>
      <c r="H134" t="s">
        <v>11847</v>
      </c>
      <c r="I134" s="118" t="s">
        <v>11877</v>
      </c>
      <c r="J134" s="119"/>
      <c r="L134" t="s">
        <v>11883</v>
      </c>
      <c r="M134" s="118" t="s">
        <v>11913</v>
      </c>
      <c r="N134" s="119"/>
      <c r="P134" t="s">
        <v>11919</v>
      </c>
      <c r="Q134" s="118" t="s">
        <v>11949</v>
      </c>
      <c r="R134" s="119"/>
      <c r="T134" t="s">
        <v>11955</v>
      </c>
      <c r="U134" s="118" t="s">
        <v>11985</v>
      </c>
      <c r="V134" s="119"/>
      <c r="X134" t="s">
        <v>11991</v>
      </c>
    </row>
    <row r="135" spans="1:24" x14ac:dyDescent="0.3">
      <c r="A135" s="118" t="s">
        <v>11816</v>
      </c>
      <c r="B135" s="119"/>
      <c r="D135" t="s">
        <v>11822</v>
      </c>
      <c r="E135" s="118" t="s">
        <v>11852</v>
      </c>
      <c r="F135" s="119"/>
      <c r="H135" t="s">
        <v>11858</v>
      </c>
      <c r="I135" s="118" t="s">
        <v>11888</v>
      </c>
      <c r="J135" s="119"/>
      <c r="L135" t="s">
        <v>11894</v>
      </c>
      <c r="M135" s="118" t="s">
        <v>11924</v>
      </c>
      <c r="N135" s="119"/>
      <c r="P135" t="s">
        <v>11930</v>
      </c>
      <c r="Q135" s="118" t="s">
        <v>11960</v>
      </c>
      <c r="R135" s="119"/>
      <c r="T135" t="s">
        <v>11966</v>
      </c>
      <c r="U135" s="118" t="s">
        <v>11996</v>
      </c>
      <c r="V135" s="119"/>
      <c r="X135" t="s">
        <v>12002</v>
      </c>
    </row>
    <row r="136" spans="1:24" x14ac:dyDescent="0.3">
      <c r="A136" s="118" t="s">
        <v>11817</v>
      </c>
      <c r="B136" s="119"/>
      <c r="D136" t="s">
        <v>11823</v>
      </c>
      <c r="E136" s="118" t="s">
        <v>11853</v>
      </c>
      <c r="F136" s="119"/>
      <c r="H136" t="s">
        <v>11859</v>
      </c>
      <c r="I136" s="118" t="s">
        <v>11889</v>
      </c>
      <c r="J136" s="119"/>
      <c r="L136" t="s">
        <v>11895</v>
      </c>
      <c r="M136" s="118" t="s">
        <v>11925</v>
      </c>
      <c r="N136" s="119"/>
      <c r="P136" t="s">
        <v>11931</v>
      </c>
      <c r="Q136" s="118" t="s">
        <v>11961</v>
      </c>
      <c r="R136" s="119"/>
      <c r="T136" t="s">
        <v>11967</v>
      </c>
      <c r="U136" s="118" t="s">
        <v>11997</v>
      </c>
      <c r="V136" s="119"/>
      <c r="X136" t="s">
        <v>12003</v>
      </c>
    </row>
    <row r="137" spans="1:24" x14ac:dyDescent="0.3">
      <c r="A137" s="118" t="s">
        <v>12008</v>
      </c>
      <c r="B137" s="119"/>
      <c r="D137" t="s">
        <v>12014</v>
      </c>
      <c r="E137" s="118" t="s">
        <v>12044</v>
      </c>
      <c r="F137" s="119"/>
      <c r="H137" t="s">
        <v>12050</v>
      </c>
      <c r="I137" s="118" t="s">
        <v>12080</v>
      </c>
      <c r="J137" s="119"/>
      <c r="L137" t="s">
        <v>12086</v>
      </c>
      <c r="M137" s="118" t="s">
        <v>12116</v>
      </c>
      <c r="N137" s="119"/>
      <c r="P137" t="s">
        <v>12122</v>
      </c>
      <c r="Q137" s="118" t="s">
        <v>12152</v>
      </c>
      <c r="R137" s="119"/>
      <c r="T137" t="s">
        <v>12158</v>
      </c>
      <c r="U137" s="118" t="s">
        <v>12188</v>
      </c>
      <c r="V137" s="119"/>
      <c r="X137" t="s">
        <v>12194</v>
      </c>
    </row>
    <row r="138" spans="1:24" x14ac:dyDescent="0.3">
      <c r="A138" s="118" t="s">
        <v>12009</v>
      </c>
      <c r="B138" s="119"/>
      <c r="D138" t="s">
        <v>12015</v>
      </c>
      <c r="E138" s="118" t="s">
        <v>12045</v>
      </c>
      <c r="F138" s="119"/>
      <c r="H138" t="s">
        <v>12051</v>
      </c>
      <c r="I138" s="118" t="s">
        <v>12081</v>
      </c>
      <c r="J138" s="119"/>
      <c r="L138" t="s">
        <v>12087</v>
      </c>
      <c r="M138" s="118" t="s">
        <v>12117</v>
      </c>
      <c r="N138" s="119"/>
      <c r="P138" t="s">
        <v>12123</v>
      </c>
      <c r="Q138" s="118" t="s">
        <v>12153</v>
      </c>
      <c r="R138" s="119"/>
      <c r="T138" t="s">
        <v>12159</v>
      </c>
      <c r="U138" s="118" t="s">
        <v>12189</v>
      </c>
      <c r="V138" s="119"/>
      <c r="X138" t="s">
        <v>12195</v>
      </c>
    </row>
    <row r="139" spans="1:24" x14ac:dyDescent="0.3">
      <c r="A139" s="118" t="s">
        <v>12020</v>
      </c>
      <c r="B139" s="119"/>
      <c r="D139" t="s">
        <v>12026</v>
      </c>
      <c r="E139" s="118" t="s">
        <v>12056</v>
      </c>
      <c r="F139" s="119"/>
      <c r="H139" t="s">
        <v>12062</v>
      </c>
      <c r="I139" s="118" t="s">
        <v>12092</v>
      </c>
      <c r="J139" s="119"/>
      <c r="L139" t="s">
        <v>12098</v>
      </c>
      <c r="M139" s="118" t="s">
        <v>12128</v>
      </c>
      <c r="N139" s="119"/>
      <c r="P139" t="s">
        <v>12134</v>
      </c>
      <c r="Q139" s="118" t="s">
        <v>12164</v>
      </c>
      <c r="R139" s="119"/>
      <c r="T139" t="s">
        <v>12170</v>
      </c>
      <c r="U139" s="118" t="s">
        <v>12200</v>
      </c>
      <c r="V139" s="119"/>
      <c r="X139" t="s">
        <v>12206</v>
      </c>
    </row>
    <row r="140" spans="1:24" x14ac:dyDescent="0.3">
      <c r="A140" s="118" t="s">
        <v>12021</v>
      </c>
      <c r="B140" s="119"/>
      <c r="D140" t="s">
        <v>12027</v>
      </c>
      <c r="E140" s="118" t="s">
        <v>12057</v>
      </c>
      <c r="F140" s="119"/>
      <c r="H140" t="s">
        <v>12063</v>
      </c>
      <c r="I140" s="118" t="s">
        <v>12093</v>
      </c>
      <c r="J140" s="119"/>
      <c r="L140" t="s">
        <v>12099</v>
      </c>
      <c r="M140" s="118" t="s">
        <v>12129</v>
      </c>
      <c r="N140" s="119"/>
      <c r="P140" t="s">
        <v>12135</v>
      </c>
      <c r="Q140" s="118" t="s">
        <v>12165</v>
      </c>
      <c r="R140" s="119"/>
      <c r="T140" t="s">
        <v>12171</v>
      </c>
      <c r="U140" s="118" t="s">
        <v>12201</v>
      </c>
      <c r="V140" s="119"/>
      <c r="X140" t="s">
        <v>12207</v>
      </c>
    </row>
    <row r="141" spans="1:24" x14ac:dyDescent="0.3">
      <c r="A141" s="118" t="s">
        <v>12032</v>
      </c>
      <c r="B141" s="119"/>
      <c r="D141" t="s">
        <v>12038</v>
      </c>
      <c r="E141" s="118" t="s">
        <v>12068</v>
      </c>
      <c r="F141" s="119"/>
      <c r="H141" t="s">
        <v>12074</v>
      </c>
      <c r="I141" s="118" t="s">
        <v>12104</v>
      </c>
      <c r="J141" s="119"/>
      <c r="L141" t="s">
        <v>12110</v>
      </c>
      <c r="M141" s="118" t="s">
        <v>12140</v>
      </c>
      <c r="N141" s="119"/>
      <c r="P141" t="s">
        <v>12146</v>
      </c>
      <c r="Q141" s="118" t="s">
        <v>12176</v>
      </c>
      <c r="R141" s="119"/>
      <c r="T141" t="s">
        <v>12182</v>
      </c>
      <c r="U141" s="118" t="s">
        <v>12212</v>
      </c>
      <c r="V141" s="119"/>
      <c r="X141" t="s">
        <v>12218</v>
      </c>
    </row>
    <row r="142" spans="1:24" x14ac:dyDescent="0.3">
      <c r="A142" s="118" t="s">
        <v>12033</v>
      </c>
      <c r="B142" s="119"/>
      <c r="D142" t="s">
        <v>12039</v>
      </c>
      <c r="E142" s="118" t="s">
        <v>12069</v>
      </c>
      <c r="F142" s="119"/>
      <c r="H142" t="s">
        <v>12075</v>
      </c>
      <c r="I142" s="118" t="s">
        <v>12105</v>
      </c>
      <c r="J142" s="119"/>
      <c r="L142" t="s">
        <v>12111</v>
      </c>
      <c r="M142" s="118" t="s">
        <v>12141</v>
      </c>
      <c r="N142" s="119"/>
      <c r="P142" t="s">
        <v>12147</v>
      </c>
      <c r="Q142" s="118" t="s">
        <v>12177</v>
      </c>
      <c r="R142" s="119"/>
      <c r="T142" t="s">
        <v>12183</v>
      </c>
      <c r="U142" s="118" t="s">
        <v>12213</v>
      </c>
      <c r="V142" s="119"/>
      <c r="X142" t="s">
        <v>12219</v>
      </c>
    </row>
    <row r="143" spans="1:24" x14ac:dyDescent="0.3">
      <c r="A143" s="118" t="s">
        <v>12224</v>
      </c>
      <c r="B143" s="119"/>
      <c r="D143" t="s">
        <v>12230</v>
      </c>
      <c r="E143" s="118" t="s">
        <v>12260</v>
      </c>
      <c r="F143" s="119"/>
      <c r="H143" t="s">
        <v>12266</v>
      </c>
      <c r="I143" s="118" t="s">
        <v>12296</v>
      </c>
      <c r="J143" s="119"/>
      <c r="L143" t="s">
        <v>12302</v>
      </c>
      <c r="M143" s="118" t="s">
        <v>12332</v>
      </c>
      <c r="N143" s="119"/>
      <c r="P143" t="s">
        <v>12338</v>
      </c>
      <c r="Q143" s="118" t="s">
        <v>12368</v>
      </c>
      <c r="R143" s="119"/>
      <c r="T143" t="s">
        <v>12374</v>
      </c>
      <c r="U143" s="118" t="s">
        <v>12404</v>
      </c>
      <c r="V143" s="119"/>
      <c r="X143" t="s">
        <v>12410</v>
      </c>
    </row>
    <row r="144" spans="1:24" x14ac:dyDescent="0.3">
      <c r="A144" s="118" t="s">
        <v>12225</v>
      </c>
      <c r="B144" s="119"/>
      <c r="D144" t="s">
        <v>12231</v>
      </c>
      <c r="E144" s="118" t="s">
        <v>12261</v>
      </c>
      <c r="F144" s="119"/>
      <c r="H144" t="s">
        <v>12267</v>
      </c>
      <c r="I144" s="118" t="s">
        <v>12297</v>
      </c>
      <c r="J144" s="119"/>
      <c r="L144" t="s">
        <v>12303</v>
      </c>
      <c r="M144" s="118" t="s">
        <v>12333</v>
      </c>
      <c r="N144" s="119"/>
      <c r="P144" t="s">
        <v>12339</v>
      </c>
      <c r="Q144" s="118" t="s">
        <v>12369</v>
      </c>
      <c r="R144" s="119"/>
      <c r="T144" t="s">
        <v>12375</v>
      </c>
      <c r="U144" s="118" t="s">
        <v>12405</v>
      </c>
      <c r="V144" s="119"/>
      <c r="X144" t="s">
        <v>12411</v>
      </c>
    </row>
    <row r="145" spans="1:24" x14ac:dyDescent="0.3">
      <c r="A145" s="118" t="s">
        <v>12236</v>
      </c>
      <c r="B145" s="119"/>
      <c r="D145" t="s">
        <v>12242</v>
      </c>
      <c r="E145" s="118" t="s">
        <v>12272</v>
      </c>
      <c r="F145" s="119"/>
      <c r="H145" t="s">
        <v>12278</v>
      </c>
      <c r="I145" s="118" t="s">
        <v>12308</v>
      </c>
      <c r="J145" s="119"/>
      <c r="L145" t="s">
        <v>12314</v>
      </c>
      <c r="M145" s="118" t="s">
        <v>12344</v>
      </c>
      <c r="N145" s="119"/>
      <c r="P145" t="s">
        <v>12350</v>
      </c>
      <c r="Q145" s="118" t="s">
        <v>12380</v>
      </c>
      <c r="R145" s="119"/>
      <c r="T145" t="s">
        <v>12386</v>
      </c>
      <c r="U145" s="118" t="s">
        <v>12416</v>
      </c>
      <c r="V145" s="119"/>
      <c r="X145" t="s">
        <v>12422</v>
      </c>
    </row>
    <row r="146" spans="1:24" x14ac:dyDescent="0.3">
      <c r="A146" s="118" t="s">
        <v>12237</v>
      </c>
      <c r="B146" s="119"/>
      <c r="D146" t="s">
        <v>12243</v>
      </c>
      <c r="E146" s="118" t="s">
        <v>12273</v>
      </c>
      <c r="F146" s="119"/>
      <c r="H146" t="s">
        <v>12279</v>
      </c>
      <c r="I146" s="118" t="s">
        <v>12309</v>
      </c>
      <c r="J146" s="119"/>
      <c r="L146" t="s">
        <v>12315</v>
      </c>
      <c r="M146" s="118" t="s">
        <v>12345</v>
      </c>
      <c r="N146" s="119"/>
      <c r="P146" t="s">
        <v>12351</v>
      </c>
      <c r="Q146" s="118" t="s">
        <v>12381</v>
      </c>
      <c r="R146" s="119"/>
      <c r="T146" t="s">
        <v>12387</v>
      </c>
      <c r="U146" s="118" t="s">
        <v>12417</v>
      </c>
      <c r="V146" s="119"/>
      <c r="X146" t="s">
        <v>12423</v>
      </c>
    </row>
    <row r="147" spans="1:24" x14ac:dyDescent="0.3">
      <c r="A147" s="118" t="s">
        <v>12248</v>
      </c>
      <c r="B147" s="119"/>
      <c r="D147" t="s">
        <v>12254</v>
      </c>
      <c r="E147" s="118" t="s">
        <v>12284</v>
      </c>
      <c r="F147" s="119"/>
      <c r="H147" t="s">
        <v>12290</v>
      </c>
      <c r="I147" s="118" t="s">
        <v>12320</v>
      </c>
      <c r="J147" s="119"/>
      <c r="L147" t="s">
        <v>12326</v>
      </c>
      <c r="M147" s="118" t="s">
        <v>12356</v>
      </c>
      <c r="N147" s="119"/>
      <c r="P147" t="s">
        <v>12362</v>
      </c>
      <c r="Q147" s="118" t="s">
        <v>12392</v>
      </c>
      <c r="R147" s="119"/>
      <c r="T147" t="s">
        <v>12398</v>
      </c>
      <c r="U147" s="118" t="s">
        <v>12428</v>
      </c>
      <c r="V147" s="119"/>
      <c r="X147" t="s">
        <v>12434</v>
      </c>
    </row>
    <row r="148" spans="1:24" x14ac:dyDescent="0.3">
      <c r="A148" s="118" t="s">
        <v>12249</v>
      </c>
      <c r="B148" s="119"/>
      <c r="D148" t="s">
        <v>12255</v>
      </c>
      <c r="E148" s="118" t="s">
        <v>12285</v>
      </c>
      <c r="F148" s="119"/>
      <c r="H148" t="s">
        <v>12291</v>
      </c>
      <c r="I148" s="118" t="s">
        <v>12321</v>
      </c>
      <c r="J148" s="119"/>
      <c r="L148" t="s">
        <v>12327</v>
      </c>
      <c r="M148" s="118" t="s">
        <v>12357</v>
      </c>
      <c r="N148" s="119"/>
      <c r="P148" t="s">
        <v>12363</v>
      </c>
      <c r="Q148" s="118" t="s">
        <v>12393</v>
      </c>
      <c r="R148" s="119"/>
      <c r="T148" t="s">
        <v>12399</v>
      </c>
      <c r="U148" s="118" t="s">
        <v>12429</v>
      </c>
      <c r="V148" s="119"/>
      <c r="X148" t="s">
        <v>12435</v>
      </c>
    </row>
    <row r="149" spans="1:24" x14ac:dyDescent="0.3">
      <c r="A149" s="118" t="s">
        <v>12440</v>
      </c>
      <c r="B149" s="119"/>
      <c r="D149" t="s">
        <v>12446</v>
      </c>
      <c r="E149" s="118" t="s">
        <v>12476</v>
      </c>
      <c r="F149" s="119"/>
      <c r="H149" t="s">
        <v>12482</v>
      </c>
      <c r="I149" s="118" t="s">
        <v>12512</v>
      </c>
      <c r="J149" s="119"/>
      <c r="L149" t="s">
        <v>12518</v>
      </c>
      <c r="M149" s="118" t="s">
        <v>12548</v>
      </c>
      <c r="N149" s="119"/>
      <c r="P149" t="s">
        <v>12554</v>
      </c>
      <c r="Q149" s="118" t="s">
        <v>12584</v>
      </c>
      <c r="R149" s="119"/>
      <c r="T149" t="s">
        <v>12590</v>
      </c>
      <c r="U149" s="118" t="s">
        <v>12620</v>
      </c>
      <c r="V149" s="119"/>
      <c r="X149" t="s">
        <v>12626</v>
      </c>
    </row>
    <row r="150" spans="1:24" x14ac:dyDescent="0.3">
      <c r="A150" s="118" t="s">
        <v>12441</v>
      </c>
      <c r="B150" s="119"/>
      <c r="D150" t="s">
        <v>12447</v>
      </c>
      <c r="E150" s="118" t="s">
        <v>12477</v>
      </c>
      <c r="F150" s="119"/>
      <c r="H150" t="s">
        <v>12483</v>
      </c>
      <c r="I150" s="118" t="s">
        <v>12513</v>
      </c>
      <c r="J150" s="119"/>
      <c r="L150" t="s">
        <v>12519</v>
      </c>
      <c r="M150" s="118" t="s">
        <v>12549</v>
      </c>
      <c r="N150" s="119"/>
      <c r="P150" t="s">
        <v>12555</v>
      </c>
      <c r="Q150" s="118" t="s">
        <v>12585</v>
      </c>
      <c r="R150" s="119"/>
      <c r="T150" t="s">
        <v>12591</v>
      </c>
      <c r="U150" s="118" t="s">
        <v>12621</v>
      </c>
      <c r="V150" s="119"/>
      <c r="X150" t="s">
        <v>12627</v>
      </c>
    </row>
    <row r="151" spans="1:24" x14ac:dyDescent="0.3">
      <c r="A151" s="118" t="s">
        <v>12452</v>
      </c>
      <c r="B151" s="119"/>
      <c r="D151" t="s">
        <v>12458</v>
      </c>
      <c r="E151" s="118" t="s">
        <v>12488</v>
      </c>
      <c r="F151" s="119"/>
      <c r="H151" t="s">
        <v>12494</v>
      </c>
      <c r="I151" s="118" t="s">
        <v>12524</v>
      </c>
      <c r="J151" s="119"/>
      <c r="L151" t="s">
        <v>12530</v>
      </c>
      <c r="M151" s="118" t="s">
        <v>12560</v>
      </c>
      <c r="N151" s="119"/>
      <c r="P151" t="s">
        <v>12566</v>
      </c>
      <c r="Q151" s="118" t="s">
        <v>12596</v>
      </c>
      <c r="R151" s="119"/>
      <c r="T151" t="s">
        <v>12602</v>
      </c>
      <c r="U151" s="118" t="s">
        <v>12632</v>
      </c>
      <c r="V151" s="119"/>
      <c r="X151" t="s">
        <v>12638</v>
      </c>
    </row>
    <row r="152" spans="1:24" x14ac:dyDescent="0.3">
      <c r="A152" s="118" t="s">
        <v>12453</v>
      </c>
      <c r="B152" s="119"/>
      <c r="D152" t="s">
        <v>12459</v>
      </c>
      <c r="E152" s="118" t="s">
        <v>12489</v>
      </c>
      <c r="F152" s="119"/>
      <c r="H152" t="s">
        <v>12495</v>
      </c>
      <c r="I152" s="118" t="s">
        <v>12525</v>
      </c>
      <c r="J152" s="119"/>
      <c r="L152" t="s">
        <v>12531</v>
      </c>
      <c r="M152" s="118" t="s">
        <v>12561</v>
      </c>
      <c r="N152" s="119"/>
      <c r="P152" t="s">
        <v>12567</v>
      </c>
      <c r="Q152" s="118" t="s">
        <v>12597</v>
      </c>
      <c r="R152" s="119"/>
      <c r="T152" t="s">
        <v>12603</v>
      </c>
      <c r="U152" s="118" t="s">
        <v>12633</v>
      </c>
      <c r="V152" s="119"/>
      <c r="X152" t="s">
        <v>12639</v>
      </c>
    </row>
    <row r="153" spans="1:24" x14ac:dyDescent="0.3">
      <c r="A153" s="118" t="s">
        <v>12464</v>
      </c>
      <c r="B153" s="119"/>
      <c r="D153" t="s">
        <v>12470</v>
      </c>
      <c r="E153" s="118" t="s">
        <v>12500</v>
      </c>
      <c r="F153" s="119"/>
      <c r="H153" t="s">
        <v>12506</v>
      </c>
      <c r="I153" s="118" t="s">
        <v>12536</v>
      </c>
      <c r="J153" s="119"/>
      <c r="L153" t="s">
        <v>12542</v>
      </c>
      <c r="M153" s="118" t="s">
        <v>12572</v>
      </c>
      <c r="N153" s="119"/>
      <c r="P153" t="s">
        <v>12578</v>
      </c>
      <c r="Q153" s="118" t="s">
        <v>12608</v>
      </c>
      <c r="R153" s="119"/>
      <c r="T153" t="s">
        <v>12614</v>
      </c>
      <c r="U153" s="118" t="s">
        <v>12644</v>
      </c>
      <c r="V153" s="119"/>
      <c r="X153" t="s">
        <v>12650</v>
      </c>
    </row>
    <row r="154" spans="1:24" x14ac:dyDescent="0.3">
      <c r="A154" s="118" t="s">
        <v>12465</v>
      </c>
      <c r="B154" s="119"/>
      <c r="D154" t="s">
        <v>12471</v>
      </c>
      <c r="E154" s="118" t="s">
        <v>12501</v>
      </c>
      <c r="F154" s="119"/>
      <c r="H154" t="s">
        <v>12507</v>
      </c>
      <c r="I154" s="118" t="s">
        <v>12537</v>
      </c>
      <c r="J154" s="119"/>
      <c r="L154" t="s">
        <v>12543</v>
      </c>
      <c r="M154" s="118" t="s">
        <v>12573</v>
      </c>
      <c r="N154" s="119"/>
      <c r="P154" t="s">
        <v>12579</v>
      </c>
      <c r="Q154" s="118" t="s">
        <v>12609</v>
      </c>
      <c r="R154" s="119"/>
      <c r="T154" t="s">
        <v>12615</v>
      </c>
      <c r="U154" s="118" t="s">
        <v>12645</v>
      </c>
      <c r="V154" s="119"/>
      <c r="X154" t="s">
        <v>12651</v>
      </c>
    </row>
    <row r="155" spans="1:24" x14ac:dyDescent="0.3">
      <c r="A155" s="118" t="s">
        <v>12656</v>
      </c>
      <c r="B155" s="119"/>
      <c r="D155" t="s">
        <v>12662</v>
      </c>
      <c r="E155" s="118" t="s">
        <v>12692</v>
      </c>
      <c r="F155" s="119"/>
      <c r="H155" t="s">
        <v>12698</v>
      </c>
      <c r="I155" s="118" t="s">
        <v>12728</v>
      </c>
      <c r="J155" s="119"/>
      <c r="L155" t="s">
        <v>12734</v>
      </c>
      <c r="M155" s="118" t="s">
        <v>12764</v>
      </c>
      <c r="N155" s="119"/>
      <c r="P155" t="s">
        <v>12770</v>
      </c>
      <c r="Q155" s="118" t="s">
        <v>12800</v>
      </c>
      <c r="R155" s="119"/>
      <c r="T155" t="s">
        <v>12806</v>
      </c>
      <c r="U155" s="118" t="s">
        <v>12836</v>
      </c>
      <c r="V155" s="119"/>
      <c r="X155" t="s">
        <v>12842</v>
      </c>
    </row>
    <row r="156" spans="1:24" x14ac:dyDescent="0.3">
      <c r="A156" s="118" t="s">
        <v>12657</v>
      </c>
      <c r="B156" s="119"/>
      <c r="D156" t="s">
        <v>12663</v>
      </c>
      <c r="E156" s="118" t="s">
        <v>12693</v>
      </c>
      <c r="F156" s="119"/>
      <c r="H156" t="s">
        <v>12699</v>
      </c>
      <c r="I156" s="118" t="s">
        <v>12729</v>
      </c>
      <c r="J156" s="119"/>
      <c r="L156" t="s">
        <v>12735</v>
      </c>
      <c r="M156" s="118" t="s">
        <v>12765</v>
      </c>
      <c r="N156" s="119"/>
      <c r="P156" t="s">
        <v>12771</v>
      </c>
      <c r="Q156" s="118" t="s">
        <v>12801</v>
      </c>
      <c r="R156" s="119"/>
      <c r="T156" t="s">
        <v>12807</v>
      </c>
      <c r="U156" s="118" t="s">
        <v>12837</v>
      </c>
      <c r="V156" s="119"/>
      <c r="X156" t="s">
        <v>12843</v>
      </c>
    </row>
    <row r="157" spans="1:24" x14ac:dyDescent="0.3">
      <c r="A157" s="118" t="s">
        <v>12668</v>
      </c>
      <c r="B157" s="119"/>
      <c r="D157" t="s">
        <v>12674</v>
      </c>
      <c r="E157" s="118" t="s">
        <v>12704</v>
      </c>
      <c r="F157" s="119"/>
      <c r="H157" t="s">
        <v>12710</v>
      </c>
      <c r="I157" s="118" t="s">
        <v>12740</v>
      </c>
      <c r="J157" s="119"/>
      <c r="L157" t="s">
        <v>12746</v>
      </c>
      <c r="M157" s="118" t="s">
        <v>12776</v>
      </c>
      <c r="N157" s="119"/>
      <c r="P157" t="s">
        <v>12782</v>
      </c>
      <c r="Q157" s="118" t="s">
        <v>12812</v>
      </c>
      <c r="R157" s="119"/>
      <c r="T157" t="s">
        <v>12818</v>
      </c>
      <c r="U157" s="118" t="s">
        <v>12848</v>
      </c>
      <c r="V157" s="119"/>
      <c r="X157" t="s">
        <v>12854</v>
      </c>
    </row>
    <row r="158" spans="1:24" x14ac:dyDescent="0.3">
      <c r="A158" s="118" t="s">
        <v>12669</v>
      </c>
      <c r="B158" s="119"/>
      <c r="D158" t="s">
        <v>12675</v>
      </c>
      <c r="E158" s="118" t="s">
        <v>12705</v>
      </c>
      <c r="F158" s="119"/>
      <c r="H158" t="s">
        <v>12711</v>
      </c>
      <c r="I158" s="118" t="s">
        <v>12741</v>
      </c>
      <c r="J158" s="119"/>
      <c r="L158" t="s">
        <v>12747</v>
      </c>
      <c r="M158" s="118" t="s">
        <v>12777</v>
      </c>
      <c r="N158" s="119"/>
      <c r="P158" t="s">
        <v>12783</v>
      </c>
      <c r="Q158" s="118" t="s">
        <v>12813</v>
      </c>
      <c r="R158" s="119"/>
      <c r="T158" t="s">
        <v>12819</v>
      </c>
      <c r="U158" s="118" t="s">
        <v>12849</v>
      </c>
      <c r="V158" s="119"/>
      <c r="X158" t="s">
        <v>12855</v>
      </c>
    </row>
    <row r="159" spans="1:24" x14ac:dyDescent="0.3">
      <c r="A159" s="118" t="s">
        <v>12680</v>
      </c>
      <c r="B159" s="119"/>
      <c r="D159" t="s">
        <v>12686</v>
      </c>
      <c r="E159" s="118" t="s">
        <v>12716</v>
      </c>
      <c r="F159" s="119"/>
      <c r="H159" t="s">
        <v>12722</v>
      </c>
      <c r="I159" s="118" t="s">
        <v>12752</v>
      </c>
      <c r="J159" s="119"/>
      <c r="L159" t="s">
        <v>12758</v>
      </c>
      <c r="M159" s="118" t="s">
        <v>12788</v>
      </c>
      <c r="N159" s="119"/>
      <c r="P159" t="s">
        <v>12794</v>
      </c>
      <c r="Q159" s="118" t="s">
        <v>12824</v>
      </c>
      <c r="R159" s="119"/>
      <c r="T159" t="s">
        <v>12830</v>
      </c>
      <c r="U159" s="118" t="s">
        <v>12860</v>
      </c>
      <c r="V159" s="119"/>
      <c r="X159" t="s">
        <v>12866</v>
      </c>
    </row>
    <row r="160" spans="1:24" x14ac:dyDescent="0.3">
      <c r="A160" s="118" t="s">
        <v>12681</v>
      </c>
      <c r="B160" s="119"/>
      <c r="D160" t="s">
        <v>12687</v>
      </c>
      <c r="E160" s="118" t="s">
        <v>12717</v>
      </c>
      <c r="F160" s="119"/>
      <c r="H160" t="s">
        <v>12723</v>
      </c>
      <c r="I160" s="118" t="s">
        <v>12753</v>
      </c>
      <c r="J160" s="119"/>
      <c r="L160" t="s">
        <v>12759</v>
      </c>
      <c r="M160" s="118" t="s">
        <v>12789</v>
      </c>
      <c r="N160" s="119"/>
      <c r="P160" t="s">
        <v>12795</v>
      </c>
      <c r="Q160" s="118" t="s">
        <v>12825</v>
      </c>
      <c r="R160" s="119"/>
      <c r="T160" t="s">
        <v>12831</v>
      </c>
      <c r="U160" s="118" t="s">
        <v>12861</v>
      </c>
      <c r="V160" s="119"/>
      <c r="X160" t="s">
        <v>12867</v>
      </c>
    </row>
    <row r="161" spans="1:24" x14ac:dyDescent="0.3">
      <c r="A161" s="118" t="s">
        <v>12872</v>
      </c>
      <c r="B161" s="119"/>
      <c r="D161" t="s">
        <v>12878</v>
      </c>
      <c r="E161" s="118" t="s">
        <v>12908</v>
      </c>
      <c r="F161" s="119"/>
      <c r="H161" t="s">
        <v>12914</v>
      </c>
      <c r="I161" s="118" t="s">
        <v>12944</v>
      </c>
      <c r="J161" s="119"/>
      <c r="L161" t="s">
        <v>12950</v>
      </c>
      <c r="M161" s="118" t="s">
        <v>12980</v>
      </c>
      <c r="N161" s="119"/>
      <c r="P161" t="s">
        <v>12986</v>
      </c>
      <c r="Q161" s="118" t="s">
        <v>13016</v>
      </c>
      <c r="R161" s="119"/>
      <c r="T161" t="s">
        <v>13022</v>
      </c>
      <c r="U161" s="118" t="s">
        <v>13052</v>
      </c>
      <c r="V161" s="119"/>
      <c r="X161" t="s">
        <v>13058</v>
      </c>
    </row>
    <row r="162" spans="1:24" x14ac:dyDescent="0.3">
      <c r="A162" s="118" t="s">
        <v>12873</v>
      </c>
      <c r="B162" s="119"/>
      <c r="D162" t="s">
        <v>12879</v>
      </c>
      <c r="E162" s="118" t="s">
        <v>12909</v>
      </c>
      <c r="F162" s="119"/>
      <c r="H162" t="s">
        <v>12915</v>
      </c>
      <c r="I162" s="118" t="s">
        <v>12945</v>
      </c>
      <c r="J162" s="119"/>
      <c r="L162" t="s">
        <v>12951</v>
      </c>
      <c r="M162" s="118" t="s">
        <v>12981</v>
      </c>
      <c r="N162" s="119"/>
      <c r="P162" t="s">
        <v>12987</v>
      </c>
      <c r="Q162" s="118" t="s">
        <v>13017</v>
      </c>
      <c r="R162" s="119"/>
      <c r="T162" t="s">
        <v>13023</v>
      </c>
      <c r="U162" s="118" t="s">
        <v>13053</v>
      </c>
      <c r="V162" s="119"/>
      <c r="X162" t="s">
        <v>13059</v>
      </c>
    </row>
    <row r="163" spans="1:24" x14ac:dyDescent="0.3">
      <c r="A163" s="118" t="s">
        <v>12884</v>
      </c>
      <c r="B163" s="119"/>
      <c r="D163" t="s">
        <v>12890</v>
      </c>
      <c r="E163" s="118" t="s">
        <v>12920</v>
      </c>
      <c r="F163" s="119"/>
      <c r="H163" t="s">
        <v>12926</v>
      </c>
      <c r="I163" s="118" t="s">
        <v>12956</v>
      </c>
      <c r="J163" s="119"/>
      <c r="L163" t="s">
        <v>12962</v>
      </c>
      <c r="M163" s="118" t="s">
        <v>12992</v>
      </c>
      <c r="N163" s="119"/>
      <c r="P163" t="s">
        <v>12998</v>
      </c>
      <c r="Q163" s="118" t="s">
        <v>13028</v>
      </c>
      <c r="R163" s="119"/>
      <c r="T163" t="s">
        <v>13034</v>
      </c>
      <c r="U163" s="118" t="s">
        <v>13064</v>
      </c>
      <c r="V163" s="119"/>
      <c r="X163" t="s">
        <v>13070</v>
      </c>
    </row>
    <row r="164" spans="1:24" x14ac:dyDescent="0.3">
      <c r="A164" s="118" t="s">
        <v>12885</v>
      </c>
      <c r="B164" s="119"/>
      <c r="D164" t="s">
        <v>12891</v>
      </c>
      <c r="E164" s="118" t="s">
        <v>12921</v>
      </c>
      <c r="F164" s="119"/>
      <c r="H164" t="s">
        <v>12927</v>
      </c>
      <c r="I164" s="118" t="s">
        <v>12957</v>
      </c>
      <c r="J164" s="119"/>
      <c r="L164" t="s">
        <v>12963</v>
      </c>
      <c r="M164" s="118" t="s">
        <v>12993</v>
      </c>
      <c r="N164" s="119"/>
      <c r="P164" t="s">
        <v>12999</v>
      </c>
      <c r="Q164" s="118" t="s">
        <v>13029</v>
      </c>
      <c r="R164" s="119"/>
      <c r="T164" t="s">
        <v>13035</v>
      </c>
      <c r="U164" s="118" t="s">
        <v>13065</v>
      </c>
      <c r="V164" s="119"/>
      <c r="X164" t="s">
        <v>13071</v>
      </c>
    </row>
    <row r="165" spans="1:24" x14ac:dyDescent="0.3">
      <c r="A165" s="118" t="s">
        <v>12896</v>
      </c>
      <c r="B165" s="119"/>
      <c r="D165" t="s">
        <v>12902</v>
      </c>
      <c r="E165" s="118" t="s">
        <v>12932</v>
      </c>
      <c r="F165" s="119"/>
      <c r="H165" t="s">
        <v>12938</v>
      </c>
      <c r="I165" s="118" t="s">
        <v>12968</v>
      </c>
      <c r="J165" s="119"/>
      <c r="L165" t="s">
        <v>12974</v>
      </c>
      <c r="M165" s="118" t="s">
        <v>13004</v>
      </c>
      <c r="N165" s="119"/>
      <c r="P165" t="s">
        <v>13010</v>
      </c>
      <c r="Q165" s="118" t="s">
        <v>13040</v>
      </c>
      <c r="R165" s="119"/>
      <c r="T165" t="s">
        <v>13046</v>
      </c>
      <c r="U165" s="118" t="s">
        <v>13076</v>
      </c>
      <c r="V165" s="119"/>
      <c r="X165" t="s">
        <v>13082</v>
      </c>
    </row>
    <row r="166" spans="1:24" x14ac:dyDescent="0.3">
      <c r="A166" s="118" t="s">
        <v>12897</v>
      </c>
      <c r="B166" s="119"/>
      <c r="D166" t="s">
        <v>12903</v>
      </c>
      <c r="E166" s="118" t="s">
        <v>12933</v>
      </c>
      <c r="F166" s="119"/>
      <c r="H166" t="s">
        <v>12939</v>
      </c>
      <c r="I166" s="118" t="s">
        <v>12969</v>
      </c>
      <c r="J166" s="119"/>
      <c r="L166" t="s">
        <v>12975</v>
      </c>
      <c r="M166" s="118" t="s">
        <v>13005</v>
      </c>
      <c r="N166" s="119"/>
      <c r="P166" t="s">
        <v>13011</v>
      </c>
      <c r="Q166" s="118" t="s">
        <v>13041</v>
      </c>
      <c r="R166" s="119"/>
      <c r="T166" t="s">
        <v>13047</v>
      </c>
      <c r="U166" s="118" t="s">
        <v>13077</v>
      </c>
      <c r="V166" s="119"/>
      <c r="X166" t="s">
        <v>13083</v>
      </c>
    </row>
    <row r="167" spans="1:24" x14ac:dyDescent="0.3">
      <c r="A167" s="118" t="s">
        <v>13088</v>
      </c>
      <c r="B167" s="119"/>
      <c r="D167" t="s">
        <v>13094</v>
      </c>
      <c r="E167" s="118" t="s">
        <v>13124</v>
      </c>
      <c r="F167" s="119"/>
      <c r="H167" t="s">
        <v>13130</v>
      </c>
      <c r="I167" s="118" t="s">
        <v>13160</v>
      </c>
      <c r="J167" s="119"/>
      <c r="L167" t="s">
        <v>13166</v>
      </c>
      <c r="M167" s="118" t="s">
        <v>13196</v>
      </c>
      <c r="N167" s="119"/>
      <c r="P167" t="s">
        <v>13202</v>
      </c>
      <c r="Q167" s="118" t="s">
        <v>13232</v>
      </c>
      <c r="R167" s="119"/>
      <c r="T167" t="s">
        <v>13238</v>
      </c>
      <c r="U167" s="118" t="s">
        <v>13268</v>
      </c>
      <c r="V167" s="119"/>
      <c r="X167" t="s">
        <v>13274</v>
      </c>
    </row>
    <row r="168" spans="1:24" x14ac:dyDescent="0.3">
      <c r="A168" s="118" t="s">
        <v>13089</v>
      </c>
      <c r="B168" s="119"/>
      <c r="D168" t="s">
        <v>13095</v>
      </c>
      <c r="E168" s="118" t="s">
        <v>13125</v>
      </c>
      <c r="F168" s="119"/>
      <c r="H168" t="s">
        <v>13131</v>
      </c>
      <c r="I168" s="118" t="s">
        <v>13161</v>
      </c>
      <c r="J168" s="119"/>
      <c r="L168" t="s">
        <v>13167</v>
      </c>
      <c r="M168" s="118" t="s">
        <v>13197</v>
      </c>
      <c r="N168" s="119"/>
      <c r="P168" t="s">
        <v>13203</v>
      </c>
      <c r="Q168" s="118" t="s">
        <v>13233</v>
      </c>
      <c r="R168" s="119"/>
      <c r="T168" t="s">
        <v>13239</v>
      </c>
      <c r="U168" s="118" t="s">
        <v>13269</v>
      </c>
      <c r="V168" s="119"/>
      <c r="X168" t="s">
        <v>13275</v>
      </c>
    </row>
    <row r="169" spans="1:24" x14ac:dyDescent="0.3">
      <c r="A169" s="118" t="s">
        <v>13100</v>
      </c>
      <c r="B169" s="119"/>
      <c r="D169" t="s">
        <v>13106</v>
      </c>
      <c r="E169" s="118" t="s">
        <v>13136</v>
      </c>
      <c r="F169" s="119"/>
      <c r="H169" t="s">
        <v>13142</v>
      </c>
      <c r="I169" s="118" t="s">
        <v>13172</v>
      </c>
      <c r="J169" s="119"/>
      <c r="L169" t="s">
        <v>13178</v>
      </c>
      <c r="M169" s="118" t="s">
        <v>13208</v>
      </c>
      <c r="N169" s="119"/>
      <c r="P169" t="s">
        <v>13214</v>
      </c>
      <c r="Q169" s="118" t="s">
        <v>13244</v>
      </c>
      <c r="R169" s="119"/>
      <c r="T169" t="s">
        <v>13250</v>
      </c>
      <c r="U169" s="118" t="s">
        <v>13280</v>
      </c>
      <c r="V169" s="119"/>
      <c r="X169" t="s">
        <v>13286</v>
      </c>
    </row>
    <row r="170" spans="1:24" x14ac:dyDescent="0.3">
      <c r="A170" s="118" t="s">
        <v>13101</v>
      </c>
      <c r="B170" s="119"/>
      <c r="D170" t="s">
        <v>13107</v>
      </c>
      <c r="E170" s="118" t="s">
        <v>13137</v>
      </c>
      <c r="F170" s="119"/>
      <c r="H170" t="s">
        <v>13143</v>
      </c>
      <c r="I170" s="118" t="s">
        <v>13173</v>
      </c>
      <c r="J170" s="119"/>
      <c r="L170" t="s">
        <v>13179</v>
      </c>
      <c r="M170" s="118" t="s">
        <v>13209</v>
      </c>
      <c r="N170" s="119"/>
      <c r="P170" t="s">
        <v>13215</v>
      </c>
      <c r="Q170" s="118" t="s">
        <v>13245</v>
      </c>
      <c r="R170" s="119"/>
      <c r="T170" t="s">
        <v>13251</v>
      </c>
      <c r="U170" s="118" t="s">
        <v>13281</v>
      </c>
      <c r="V170" s="119"/>
      <c r="X170" t="s">
        <v>13287</v>
      </c>
    </row>
    <row r="171" spans="1:24" x14ac:dyDescent="0.3">
      <c r="A171" s="118" t="s">
        <v>13112</v>
      </c>
      <c r="B171" s="119"/>
      <c r="D171" t="s">
        <v>13118</v>
      </c>
      <c r="E171" s="118" t="s">
        <v>13148</v>
      </c>
      <c r="F171" s="119"/>
      <c r="H171" t="s">
        <v>13154</v>
      </c>
      <c r="I171" s="118" t="s">
        <v>13184</v>
      </c>
      <c r="J171" s="119"/>
      <c r="L171" t="s">
        <v>13190</v>
      </c>
      <c r="M171" s="118" t="s">
        <v>13220</v>
      </c>
      <c r="N171" s="119"/>
      <c r="P171" t="s">
        <v>13226</v>
      </c>
      <c r="Q171" s="118" t="s">
        <v>13256</v>
      </c>
      <c r="R171" s="119"/>
      <c r="T171" t="s">
        <v>13262</v>
      </c>
      <c r="U171" s="118" t="s">
        <v>13292</v>
      </c>
      <c r="V171" s="119"/>
      <c r="X171" t="s">
        <v>13298</v>
      </c>
    </row>
    <row r="172" spans="1:24" x14ac:dyDescent="0.3">
      <c r="A172" s="118" t="s">
        <v>13113</v>
      </c>
      <c r="B172" s="119"/>
      <c r="D172" t="s">
        <v>13119</v>
      </c>
      <c r="E172" s="118" t="s">
        <v>13149</v>
      </c>
      <c r="F172" s="119"/>
      <c r="H172" t="s">
        <v>13155</v>
      </c>
      <c r="I172" s="118" t="s">
        <v>13185</v>
      </c>
      <c r="J172" s="119"/>
      <c r="L172" t="s">
        <v>13191</v>
      </c>
      <c r="M172" s="118" t="s">
        <v>13221</v>
      </c>
      <c r="N172" s="119"/>
      <c r="P172" t="s">
        <v>13227</v>
      </c>
      <c r="Q172" s="118" t="s">
        <v>13257</v>
      </c>
      <c r="R172" s="119"/>
      <c r="T172" t="s">
        <v>13263</v>
      </c>
      <c r="U172" s="118" t="s">
        <v>13293</v>
      </c>
      <c r="V172" s="119"/>
      <c r="X172" t="s">
        <v>13299</v>
      </c>
    </row>
    <row r="173" spans="1:24" x14ac:dyDescent="0.3">
      <c r="A173" s="118" t="s">
        <v>13304</v>
      </c>
      <c r="B173" s="119"/>
      <c r="D173" t="s">
        <v>13310</v>
      </c>
      <c r="E173" s="118" t="s">
        <v>13340</v>
      </c>
      <c r="F173" s="119"/>
      <c r="H173" t="s">
        <v>13346</v>
      </c>
      <c r="I173" s="118" t="s">
        <v>13376</v>
      </c>
      <c r="J173" s="119"/>
      <c r="L173" t="s">
        <v>13382</v>
      </c>
      <c r="M173" s="118" t="s">
        <v>13412</v>
      </c>
      <c r="N173" s="119"/>
      <c r="P173" t="s">
        <v>13418</v>
      </c>
      <c r="Q173" s="118" t="s">
        <v>13448</v>
      </c>
      <c r="R173" s="119"/>
      <c r="T173" t="s">
        <v>13454</v>
      </c>
      <c r="U173" s="118" t="s">
        <v>13484</v>
      </c>
      <c r="V173" s="119"/>
      <c r="X173" t="s">
        <v>13490</v>
      </c>
    </row>
    <row r="174" spans="1:24" x14ac:dyDescent="0.3">
      <c r="A174" s="118" t="s">
        <v>13305</v>
      </c>
      <c r="B174" s="119"/>
      <c r="D174" t="s">
        <v>13311</v>
      </c>
      <c r="E174" s="118" t="s">
        <v>13341</v>
      </c>
      <c r="F174" s="119"/>
      <c r="H174" t="s">
        <v>13347</v>
      </c>
      <c r="I174" s="118" t="s">
        <v>13377</v>
      </c>
      <c r="J174" s="119"/>
      <c r="L174" t="s">
        <v>13383</v>
      </c>
      <c r="M174" s="118" t="s">
        <v>13413</v>
      </c>
      <c r="N174" s="119"/>
      <c r="P174" t="s">
        <v>13419</v>
      </c>
      <c r="Q174" s="118" t="s">
        <v>13449</v>
      </c>
      <c r="R174" s="119"/>
      <c r="T174" t="s">
        <v>13455</v>
      </c>
      <c r="U174" s="118" t="s">
        <v>13485</v>
      </c>
      <c r="V174" s="119"/>
      <c r="X174" t="s">
        <v>13491</v>
      </c>
    </row>
    <row r="175" spans="1:24" x14ac:dyDescent="0.3">
      <c r="A175" s="118" t="s">
        <v>13316</v>
      </c>
      <c r="B175" s="119"/>
      <c r="D175" t="s">
        <v>13322</v>
      </c>
      <c r="E175" s="118" t="s">
        <v>13352</v>
      </c>
      <c r="F175" s="119"/>
      <c r="H175" t="s">
        <v>13358</v>
      </c>
      <c r="I175" s="118" t="s">
        <v>13388</v>
      </c>
      <c r="J175" s="119"/>
      <c r="L175" t="s">
        <v>13394</v>
      </c>
      <c r="M175" s="118" t="s">
        <v>13424</v>
      </c>
      <c r="N175" s="119"/>
      <c r="P175" t="s">
        <v>13430</v>
      </c>
      <c r="Q175" s="118" t="s">
        <v>13460</v>
      </c>
      <c r="R175" s="119"/>
      <c r="T175" t="s">
        <v>13466</v>
      </c>
      <c r="U175" s="118" t="s">
        <v>13496</v>
      </c>
      <c r="V175" s="119"/>
      <c r="X175" t="s">
        <v>13502</v>
      </c>
    </row>
    <row r="176" spans="1:24" x14ac:dyDescent="0.3">
      <c r="A176" s="118" t="s">
        <v>13317</v>
      </c>
      <c r="B176" s="119"/>
      <c r="D176" t="s">
        <v>13323</v>
      </c>
      <c r="E176" s="118" t="s">
        <v>13353</v>
      </c>
      <c r="F176" s="119"/>
      <c r="H176" t="s">
        <v>13359</v>
      </c>
      <c r="I176" s="118" t="s">
        <v>13389</v>
      </c>
      <c r="J176" s="119"/>
      <c r="L176" t="s">
        <v>13395</v>
      </c>
      <c r="M176" s="118" t="s">
        <v>13425</v>
      </c>
      <c r="N176" s="119"/>
      <c r="P176" t="s">
        <v>13431</v>
      </c>
      <c r="Q176" s="118" t="s">
        <v>13461</v>
      </c>
      <c r="R176" s="119"/>
      <c r="T176" t="s">
        <v>13467</v>
      </c>
      <c r="U176" s="118" t="s">
        <v>13497</v>
      </c>
      <c r="V176" s="119"/>
      <c r="X176" t="s">
        <v>13503</v>
      </c>
    </row>
    <row r="177" spans="1:24" x14ac:dyDescent="0.3">
      <c r="A177" s="118" t="s">
        <v>13328</v>
      </c>
      <c r="B177" s="119"/>
      <c r="D177" t="s">
        <v>13334</v>
      </c>
      <c r="E177" s="118" t="s">
        <v>13364</v>
      </c>
      <c r="F177" s="119"/>
      <c r="H177" t="s">
        <v>13370</v>
      </c>
      <c r="I177" s="118" t="s">
        <v>13400</v>
      </c>
      <c r="J177" s="119"/>
      <c r="L177" t="s">
        <v>13406</v>
      </c>
      <c r="M177" s="118" t="s">
        <v>13436</v>
      </c>
      <c r="N177" s="119"/>
      <c r="P177" t="s">
        <v>13442</v>
      </c>
      <c r="Q177" s="118" t="s">
        <v>13472</v>
      </c>
      <c r="R177" s="119"/>
      <c r="T177" t="s">
        <v>13478</v>
      </c>
      <c r="U177" s="118" t="s">
        <v>13508</v>
      </c>
      <c r="V177" s="119"/>
      <c r="X177" t="s">
        <v>13514</v>
      </c>
    </row>
    <row r="178" spans="1:24" x14ac:dyDescent="0.3">
      <c r="A178" s="118" t="s">
        <v>13329</v>
      </c>
      <c r="B178" s="119"/>
      <c r="D178" t="s">
        <v>13335</v>
      </c>
      <c r="E178" s="118" t="s">
        <v>13365</v>
      </c>
      <c r="F178" s="119"/>
      <c r="H178" t="s">
        <v>13371</v>
      </c>
      <c r="I178" s="118" t="s">
        <v>13401</v>
      </c>
      <c r="J178" s="119"/>
      <c r="L178" t="s">
        <v>13407</v>
      </c>
      <c r="M178" s="118" t="s">
        <v>13437</v>
      </c>
      <c r="N178" s="119"/>
      <c r="P178" t="s">
        <v>13443</v>
      </c>
      <c r="Q178" s="118" t="s">
        <v>13473</v>
      </c>
      <c r="R178" s="119"/>
      <c r="T178" t="s">
        <v>13479</v>
      </c>
      <c r="U178" s="118" t="s">
        <v>13509</v>
      </c>
      <c r="V178" s="119"/>
      <c r="X178" t="s">
        <v>13515</v>
      </c>
    </row>
    <row r="179" spans="1:24" x14ac:dyDescent="0.3">
      <c r="A179" s="118" t="s">
        <v>13520</v>
      </c>
      <c r="B179" s="119"/>
      <c r="D179" t="s">
        <v>13526</v>
      </c>
      <c r="E179" s="118" t="s">
        <v>13556</v>
      </c>
      <c r="F179" s="119"/>
      <c r="H179" t="s">
        <v>13562</v>
      </c>
      <c r="I179" s="118" t="s">
        <v>13592</v>
      </c>
      <c r="J179" s="119"/>
      <c r="L179" t="s">
        <v>13598</v>
      </c>
      <c r="M179" s="118" t="s">
        <v>13628</v>
      </c>
      <c r="N179" s="119"/>
      <c r="P179" t="s">
        <v>13634</v>
      </c>
      <c r="Q179" s="118" t="s">
        <v>13664</v>
      </c>
      <c r="R179" s="119"/>
      <c r="T179" t="s">
        <v>13670</v>
      </c>
      <c r="U179" s="118" t="s">
        <v>13700</v>
      </c>
      <c r="V179" s="119"/>
      <c r="X179" t="s">
        <v>13706</v>
      </c>
    </row>
    <row r="180" spans="1:24" x14ac:dyDescent="0.3">
      <c r="A180" s="118" t="s">
        <v>13521</v>
      </c>
      <c r="B180" s="119"/>
      <c r="D180" t="s">
        <v>13527</v>
      </c>
      <c r="E180" s="118" t="s">
        <v>13557</v>
      </c>
      <c r="F180" s="119"/>
      <c r="H180" t="s">
        <v>13563</v>
      </c>
      <c r="I180" s="118" t="s">
        <v>13593</v>
      </c>
      <c r="J180" s="119"/>
      <c r="L180" t="s">
        <v>13599</v>
      </c>
      <c r="M180" s="118" t="s">
        <v>13629</v>
      </c>
      <c r="N180" s="119"/>
      <c r="P180" t="s">
        <v>13635</v>
      </c>
      <c r="Q180" s="118" t="s">
        <v>13665</v>
      </c>
      <c r="R180" s="119"/>
      <c r="T180" t="s">
        <v>13671</v>
      </c>
      <c r="U180" s="118" t="s">
        <v>13701</v>
      </c>
      <c r="V180" s="119"/>
      <c r="X180" t="s">
        <v>13707</v>
      </c>
    </row>
    <row r="181" spans="1:24" x14ac:dyDescent="0.3">
      <c r="A181" s="118" t="s">
        <v>13532</v>
      </c>
      <c r="B181" s="119"/>
      <c r="D181" t="s">
        <v>13538</v>
      </c>
      <c r="E181" s="118" t="s">
        <v>13568</v>
      </c>
      <c r="F181" s="119"/>
      <c r="H181" t="s">
        <v>13574</v>
      </c>
      <c r="I181" s="118" t="s">
        <v>13604</v>
      </c>
      <c r="J181" s="119"/>
      <c r="L181" t="s">
        <v>13610</v>
      </c>
      <c r="M181" s="118" t="s">
        <v>13640</v>
      </c>
      <c r="N181" s="119"/>
      <c r="P181" t="s">
        <v>13646</v>
      </c>
      <c r="Q181" s="118" t="s">
        <v>13676</v>
      </c>
      <c r="R181" s="119"/>
      <c r="T181" t="s">
        <v>13682</v>
      </c>
      <c r="U181" s="118" t="s">
        <v>13712</v>
      </c>
      <c r="V181" s="119"/>
      <c r="X181" t="s">
        <v>13718</v>
      </c>
    </row>
    <row r="182" spans="1:24" x14ac:dyDescent="0.3">
      <c r="A182" s="118" t="s">
        <v>13533</v>
      </c>
      <c r="B182" s="119"/>
      <c r="D182" t="s">
        <v>13539</v>
      </c>
      <c r="E182" s="118" t="s">
        <v>13569</v>
      </c>
      <c r="F182" s="119"/>
      <c r="H182" t="s">
        <v>13575</v>
      </c>
      <c r="I182" s="118" t="s">
        <v>13605</v>
      </c>
      <c r="J182" s="119"/>
      <c r="L182" t="s">
        <v>13611</v>
      </c>
      <c r="M182" s="118" t="s">
        <v>13641</v>
      </c>
      <c r="N182" s="119"/>
      <c r="P182" t="s">
        <v>13647</v>
      </c>
      <c r="Q182" s="118" t="s">
        <v>13677</v>
      </c>
      <c r="R182" s="119"/>
      <c r="T182" t="s">
        <v>13683</v>
      </c>
      <c r="U182" s="118" t="s">
        <v>13713</v>
      </c>
      <c r="V182" s="119"/>
      <c r="X182" t="s">
        <v>13719</v>
      </c>
    </row>
    <row r="183" spans="1:24" x14ac:dyDescent="0.3">
      <c r="A183" s="118" t="s">
        <v>13544</v>
      </c>
      <c r="B183" s="119"/>
      <c r="D183" t="s">
        <v>13550</v>
      </c>
      <c r="E183" s="118" t="s">
        <v>13580</v>
      </c>
      <c r="F183" s="119"/>
      <c r="H183" t="s">
        <v>13586</v>
      </c>
      <c r="I183" s="118" t="s">
        <v>13616</v>
      </c>
      <c r="J183" s="119"/>
      <c r="L183" t="s">
        <v>13622</v>
      </c>
      <c r="M183" s="118" t="s">
        <v>13652</v>
      </c>
      <c r="N183" s="119"/>
      <c r="P183" t="s">
        <v>13658</v>
      </c>
      <c r="Q183" s="118" t="s">
        <v>13688</v>
      </c>
      <c r="R183" s="119"/>
      <c r="T183" t="s">
        <v>13694</v>
      </c>
      <c r="U183" s="118" t="s">
        <v>13724</v>
      </c>
      <c r="V183" s="119"/>
      <c r="X183" t="s">
        <v>13730</v>
      </c>
    </row>
    <row r="184" spans="1:24" x14ac:dyDescent="0.3">
      <c r="A184" s="118" t="s">
        <v>13545</v>
      </c>
      <c r="B184" s="119"/>
      <c r="D184" t="s">
        <v>13551</v>
      </c>
      <c r="E184" s="118" t="s">
        <v>13581</v>
      </c>
      <c r="F184" s="119"/>
      <c r="H184" t="s">
        <v>13587</v>
      </c>
      <c r="I184" s="118" t="s">
        <v>13617</v>
      </c>
      <c r="J184" s="119"/>
      <c r="L184" t="s">
        <v>13623</v>
      </c>
      <c r="M184" s="118" t="s">
        <v>13653</v>
      </c>
      <c r="N184" s="119"/>
      <c r="P184" t="s">
        <v>13659</v>
      </c>
      <c r="Q184" s="118" t="s">
        <v>13689</v>
      </c>
      <c r="R184" s="119"/>
      <c r="T184" t="s">
        <v>13695</v>
      </c>
      <c r="U184" s="118" t="s">
        <v>13725</v>
      </c>
      <c r="V184" s="119"/>
      <c r="X184" t="s">
        <v>13731</v>
      </c>
    </row>
    <row r="185" spans="1:24" x14ac:dyDescent="0.3">
      <c r="A185" s="118" t="s">
        <v>13736</v>
      </c>
      <c r="B185" s="119"/>
      <c r="D185" t="s">
        <v>13742</v>
      </c>
      <c r="E185" s="118" t="s">
        <v>13772</v>
      </c>
      <c r="F185" s="119"/>
      <c r="H185" t="s">
        <v>13778</v>
      </c>
      <c r="I185" s="118" t="s">
        <v>13808</v>
      </c>
      <c r="J185" s="119"/>
      <c r="L185" t="s">
        <v>13814</v>
      </c>
      <c r="M185" s="118" t="s">
        <v>13844</v>
      </c>
      <c r="N185" s="119"/>
      <c r="P185" t="s">
        <v>13850</v>
      </c>
      <c r="Q185" s="118" t="s">
        <v>13880</v>
      </c>
      <c r="R185" s="119"/>
      <c r="T185" t="s">
        <v>13886</v>
      </c>
      <c r="U185" s="118" t="s">
        <v>13916</v>
      </c>
      <c r="V185" s="119"/>
      <c r="X185" t="s">
        <v>13922</v>
      </c>
    </row>
    <row r="186" spans="1:24" x14ac:dyDescent="0.3">
      <c r="A186" s="118" t="s">
        <v>13737</v>
      </c>
      <c r="B186" s="119"/>
      <c r="D186" t="s">
        <v>13743</v>
      </c>
      <c r="E186" s="118" t="s">
        <v>13773</v>
      </c>
      <c r="F186" s="119"/>
      <c r="H186" t="s">
        <v>13779</v>
      </c>
      <c r="I186" s="118" t="s">
        <v>13809</v>
      </c>
      <c r="J186" s="119"/>
      <c r="L186" t="s">
        <v>13815</v>
      </c>
      <c r="M186" s="118" t="s">
        <v>13845</v>
      </c>
      <c r="N186" s="119"/>
      <c r="P186" t="s">
        <v>13851</v>
      </c>
      <c r="Q186" s="118" t="s">
        <v>13881</v>
      </c>
      <c r="R186" s="119"/>
      <c r="T186" t="s">
        <v>13887</v>
      </c>
      <c r="U186" s="118" t="s">
        <v>13917</v>
      </c>
      <c r="V186" s="119"/>
      <c r="X186" t="s">
        <v>13923</v>
      </c>
    </row>
    <row r="187" spans="1:24" x14ac:dyDescent="0.3">
      <c r="A187" s="118" t="s">
        <v>13748</v>
      </c>
      <c r="B187" s="119"/>
      <c r="D187" t="s">
        <v>13754</v>
      </c>
      <c r="E187" s="118" t="s">
        <v>13784</v>
      </c>
      <c r="F187" s="119"/>
      <c r="H187" t="s">
        <v>13790</v>
      </c>
      <c r="I187" s="118" t="s">
        <v>13820</v>
      </c>
      <c r="J187" s="119"/>
      <c r="L187" t="s">
        <v>13826</v>
      </c>
      <c r="M187" s="118" t="s">
        <v>13856</v>
      </c>
      <c r="N187" s="119"/>
      <c r="P187" t="s">
        <v>13862</v>
      </c>
      <c r="Q187" s="118" t="s">
        <v>13892</v>
      </c>
      <c r="R187" s="119"/>
      <c r="T187" t="s">
        <v>13898</v>
      </c>
      <c r="U187" s="118" t="s">
        <v>13928</v>
      </c>
      <c r="V187" s="119"/>
      <c r="X187" t="s">
        <v>13934</v>
      </c>
    </row>
    <row r="188" spans="1:24" x14ac:dyDescent="0.3">
      <c r="A188" s="118" t="s">
        <v>13749</v>
      </c>
      <c r="B188" s="119"/>
      <c r="D188" t="s">
        <v>13755</v>
      </c>
      <c r="E188" s="118" t="s">
        <v>13785</v>
      </c>
      <c r="F188" s="119"/>
      <c r="H188" t="s">
        <v>13791</v>
      </c>
      <c r="I188" s="118" t="s">
        <v>13821</v>
      </c>
      <c r="J188" s="119"/>
      <c r="L188" t="s">
        <v>13827</v>
      </c>
      <c r="M188" s="118" t="s">
        <v>13857</v>
      </c>
      <c r="N188" s="119"/>
      <c r="P188" t="s">
        <v>13863</v>
      </c>
      <c r="Q188" s="118" t="s">
        <v>13893</v>
      </c>
      <c r="R188" s="119"/>
      <c r="T188" t="s">
        <v>13899</v>
      </c>
      <c r="U188" s="118" t="s">
        <v>13929</v>
      </c>
      <c r="V188" s="119"/>
      <c r="X188" t="s">
        <v>13935</v>
      </c>
    </row>
    <row r="189" spans="1:24" x14ac:dyDescent="0.3">
      <c r="A189" s="118" t="s">
        <v>13760</v>
      </c>
      <c r="B189" s="119"/>
      <c r="D189" t="s">
        <v>13766</v>
      </c>
      <c r="E189" s="118" t="s">
        <v>13796</v>
      </c>
      <c r="F189" s="119"/>
      <c r="H189" t="s">
        <v>13802</v>
      </c>
      <c r="I189" s="118" t="s">
        <v>13832</v>
      </c>
      <c r="J189" s="119"/>
      <c r="L189" t="s">
        <v>13838</v>
      </c>
      <c r="M189" s="118" t="s">
        <v>13868</v>
      </c>
      <c r="N189" s="119"/>
      <c r="P189" t="s">
        <v>13874</v>
      </c>
      <c r="Q189" s="118" t="s">
        <v>13904</v>
      </c>
      <c r="R189" s="119"/>
      <c r="T189" t="s">
        <v>13910</v>
      </c>
      <c r="U189" s="118" t="s">
        <v>13940</v>
      </c>
      <c r="V189" s="119"/>
      <c r="X189" t="s">
        <v>13946</v>
      </c>
    </row>
    <row r="190" spans="1:24" x14ac:dyDescent="0.3">
      <c r="A190" s="118" t="s">
        <v>13761</v>
      </c>
      <c r="B190" s="119"/>
      <c r="D190" t="s">
        <v>13767</v>
      </c>
      <c r="E190" s="118" t="s">
        <v>13797</v>
      </c>
      <c r="F190" s="119"/>
      <c r="H190" t="s">
        <v>13803</v>
      </c>
      <c r="I190" s="118" t="s">
        <v>13833</v>
      </c>
      <c r="J190" s="119"/>
      <c r="L190" t="s">
        <v>13839</v>
      </c>
      <c r="M190" s="118" t="s">
        <v>13869</v>
      </c>
      <c r="N190" s="119"/>
      <c r="P190" t="s">
        <v>13875</v>
      </c>
      <c r="Q190" s="118" t="s">
        <v>13905</v>
      </c>
      <c r="R190" s="119"/>
      <c r="T190" t="s">
        <v>13911</v>
      </c>
      <c r="U190" s="118" t="s">
        <v>13941</v>
      </c>
      <c r="V190" s="119"/>
      <c r="X190" t="s">
        <v>13947</v>
      </c>
    </row>
    <row r="191" spans="1:24" x14ac:dyDescent="0.3">
      <c r="A191" s="118" t="s">
        <v>13952</v>
      </c>
      <c r="B191" s="119"/>
      <c r="D191" t="s">
        <v>13958</v>
      </c>
      <c r="E191" s="118" t="s">
        <v>13988</v>
      </c>
      <c r="F191" s="119"/>
      <c r="H191" t="s">
        <v>13994</v>
      </c>
      <c r="I191" s="118" t="s">
        <v>14024</v>
      </c>
      <c r="J191" s="119"/>
      <c r="L191" t="s">
        <v>14030</v>
      </c>
      <c r="M191" s="118" t="s">
        <v>14060</v>
      </c>
      <c r="N191" s="119"/>
      <c r="P191" t="s">
        <v>14066</v>
      </c>
      <c r="Q191" s="118" t="s">
        <v>14096</v>
      </c>
      <c r="R191" s="119"/>
      <c r="T191" t="s">
        <v>14102</v>
      </c>
      <c r="U191" s="118" t="s">
        <v>14132</v>
      </c>
      <c r="V191" s="119"/>
      <c r="X191" t="s">
        <v>14138</v>
      </c>
    </row>
    <row r="192" spans="1:24" x14ac:dyDescent="0.3">
      <c r="A192" s="118" t="s">
        <v>13953</v>
      </c>
      <c r="B192" s="119"/>
      <c r="D192" t="s">
        <v>13959</v>
      </c>
      <c r="E192" s="118" t="s">
        <v>13989</v>
      </c>
      <c r="F192" s="119"/>
      <c r="H192" t="s">
        <v>13995</v>
      </c>
      <c r="I192" s="118" t="s">
        <v>14025</v>
      </c>
      <c r="J192" s="119"/>
      <c r="L192" t="s">
        <v>14031</v>
      </c>
      <c r="M192" s="118" t="s">
        <v>14061</v>
      </c>
      <c r="N192" s="119"/>
      <c r="P192" t="s">
        <v>14067</v>
      </c>
      <c r="Q192" s="118" t="s">
        <v>14097</v>
      </c>
      <c r="R192" s="119"/>
      <c r="T192" t="s">
        <v>14103</v>
      </c>
      <c r="U192" s="118" t="s">
        <v>14133</v>
      </c>
      <c r="V192" s="119"/>
      <c r="X192" t="s">
        <v>14139</v>
      </c>
    </row>
    <row r="193" spans="1:24" x14ac:dyDescent="0.3">
      <c r="A193" s="118" t="s">
        <v>13964</v>
      </c>
      <c r="B193" s="119"/>
      <c r="D193" t="s">
        <v>13970</v>
      </c>
      <c r="E193" s="118" t="s">
        <v>14000</v>
      </c>
      <c r="F193" s="119"/>
      <c r="H193" t="s">
        <v>14006</v>
      </c>
      <c r="I193" s="118" t="s">
        <v>14036</v>
      </c>
      <c r="J193" s="119"/>
      <c r="L193" t="s">
        <v>14042</v>
      </c>
      <c r="M193" s="118" t="s">
        <v>14072</v>
      </c>
      <c r="N193" s="119"/>
      <c r="P193" t="s">
        <v>14078</v>
      </c>
      <c r="Q193" s="118" t="s">
        <v>14108</v>
      </c>
      <c r="R193" s="119"/>
      <c r="T193" t="s">
        <v>14114</v>
      </c>
      <c r="U193" s="118" t="s">
        <v>14144</v>
      </c>
      <c r="V193" s="119"/>
      <c r="X193" t="s">
        <v>14150</v>
      </c>
    </row>
    <row r="194" spans="1:24" x14ac:dyDescent="0.3">
      <c r="A194" s="118" t="s">
        <v>13965</v>
      </c>
      <c r="B194" s="119"/>
      <c r="D194" t="s">
        <v>13971</v>
      </c>
      <c r="E194" s="118" t="s">
        <v>14001</v>
      </c>
      <c r="F194" s="119"/>
      <c r="H194" t="s">
        <v>14007</v>
      </c>
      <c r="I194" s="118" t="s">
        <v>14037</v>
      </c>
      <c r="J194" s="119"/>
      <c r="L194" t="s">
        <v>14043</v>
      </c>
      <c r="M194" s="118" t="s">
        <v>14073</v>
      </c>
      <c r="N194" s="119"/>
      <c r="P194" t="s">
        <v>14079</v>
      </c>
      <c r="Q194" s="118" t="s">
        <v>14109</v>
      </c>
      <c r="R194" s="119"/>
      <c r="T194" t="s">
        <v>14115</v>
      </c>
      <c r="U194" s="118" t="s">
        <v>14145</v>
      </c>
      <c r="V194" s="119"/>
      <c r="X194" t="s">
        <v>14151</v>
      </c>
    </row>
    <row r="195" spans="1:24" x14ac:dyDescent="0.3">
      <c r="A195" s="118" t="s">
        <v>13976</v>
      </c>
      <c r="B195" s="119"/>
      <c r="D195" t="s">
        <v>13982</v>
      </c>
      <c r="E195" s="118" t="s">
        <v>14012</v>
      </c>
      <c r="F195" s="119"/>
      <c r="H195" t="s">
        <v>14018</v>
      </c>
      <c r="I195" s="118" t="s">
        <v>14048</v>
      </c>
      <c r="J195" s="119"/>
      <c r="L195" t="s">
        <v>14054</v>
      </c>
      <c r="M195" s="118" t="s">
        <v>14084</v>
      </c>
      <c r="N195" s="119"/>
      <c r="P195" t="s">
        <v>14090</v>
      </c>
      <c r="Q195" s="118" t="s">
        <v>14120</v>
      </c>
      <c r="R195" s="119"/>
      <c r="T195" t="s">
        <v>14126</v>
      </c>
      <c r="U195" s="118" t="s">
        <v>14156</v>
      </c>
      <c r="V195" s="119"/>
      <c r="X195" t="s">
        <v>14162</v>
      </c>
    </row>
    <row r="196" spans="1:24" x14ac:dyDescent="0.3">
      <c r="A196" s="118" t="s">
        <v>13977</v>
      </c>
      <c r="B196" s="119"/>
      <c r="D196" t="s">
        <v>13983</v>
      </c>
      <c r="E196" s="118" t="s">
        <v>14013</v>
      </c>
      <c r="F196" s="119"/>
      <c r="H196" t="s">
        <v>14019</v>
      </c>
      <c r="I196" s="118" t="s">
        <v>14049</v>
      </c>
      <c r="J196" s="119"/>
      <c r="L196" t="s">
        <v>14055</v>
      </c>
      <c r="M196" s="118" t="s">
        <v>14085</v>
      </c>
      <c r="N196" s="119"/>
      <c r="P196" t="s">
        <v>14091</v>
      </c>
      <c r="Q196" s="118" t="s">
        <v>14121</v>
      </c>
      <c r="R196" s="119"/>
      <c r="T196" t="s">
        <v>14127</v>
      </c>
      <c r="U196" s="118" t="s">
        <v>14157</v>
      </c>
      <c r="V196" s="119"/>
      <c r="X196" t="s">
        <v>14163</v>
      </c>
    </row>
    <row r="197" spans="1:24" x14ac:dyDescent="0.3">
      <c r="A197" s="118" t="s">
        <v>14168</v>
      </c>
      <c r="B197" s="119"/>
      <c r="D197" t="s">
        <v>14174</v>
      </c>
      <c r="E197" s="118" t="s">
        <v>14204</v>
      </c>
      <c r="F197" s="119"/>
      <c r="H197" t="s">
        <v>14210</v>
      </c>
      <c r="I197" s="118" t="s">
        <v>14240</v>
      </c>
      <c r="J197" s="119"/>
      <c r="L197" t="s">
        <v>14246</v>
      </c>
      <c r="M197" s="118" t="s">
        <v>14276</v>
      </c>
      <c r="N197" s="119"/>
      <c r="P197" t="s">
        <v>14282</v>
      </c>
      <c r="Q197" s="118" t="s">
        <v>14312</v>
      </c>
      <c r="R197" s="119"/>
      <c r="T197" t="s">
        <v>14318</v>
      </c>
      <c r="U197" s="118" t="s">
        <v>14348</v>
      </c>
      <c r="V197" s="119"/>
      <c r="X197" t="s">
        <v>14354</v>
      </c>
    </row>
    <row r="198" spans="1:24" x14ac:dyDescent="0.3">
      <c r="A198" s="118" t="s">
        <v>14169</v>
      </c>
      <c r="B198" s="119"/>
      <c r="D198" t="s">
        <v>14175</v>
      </c>
      <c r="E198" s="118" t="s">
        <v>14205</v>
      </c>
      <c r="F198" s="119"/>
      <c r="H198" t="s">
        <v>14211</v>
      </c>
      <c r="I198" s="118" t="s">
        <v>14241</v>
      </c>
      <c r="J198" s="119"/>
      <c r="L198" t="s">
        <v>14247</v>
      </c>
      <c r="M198" s="118" t="s">
        <v>14277</v>
      </c>
      <c r="N198" s="119"/>
      <c r="P198" t="s">
        <v>14283</v>
      </c>
      <c r="Q198" s="118" t="s">
        <v>14313</v>
      </c>
      <c r="R198" s="119"/>
      <c r="T198" t="s">
        <v>14319</v>
      </c>
      <c r="U198" s="118" t="s">
        <v>14349</v>
      </c>
      <c r="V198" s="119"/>
      <c r="X198" t="s">
        <v>14355</v>
      </c>
    </row>
    <row r="199" spans="1:24" x14ac:dyDescent="0.3">
      <c r="A199" s="118" t="s">
        <v>14180</v>
      </c>
      <c r="B199" s="119"/>
      <c r="D199" t="s">
        <v>14186</v>
      </c>
      <c r="E199" s="118" t="s">
        <v>14216</v>
      </c>
      <c r="F199" s="119"/>
      <c r="H199" t="s">
        <v>14222</v>
      </c>
      <c r="I199" s="118" t="s">
        <v>14252</v>
      </c>
      <c r="J199" s="119"/>
      <c r="L199" t="s">
        <v>14258</v>
      </c>
      <c r="M199" s="118" t="s">
        <v>14288</v>
      </c>
      <c r="N199" s="119"/>
      <c r="P199" t="s">
        <v>14294</v>
      </c>
      <c r="Q199" s="118" t="s">
        <v>14324</v>
      </c>
      <c r="R199" s="119"/>
      <c r="T199" t="s">
        <v>14330</v>
      </c>
      <c r="U199" s="118" t="s">
        <v>14360</v>
      </c>
      <c r="V199" s="119"/>
      <c r="X199" t="s">
        <v>14366</v>
      </c>
    </row>
    <row r="200" spans="1:24" x14ac:dyDescent="0.3">
      <c r="A200" s="118" t="s">
        <v>14181</v>
      </c>
      <c r="B200" s="119"/>
      <c r="D200" t="s">
        <v>14187</v>
      </c>
      <c r="E200" s="118" t="s">
        <v>14217</v>
      </c>
      <c r="F200" s="119"/>
      <c r="H200" t="s">
        <v>14223</v>
      </c>
      <c r="I200" s="118" t="s">
        <v>14253</v>
      </c>
      <c r="J200" s="119"/>
      <c r="L200" t="s">
        <v>14259</v>
      </c>
      <c r="M200" s="118" t="s">
        <v>14289</v>
      </c>
      <c r="N200" s="119"/>
      <c r="P200" t="s">
        <v>14295</v>
      </c>
      <c r="Q200" s="118" t="s">
        <v>14325</v>
      </c>
      <c r="R200" s="119"/>
      <c r="T200" t="s">
        <v>14331</v>
      </c>
      <c r="U200" s="118" t="s">
        <v>14361</v>
      </c>
      <c r="V200" s="119"/>
      <c r="X200" t="s">
        <v>14367</v>
      </c>
    </row>
    <row r="201" spans="1:24" x14ac:dyDescent="0.3">
      <c r="A201" s="118" t="s">
        <v>14192</v>
      </c>
      <c r="B201" s="119"/>
      <c r="D201" t="s">
        <v>14198</v>
      </c>
      <c r="E201" s="118" t="s">
        <v>14228</v>
      </c>
      <c r="F201" s="119"/>
      <c r="H201" t="s">
        <v>14234</v>
      </c>
      <c r="I201" s="118" t="s">
        <v>14264</v>
      </c>
      <c r="J201" s="119"/>
      <c r="L201" t="s">
        <v>14270</v>
      </c>
      <c r="M201" s="118" t="s">
        <v>14300</v>
      </c>
      <c r="N201" s="119"/>
      <c r="P201" t="s">
        <v>14306</v>
      </c>
      <c r="Q201" s="118" t="s">
        <v>14336</v>
      </c>
      <c r="R201" s="119"/>
      <c r="T201" t="s">
        <v>14342</v>
      </c>
      <c r="U201" s="118" t="s">
        <v>14372</v>
      </c>
      <c r="V201" s="119"/>
      <c r="X201" t="s">
        <v>14378</v>
      </c>
    </row>
    <row r="202" spans="1:24" x14ac:dyDescent="0.3">
      <c r="A202" s="118" t="s">
        <v>14193</v>
      </c>
      <c r="B202" s="119"/>
      <c r="D202" t="s">
        <v>14199</v>
      </c>
      <c r="E202" s="118" t="s">
        <v>14229</v>
      </c>
      <c r="F202" s="119"/>
      <c r="H202" t="s">
        <v>14235</v>
      </c>
      <c r="I202" s="118" t="s">
        <v>14265</v>
      </c>
      <c r="J202" s="119"/>
      <c r="L202" t="s">
        <v>14271</v>
      </c>
      <c r="M202" s="118" t="s">
        <v>14301</v>
      </c>
      <c r="N202" s="119"/>
      <c r="P202" t="s">
        <v>14307</v>
      </c>
      <c r="Q202" s="118" t="s">
        <v>14337</v>
      </c>
      <c r="R202" s="119"/>
      <c r="T202" t="s">
        <v>14343</v>
      </c>
      <c r="U202" s="118" t="s">
        <v>14373</v>
      </c>
      <c r="V202" s="119"/>
      <c r="X202" t="s">
        <v>14379</v>
      </c>
    </row>
    <row r="203" spans="1:24" x14ac:dyDescent="0.3">
      <c r="A203" s="118" t="s">
        <v>14384</v>
      </c>
      <c r="B203" s="119"/>
      <c r="D203" t="s">
        <v>14390</v>
      </c>
      <c r="E203" s="118" t="s">
        <v>14420</v>
      </c>
      <c r="F203" s="119"/>
      <c r="H203" t="s">
        <v>14426</v>
      </c>
      <c r="I203" s="118" t="s">
        <v>14456</v>
      </c>
      <c r="J203" s="119"/>
      <c r="L203" t="s">
        <v>14462</v>
      </c>
      <c r="M203" s="118" t="s">
        <v>14492</v>
      </c>
      <c r="N203" s="119"/>
      <c r="P203" t="s">
        <v>14498</v>
      </c>
      <c r="Q203" s="118" t="s">
        <v>14528</v>
      </c>
      <c r="R203" s="119"/>
      <c r="T203" t="s">
        <v>14534</v>
      </c>
      <c r="U203" s="118" t="s">
        <v>14564</v>
      </c>
      <c r="V203" s="119"/>
      <c r="X203" t="s">
        <v>14570</v>
      </c>
    </row>
    <row r="204" spans="1:24" x14ac:dyDescent="0.3">
      <c r="A204" s="118" t="s">
        <v>14385</v>
      </c>
      <c r="B204" s="119"/>
      <c r="D204" t="s">
        <v>14391</v>
      </c>
      <c r="E204" s="118" t="s">
        <v>14421</v>
      </c>
      <c r="F204" s="119"/>
      <c r="H204" t="s">
        <v>14427</v>
      </c>
      <c r="I204" s="118" t="s">
        <v>14457</v>
      </c>
      <c r="J204" s="119"/>
      <c r="L204" t="s">
        <v>14463</v>
      </c>
      <c r="M204" s="118" t="s">
        <v>14493</v>
      </c>
      <c r="N204" s="119"/>
      <c r="P204" t="s">
        <v>14499</v>
      </c>
      <c r="Q204" s="118" t="s">
        <v>14529</v>
      </c>
      <c r="R204" s="119"/>
      <c r="T204" t="s">
        <v>14535</v>
      </c>
      <c r="U204" s="118" t="s">
        <v>14565</v>
      </c>
      <c r="V204" s="119"/>
      <c r="X204" t="s">
        <v>14571</v>
      </c>
    </row>
    <row r="205" spans="1:24" x14ac:dyDescent="0.3">
      <c r="A205" s="118" t="s">
        <v>14396</v>
      </c>
      <c r="B205" s="119"/>
      <c r="D205" t="s">
        <v>14402</v>
      </c>
      <c r="E205" s="118" t="s">
        <v>14432</v>
      </c>
      <c r="F205" s="119"/>
      <c r="H205" t="s">
        <v>14438</v>
      </c>
      <c r="I205" s="118" t="s">
        <v>14468</v>
      </c>
      <c r="J205" s="119"/>
      <c r="L205" t="s">
        <v>14474</v>
      </c>
      <c r="M205" s="118" t="s">
        <v>14504</v>
      </c>
      <c r="N205" s="119"/>
      <c r="P205" t="s">
        <v>14510</v>
      </c>
      <c r="Q205" s="118" t="s">
        <v>14540</v>
      </c>
      <c r="R205" s="119"/>
      <c r="T205" t="s">
        <v>14546</v>
      </c>
      <c r="U205" s="118" t="s">
        <v>14576</v>
      </c>
      <c r="V205" s="119"/>
      <c r="X205" t="s">
        <v>14582</v>
      </c>
    </row>
    <row r="206" spans="1:24" x14ac:dyDescent="0.3">
      <c r="A206" s="118" t="s">
        <v>14397</v>
      </c>
      <c r="B206" s="119"/>
      <c r="D206" t="s">
        <v>14403</v>
      </c>
      <c r="E206" s="118" t="s">
        <v>14433</v>
      </c>
      <c r="F206" s="119"/>
      <c r="H206" t="s">
        <v>14439</v>
      </c>
      <c r="I206" s="118" t="s">
        <v>14469</v>
      </c>
      <c r="J206" s="119"/>
      <c r="L206" t="s">
        <v>14475</v>
      </c>
      <c r="M206" s="118" t="s">
        <v>14505</v>
      </c>
      <c r="N206" s="119"/>
      <c r="P206" t="s">
        <v>14511</v>
      </c>
      <c r="Q206" s="118" t="s">
        <v>14541</v>
      </c>
      <c r="R206" s="119"/>
      <c r="T206" t="s">
        <v>14547</v>
      </c>
      <c r="U206" s="118" t="s">
        <v>14577</v>
      </c>
      <c r="V206" s="119"/>
      <c r="X206" t="s">
        <v>14583</v>
      </c>
    </row>
    <row r="207" spans="1:24" x14ac:dyDescent="0.3">
      <c r="A207" s="118" t="s">
        <v>14408</v>
      </c>
      <c r="B207" s="119"/>
      <c r="D207" t="s">
        <v>14414</v>
      </c>
      <c r="E207" s="118" t="s">
        <v>14444</v>
      </c>
      <c r="F207" s="119"/>
      <c r="H207" t="s">
        <v>14450</v>
      </c>
      <c r="I207" s="118" t="s">
        <v>14480</v>
      </c>
      <c r="J207" s="119"/>
      <c r="L207" t="s">
        <v>14486</v>
      </c>
      <c r="M207" s="118" t="s">
        <v>14516</v>
      </c>
      <c r="N207" s="119"/>
      <c r="P207" t="s">
        <v>14522</v>
      </c>
      <c r="Q207" s="118" t="s">
        <v>14552</v>
      </c>
      <c r="R207" s="119"/>
      <c r="T207" t="s">
        <v>14558</v>
      </c>
      <c r="U207" s="118" t="s">
        <v>14588</v>
      </c>
      <c r="V207" s="119"/>
      <c r="X207" t="s">
        <v>14594</v>
      </c>
    </row>
    <row r="208" spans="1:24" x14ac:dyDescent="0.3">
      <c r="A208" s="118" t="s">
        <v>14409</v>
      </c>
      <c r="B208" s="119"/>
      <c r="D208" t="s">
        <v>14415</v>
      </c>
      <c r="E208" s="118" t="s">
        <v>14445</v>
      </c>
      <c r="F208" s="119"/>
      <c r="H208" t="s">
        <v>14451</v>
      </c>
      <c r="I208" s="118" t="s">
        <v>14481</v>
      </c>
      <c r="J208" s="119"/>
      <c r="L208" t="s">
        <v>14487</v>
      </c>
      <c r="M208" s="118" t="s">
        <v>14517</v>
      </c>
      <c r="N208" s="119"/>
      <c r="P208" t="s">
        <v>14523</v>
      </c>
      <c r="Q208" s="118" t="s">
        <v>14553</v>
      </c>
      <c r="R208" s="119"/>
      <c r="T208" t="s">
        <v>14559</v>
      </c>
      <c r="U208" s="118" t="s">
        <v>14589</v>
      </c>
      <c r="V208" s="119"/>
      <c r="X208" t="s">
        <v>14595</v>
      </c>
    </row>
    <row r="209" spans="1:24" x14ac:dyDescent="0.3">
      <c r="A209" s="118" t="s">
        <v>14600</v>
      </c>
      <c r="B209" s="119"/>
      <c r="D209" t="s">
        <v>14606</v>
      </c>
      <c r="E209" s="118" t="s">
        <v>14636</v>
      </c>
      <c r="F209" s="119"/>
      <c r="H209" t="s">
        <v>14642</v>
      </c>
      <c r="I209" s="118" t="s">
        <v>14672</v>
      </c>
      <c r="J209" s="119"/>
      <c r="L209" t="s">
        <v>14678</v>
      </c>
      <c r="M209" s="118" t="s">
        <v>14708</v>
      </c>
      <c r="N209" s="119"/>
      <c r="P209" t="s">
        <v>14714</v>
      </c>
      <c r="Q209" s="118" t="s">
        <v>14744</v>
      </c>
      <c r="R209" s="119"/>
      <c r="T209" t="s">
        <v>14750</v>
      </c>
      <c r="U209" s="118" t="s">
        <v>14780</v>
      </c>
      <c r="V209" s="119"/>
      <c r="X209" t="s">
        <v>14786</v>
      </c>
    </row>
    <row r="210" spans="1:24" x14ac:dyDescent="0.3">
      <c r="A210" s="118" t="s">
        <v>14601</v>
      </c>
      <c r="B210" s="119"/>
      <c r="D210" t="s">
        <v>14607</v>
      </c>
      <c r="E210" s="118" t="s">
        <v>14637</v>
      </c>
      <c r="F210" s="119"/>
      <c r="H210" t="s">
        <v>14643</v>
      </c>
      <c r="I210" s="118" t="s">
        <v>14673</v>
      </c>
      <c r="J210" s="119"/>
      <c r="L210" t="s">
        <v>14679</v>
      </c>
      <c r="M210" s="118" t="s">
        <v>14709</v>
      </c>
      <c r="N210" s="119"/>
      <c r="P210" t="s">
        <v>14715</v>
      </c>
      <c r="Q210" s="118" t="s">
        <v>14745</v>
      </c>
      <c r="R210" s="119"/>
      <c r="T210" t="s">
        <v>14751</v>
      </c>
      <c r="U210" s="118" t="s">
        <v>14781</v>
      </c>
      <c r="V210" s="119"/>
      <c r="X210" t="s">
        <v>14787</v>
      </c>
    </row>
    <row r="211" spans="1:24" x14ac:dyDescent="0.3">
      <c r="A211" s="118" t="s">
        <v>14612</v>
      </c>
      <c r="B211" s="119"/>
      <c r="D211" t="s">
        <v>14618</v>
      </c>
      <c r="E211" s="118" t="s">
        <v>14648</v>
      </c>
      <c r="F211" s="119"/>
      <c r="H211" t="s">
        <v>14654</v>
      </c>
      <c r="I211" s="118" t="s">
        <v>14684</v>
      </c>
      <c r="J211" s="119"/>
      <c r="L211" t="s">
        <v>14690</v>
      </c>
      <c r="M211" s="118" t="s">
        <v>14720</v>
      </c>
      <c r="N211" s="119"/>
      <c r="P211" t="s">
        <v>14726</v>
      </c>
      <c r="Q211" s="118" t="s">
        <v>14756</v>
      </c>
      <c r="R211" s="119"/>
      <c r="T211" t="s">
        <v>14762</v>
      </c>
      <c r="U211" s="118" t="s">
        <v>14792</v>
      </c>
      <c r="V211" s="119"/>
      <c r="X211" t="s">
        <v>14798</v>
      </c>
    </row>
    <row r="212" spans="1:24" x14ac:dyDescent="0.3">
      <c r="A212" s="118" t="s">
        <v>14613</v>
      </c>
      <c r="B212" s="119"/>
      <c r="D212" t="s">
        <v>14619</v>
      </c>
      <c r="E212" s="118" t="s">
        <v>14649</v>
      </c>
      <c r="F212" s="119"/>
      <c r="H212" t="s">
        <v>14655</v>
      </c>
      <c r="I212" s="118" t="s">
        <v>14685</v>
      </c>
      <c r="J212" s="119"/>
      <c r="L212" t="s">
        <v>14691</v>
      </c>
      <c r="M212" s="118" t="s">
        <v>14721</v>
      </c>
      <c r="N212" s="119"/>
      <c r="P212" t="s">
        <v>14727</v>
      </c>
      <c r="Q212" s="118" t="s">
        <v>14757</v>
      </c>
      <c r="R212" s="119"/>
      <c r="T212" t="s">
        <v>14763</v>
      </c>
      <c r="U212" s="118" t="s">
        <v>14793</v>
      </c>
      <c r="V212" s="119"/>
      <c r="X212" t="s">
        <v>14799</v>
      </c>
    </row>
    <row r="213" spans="1:24" x14ac:dyDescent="0.3">
      <c r="A213" s="118" t="s">
        <v>14624</v>
      </c>
      <c r="B213" s="119"/>
      <c r="D213" t="s">
        <v>14630</v>
      </c>
      <c r="E213" s="118" t="s">
        <v>14660</v>
      </c>
      <c r="F213" s="119"/>
      <c r="H213" t="s">
        <v>14666</v>
      </c>
      <c r="I213" s="118" t="s">
        <v>14696</v>
      </c>
      <c r="J213" s="119"/>
      <c r="L213" t="s">
        <v>14702</v>
      </c>
      <c r="M213" s="118" t="s">
        <v>14732</v>
      </c>
      <c r="N213" s="119"/>
      <c r="P213" t="s">
        <v>14738</v>
      </c>
      <c r="Q213" s="118" t="s">
        <v>14768</v>
      </c>
      <c r="R213" s="119"/>
      <c r="T213" t="s">
        <v>14774</v>
      </c>
      <c r="U213" s="118" t="s">
        <v>14804</v>
      </c>
      <c r="V213" s="119"/>
      <c r="X213" t="s">
        <v>14810</v>
      </c>
    </row>
    <row r="214" spans="1:24" x14ac:dyDescent="0.3">
      <c r="A214" s="118" t="s">
        <v>14625</v>
      </c>
      <c r="B214" s="119"/>
      <c r="D214" t="s">
        <v>14631</v>
      </c>
      <c r="E214" s="118" t="s">
        <v>14661</v>
      </c>
      <c r="F214" s="119"/>
      <c r="H214" t="s">
        <v>14667</v>
      </c>
      <c r="I214" s="118" t="s">
        <v>14697</v>
      </c>
      <c r="J214" s="119"/>
      <c r="L214" t="s">
        <v>14703</v>
      </c>
      <c r="M214" s="118" t="s">
        <v>14733</v>
      </c>
      <c r="N214" s="119"/>
      <c r="P214" t="s">
        <v>14739</v>
      </c>
      <c r="Q214" s="118" t="s">
        <v>14769</v>
      </c>
      <c r="R214" s="119"/>
      <c r="T214" t="s">
        <v>14775</v>
      </c>
      <c r="U214" s="118" t="s">
        <v>14805</v>
      </c>
      <c r="V214" s="119"/>
      <c r="X214" t="s">
        <v>14811</v>
      </c>
    </row>
    <row r="215" spans="1:24" x14ac:dyDescent="0.3">
      <c r="A215" s="118" t="s">
        <v>14816</v>
      </c>
      <c r="B215" s="119"/>
      <c r="D215" t="s">
        <v>14822</v>
      </c>
      <c r="E215" s="118" t="s">
        <v>14852</v>
      </c>
      <c r="F215" s="119"/>
      <c r="H215" t="s">
        <v>14858</v>
      </c>
      <c r="I215" s="118" t="s">
        <v>14888</v>
      </c>
      <c r="J215" s="119"/>
      <c r="L215" t="s">
        <v>14894</v>
      </c>
      <c r="M215" s="118" t="s">
        <v>14924</v>
      </c>
      <c r="N215" s="119"/>
      <c r="P215" t="s">
        <v>14930</v>
      </c>
      <c r="Q215" s="118" t="s">
        <v>14960</v>
      </c>
      <c r="R215" s="119"/>
      <c r="T215" t="s">
        <v>14966</v>
      </c>
      <c r="U215" s="118" t="s">
        <v>14996</v>
      </c>
      <c r="V215" s="119"/>
      <c r="X215" t="s">
        <v>15002</v>
      </c>
    </row>
    <row r="216" spans="1:24" x14ac:dyDescent="0.3">
      <c r="A216" s="118" t="s">
        <v>14817</v>
      </c>
      <c r="B216" s="119"/>
      <c r="D216" t="s">
        <v>14823</v>
      </c>
      <c r="E216" s="118" t="s">
        <v>14853</v>
      </c>
      <c r="F216" s="119"/>
      <c r="H216" t="s">
        <v>14859</v>
      </c>
      <c r="I216" s="118" t="s">
        <v>14889</v>
      </c>
      <c r="J216" s="119"/>
      <c r="L216" t="s">
        <v>14895</v>
      </c>
      <c r="M216" s="118" t="s">
        <v>14925</v>
      </c>
      <c r="N216" s="119"/>
      <c r="P216" t="s">
        <v>14931</v>
      </c>
      <c r="Q216" s="118" t="s">
        <v>14961</v>
      </c>
      <c r="R216" s="119"/>
      <c r="T216" t="s">
        <v>14967</v>
      </c>
      <c r="U216" s="118" t="s">
        <v>14997</v>
      </c>
      <c r="V216" s="119"/>
      <c r="X216" t="s">
        <v>15003</v>
      </c>
    </row>
    <row r="217" spans="1:24" x14ac:dyDescent="0.3">
      <c r="A217" s="118" t="s">
        <v>14828</v>
      </c>
      <c r="B217" s="119"/>
      <c r="D217" t="s">
        <v>14834</v>
      </c>
      <c r="E217" s="118" t="s">
        <v>14864</v>
      </c>
      <c r="F217" s="119"/>
      <c r="H217" t="s">
        <v>14870</v>
      </c>
      <c r="I217" s="118" t="s">
        <v>14900</v>
      </c>
      <c r="J217" s="119"/>
      <c r="L217" t="s">
        <v>14906</v>
      </c>
      <c r="M217" s="118" t="s">
        <v>14936</v>
      </c>
      <c r="N217" s="119"/>
      <c r="P217" t="s">
        <v>14942</v>
      </c>
      <c r="Q217" s="118" t="s">
        <v>14972</v>
      </c>
      <c r="R217" s="119"/>
      <c r="T217" t="s">
        <v>14978</v>
      </c>
      <c r="U217" s="118" t="s">
        <v>15008</v>
      </c>
      <c r="V217" s="119"/>
      <c r="X217" t="s">
        <v>15014</v>
      </c>
    </row>
    <row r="218" spans="1:24" x14ac:dyDescent="0.3">
      <c r="A218" s="118" t="s">
        <v>14829</v>
      </c>
      <c r="B218" s="119"/>
      <c r="D218" t="s">
        <v>14835</v>
      </c>
      <c r="E218" s="118" t="s">
        <v>14865</v>
      </c>
      <c r="F218" s="119"/>
      <c r="H218" t="s">
        <v>14871</v>
      </c>
      <c r="I218" s="118" t="s">
        <v>14901</v>
      </c>
      <c r="J218" s="119"/>
      <c r="L218" t="s">
        <v>14907</v>
      </c>
      <c r="M218" s="118" t="s">
        <v>14937</v>
      </c>
      <c r="N218" s="119"/>
      <c r="P218" t="s">
        <v>14943</v>
      </c>
      <c r="Q218" s="118" t="s">
        <v>14973</v>
      </c>
      <c r="R218" s="119"/>
      <c r="T218" t="s">
        <v>14979</v>
      </c>
      <c r="U218" s="118" t="s">
        <v>15009</v>
      </c>
      <c r="V218" s="119"/>
      <c r="X218" t="s">
        <v>15015</v>
      </c>
    </row>
    <row r="219" spans="1:24" x14ac:dyDescent="0.3">
      <c r="A219" s="118" t="s">
        <v>14840</v>
      </c>
      <c r="B219" s="119"/>
      <c r="D219" t="s">
        <v>14846</v>
      </c>
      <c r="E219" s="118" t="s">
        <v>14876</v>
      </c>
      <c r="F219" s="119"/>
      <c r="H219" t="s">
        <v>14882</v>
      </c>
      <c r="I219" s="118" t="s">
        <v>14912</v>
      </c>
      <c r="J219" s="119"/>
      <c r="L219" t="s">
        <v>14918</v>
      </c>
      <c r="M219" s="118" t="s">
        <v>14948</v>
      </c>
      <c r="N219" s="119"/>
      <c r="P219" t="s">
        <v>14954</v>
      </c>
      <c r="Q219" s="118" t="s">
        <v>14984</v>
      </c>
      <c r="R219" s="119"/>
      <c r="T219" t="s">
        <v>14990</v>
      </c>
      <c r="U219" s="118" t="s">
        <v>15020</v>
      </c>
      <c r="V219" s="119"/>
      <c r="X219" t="s">
        <v>15026</v>
      </c>
    </row>
    <row r="220" spans="1:24" x14ac:dyDescent="0.3">
      <c r="A220" s="118" t="s">
        <v>14841</v>
      </c>
      <c r="B220" s="119"/>
      <c r="D220" t="s">
        <v>14847</v>
      </c>
      <c r="E220" s="118" t="s">
        <v>14877</v>
      </c>
      <c r="F220" s="119"/>
      <c r="H220" t="s">
        <v>14883</v>
      </c>
      <c r="I220" s="118" t="s">
        <v>14913</v>
      </c>
      <c r="J220" s="119"/>
      <c r="L220" t="s">
        <v>14919</v>
      </c>
      <c r="M220" s="118" t="s">
        <v>14949</v>
      </c>
      <c r="N220" s="119"/>
      <c r="P220" t="s">
        <v>14955</v>
      </c>
      <c r="Q220" s="118" t="s">
        <v>14985</v>
      </c>
      <c r="R220" s="119"/>
      <c r="T220" t="s">
        <v>14991</v>
      </c>
      <c r="U220" s="118" t="s">
        <v>15021</v>
      </c>
      <c r="V220" s="119"/>
      <c r="X220" t="s">
        <v>15027</v>
      </c>
    </row>
    <row r="221" spans="1:24" x14ac:dyDescent="0.3">
      <c r="A221" s="118" t="s">
        <v>15032</v>
      </c>
      <c r="B221" s="119"/>
      <c r="D221" t="s">
        <v>15038</v>
      </c>
      <c r="E221" s="118" t="s">
        <v>15068</v>
      </c>
      <c r="F221" s="119"/>
      <c r="H221" t="s">
        <v>15074</v>
      </c>
      <c r="I221" s="118" t="s">
        <v>15104</v>
      </c>
      <c r="J221" s="119"/>
      <c r="L221" t="s">
        <v>15110</v>
      </c>
      <c r="M221" s="118" t="s">
        <v>15140</v>
      </c>
      <c r="N221" s="119"/>
      <c r="P221" t="s">
        <v>15146</v>
      </c>
      <c r="Q221" s="118" t="s">
        <v>15176</v>
      </c>
      <c r="R221" s="119"/>
      <c r="T221" t="s">
        <v>15182</v>
      </c>
      <c r="U221" s="118" t="s">
        <v>15212</v>
      </c>
      <c r="V221" s="119"/>
      <c r="X221" t="s">
        <v>15218</v>
      </c>
    </row>
    <row r="222" spans="1:24" x14ac:dyDescent="0.3">
      <c r="A222" s="118" t="s">
        <v>15033</v>
      </c>
      <c r="B222" s="119"/>
      <c r="D222" t="s">
        <v>15039</v>
      </c>
      <c r="E222" s="118" t="s">
        <v>15069</v>
      </c>
      <c r="F222" s="119"/>
      <c r="H222" t="s">
        <v>15075</v>
      </c>
      <c r="I222" s="118" t="s">
        <v>15105</v>
      </c>
      <c r="J222" s="119"/>
      <c r="L222" t="s">
        <v>15111</v>
      </c>
      <c r="M222" s="118" t="s">
        <v>15141</v>
      </c>
      <c r="N222" s="119"/>
      <c r="P222" t="s">
        <v>15147</v>
      </c>
      <c r="Q222" s="118" t="s">
        <v>15177</v>
      </c>
      <c r="R222" s="119"/>
      <c r="T222" t="s">
        <v>15183</v>
      </c>
      <c r="U222" s="118" t="s">
        <v>15213</v>
      </c>
      <c r="V222" s="119"/>
      <c r="X222" t="s">
        <v>15219</v>
      </c>
    </row>
    <row r="223" spans="1:24" x14ac:dyDescent="0.3">
      <c r="A223" s="118" t="s">
        <v>15044</v>
      </c>
      <c r="B223" s="119"/>
      <c r="D223" t="s">
        <v>15050</v>
      </c>
      <c r="E223" s="118" t="s">
        <v>15080</v>
      </c>
      <c r="F223" s="119"/>
      <c r="H223" t="s">
        <v>15086</v>
      </c>
      <c r="I223" s="118" t="s">
        <v>15116</v>
      </c>
      <c r="J223" s="119"/>
      <c r="L223" t="s">
        <v>15122</v>
      </c>
      <c r="M223" s="118" t="s">
        <v>15152</v>
      </c>
      <c r="N223" s="119"/>
      <c r="P223" t="s">
        <v>15158</v>
      </c>
      <c r="Q223" s="118" t="s">
        <v>15188</v>
      </c>
      <c r="R223" s="119"/>
      <c r="T223" t="s">
        <v>15194</v>
      </c>
      <c r="U223" s="118" t="s">
        <v>15224</v>
      </c>
      <c r="V223" s="119"/>
      <c r="X223" t="s">
        <v>15230</v>
      </c>
    </row>
    <row r="224" spans="1:24" x14ac:dyDescent="0.3">
      <c r="A224" s="118" t="s">
        <v>15045</v>
      </c>
      <c r="B224" s="119"/>
      <c r="D224" t="s">
        <v>15051</v>
      </c>
      <c r="E224" s="118" t="s">
        <v>15081</v>
      </c>
      <c r="F224" s="119"/>
      <c r="H224" t="s">
        <v>15087</v>
      </c>
      <c r="I224" s="118" t="s">
        <v>15117</v>
      </c>
      <c r="J224" s="119"/>
      <c r="L224" t="s">
        <v>15123</v>
      </c>
      <c r="M224" s="118" t="s">
        <v>15153</v>
      </c>
      <c r="N224" s="119"/>
      <c r="P224" t="s">
        <v>15159</v>
      </c>
      <c r="Q224" s="118" t="s">
        <v>15189</v>
      </c>
      <c r="R224" s="119"/>
      <c r="T224" t="s">
        <v>15195</v>
      </c>
      <c r="U224" s="118" t="s">
        <v>15225</v>
      </c>
      <c r="V224" s="119"/>
      <c r="X224" t="s">
        <v>15231</v>
      </c>
    </row>
    <row r="225" spans="1:24" x14ac:dyDescent="0.3">
      <c r="A225" s="118" t="s">
        <v>15056</v>
      </c>
      <c r="B225" s="119"/>
      <c r="D225" t="s">
        <v>15062</v>
      </c>
      <c r="E225" s="118" t="s">
        <v>15092</v>
      </c>
      <c r="F225" s="119"/>
      <c r="H225" t="s">
        <v>15098</v>
      </c>
      <c r="I225" s="118" t="s">
        <v>15128</v>
      </c>
      <c r="J225" s="119"/>
      <c r="L225" t="s">
        <v>15134</v>
      </c>
      <c r="M225" s="118" t="s">
        <v>15164</v>
      </c>
      <c r="N225" s="119"/>
      <c r="P225" t="s">
        <v>15170</v>
      </c>
      <c r="Q225" s="118" t="s">
        <v>15200</v>
      </c>
      <c r="R225" s="119"/>
      <c r="T225" t="s">
        <v>15206</v>
      </c>
      <c r="U225" s="118" t="s">
        <v>15236</v>
      </c>
      <c r="V225" s="119"/>
      <c r="X225" t="s">
        <v>15242</v>
      </c>
    </row>
    <row r="226" spans="1:24" x14ac:dyDescent="0.3">
      <c r="A226" s="118" t="s">
        <v>15057</v>
      </c>
      <c r="B226" s="119"/>
      <c r="D226" t="s">
        <v>15063</v>
      </c>
      <c r="E226" s="118" t="s">
        <v>15093</v>
      </c>
      <c r="F226" s="119"/>
      <c r="H226" t="s">
        <v>15099</v>
      </c>
      <c r="I226" s="118" t="s">
        <v>15129</v>
      </c>
      <c r="J226" s="119"/>
      <c r="L226" t="s">
        <v>15135</v>
      </c>
      <c r="M226" s="118" t="s">
        <v>15165</v>
      </c>
      <c r="N226" s="119"/>
      <c r="P226" t="s">
        <v>15171</v>
      </c>
      <c r="Q226" s="118" t="s">
        <v>15201</v>
      </c>
      <c r="R226" s="119"/>
      <c r="T226" t="s">
        <v>15207</v>
      </c>
      <c r="U226" s="118" t="s">
        <v>15237</v>
      </c>
      <c r="V226" s="119"/>
      <c r="X226" t="s">
        <v>15243</v>
      </c>
    </row>
    <row r="227" spans="1:24" x14ac:dyDescent="0.3">
      <c r="A227" s="118" t="s">
        <v>15248</v>
      </c>
      <c r="B227" s="119"/>
      <c r="D227" t="s">
        <v>15254</v>
      </c>
      <c r="E227" s="118" t="s">
        <v>15284</v>
      </c>
      <c r="F227" s="119"/>
      <c r="H227" t="s">
        <v>15290</v>
      </c>
      <c r="I227" s="118" t="s">
        <v>15320</v>
      </c>
      <c r="J227" s="119"/>
      <c r="L227" t="s">
        <v>15326</v>
      </c>
      <c r="M227" s="118" t="s">
        <v>15356</v>
      </c>
      <c r="N227" s="119"/>
      <c r="P227" t="s">
        <v>15362</v>
      </c>
      <c r="Q227" s="118" t="s">
        <v>15392</v>
      </c>
      <c r="R227" s="119"/>
      <c r="T227" t="s">
        <v>15398</v>
      </c>
      <c r="U227" s="118" t="s">
        <v>15428</v>
      </c>
      <c r="V227" s="119"/>
      <c r="X227" t="s">
        <v>15434</v>
      </c>
    </row>
    <row r="228" spans="1:24" x14ac:dyDescent="0.3">
      <c r="A228" s="118" t="s">
        <v>15249</v>
      </c>
      <c r="B228" s="119"/>
      <c r="D228" t="s">
        <v>15255</v>
      </c>
      <c r="E228" s="118" t="s">
        <v>15285</v>
      </c>
      <c r="F228" s="119"/>
      <c r="H228" t="s">
        <v>15291</v>
      </c>
      <c r="I228" s="118" t="s">
        <v>15321</v>
      </c>
      <c r="J228" s="119"/>
      <c r="L228" t="s">
        <v>15327</v>
      </c>
      <c r="M228" s="118" t="s">
        <v>15357</v>
      </c>
      <c r="N228" s="119"/>
      <c r="P228" t="s">
        <v>15363</v>
      </c>
      <c r="Q228" s="118" t="s">
        <v>15393</v>
      </c>
      <c r="R228" s="119"/>
      <c r="T228" t="s">
        <v>15399</v>
      </c>
      <c r="U228" s="118" t="s">
        <v>15429</v>
      </c>
      <c r="V228" s="119"/>
      <c r="X228" t="s">
        <v>15435</v>
      </c>
    </row>
    <row r="229" spans="1:24" x14ac:dyDescent="0.3">
      <c r="A229" s="118" t="s">
        <v>15260</v>
      </c>
      <c r="B229" s="119"/>
      <c r="D229" t="s">
        <v>15266</v>
      </c>
      <c r="E229" s="118" t="s">
        <v>15296</v>
      </c>
      <c r="F229" s="119"/>
      <c r="H229" t="s">
        <v>15302</v>
      </c>
      <c r="I229" s="118" t="s">
        <v>15332</v>
      </c>
      <c r="J229" s="119"/>
      <c r="L229" t="s">
        <v>15338</v>
      </c>
      <c r="M229" s="118" t="s">
        <v>15368</v>
      </c>
      <c r="N229" s="119"/>
      <c r="P229" t="s">
        <v>15374</v>
      </c>
      <c r="Q229" s="118" t="s">
        <v>15404</v>
      </c>
      <c r="R229" s="119"/>
      <c r="T229" t="s">
        <v>15410</v>
      </c>
      <c r="U229" s="118" t="s">
        <v>15440</v>
      </c>
      <c r="V229" s="119"/>
      <c r="X229" t="s">
        <v>15446</v>
      </c>
    </row>
    <row r="230" spans="1:24" x14ac:dyDescent="0.3">
      <c r="A230" s="118" t="s">
        <v>15261</v>
      </c>
      <c r="B230" s="119"/>
      <c r="D230" t="s">
        <v>15267</v>
      </c>
      <c r="E230" s="118" t="s">
        <v>15297</v>
      </c>
      <c r="F230" s="119"/>
      <c r="H230" t="s">
        <v>15303</v>
      </c>
      <c r="I230" s="118" t="s">
        <v>15333</v>
      </c>
      <c r="J230" s="119"/>
      <c r="L230" t="s">
        <v>15339</v>
      </c>
      <c r="M230" s="118" t="s">
        <v>15369</v>
      </c>
      <c r="N230" s="119"/>
      <c r="P230" t="s">
        <v>15375</v>
      </c>
      <c r="Q230" s="118" t="s">
        <v>15405</v>
      </c>
      <c r="R230" s="119"/>
      <c r="T230" t="s">
        <v>15411</v>
      </c>
      <c r="U230" s="118" t="s">
        <v>15441</v>
      </c>
      <c r="V230" s="119"/>
      <c r="X230" t="s">
        <v>15447</v>
      </c>
    </row>
    <row r="231" spans="1:24" x14ac:dyDescent="0.3">
      <c r="A231" s="118" t="s">
        <v>15272</v>
      </c>
      <c r="B231" s="119"/>
      <c r="D231" t="s">
        <v>15278</v>
      </c>
      <c r="E231" s="118" t="s">
        <v>15308</v>
      </c>
      <c r="F231" s="119"/>
      <c r="H231" t="s">
        <v>15314</v>
      </c>
      <c r="I231" s="118" t="s">
        <v>15344</v>
      </c>
      <c r="J231" s="119"/>
      <c r="L231" t="s">
        <v>15350</v>
      </c>
      <c r="M231" s="118" t="s">
        <v>15380</v>
      </c>
      <c r="N231" s="119"/>
      <c r="P231" t="s">
        <v>15386</v>
      </c>
      <c r="Q231" s="118" t="s">
        <v>15416</v>
      </c>
      <c r="R231" s="119"/>
      <c r="T231" t="s">
        <v>15422</v>
      </c>
      <c r="U231" s="118" t="s">
        <v>15452</v>
      </c>
      <c r="V231" s="119"/>
      <c r="X231" t="s">
        <v>15458</v>
      </c>
    </row>
    <row r="232" spans="1:24" x14ac:dyDescent="0.3">
      <c r="A232" s="118" t="s">
        <v>15273</v>
      </c>
      <c r="B232" s="119"/>
      <c r="D232" t="s">
        <v>15279</v>
      </c>
      <c r="E232" s="118" t="s">
        <v>15309</v>
      </c>
      <c r="F232" s="119"/>
      <c r="H232" t="s">
        <v>15315</v>
      </c>
      <c r="I232" s="118" t="s">
        <v>15345</v>
      </c>
      <c r="J232" s="119"/>
      <c r="L232" t="s">
        <v>15351</v>
      </c>
      <c r="M232" s="118" t="s">
        <v>15381</v>
      </c>
      <c r="N232" s="119"/>
      <c r="P232" t="s">
        <v>15387</v>
      </c>
      <c r="Q232" s="118" t="s">
        <v>15417</v>
      </c>
      <c r="R232" s="119"/>
      <c r="T232" t="s">
        <v>15423</v>
      </c>
      <c r="U232" s="118" t="s">
        <v>15453</v>
      </c>
      <c r="V232" s="119"/>
      <c r="X232" t="s">
        <v>15459</v>
      </c>
    </row>
    <row r="233" spans="1:24" x14ac:dyDescent="0.3">
      <c r="A233" s="118" t="s">
        <v>15464</v>
      </c>
      <c r="B233" s="119"/>
      <c r="D233" t="s">
        <v>15470</v>
      </c>
      <c r="E233" s="118" t="s">
        <v>15500</v>
      </c>
      <c r="F233" s="119"/>
      <c r="H233" t="s">
        <v>15506</v>
      </c>
      <c r="I233" s="118" t="s">
        <v>15536</v>
      </c>
      <c r="J233" s="119"/>
      <c r="L233" t="s">
        <v>15542</v>
      </c>
      <c r="M233" s="118" t="s">
        <v>15572</v>
      </c>
      <c r="N233" s="119"/>
      <c r="P233" t="s">
        <v>15578</v>
      </c>
      <c r="Q233" s="118" t="s">
        <v>15608</v>
      </c>
      <c r="R233" s="119"/>
      <c r="T233" t="s">
        <v>15614</v>
      </c>
      <c r="U233" s="118" t="s">
        <v>15644</v>
      </c>
      <c r="V233" s="119"/>
      <c r="X233" t="s">
        <v>15650</v>
      </c>
    </row>
    <row r="234" spans="1:24" x14ac:dyDescent="0.3">
      <c r="A234" s="118" t="s">
        <v>15465</v>
      </c>
      <c r="B234" s="119"/>
      <c r="D234" t="s">
        <v>15471</v>
      </c>
      <c r="E234" s="118" t="s">
        <v>15501</v>
      </c>
      <c r="F234" s="119"/>
      <c r="H234" t="s">
        <v>15507</v>
      </c>
      <c r="I234" s="118" t="s">
        <v>15537</v>
      </c>
      <c r="J234" s="119"/>
      <c r="L234" t="s">
        <v>15543</v>
      </c>
      <c r="M234" s="118" t="s">
        <v>15573</v>
      </c>
      <c r="N234" s="119"/>
      <c r="P234" t="s">
        <v>15579</v>
      </c>
      <c r="Q234" s="118" t="s">
        <v>15609</v>
      </c>
      <c r="R234" s="119"/>
      <c r="T234" t="s">
        <v>15615</v>
      </c>
      <c r="U234" s="118" t="s">
        <v>15645</v>
      </c>
      <c r="V234" s="119"/>
      <c r="X234" t="s">
        <v>15651</v>
      </c>
    </row>
    <row r="235" spans="1:24" x14ac:dyDescent="0.3">
      <c r="A235" s="118" t="s">
        <v>15476</v>
      </c>
      <c r="B235" s="119"/>
      <c r="D235" t="s">
        <v>15482</v>
      </c>
      <c r="E235" s="118" t="s">
        <v>15512</v>
      </c>
      <c r="F235" s="119"/>
      <c r="H235" t="s">
        <v>15518</v>
      </c>
      <c r="I235" s="118" t="s">
        <v>15548</v>
      </c>
      <c r="J235" s="119"/>
      <c r="L235" t="s">
        <v>15554</v>
      </c>
      <c r="M235" s="118" t="s">
        <v>15584</v>
      </c>
      <c r="N235" s="119"/>
      <c r="P235" t="s">
        <v>15590</v>
      </c>
      <c r="Q235" s="118" t="s">
        <v>15620</v>
      </c>
      <c r="R235" s="119"/>
      <c r="T235" t="s">
        <v>15626</v>
      </c>
      <c r="U235" s="118" t="s">
        <v>15656</v>
      </c>
      <c r="V235" s="119"/>
      <c r="X235" t="s">
        <v>15662</v>
      </c>
    </row>
    <row r="236" spans="1:24" x14ac:dyDescent="0.3">
      <c r="A236" s="118" t="s">
        <v>15477</v>
      </c>
      <c r="B236" s="119"/>
      <c r="D236" t="s">
        <v>15483</v>
      </c>
      <c r="E236" s="118" t="s">
        <v>15513</v>
      </c>
      <c r="F236" s="119"/>
      <c r="H236" t="s">
        <v>15519</v>
      </c>
      <c r="I236" s="118" t="s">
        <v>15549</v>
      </c>
      <c r="J236" s="119"/>
      <c r="L236" t="s">
        <v>15555</v>
      </c>
      <c r="M236" s="118" t="s">
        <v>15585</v>
      </c>
      <c r="N236" s="119"/>
      <c r="P236" t="s">
        <v>15591</v>
      </c>
      <c r="Q236" s="118" t="s">
        <v>15621</v>
      </c>
      <c r="R236" s="119"/>
      <c r="T236" t="s">
        <v>15627</v>
      </c>
      <c r="U236" s="118" t="s">
        <v>15657</v>
      </c>
      <c r="V236" s="119"/>
      <c r="X236" t="s">
        <v>15663</v>
      </c>
    </row>
    <row r="237" spans="1:24" x14ac:dyDescent="0.3">
      <c r="A237" s="118" t="s">
        <v>15488</v>
      </c>
      <c r="B237" s="119"/>
      <c r="D237" t="s">
        <v>15494</v>
      </c>
      <c r="E237" s="118" t="s">
        <v>15524</v>
      </c>
      <c r="F237" s="119"/>
      <c r="H237" t="s">
        <v>15530</v>
      </c>
      <c r="I237" s="118" t="s">
        <v>15560</v>
      </c>
      <c r="J237" s="119"/>
      <c r="L237" t="s">
        <v>15566</v>
      </c>
      <c r="M237" s="118" t="s">
        <v>15596</v>
      </c>
      <c r="N237" s="119"/>
      <c r="P237" t="s">
        <v>15602</v>
      </c>
      <c r="Q237" s="118" t="s">
        <v>15632</v>
      </c>
      <c r="R237" s="119"/>
      <c r="T237" t="s">
        <v>15638</v>
      </c>
      <c r="U237" s="118" t="s">
        <v>15668</v>
      </c>
      <c r="V237" s="119"/>
      <c r="X237" t="s">
        <v>15674</v>
      </c>
    </row>
    <row r="238" spans="1:24" x14ac:dyDescent="0.3">
      <c r="A238" s="118" t="s">
        <v>15489</v>
      </c>
      <c r="B238" s="119"/>
      <c r="D238" t="s">
        <v>15495</v>
      </c>
      <c r="E238" s="118" t="s">
        <v>15525</v>
      </c>
      <c r="F238" s="119"/>
      <c r="H238" t="s">
        <v>15531</v>
      </c>
      <c r="I238" s="118" t="s">
        <v>15561</v>
      </c>
      <c r="J238" s="119"/>
      <c r="L238" t="s">
        <v>15567</v>
      </c>
      <c r="M238" s="118" t="s">
        <v>15597</v>
      </c>
      <c r="N238" s="119"/>
      <c r="P238" t="s">
        <v>15603</v>
      </c>
      <c r="Q238" s="118" t="s">
        <v>15633</v>
      </c>
      <c r="R238" s="119"/>
      <c r="T238" t="s">
        <v>15639</v>
      </c>
      <c r="U238" s="118" t="s">
        <v>15669</v>
      </c>
      <c r="V238" s="119"/>
      <c r="X238" t="s">
        <v>15675</v>
      </c>
    </row>
    <row r="239" spans="1:24" x14ac:dyDescent="0.3">
      <c r="A239" s="118" t="s">
        <v>15680</v>
      </c>
      <c r="B239" s="119"/>
      <c r="D239" t="s">
        <v>15686</v>
      </c>
      <c r="E239" s="118" t="s">
        <v>15716</v>
      </c>
      <c r="F239" s="119"/>
      <c r="H239" t="s">
        <v>15722</v>
      </c>
      <c r="I239" s="118" t="s">
        <v>15752</v>
      </c>
      <c r="J239" s="119"/>
      <c r="L239" t="s">
        <v>15758</v>
      </c>
      <c r="M239" s="118" t="s">
        <v>15788</v>
      </c>
      <c r="N239" s="119"/>
      <c r="P239" t="s">
        <v>15794</v>
      </c>
      <c r="Q239" s="118" t="s">
        <v>15824</v>
      </c>
      <c r="R239" s="119"/>
      <c r="T239" t="s">
        <v>15830</v>
      </c>
      <c r="U239" s="118" t="s">
        <v>15860</v>
      </c>
      <c r="V239" s="119"/>
      <c r="X239" t="s">
        <v>15866</v>
      </c>
    </row>
    <row r="240" spans="1:24" x14ac:dyDescent="0.3">
      <c r="A240" s="118" t="s">
        <v>15681</v>
      </c>
      <c r="B240" s="119"/>
      <c r="D240" t="s">
        <v>15687</v>
      </c>
      <c r="E240" s="118" t="s">
        <v>15717</v>
      </c>
      <c r="F240" s="119"/>
      <c r="H240" t="s">
        <v>15723</v>
      </c>
      <c r="I240" s="118" t="s">
        <v>15753</v>
      </c>
      <c r="J240" s="119"/>
      <c r="L240" t="s">
        <v>15759</v>
      </c>
      <c r="M240" s="118" t="s">
        <v>15789</v>
      </c>
      <c r="N240" s="119"/>
      <c r="P240" t="s">
        <v>15795</v>
      </c>
      <c r="Q240" s="118" t="s">
        <v>15825</v>
      </c>
      <c r="R240" s="119"/>
      <c r="T240" t="s">
        <v>15831</v>
      </c>
      <c r="U240" s="118" t="s">
        <v>15861</v>
      </c>
      <c r="V240" s="119"/>
      <c r="X240" t="s">
        <v>15867</v>
      </c>
    </row>
    <row r="241" spans="1:24" x14ac:dyDescent="0.3">
      <c r="A241" s="118" t="s">
        <v>15692</v>
      </c>
      <c r="B241" s="119"/>
      <c r="D241" t="s">
        <v>15698</v>
      </c>
      <c r="E241" s="118" t="s">
        <v>15728</v>
      </c>
      <c r="F241" s="119"/>
      <c r="H241" t="s">
        <v>15734</v>
      </c>
      <c r="I241" s="118" t="s">
        <v>15764</v>
      </c>
      <c r="J241" s="119"/>
      <c r="L241" t="s">
        <v>15770</v>
      </c>
      <c r="M241" s="118" t="s">
        <v>15800</v>
      </c>
      <c r="N241" s="119"/>
      <c r="P241" t="s">
        <v>15806</v>
      </c>
      <c r="Q241" s="118" t="s">
        <v>15836</v>
      </c>
      <c r="R241" s="119"/>
      <c r="T241" t="s">
        <v>15842</v>
      </c>
      <c r="U241" s="118" t="s">
        <v>15872</v>
      </c>
      <c r="V241" s="119"/>
      <c r="X241" t="s">
        <v>15878</v>
      </c>
    </row>
    <row r="242" spans="1:24" x14ac:dyDescent="0.3">
      <c r="A242" s="118" t="s">
        <v>15693</v>
      </c>
      <c r="B242" s="119"/>
      <c r="D242" t="s">
        <v>15699</v>
      </c>
      <c r="E242" s="118" t="s">
        <v>15729</v>
      </c>
      <c r="F242" s="119"/>
      <c r="H242" t="s">
        <v>15735</v>
      </c>
      <c r="I242" s="118" t="s">
        <v>15765</v>
      </c>
      <c r="J242" s="119"/>
      <c r="L242" t="s">
        <v>15771</v>
      </c>
      <c r="M242" s="118" t="s">
        <v>15801</v>
      </c>
      <c r="N242" s="119"/>
      <c r="P242" t="s">
        <v>15807</v>
      </c>
      <c r="Q242" s="118" t="s">
        <v>15837</v>
      </c>
      <c r="R242" s="119"/>
      <c r="T242" t="s">
        <v>15843</v>
      </c>
      <c r="U242" s="118" t="s">
        <v>15873</v>
      </c>
      <c r="V242" s="119"/>
      <c r="X242" t="s">
        <v>15879</v>
      </c>
    </row>
    <row r="243" spans="1:24" x14ac:dyDescent="0.3">
      <c r="A243" s="118" t="s">
        <v>15704</v>
      </c>
      <c r="B243" s="119"/>
      <c r="D243" t="s">
        <v>15710</v>
      </c>
      <c r="E243" s="118" t="s">
        <v>15740</v>
      </c>
      <c r="F243" s="119"/>
      <c r="H243" t="s">
        <v>15746</v>
      </c>
      <c r="I243" s="118" t="s">
        <v>15776</v>
      </c>
      <c r="J243" s="119"/>
      <c r="L243" t="s">
        <v>15782</v>
      </c>
      <c r="M243" s="118" t="s">
        <v>15812</v>
      </c>
      <c r="N243" s="119"/>
      <c r="P243" t="s">
        <v>15818</v>
      </c>
      <c r="Q243" s="118" t="s">
        <v>15848</v>
      </c>
      <c r="R243" s="119"/>
      <c r="T243" t="s">
        <v>15854</v>
      </c>
      <c r="U243" s="118" t="s">
        <v>15884</v>
      </c>
      <c r="V243" s="119"/>
      <c r="X243" t="s">
        <v>15890</v>
      </c>
    </row>
    <row r="244" spans="1:24" x14ac:dyDescent="0.3">
      <c r="A244" s="118" t="s">
        <v>15705</v>
      </c>
      <c r="B244" s="119"/>
      <c r="D244" t="s">
        <v>15711</v>
      </c>
      <c r="E244" s="118" t="s">
        <v>15741</v>
      </c>
      <c r="F244" s="119"/>
      <c r="H244" t="s">
        <v>15747</v>
      </c>
      <c r="I244" s="118" t="s">
        <v>15777</v>
      </c>
      <c r="J244" s="119"/>
      <c r="L244" t="s">
        <v>15783</v>
      </c>
      <c r="M244" s="118" t="s">
        <v>15813</v>
      </c>
      <c r="N244" s="119"/>
      <c r="P244" t="s">
        <v>15819</v>
      </c>
      <c r="Q244" s="118" t="s">
        <v>15849</v>
      </c>
      <c r="R244" s="119"/>
      <c r="T244" t="s">
        <v>15855</v>
      </c>
      <c r="U244" s="118" t="s">
        <v>15885</v>
      </c>
      <c r="V244" s="119"/>
      <c r="X244" t="s">
        <v>15891</v>
      </c>
    </row>
    <row r="245" spans="1:24" x14ac:dyDescent="0.3">
      <c r="A245" s="118" t="s">
        <v>15896</v>
      </c>
      <c r="B245" s="119"/>
      <c r="D245" t="s">
        <v>15902</v>
      </c>
      <c r="E245" s="118" t="s">
        <v>15932</v>
      </c>
      <c r="F245" s="119"/>
      <c r="H245" t="s">
        <v>15938</v>
      </c>
      <c r="I245" s="118" t="s">
        <v>15968</v>
      </c>
      <c r="J245" s="119"/>
      <c r="L245" t="s">
        <v>15974</v>
      </c>
      <c r="M245" s="118" t="s">
        <v>16004</v>
      </c>
      <c r="N245" s="119"/>
      <c r="P245" t="s">
        <v>16010</v>
      </c>
      <c r="Q245" s="118" t="s">
        <v>16040</v>
      </c>
      <c r="R245" s="119"/>
      <c r="T245" t="s">
        <v>16046</v>
      </c>
      <c r="U245" s="118" t="s">
        <v>16076</v>
      </c>
      <c r="V245" s="119"/>
      <c r="X245" t="s">
        <v>16082</v>
      </c>
    </row>
    <row r="246" spans="1:24" x14ac:dyDescent="0.3">
      <c r="A246" s="118" t="s">
        <v>15897</v>
      </c>
      <c r="B246" s="119"/>
      <c r="D246" t="s">
        <v>15903</v>
      </c>
      <c r="E246" s="118" t="s">
        <v>15933</v>
      </c>
      <c r="F246" s="119"/>
      <c r="H246" t="s">
        <v>15939</v>
      </c>
      <c r="I246" s="118" t="s">
        <v>15969</v>
      </c>
      <c r="J246" s="119"/>
      <c r="L246" t="s">
        <v>15975</v>
      </c>
      <c r="M246" s="118" t="s">
        <v>16005</v>
      </c>
      <c r="N246" s="119"/>
      <c r="P246" t="s">
        <v>16011</v>
      </c>
      <c r="Q246" s="118" t="s">
        <v>16041</v>
      </c>
      <c r="R246" s="119"/>
      <c r="T246" t="s">
        <v>16047</v>
      </c>
      <c r="U246" s="118" t="s">
        <v>16077</v>
      </c>
      <c r="V246" s="119"/>
      <c r="X246" t="s">
        <v>16083</v>
      </c>
    </row>
    <row r="247" spans="1:24" x14ac:dyDescent="0.3">
      <c r="A247" s="118" t="s">
        <v>15908</v>
      </c>
      <c r="B247" s="119"/>
      <c r="D247" t="s">
        <v>15914</v>
      </c>
      <c r="E247" s="118" t="s">
        <v>15944</v>
      </c>
      <c r="F247" s="119"/>
      <c r="H247" t="s">
        <v>15950</v>
      </c>
      <c r="I247" s="118" t="s">
        <v>15980</v>
      </c>
      <c r="J247" s="119"/>
      <c r="L247" t="s">
        <v>15986</v>
      </c>
      <c r="M247" s="118" t="s">
        <v>16016</v>
      </c>
      <c r="N247" s="119"/>
      <c r="P247" t="s">
        <v>16022</v>
      </c>
      <c r="Q247" s="118" t="s">
        <v>16052</v>
      </c>
      <c r="R247" s="119"/>
      <c r="T247" t="s">
        <v>16058</v>
      </c>
      <c r="U247" s="118" t="s">
        <v>16088</v>
      </c>
      <c r="V247" s="119"/>
      <c r="X247" t="s">
        <v>16094</v>
      </c>
    </row>
    <row r="248" spans="1:24" x14ac:dyDescent="0.3">
      <c r="A248" s="118" t="s">
        <v>15909</v>
      </c>
      <c r="B248" s="119"/>
      <c r="D248" t="s">
        <v>15915</v>
      </c>
      <c r="E248" s="118" t="s">
        <v>15945</v>
      </c>
      <c r="F248" s="119"/>
      <c r="H248" t="s">
        <v>15951</v>
      </c>
      <c r="I248" s="118" t="s">
        <v>15981</v>
      </c>
      <c r="J248" s="119"/>
      <c r="L248" t="s">
        <v>15987</v>
      </c>
      <c r="M248" s="118" t="s">
        <v>16017</v>
      </c>
      <c r="N248" s="119"/>
      <c r="P248" t="s">
        <v>16023</v>
      </c>
      <c r="Q248" s="118" t="s">
        <v>16053</v>
      </c>
      <c r="R248" s="119"/>
      <c r="T248" t="s">
        <v>16059</v>
      </c>
      <c r="U248" s="118" t="s">
        <v>16089</v>
      </c>
      <c r="V248" s="119"/>
      <c r="X248" t="s">
        <v>16095</v>
      </c>
    </row>
    <row r="249" spans="1:24" x14ac:dyDescent="0.3">
      <c r="A249" s="118" t="s">
        <v>15920</v>
      </c>
      <c r="B249" s="119"/>
      <c r="D249" t="s">
        <v>15926</v>
      </c>
      <c r="E249" s="118" t="s">
        <v>15956</v>
      </c>
      <c r="F249" s="119"/>
      <c r="H249" t="s">
        <v>15962</v>
      </c>
      <c r="I249" s="118" t="s">
        <v>15992</v>
      </c>
      <c r="J249" s="119"/>
      <c r="L249" t="s">
        <v>15998</v>
      </c>
      <c r="M249" s="118" t="s">
        <v>16028</v>
      </c>
      <c r="N249" s="119"/>
      <c r="P249" t="s">
        <v>16034</v>
      </c>
      <c r="Q249" s="118" t="s">
        <v>16064</v>
      </c>
      <c r="R249" s="119"/>
      <c r="T249" t="s">
        <v>16070</v>
      </c>
      <c r="U249" s="118" t="s">
        <v>16100</v>
      </c>
      <c r="V249" s="119"/>
      <c r="X249" t="s">
        <v>16106</v>
      </c>
    </row>
    <row r="250" spans="1:24" x14ac:dyDescent="0.3">
      <c r="A250" s="118" t="s">
        <v>15921</v>
      </c>
      <c r="B250" s="119"/>
      <c r="D250" t="s">
        <v>15927</v>
      </c>
      <c r="E250" s="118" t="s">
        <v>15957</v>
      </c>
      <c r="F250" s="119"/>
      <c r="H250" t="s">
        <v>15963</v>
      </c>
      <c r="I250" s="118" t="s">
        <v>15993</v>
      </c>
      <c r="J250" s="119"/>
      <c r="L250" t="s">
        <v>15999</v>
      </c>
      <c r="M250" s="118" t="s">
        <v>16029</v>
      </c>
      <c r="N250" s="119"/>
      <c r="P250" t="s">
        <v>16035</v>
      </c>
      <c r="Q250" s="118" t="s">
        <v>16065</v>
      </c>
      <c r="R250" s="119"/>
      <c r="T250" t="s">
        <v>16071</v>
      </c>
      <c r="U250" s="118" t="s">
        <v>16101</v>
      </c>
      <c r="V250" s="119"/>
      <c r="X250" t="s">
        <v>16107</v>
      </c>
    </row>
    <row r="251" spans="1:24" x14ac:dyDescent="0.3">
      <c r="A251" s="118" t="s">
        <v>16112</v>
      </c>
      <c r="B251" s="119"/>
      <c r="D251" t="s">
        <v>16118</v>
      </c>
      <c r="E251" s="118" t="s">
        <v>16148</v>
      </c>
      <c r="F251" s="119"/>
      <c r="H251" t="s">
        <v>16154</v>
      </c>
      <c r="I251" s="118" t="s">
        <v>16184</v>
      </c>
      <c r="J251" s="119"/>
      <c r="L251" t="s">
        <v>16190</v>
      </c>
      <c r="M251" s="118" t="s">
        <v>16220</v>
      </c>
      <c r="N251" s="119"/>
      <c r="P251" t="s">
        <v>16226</v>
      </c>
      <c r="Q251" s="118" t="s">
        <v>16256</v>
      </c>
      <c r="R251" s="119"/>
      <c r="T251" t="s">
        <v>16262</v>
      </c>
      <c r="U251" s="118" t="s">
        <v>16292</v>
      </c>
      <c r="V251" s="119"/>
      <c r="X251" t="s">
        <v>16298</v>
      </c>
    </row>
    <row r="252" spans="1:24" x14ac:dyDescent="0.3">
      <c r="A252" s="118" t="s">
        <v>16113</v>
      </c>
      <c r="B252" s="119"/>
      <c r="D252" t="s">
        <v>16119</v>
      </c>
      <c r="E252" s="118" t="s">
        <v>16149</v>
      </c>
      <c r="F252" s="119"/>
      <c r="H252" t="s">
        <v>16155</v>
      </c>
      <c r="I252" s="118" t="s">
        <v>16185</v>
      </c>
      <c r="J252" s="119"/>
      <c r="L252" t="s">
        <v>16191</v>
      </c>
      <c r="M252" s="118" t="s">
        <v>16221</v>
      </c>
      <c r="N252" s="119"/>
      <c r="P252" t="s">
        <v>16227</v>
      </c>
      <c r="Q252" s="118" t="s">
        <v>16257</v>
      </c>
      <c r="R252" s="119"/>
      <c r="T252" t="s">
        <v>16263</v>
      </c>
      <c r="U252" s="118" t="s">
        <v>16293</v>
      </c>
      <c r="V252" s="119"/>
      <c r="X252" t="s">
        <v>16299</v>
      </c>
    </row>
    <row r="253" spans="1:24" x14ac:dyDescent="0.3">
      <c r="A253" s="118" t="s">
        <v>16124</v>
      </c>
      <c r="B253" s="119"/>
      <c r="D253" t="s">
        <v>16130</v>
      </c>
      <c r="E253" s="118" t="s">
        <v>16160</v>
      </c>
      <c r="F253" s="119"/>
      <c r="H253" t="s">
        <v>16166</v>
      </c>
      <c r="I253" s="118" t="s">
        <v>16196</v>
      </c>
      <c r="J253" s="119"/>
      <c r="L253" t="s">
        <v>16202</v>
      </c>
      <c r="M253" s="118" t="s">
        <v>16232</v>
      </c>
      <c r="N253" s="119"/>
      <c r="P253" t="s">
        <v>16238</v>
      </c>
      <c r="Q253" s="118" t="s">
        <v>16268</v>
      </c>
      <c r="R253" s="119"/>
      <c r="T253" t="s">
        <v>16274</v>
      </c>
      <c r="U253" s="118" t="s">
        <v>16304</v>
      </c>
      <c r="V253" s="119"/>
      <c r="X253" t="s">
        <v>16310</v>
      </c>
    </row>
    <row r="254" spans="1:24" x14ac:dyDescent="0.3">
      <c r="A254" s="118" t="s">
        <v>16125</v>
      </c>
      <c r="B254" s="119"/>
      <c r="D254" t="s">
        <v>16131</v>
      </c>
      <c r="E254" s="118" t="s">
        <v>16161</v>
      </c>
      <c r="F254" s="119"/>
      <c r="H254" t="s">
        <v>16167</v>
      </c>
      <c r="I254" s="118" t="s">
        <v>16197</v>
      </c>
      <c r="J254" s="119"/>
      <c r="L254" t="s">
        <v>16203</v>
      </c>
      <c r="M254" s="118" t="s">
        <v>16233</v>
      </c>
      <c r="N254" s="119"/>
      <c r="P254" t="s">
        <v>16239</v>
      </c>
      <c r="Q254" s="118" t="s">
        <v>16269</v>
      </c>
      <c r="R254" s="119"/>
      <c r="T254" t="s">
        <v>16275</v>
      </c>
      <c r="U254" s="118" t="s">
        <v>16305</v>
      </c>
      <c r="V254" s="119"/>
      <c r="X254" t="s">
        <v>16311</v>
      </c>
    </row>
    <row r="255" spans="1:24" x14ac:dyDescent="0.3">
      <c r="A255" s="118" t="s">
        <v>16136</v>
      </c>
      <c r="B255" s="119"/>
      <c r="D255" t="s">
        <v>16142</v>
      </c>
      <c r="E255" s="118" t="s">
        <v>16172</v>
      </c>
      <c r="F255" s="119"/>
      <c r="H255" t="s">
        <v>16178</v>
      </c>
      <c r="I255" s="118" t="s">
        <v>16208</v>
      </c>
      <c r="J255" s="119"/>
      <c r="L255" t="s">
        <v>16214</v>
      </c>
      <c r="M255" s="118" t="s">
        <v>16244</v>
      </c>
      <c r="N255" s="119"/>
      <c r="P255" t="s">
        <v>16250</v>
      </c>
      <c r="Q255" s="118" t="s">
        <v>16280</v>
      </c>
      <c r="R255" s="119"/>
      <c r="T255" t="s">
        <v>16286</v>
      </c>
      <c r="U255" s="118" t="s">
        <v>16316</v>
      </c>
      <c r="V255" s="119"/>
      <c r="X255" t="s">
        <v>16322</v>
      </c>
    </row>
    <row r="256" spans="1:24" x14ac:dyDescent="0.3">
      <c r="A256" s="118" t="s">
        <v>16137</v>
      </c>
      <c r="B256" s="119"/>
      <c r="D256" t="s">
        <v>16143</v>
      </c>
      <c r="E256" s="118" t="s">
        <v>16173</v>
      </c>
      <c r="F256" s="119"/>
      <c r="H256" t="s">
        <v>16179</v>
      </c>
      <c r="I256" s="118" t="s">
        <v>16209</v>
      </c>
      <c r="J256" s="119"/>
      <c r="L256" t="s">
        <v>16215</v>
      </c>
      <c r="M256" s="118" t="s">
        <v>16245</v>
      </c>
      <c r="N256" s="119"/>
      <c r="P256" t="s">
        <v>16251</v>
      </c>
      <c r="Q256" s="118" t="s">
        <v>16281</v>
      </c>
      <c r="R256" s="119"/>
      <c r="T256" t="s">
        <v>16287</v>
      </c>
      <c r="U256" s="118" t="s">
        <v>16317</v>
      </c>
      <c r="V256" s="119"/>
      <c r="X256" t="s">
        <v>16323</v>
      </c>
    </row>
    <row r="257" spans="1:24" x14ac:dyDescent="0.3">
      <c r="A257" s="118" t="s">
        <v>16328</v>
      </c>
      <c r="B257" s="119"/>
      <c r="D257" t="s">
        <v>16334</v>
      </c>
      <c r="E257" s="118" t="s">
        <v>16364</v>
      </c>
      <c r="F257" s="119"/>
      <c r="H257" t="s">
        <v>16370</v>
      </c>
      <c r="I257" s="118" t="s">
        <v>16400</v>
      </c>
      <c r="J257" s="119"/>
      <c r="L257" t="s">
        <v>16406</v>
      </c>
      <c r="M257" s="118" t="s">
        <v>16436</v>
      </c>
      <c r="N257" s="119"/>
      <c r="P257" t="s">
        <v>16442</v>
      </c>
      <c r="Q257" s="118" t="s">
        <v>16472</v>
      </c>
      <c r="R257" s="119"/>
      <c r="T257" t="s">
        <v>16478</v>
      </c>
      <c r="U257" s="118" t="s">
        <v>16508</v>
      </c>
      <c r="V257" s="119"/>
      <c r="X257" t="s">
        <v>16514</v>
      </c>
    </row>
    <row r="258" spans="1:24" x14ac:dyDescent="0.3">
      <c r="A258" s="118" t="s">
        <v>16329</v>
      </c>
      <c r="B258" s="119"/>
      <c r="D258" t="s">
        <v>16335</v>
      </c>
      <c r="E258" s="118" t="s">
        <v>16365</v>
      </c>
      <c r="F258" s="119"/>
      <c r="H258" t="s">
        <v>16371</v>
      </c>
      <c r="I258" s="118" t="s">
        <v>16401</v>
      </c>
      <c r="J258" s="119"/>
      <c r="L258" t="s">
        <v>16407</v>
      </c>
      <c r="M258" s="118" t="s">
        <v>16437</v>
      </c>
      <c r="N258" s="119"/>
      <c r="P258" t="s">
        <v>16443</v>
      </c>
      <c r="Q258" s="118" t="s">
        <v>16473</v>
      </c>
      <c r="R258" s="119"/>
      <c r="T258" t="s">
        <v>16479</v>
      </c>
      <c r="U258" s="118" t="s">
        <v>16509</v>
      </c>
      <c r="V258" s="119"/>
      <c r="X258" t="s">
        <v>16515</v>
      </c>
    </row>
    <row r="259" spans="1:24" x14ac:dyDescent="0.3">
      <c r="A259" s="118" t="s">
        <v>16340</v>
      </c>
      <c r="B259" s="119"/>
      <c r="D259" t="s">
        <v>16346</v>
      </c>
      <c r="E259" s="118" t="s">
        <v>16376</v>
      </c>
      <c r="F259" s="119"/>
      <c r="H259" t="s">
        <v>16382</v>
      </c>
      <c r="I259" s="118" t="s">
        <v>16412</v>
      </c>
      <c r="J259" s="119"/>
      <c r="L259" t="s">
        <v>16418</v>
      </c>
      <c r="M259" s="118" t="s">
        <v>16448</v>
      </c>
      <c r="N259" s="119"/>
      <c r="P259" t="s">
        <v>16454</v>
      </c>
      <c r="Q259" s="118" t="s">
        <v>16484</v>
      </c>
      <c r="R259" s="119"/>
      <c r="T259" t="s">
        <v>16490</v>
      </c>
      <c r="U259" s="118" t="s">
        <v>16520</v>
      </c>
      <c r="V259" s="119"/>
      <c r="X259" t="s">
        <v>16526</v>
      </c>
    </row>
    <row r="260" spans="1:24" x14ac:dyDescent="0.3">
      <c r="A260" s="118" t="s">
        <v>16341</v>
      </c>
      <c r="B260" s="119"/>
      <c r="D260" t="s">
        <v>16347</v>
      </c>
      <c r="E260" s="118" t="s">
        <v>16377</v>
      </c>
      <c r="F260" s="119"/>
      <c r="H260" t="s">
        <v>16383</v>
      </c>
      <c r="I260" s="118" t="s">
        <v>16413</v>
      </c>
      <c r="J260" s="119"/>
      <c r="L260" t="s">
        <v>16419</v>
      </c>
      <c r="M260" s="118" t="s">
        <v>16449</v>
      </c>
      <c r="N260" s="119"/>
      <c r="P260" t="s">
        <v>16455</v>
      </c>
      <c r="Q260" s="118" t="s">
        <v>16485</v>
      </c>
      <c r="R260" s="119"/>
      <c r="T260" t="s">
        <v>16491</v>
      </c>
      <c r="U260" s="118" t="s">
        <v>16521</v>
      </c>
      <c r="V260" s="119"/>
      <c r="X260" t="s">
        <v>16527</v>
      </c>
    </row>
    <row r="261" spans="1:24" x14ac:dyDescent="0.3">
      <c r="A261" s="118" t="s">
        <v>16352</v>
      </c>
      <c r="B261" s="119"/>
      <c r="D261" t="s">
        <v>16358</v>
      </c>
      <c r="E261" s="118" t="s">
        <v>16388</v>
      </c>
      <c r="F261" s="119"/>
      <c r="H261" t="s">
        <v>16394</v>
      </c>
      <c r="I261" s="118" t="s">
        <v>16424</v>
      </c>
      <c r="J261" s="119"/>
      <c r="L261" t="s">
        <v>16430</v>
      </c>
      <c r="M261" s="118" t="s">
        <v>16460</v>
      </c>
      <c r="N261" s="119"/>
      <c r="P261" t="s">
        <v>16466</v>
      </c>
      <c r="Q261" s="118" t="s">
        <v>16496</v>
      </c>
      <c r="R261" s="119"/>
      <c r="T261" t="s">
        <v>16502</v>
      </c>
      <c r="U261" s="118" t="s">
        <v>16532</v>
      </c>
      <c r="V261" s="119"/>
      <c r="X261" t="s">
        <v>16538</v>
      </c>
    </row>
    <row r="262" spans="1:24" x14ac:dyDescent="0.3">
      <c r="A262" s="118" t="s">
        <v>16353</v>
      </c>
      <c r="B262" s="119"/>
      <c r="D262" t="s">
        <v>16359</v>
      </c>
      <c r="E262" s="118" t="s">
        <v>16389</v>
      </c>
      <c r="F262" s="119"/>
      <c r="H262" t="s">
        <v>16395</v>
      </c>
      <c r="I262" s="118" t="s">
        <v>16425</v>
      </c>
      <c r="J262" s="119"/>
      <c r="L262" t="s">
        <v>16431</v>
      </c>
      <c r="M262" s="118" t="s">
        <v>16461</v>
      </c>
      <c r="N262" s="119"/>
      <c r="P262" t="s">
        <v>16467</v>
      </c>
      <c r="Q262" s="118" t="s">
        <v>16497</v>
      </c>
      <c r="R262" s="119"/>
      <c r="T262" t="s">
        <v>16503</v>
      </c>
      <c r="U262" s="118" t="s">
        <v>16533</v>
      </c>
      <c r="V262" s="119"/>
      <c r="X262" t="s">
        <v>16539</v>
      </c>
    </row>
    <row r="263" spans="1:24" x14ac:dyDescent="0.3">
      <c r="A263" s="118" t="s">
        <v>16544</v>
      </c>
      <c r="B263" s="119"/>
      <c r="D263" t="s">
        <v>16550</v>
      </c>
      <c r="E263" s="118" t="s">
        <v>16580</v>
      </c>
      <c r="F263" s="119"/>
      <c r="H263" t="s">
        <v>16586</v>
      </c>
      <c r="I263" s="118" t="s">
        <v>16616</v>
      </c>
      <c r="J263" s="119"/>
      <c r="L263" t="s">
        <v>16622</v>
      </c>
      <c r="M263" s="118" t="s">
        <v>16652</v>
      </c>
      <c r="N263" s="119"/>
      <c r="P263" t="s">
        <v>16658</v>
      </c>
      <c r="Q263" s="118" t="s">
        <v>16688</v>
      </c>
      <c r="R263" s="119"/>
      <c r="T263" t="s">
        <v>16694</v>
      </c>
      <c r="U263" s="118" t="s">
        <v>16724</v>
      </c>
      <c r="V263" s="119"/>
      <c r="X263" t="s">
        <v>16730</v>
      </c>
    </row>
    <row r="264" spans="1:24" x14ac:dyDescent="0.3">
      <c r="A264" s="118" t="s">
        <v>16545</v>
      </c>
      <c r="B264" s="119"/>
      <c r="D264" t="s">
        <v>16551</v>
      </c>
      <c r="E264" s="118" t="s">
        <v>16581</v>
      </c>
      <c r="F264" s="119"/>
      <c r="H264" t="s">
        <v>16587</v>
      </c>
      <c r="I264" s="118" t="s">
        <v>16617</v>
      </c>
      <c r="J264" s="119"/>
      <c r="L264" t="s">
        <v>16623</v>
      </c>
      <c r="M264" s="118" t="s">
        <v>16653</v>
      </c>
      <c r="N264" s="119"/>
      <c r="P264" t="s">
        <v>16659</v>
      </c>
      <c r="Q264" s="118" t="s">
        <v>16689</v>
      </c>
      <c r="R264" s="119"/>
      <c r="T264" t="s">
        <v>16695</v>
      </c>
      <c r="U264" s="118" t="s">
        <v>16725</v>
      </c>
      <c r="V264" s="119"/>
      <c r="X264" t="s">
        <v>16731</v>
      </c>
    </row>
    <row r="265" spans="1:24" x14ac:dyDescent="0.3">
      <c r="A265" s="118" t="s">
        <v>16556</v>
      </c>
      <c r="B265" s="119"/>
      <c r="D265" t="s">
        <v>16562</v>
      </c>
      <c r="E265" s="118" t="s">
        <v>16592</v>
      </c>
      <c r="F265" s="119"/>
      <c r="H265" t="s">
        <v>16598</v>
      </c>
      <c r="I265" s="118" t="s">
        <v>16628</v>
      </c>
      <c r="J265" s="119"/>
      <c r="L265" t="s">
        <v>16634</v>
      </c>
      <c r="M265" s="118" t="s">
        <v>16664</v>
      </c>
      <c r="N265" s="119"/>
      <c r="P265" t="s">
        <v>16670</v>
      </c>
      <c r="Q265" s="118" t="s">
        <v>16700</v>
      </c>
      <c r="R265" s="119"/>
      <c r="T265" t="s">
        <v>16706</v>
      </c>
      <c r="U265" s="118" t="s">
        <v>16736</v>
      </c>
      <c r="V265" s="119"/>
      <c r="X265" t="s">
        <v>16742</v>
      </c>
    </row>
    <row r="266" spans="1:24" x14ac:dyDescent="0.3">
      <c r="A266" s="118" t="s">
        <v>16557</v>
      </c>
      <c r="B266" s="119"/>
      <c r="D266" t="s">
        <v>16563</v>
      </c>
      <c r="E266" s="118" t="s">
        <v>16593</v>
      </c>
      <c r="F266" s="119"/>
      <c r="H266" t="s">
        <v>16599</v>
      </c>
      <c r="I266" s="118" t="s">
        <v>16629</v>
      </c>
      <c r="J266" s="119"/>
      <c r="L266" t="s">
        <v>16635</v>
      </c>
      <c r="M266" s="118" t="s">
        <v>16665</v>
      </c>
      <c r="N266" s="119"/>
      <c r="P266" t="s">
        <v>16671</v>
      </c>
      <c r="Q266" s="118" t="s">
        <v>16701</v>
      </c>
      <c r="R266" s="119"/>
      <c r="T266" t="s">
        <v>16707</v>
      </c>
      <c r="U266" s="118" t="s">
        <v>16737</v>
      </c>
      <c r="V266" s="119"/>
      <c r="X266" t="s">
        <v>16743</v>
      </c>
    </row>
    <row r="267" spans="1:24" x14ac:dyDescent="0.3">
      <c r="A267" s="118" t="s">
        <v>16568</v>
      </c>
      <c r="B267" s="119"/>
      <c r="D267" t="s">
        <v>16574</v>
      </c>
      <c r="E267" s="118" t="s">
        <v>16604</v>
      </c>
      <c r="F267" s="119"/>
      <c r="H267" t="s">
        <v>16610</v>
      </c>
      <c r="I267" s="118" t="s">
        <v>16640</v>
      </c>
      <c r="J267" s="119"/>
      <c r="L267" t="s">
        <v>16646</v>
      </c>
      <c r="M267" s="118" t="s">
        <v>16676</v>
      </c>
      <c r="N267" s="119"/>
      <c r="P267" t="s">
        <v>16682</v>
      </c>
      <c r="Q267" s="118" t="s">
        <v>16712</v>
      </c>
      <c r="R267" s="119"/>
      <c r="T267" t="s">
        <v>16718</v>
      </c>
      <c r="U267" s="118" t="s">
        <v>16748</v>
      </c>
      <c r="V267" s="119"/>
      <c r="X267" t="s">
        <v>16754</v>
      </c>
    </row>
    <row r="268" spans="1:24" x14ac:dyDescent="0.3">
      <c r="A268" s="118" t="s">
        <v>16569</v>
      </c>
      <c r="B268" s="119"/>
      <c r="D268" t="s">
        <v>16575</v>
      </c>
      <c r="E268" s="118" t="s">
        <v>16605</v>
      </c>
      <c r="F268" s="119"/>
      <c r="H268" t="s">
        <v>16611</v>
      </c>
      <c r="I268" s="118" t="s">
        <v>16641</v>
      </c>
      <c r="J268" s="119"/>
      <c r="L268" t="s">
        <v>16647</v>
      </c>
      <c r="M268" s="118" t="s">
        <v>16677</v>
      </c>
      <c r="N268" s="119"/>
      <c r="P268" t="s">
        <v>16683</v>
      </c>
      <c r="Q268" s="118" t="s">
        <v>16713</v>
      </c>
      <c r="R268" s="119"/>
      <c r="T268" t="s">
        <v>16719</v>
      </c>
      <c r="U268" s="118" t="s">
        <v>16749</v>
      </c>
      <c r="V268" s="119"/>
      <c r="X268" t="s">
        <v>16755</v>
      </c>
    </row>
    <row r="269" spans="1:24" x14ac:dyDescent="0.3">
      <c r="A269" s="118" t="s">
        <v>16760</v>
      </c>
      <c r="B269" s="119"/>
      <c r="D269" t="s">
        <v>16766</v>
      </c>
      <c r="E269" s="118" t="s">
        <v>16796</v>
      </c>
      <c r="F269" s="119"/>
      <c r="H269" t="s">
        <v>16802</v>
      </c>
      <c r="I269" s="118" t="s">
        <v>16832</v>
      </c>
      <c r="J269" s="119"/>
      <c r="L269" t="s">
        <v>16838</v>
      </c>
      <c r="M269" s="118" t="s">
        <v>16868</v>
      </c>
      <c r="N269" s="119"/>
      <c r="P269" t="s">
        <v>16874</v>
      </c>
      <c r="Q269" s="118" t="s">
        <v>16904</v>
      </c>
      <c r="R269" s="119"/>
      <c r="T269" t="s">
        <v>16910</v>
      </c>
      <c r="U269" s="118" t="s">
        <v>16940</v>
      </c>
      <c r="V269" s="119"/>
      <c r="X269" t="s">
        <v>16946</v>
      </c>
    </row>
    <row r="270" spans="1:24" x14ac:dyDescent="0.3">
      <c r="A270" s="118" t="s">
        <v>16761</v>
      </c>
      <c r="B270" s="119"/>
      <c r="D270" t="s">
        <v>16767</v>
      </c>
      <c r="E270" s="118" t="s">
        <v>16797</v>
      </c>
      <c r="F270" s="119"/>
      <c r="H270" t="s">
        <v>16803</v>
      </c>
      <c r="I270" s="118" t="s">
        <v>16833</v>
      </c>
      <c r="J270" s="119"/>
      <c r="L270" t="s">
        <v>16839</v>
      </c>
      <c r="M270" s="118" t="s">
        <v>16869</v>
      </c>
      <c r="N270" s="119"/>
      <c r="P270" t="s">
        <v>16875</v>
      </c>
      <c r="Q270" s="118" t="s">
        <v>16905</v>
      </c>
      <c r="R270" s="119"/>
      <c r="T270" t="s">
        <v>16911</v>
      </c>
      <c r="U270" s="118" t="s">
        <v>16941</v>
      </c>
      <c r="V270" s="119"/>
      <c r="X270" t="s">
        <v>16947</v>
      </c>
    </row>
    <row r="271" spans="1:24" x14ac:dyDescent="0.3">
      <c r="A271" s="118" t="s">
        <v>16772</v>
      </c>
      <c r="B271" s="119"/>
      <c r="D271" t="s">
        <v>16778</v>
      </c>
      <c r="E271" s="118" t="s">
        <v>16808</v>
      </c>
      <c r="F271" s="119"/>
      <c r="H271" t="s">
        <v>16814</v>
      </c>
      <c r="I271" s="118" t="s">
        <v>16844</v>
      </c>
      <c r="J271" s="119"/>
      <c r="L271" t="s">
        <v>16850</v>
      </c>
      <c r="M271" s="118" t="s">
        <v>16880</v>
      </c>
      <c r="N271" s="119"/>
      <c r="P271" t="s">
        <v>16886</v>
      </c>
      <c r="Q271" s="118" t="s">
        <v>16916</v>
      </c>
      <c r="R271" s="119"/>
      <c r="T271" t="s">
        <v>16922</v>
      </c>
      <c r="U271" s="118" t="s">
        <v>16952</v>
      </c>
      <c r="V271" s="119"/>
      <c r="X271" t="s">
        <v>16958</v>
      </c>
    </row>
    <row r="272" spans="1:24" x14ac:dyDescent="0.3">
      <c r="A272" s="118" t="s">
        <v>16773</v>
      </c>
      <c r="B272" s="119"/>
      <c r="D272" t="s">
        <v>16779</v>
      </c>
      <c r="E272" s="118" t="s">
        <v>16809</v>
      </c>
      <c r="F272" s="119"/>
      <c r="H272" t="s">
        <v>16815</v>
      </c>
      <c r="I272" s="118" t="s">
        <v>16845</v>
      </c>
      <c r="J272" s="119"/>
      <c r="L272" t="s">
        <v>16851</v>
      </c>
      <c r="M272" s="118" t="s">
        <v>16881</v>
      </c>
      <c r="N272" s="119"/>
      <c r="P272" t="s">
        <v>16887</v>
      </c>
      <c r="Q272" s="118" t="s">
        <v>16917</v>
      </c>
      <c r="R272" s="119"/>
      <c r="T272" t="s">
        <v>16923</v>
      </c>
      <c r="U272" s="118" t="s">
        <v>16953</v>
      </c>
      <c r="V272" s="119"/>
      <c r="X272" t="s">
        <v>16959</v>
      </c>
    </row>
    <row r="273" spans="1:24" x14ac:dyDescent="0.3">
      <c r="A273" s="118" t="s">
        <v>16784</v>
      </c>
      <c r="B273" s="119"/>
      <c r="D273" t="s">
        <v>16790</v>
      </c>
      <c r="E273" s="118" t="s">
        <v>16820</v>
      </c>
      <c r="F273" s="119"/>
      <c r="H273" t="s">
        <v>16826</v>
      </c>
      <c r="I273" s="118" t="s">
        <v>16856</v>
      </c>
      <c r="J273" s="119"/>
      <c r="L273" t="s">
        <v>16862</v>
      </c>
      <c r="M273" s="118" t="s">
        <v>16892</v>
      </c>
      <c r="N273" s="119"/>
      <c r="P273" t="s">
        <v>16898</v>
      </c>
      <c r="Q273" s="118" t="s">
        <v>16928</v>
      </c>
      <c r="R273" s="119"/>
      <c r="T273" t="s">
        <v>16934</v>
      </c>
      <c r="U273" s="118" t="s">
        <v>16964</v>
      </c>
      <c r="V273" s="119"/>
      <c r="X273" t="s">
        <v>16970</v>
      </c>
    </row>
    <row r="274" spans="1:24" x14ac:dyDescent="0.3">
      <c r="A274" s="118" t="s">
        <v>16785</v>
      </c>
      <c r="B274" s="119"/>
      <c r="D274" t="s">
        <v>16791</v>
      </c>
      <c r="E274" s="118" t="s">
        <v>16821</v>
      </c>
      <c r="F274" s="119"/>
      <c r="H274" t="s">
        <v>16827</v>
      </c>
      <c r="I274" s="118" t="s">
        <v>16857</v>
      </c>
      <c r="J274" s="119"/>
      <c r="L274" t="s">
        <v>16863</v>
      </c>
      <c r="M274" s="118" t="s">
        <v>16893</v>
      </c>
      <c r="N274" s="119"/>
      <c r="P274" t="s">
        <v>16899</v>
      </c>
      <c r="Q274" s="118" t="s">
        <v>16929</v>
      </c>
      <c r="R274" s="119"/>
      <c r="T274" t="s">
        <v>16935</v>
      </c>
      <c r="U274" s="118" t="s">
        <v>16965</v>
      </c>
      <c r="V274" s="119"/>
      <c r="X274" t="s">
        <v>16971</v>
      </c>
    </row>
    <row r="275" spans="1:24" x14ac:dyDescent="0.3">
      <c r="A275" s="118" t="s">
        <v>16976</v>
      </c>
      <c r="B275" s="119"/>
      <c r="D275" t="s">
        <v>16982</v>
      </c>
      <c r="E275" s="118" t="s">
        <v>17012</v>
      </c>
      <c r="F275" s="119"/>
      <c r="H275" t="s">
        <v>17018</v>
      </c>
      <c r="I275" s="118" t="s">
        <v>17048</v>
      </c>
      <c r="J275" s="119"/>
      <c r="L275" t="s">
        <v>17054</v>
      </c>
      <c r="M275" s="118" t="s">
        <v>17084</v>
      </c>
      <c r="N275" s="119"/>
      <c r="P275" t="s">
        <v>17090</v>
      </c>
      <c r="Q275" s="118" t="s">
        <v>17120</v>
      </c>
      <c r="R275" s="119"/>
      <c r="T275" t="s">
        <v>17126</v>
      </c>
      <c r="U275" s="118" t="s">
        <v>17156</v>
      </c>
      <c r="V275" s="119"/>
      <c r="X275" t="s">
        <v>17162</v>
      </c>
    </row>
    <row r="276" spans="1:24" x14ac:dyDescent="0.3">
      <c r="A276" s="118" t="s">
        <v>16977</v>
      </c>
      <c r="B276" s="119"/>
      <c r="D276" t="s">
        <v>16983</v>
      </c>
      <c r="E276" s="118" t="s">
        <v>17013</v>
      </c>
      <c r="F276" s="119"/>
      <c r="H276" t="s">
        <v>17019</v>
      </c>
      <c r="I276" s="118" t="s">
        <v>17049</v>
      </c>
      <c r="J276" s="119"/>
      <c r="L276" t="s">
        <v>17055</v>
      </c>
      <c r="M276" s="118" t="s">
        <v>17085</v>
      </c>
      <c r="N276" s="119"/>
      <c r="P276" t="s">
        <v>17091</v>
      </c>
      <c r="Q276" s="118" t="s">
        <v>17121</v>
      </c>
      <c r="R276" s="119"/>
      <c r="T276" t="s">
        <v>17127</v>
      </c>
      <c r="U276" s="118" t="s">
        <v>17157</v>
      </c>
      <c r="V276" s="119"/>
      <c r="X276" t="s">
        <v>17163</v>
      </c>
    </row>
    <row r="277" spans="1:24" x14ac:dyDescent="0.3">
      <c r="A277" s="118" t="s">
        <v>16988</v>
      </c>
      <c r="B277" s="119"/>
      <c r="D277" t="s">
        <v>16994</v>
      </c>
      <c r="E277" s="118" t="s">
        <v>17024</v>
      </c>
      <c r="F277" s="119"/>
      <c r="H277" t="s">
        <v>17030</v>
      </c>
      <c r="I277" s="118" t="s">
        <v>17060</v>
      </c>
      <c r="J277" s="119"/>
      <c r="L277" t="s">
        <v>17066</v>
      </c>
      <c r="M277" s="118" t="s">
        <v>17096</v>
      </c>
      <c r="N277" s="119"/>
      <c r="P277" t="s">
        <v>17102</v>
      </c>
      <c r="Q277" s="118" t="s">
        <v>17132</v>
      </c>
      <c r="R277" s="119"/>
      <c r="T277" t="s">
        <v>17138</v>
      </c>
      <c r="U277" s="118" t="s">
        <v>17168</v>
      </c>
      <c r="V277" s="119"/>
      <c r="X277" t="s">
        <v>17174</v>
      </c>
    </row>
    <row r="278" spans="1:24" x14ac:dyDescent="0.3">
      <c r="A278" s="118" t="s">
        <v>16989</v>
      </c>
      <c r="B278" s="119"/>
      <c r="D278" t="s">
        <v>16995</v>
      </c>
      <c r="E278" s="118" t="s">
        <v>17025</v>
      </c>
      <c r="F278" s="119"/>
      <c r="H278" t="s">
        <v>17031</v>
      </c>
      <c r="I278" s="118" t="s">
        <v>17061</v>
      </c>
      <c r="J278" s="119"/>
      <c r="L278" t="s">
        <v>17067</v>
      </c>
      <c r="M278" s="118" t="s">
        <v>17097</v>
      </c>
      <c r="N278" s="119"/>
      <c r="P278" t="s">
        <v>17103</v>
      </c>
      <c r="Q278" s="118" t="s">
        <v>17133</v>
      </c>
      <c r="R278" s="119"/>
      <c r="T278" t="s">
        <v>17139</v>
      </c>
      <c r="U278" s="118" t="s">
        <v>17169</v>
      </c>
      <c r="V278" s="119"/>
      <c r="X278" t="s">
        <v>17175</v>
      </c>
    </row>
    <row r="279" spans="1:24" x14ac:dyDescent="0.3">
      <c r="A279" s="118" t="s">
        <v>17000</v>
      </c>
      <c r="B279" s="119"/>
      <c r="D279" t="s">
        <v>17006</v>
      </c>
      <c r="E279" s="118" t="s">
        <v>17036</v>
      </c>
      <c r="F279" s="119"/>
      <c r="H279" t="s">
        <v>17042</v>
      </c>
      <c r="I279" s="118" t="s">
        <v>17072</v>
      </c>
      <c r="J279" s="119"/>
      <c r="L279" t="s">
        <v>17078</v>
      </c>
      <c r="M279" s="118" t="s">
        <v>17108</v>
      </c>
      <c r="N279" s="119"/>
      <c r="P279" t="s">
        <v>17114</v>
      </c>
      <c r="Q279" s="118" t="s">
        <v>17144</v>
      </c>
      <c r="R279" s="119"/>
      <c r="T279" t="s">
        <v>17150</v>
      </c>
      <c r="U279" s="118" t="s">
        <v>17180</v>
      </c>
      <c r="V279" s="119"/>
      <c r="X279" t="s">
        <v>17186</v>
      </c>
    </row>
    <row r="280" spans="1:24" x14ac:dyDescent="0.3">
      <c r="A280" s="118" t="s">
        <v>17001</v>
      </c>
      <c r="B280" s="119"/>
      <c r="D280" t="s">
        <v>17007</v>
      </c>
      <c r="E280" s="118" t="s">
        <v>17037</v>
      </c>
      <c r="F280" s="119"/>
      <c r="H280" t="s">
        <v>17043</v>
      </c>
      <c r="I280" s="118" t="s">
        <v>17073</v>
      </c>
      <c r="J280" s="119"/>
      <c r="L280" t="s">
        <v>17079</v>
      </c>
      <c r="M280" s="118" t="s">
        <v>17109</v>
      </c>
      <c r="N280" s="119"/>
      <c r="P280" t="s">
        <v>17115</v>
      </c>
      <c r="Q280" s="118" t="s">
        <v>17145</v>
      </c>
      <c r="R280" s="119"/>
      <c r="T280" t="s">
        <v>17151</v>
      </c>
      <c r="U280" s="118" t="s">
        <v>17181</v>
      </c>
      <c r="V280" s="119"/>
      <c r="X280" t="s">
        <v>17187</v>
      </c>
    </row>
    <row r="281" spans="1:24" x14ac:dyDescent="0.3">
      <c r="A281" s="118" t="s">
        <v>17192</v>
      </c>
      <c r="B281" s="119"/>
      <c r="D281" t="s">
        <v>17198</v>
      </c>
      <c r="E281" s="118" t="s">
        <v>17228</v>
      </c>
      <c r="F281" s="119"/>
      <c r="H281" t="s">
        <v>17234</v>
      </c>
      <c r="I281" s="118" t="s">
        <v>17264</v>
      </c>
      <c r="J281" s="119"/>
      <c r="L281" t="s">
        <v>17270</v>
      </c>
      <c r="M281" s="118" t="s">
        <v>17300</v>
      </c>
      <c r="N281" s="119"/>
      <c r="P281" t="s">
        <v>17306</v>
      </c>
      <c r="Q281" s="118" t="s">
        <v>17336</v>
      </c>
      <c r="R281" s="119"/>
      <c r="T281" t="s">
        <v>17342</v>
      </c>
      <c r="U281" s="118" t="s">
        <v>17372</v>
      </c>
      <c r="V281" s="119"/>
      <c r="X281" t="s">
        <v>17378</v>
      </c>
    </row>
    <row r="282" spans="1:24" x14ac:dyDescent="0.3">
      <c r="A282" s="118" t="s">
        <v>17193</v>
      </c>
      <c r="B282" s="119"/>
      <c r="D282" t="s">
        <v>17199</v>
      </c>
      <c r="E282" s="118" t="s">
        <v>17229</v>
      </c>
      <c r="F282" s="119"/>
      <c r="H282" t="s">
        <v>17235</v>
      </c>
      <c r="I282" s="118" t="s">
        <v>17265</v>
      </c>
      <c r="J282" s="119"/>
      <c r="L282" t="s">
        <v>17271</v>
      </c>
      <c r="M282" s="118" t="s">
        <v>17301</v>
      </c>
      <c r="N282" s="119"/>
      <c r="P282" t="s">
        <v>17307</v>
      </c>
      <c r="Q282" s="118" t="s">
        <v>17337</v>
      </c>
      <c r="R282" s="119"/>
      <c r="T282" t="s">
        <v>17343</v>
      </c>
      <c r="U282" s="118" t="s">
        <v>17373</v>
      </c>
      <c r="V282" s="119"/>
      <c r="X282" t="s">
        <v>17379</v>
      </c>
    </row>
    <row r="283" spans="1:24" x14ac:dyDescent="0.3">
      <c r="A283" s="118" t="s">
        <v>17204</v>
      </c>
      <c r="B283" s="119"/>
      <c r="D283" t="s">
        <v>17210</v>
      </c>
      <c r="E283" s="118" t="s">
        <v>17240</v>
      </c>
      <c r="F283" s="119"/>
      <c r="H283" t="s">
        <v>17246</v>
      </c>
      <c r="I283" s="118" t="s">
        <v>17276</v>
      </c>
      <c r="J283" s="119"/>
      <c r="L283" t="s">
        <v>17282</v>
      </c>
      <c r="M283" s="118" t="s">
        <v>17312</v>
      </c>
      <c r="N283" s="119"/>
      <c r="P283" t="s">
        <v>17318</v>
      </c>
      <c r="Q283" s="118" t="s">
        <v>17348</v>
      </c>
      <c r="R283" s="119"/>
      <c r="T283" t="s">
        <v>17354</v>
      </c>
      <c r="U283" s="118" t="s">
        <v>17384</v>
      </c>
      <c r="V283" s="119"/>
      <c r="X283" t="s">
        <v>17390</v>
      </c>
    </row>
    <row r="284" spans="1:24" x14ac:dyDescent="0.3">
      <c r="A284" s="118" t="s">
        <v>17205</v>
      </c>
      <c r="B284" s="119"/>
      <c r="D284" t="s">
        <v>17211</v>
      </c>
      <c r="E284" s="118" t="s">
        <v>17241</v>
      </c>
      <c r="F284" s="119"/>
      <c r="H284" t="s">
        <v>17247</v>
      </c>
      <c r="I284" s="118" t="s">
        <v>17277</v>
      </c>
      <c r="J284" s="119"/>
      <c r="L284" t="s">
        <v>17283</v>
      </c>
      <c r="M284" s="118" t="s">
        <v>17313</v>
      </c>
      <c r="N284" s="119"/>
      <c r="P284" t="s">
        <v>17319</v>
      </c>
      <c r="Q284" s="118" t="s">
        <v>17349</v>
      </c>
      <c r="R284" s="119"/>
      <c r="T284" t="s">
        <v>17355</v>
      </c>
      <c r="U284" s="118" t="s">
        <v>17385</v>
      </c>
      <c r="V284" s="119"/>
      <c r="X284" t="s">
        <v>17391</v>
      </c>
    </row>
    <row r="285" spans="1:24" x14ac:dyDescent="0.3">
      <c r="A285" s="118" t="s">
        <v>17216</v>
      </c>
      <c r="B285" s="119"/>
      <c r="D285" t="s">
        <v>17222</v>
      </c>
      <c r="E285" s="118" t="s">
        <v>17252</v>
      </c>
      <c r="F285" s="119"/>
      <c r="H285" t="s">
        <v>17258</v>
      </c>
      <c r="I285" s="118" t="s">
        <v>17288</v>
      </c>
      <c r="J285" s="119"/>
      <c r="L285" t="s">
        <v>17294</v>
      </c>
      <c r="M285" s="118" t="s">
        <v>17324</v>
      </c>
      <c r="N285" s="119"/>
      <c r="P285" t="s">
        <v>17330</v>
      </c>
      <c r="Q285" s="118" t="s">
        <v>17360</v>
      </c>
      <c r="R285" s="119"/>
      <c r="T285" t="s">
        <v>17366</v>
      </c>
      <c r="U285" s="118" t="s">
        <v>17396</v>
      </c>
      <c r="V285" s="119"/>
      <c r="X285" t="s">
        <v>17402</v>
      </c>
    </row>
    <row r="286" spans="1:24" x14ac:dyDescent="0.3">
      <c r="A286" s="118" t="s">
        <v>17217</v>
      </c>
      <c r="B286" s="119"/>
      <c r="D286" t="s">
        <v>17223</v>
      </c>
      <c r="E286" s="118" t="s">
        <v>17253</v>
      </c>
      <c r="F286" s="119"/>
      <c r="H286" t="s">
        <v>17259</v>
      </c>
      <c r="I286" s="118" t="s">
        <v>17289</v>
      </c>
      <c r="J286" s="119"/>
      <c r="L286" t="s">
        <v>17295</v>
      </c>
      <c r="M286" s="118" t="s">
        <v>17325</v>
      </c>
      <c r="N286" s="119"/>
      <c r="P286" t="s">
        <v>17331</v>
      </c>
      <c r="Q286" s="118" t="s">
        <v>17361</v>
      </c>
      <c r="R286" s="119"/>
      <c r="T286" t="s">
        <v>17367</v>
      </c>
      <c r="U286" s="118" t="s">
        <v>17397</v>
      </c>
      <c r="V286" s="119"/>
      <c r="X286" t="s">
        <v>17403</v>
      </c>
    </row>
    <row r="287" spans="1:24" x14ac:dyDescent="0.3">
      <c r="A287" s="118" t="s">
        <v>17408</v>
      </c>
      <c r="B287" s="119"/>
      <c r="D287" t="s">
        <v>17414</v>
      </c>
      <c r="E287" s="118" t="s">
        <v>17444</v>
      </c>
      <c r="F287" s="119"/>
      <c r="H287" t="s">
        <v>17450</v>
      </c>
      <c r="I287" s="118" t="s">
        <v>17480</v>
      </c>
      <c r="J287" s="119"/>
      <c r="L287" t="s">
        <v>17486</v>
      </c>
      <c r="M287" s="118" t="s">
        <v>17516</v>
      </c>
      <c r="N287" s="119"/>
      <c r="P287" t="s">
        <v>17522</v>
      </c>
      <c r="Q287" s="118" t="s">
        <v>17552</v>
      </c>
      <c r="R287" s="119"/>
      <c r="T287" t="s">
        <v>17558</v>
      </c>
      <c r="U287" s="118" t="s">
        <v>17588</v>
      </c>
      <c r="V287" s="119"/>
      <c r="X287" t="s">
        <v>17594</v>
      </c>
    </row>
    <row r="288" spans="1:24" x14ac:dyDescent="0.3">
      <c r="A288" s="118" t="s">
        <v>17409</v>
      </c>
      <c r="B288" s="119"/>
      <c r="D288" t="s">
        <v>17415</v>
      </c>
      <c r="E288" s="118" t="s">
        <v>17445</v>
      </c>
      <c r="F288" s="119"/>
      <c r="H288" t="s">
        <v>17451</v>
      </c>
      <c r="I288" s="118" t="s">
        <v>17481</v>
      </c>
      <c r="J288" s="119"/>
      <c r="L288" t="s">
        <v>17487</v>
      </c>
      <c r="M288" s="118" t="s">
        <v>17517</v>
      </c>
      <c r="N288" s="119"/>
      <c r="P288" t="s">
        <v>17523</v>
      </c>
      <c r="Q288" s="118" t="s">
        <v>17553</v>
      </c>
      <c r="R288" s="119"/>
      <c r="T288" t="s">
        <v>17559</v>
      </c>
      <c r="U288" s="118" t="s">
        <v>17589</v>
      </c>
      <c r="V288" s="119"/>
      <c r="X288" t="s">
        <v>17595</v>
      </c>
    </row>
    <row r="289" spans="1:24" x14ac:dyDescent="0.3">
      <c r="A289" s="118" t="s">
        <v>17420</v>
      </c>
      <c r="B289" s="119"/>
      <c r="D289" t="s">
        <v>17426</v>
      </c>
      <c r="E289" s="118" t="s">
        <v>17456</v>
      </c>
      <c r="F289" s="119"/>
      <c r="H289" t="s">
        <v>17462</v>
      </c>
      <c r="I289" s="118" t="s">
        <v>17492</v>
      </c>
      <c r="J289" s="119"/>
      <c r="L289" t="s">
        <v>17498</v>
      </c>
      <c r="M289" s="118" t="s">
        <v>17528</v>
      </c>
      <c r="N289" s="119"/>
      <c r="P289" t="s">
        <v>17534</v>
      </c>
      <c r="Q289" s="118" t="s">
        <v>17564</v>
      </c>
      <c r="R289" s="119"/>
      <c r="T289" t="s">
        <v>17570</v>
      </c>
      <c r="U289" s="118" t="s">
        <v>17600</v>
      </c>
      <c r="V289" s="119"/>
      <c r="X289" t="s">
        <v>17606</v>
      </c>
    </row>
    <row r="290" spans="1:24" x14ac:dyDescent="0.3">
      <c r="A290" s="118" t="s">
        <v>17421</v>
      </c>
      <c r="B290" s="119"/>
      <c r="D290" t="s">
        <v>17427</v>
      </c>
      <c r="E290" s="118" t="s">
        <v>17457</v>
      </c>
      <c r="F290" s="119"/>
      <c r="H290" t="s">
        <v>17463</v>
      </c>
      <c r="I290" s="118" t="s">
        <v>17493</v>
      </c>
      <c r="J290" s="119"/>
      <c r="L290" t="s">
        <v>17499</v>
      </c>
      <c r="M290" s="118" t="s">
        <v>17529</v>
      </c>
      <c r="N290" s="119"/>
      <c r="P290" t="s">
        <v>17535</v>
      </c>
      <c r="Q290" s="118" t="s">
        <v>17565</v>
      </c>
      <c r="R290" s="119"/>
      <c r="T290" t="s">
        <v>17571</v>
      </c>
      <c r="U290" s="118" t="s">
        <v>17601</v>
      </c>
      <c r="V290" s="119"/>
      <c r="X290" t="s">
        <v>17607</v>
      </c>
    </row>
    <row r="291" spans="1:24" x14ac:dyDescent="0.3">
      <c r="A291" s="118" t="s">
        <v>17432</v>
      </c>
      <c r="B291" s="119"/>
      <c r="D291" t="s">
        <v>17438</v>
      </c>
      <c r="E291" s="118" t="s">
        <v>17468</v>
      </c>
      <c r="F291" s="119"/>
      <c r="H291" t="s">
        <v>17474</v>
      </c>
      <c r="I291" s="118" t="s">
        <v>17504</v>
      </c>
      <c r="J291" s="119"/>
      <c r="L291" t="s">
        <v>17510</v>
      </c>
      <c r="M291" s="118" t="s">
        <v>17540</v>
      </c>
      <c r="N291" s="119"/>
      <c r="P291" t="s">
        <v>17546</v>
      </c>
      <c r="Q291" s="118" t="s">
        <v>17576</v>
      </c>
      <c r="R291" s="119"/>
      <c r="T291" t="s">
        <v>17582</v>
      </c>
      <c r="U291" s="118" t="s">
        <v>17612</v>
      </c>
      <c r="V291" s="119"/>
      <c r="X291" t="s">
        <v>17618</v>
      </c>
    </row>
    <row r="292" spans="1:24" x14ac:dyDescent="0.3">
      <c r="A292" s="118" t="s">
        <v>17433</v>
      </c>
      <c r="B292" s="119"/>
      <c r="D292" t="s">
        <v>17439</v>
      </c>
      <c r="E292" s="118" t="s">
        <v>17469</v>
      </c>
      <c r="F292" s="119"/>
      <c r="H292" t="s">
        <v>17475</v>
      </c>
      <c r="I292" s="118" t="s">
        <v>17505</v>
      </c>
      <c r="J292" s="119"/>
      <c r="L292" t="s">
        <v>17511</v>
      </c>
      <c r="M292" s="118" t="s">
        <v>17541</v>
      </c>
      <c r="N292" s="119"/>
      <c r="P292" t="s">
        <v>17547</v>
      </c>
      <c r="Q292" s="118" t="s">
        <v>17577</v>
      </c>
      <c r="R292" s="119"/>
      <c r="T292" t="s">
        <v>17583</v>
      </c>
      <c r="U292" s="118" t="s">
        <v>17613</v>
      </c>
      <c r="V292" s="119"/>
      <c r="X292" t="s">
        <v>17619</v>
      </c>
    </row>
    <row r="293" spans="1:24" x14ac:dyDescent="0.3">
      <c r="A293" s="118" t="s">
        <v>17624</v>
      </c>
      <c r="B293" s="119"/>
      <c r="D293" t="s">
        <v>17630</v>
      </c>
      <c r="E293" s="118" t="s">
        <v>17660</v>
      </c>
      <c r="F293" s="119"/>
      <c r="H293" t="s">
        <v>17666</v>
      </c>
      <c r="I293" s="118" t="s">
        <v>17696</v>
      </c>
      <c r="J293" s="119"/>
      <c r="L293" t="s">
        <v>17702</v>
      </c>
      <c r="M293" s="118" t="s">
        <v>17732</v>
      </c>
      <c r="N293" s="119"/>
      <c r="P293" t="s">
        <v>17738</v>
      </c>
      <c r="Q293" s="118" t="s">
        <v>17768</v>
      </c>
      <c r="R293" s="119"/>
      <c r="T293" t="s">
        <v>17774</v>
      </c>
      <c r="U293" s="118" t="s">
        <v>17804</v>
      </c>
      <c r="V293" s="119"/>
      <c r="X293" t="s">
        <v>17810</v>
      </c>
    </row>
    <row r="294" spans="1:24" x14ac:dyDescent="0.3">
      <c r="A294" s="118" t="s">
        <v>17625</v>
      </c>
      <c r="B294" s="119"/>
      <c r="D294" t="s">
        <v>17631</v>
      </c>
      <c r="E294" s="118" t="s">
        <v>17661</v>
      </c>
      <c r="F294" s="119"/>
      <c r="H294" t="s">
        <v>17667</v>
      </c>
      <c r="I294" s="118" t="s">
        <v>17697</v>
      </c>
      <c r="J294" s="119"/>
      <c r="L294" t="s">
        <v>17703</v>
      </c>
      <c r="M294" s="118" t="s">
        <v>17733</v>
      </c>
      <c r="N294" s="119"/>
      <c r="P294" t="s">
        <v>17739</v>
      </c>
      <c r="Q294" s="118" t="s">
        <v>17769</v>
      </c>
      <c r="R294" s="119"/>
      <c r="T294" t="s">
        <v>17775</v>
      </c>
      <c r="U294" s="118" t="s">
        <v>17805</v>
      </c>
      <c r="V294" s="119"/>
      <c r="X294" t="s">
        <v>17811</v>
      </c>
    </row>
    <row r="295" spans="1:24" x14ac:dyDescent="0.3">
      <c r="A295" s="118" t="s">
        <v>17636</v>
      </c>
      <c r="B295" s="119"/>
      <c r="D295" t="s">
        <v>17642</v>
      </c>
      <c r="E295" s="118" t="s">
        <v>17672</v>
      </c>
      <c r="F295" s="119"/>
      <c r="H295" t="s">
        <v>17678</v>
      </c>
      <c r="I295" s="118" t="s">
        <v>17708</v>
      </c>
      <c r="J295" s="119"/>
      <c r="L295" t="s">
        <v>17714</v>
      </c>
      <c r="M295" s="118" t="s">
        <v>17744</v>
      </c>
      <c r="N295" s="119"/>
      <c r="P295" t="s">
        <v>17750</v>
      </c>
      <c r="Q295" s="118" t="s">
        <v>17780</v>
      </c>
      <c r="R295" s="119"/>
      <c r="T295" t="s">
        <v>17786</v>
      </c>
      <c r="U295" s="118" t="s">
        <v>17816</v>
      </c>
      <c r="V295" s="119"/>
      <c r="X295" t="s">
        <v>17822</v>
      </c>
    </row>
    <row r="296" spans="1:24" x14ac:dyDescent="0.3">
      <c r="A296" s="118" t="s">
        <v>17637</v>
      </c>
      <c r="B296" s="119"/>
      <c r="D296" t="s">
        <v>17643</v>
      </c>
      <c r="E296" s="118" t="s">
        <v>17673</v>
      </c>
      <c r="F296" s="119"/>
      <c r="H296" t="s">
        <v>17679</v>
      </c>
      <c r="I296" s="118" t="s">
        <v>17709</v>
      </c>
      <c r="J296" s="119"/>
      <c r="L296" t="s">
        <v>17715</v>
      </c>
      <c r="M296" s="118" t="s">
        <v>17745</v>
      </c>
      <c r="N296" s="119"/>
      <c r="P296" t="s">
        <v>17751</v>
      </c>
      <c r="Q296" s="118" t="s">
        <v>17781</v>
      </c>
      <c r="R296" s="119"/>
      <c r="T296" t="s">
        <v>17787</v>
      </c>
      <c r="U296" s="118" t="s">
        <v>17817</v>
      </c>
      <c r="V296" s="119"/>
      <c r="X296" t="s">
        <v>17823</v>
      </c>
    </row>
    <row r="297" spans="1:24" x14ac:dyDescent="0.3">
      <c r="A297" s="118" t="s">
        <v>17648</v>
      </c>
      <c r="B297" s="119"/>
      <c r="D297" t="s">
        <v>17654</v>
      </c>
      <c r="E297" s="118" t="s">
        <v>17684</v>
      </c>
      <c r="F297" s="119"/>
      <c r="H297" t="s">
        <v>17690</v>
      </c>
      <c r="I297" s="118" t="s">
        <v>17720</v>
      </c>
      <c r="J297" s="119"/>
      <c r="L297" t="s">
        <v>17726</v>
      </c>
      <c r="M297" s="118" t="s">
        <v>17756</v>
      </c>
      <c r="N297" s="119"/>
      <c r="P297" t="s">
        <v>17762</v>
      </c>
      <c r="Q297" s="118" t="s">
        <v>17792</v>
      </c>
      <c r="R297" s="119"/>
      <c r="T297" t="s">
        <v>17798</v>
      </c>
      <c r="U297" s="118" t="s">
        <v>17828</v>
      </c>
      <c r="V297" s="119"/>
      <c r="X297" t="s">
        <v>17834</v>
      </c>
    </row>
    <row r="298" spans="1:24" x14ac:dyDescent="0.3">
      <c r="A298" s="118" t="s">
        <v>17649</v>
      </c>
      <c r="B298" s="119"/>
      <c r="D298" t="s">
        <v>17655</v>
      </c>
      <c r="E298" s="118" t="s">
        <v>17685</v>
      </c>
      <c r="F298" s="119"/>
      <c r="H298" t="s">
        <v>17691</v>
      </c>
      <c r="I298" s="118" t="s">
        <v>17721</v>
      </c>
      <c r="J298" s="119"/>
      <c r="L298" t="s">
        <v>17727</v>
      </c>
      <c r="M298" s="118" t="s">
        <v>17757</v>
      </c>
      <c r="N298" s="119"/>
      <c r="P298" t="s">
        <v>17763</v>
      </c>
      <c r="Q298" s="118" t="s">
        <v>17793</v>
      </c>
      <c r="R298" s="119"/>
      <c r="T298" t="s">
        <v>17799</v>
      </c>
      <c r="U298" s="118" t="s">
        <v>17829</v>
      </c>
      <c r="V298" s="119"/>
      <c r="X298" t="s">
        <v>17835</v>
      </c>
    </row>
    <row r="299" spans="1:24" x14ac:dyDescent="0.3">
      <c r="A299" s="118" t="s">
        <v>17840</v>
      </c>
      <c r="B299" s="119"/>
      <c r="D299" t="s">
        <v>17846</v>
      </c>
      <c r="E299" s="118" t="s">
        <v>17876</v>
      </c>
      <c r="F299" s="119"/>
      <c r="H299" t="s">
        <v>17882</v>
      </c>
      <c r="I299" s="118" t="s">
        <v>17912</v>
      </c>
      <c r="J299" s="119"/>
      <c r="L299" t="s">
        <v>17918</v>
      </c>
      <c r="M299" s="118" t="s">
        <v>17948</v>
      </c>
      <c r="N299" s="119"/>
      <c r="P299" t="s">
        <v>17954</v>
      </c>
      <c r="Q299" s="118" t="s">
        <v>17984</v>
      </c>
      <c r="R299" s="119"/>
      <c r="T299" t="s">
        <v>17990</v>
      </c>
      <c r="U299" s="118" t="s">
        <v>18020</v>
      </c>
      <c r="V299" s="119"/>
      <c r="X299" t="s">
        <v>18026</v>
      </c>
    </row>
    <row r="300" spans="1:24" x14ac:dyDescent="0.3">
      <c r="A300" s="118" t="s">
        <v>17841</v>
      </c>
      <c r="B300" s="119"/>
      <c r="D300" t="s">
        <v>17847</v>
      </c>
      <c r="E300" s="118" t="s">
        <v>17877</v>
      </c>
      <c r="F300" s="119"/>
      <c r="H300" t="s">
        <v>17883</v>
      </c>
      <c r="I300" s="118" t="s">
        <v>17913</v>
      </c>
      <c r="J300" s="119"/>
      <c r="L300" t="s">
        <v>17919</v>
      </c>
      <c r="M300" s="118" t="s">
        <v>17949</v>
      </c>
      <c r="N300" s="119"/>
      <c r="P300" t="s">
        <v>17955</v>
      </c>
      <c r="Q300" s="118" t="s">
        <v>17985</v>
      </c>
      <c r="R300" s="119"/>
      <c r="T300" t="s">
        <v>17991</v>
      </c>
      <c r="U300" s="118" t="s">
        <v>18021</v>
      </c>
      <c r="V300" s="119"/>
      <c r="X300" t="s">
        <v>18027</v>
      </c>
    </row>
    <row r="301" spans="1:24" x14ac:dyDescent="0.3">
      <c r="A301" s="118" t="s">
        <v>17852</v>
      </c>
      <c r="B301" s="119"/>
      <c r="D301" t="s">
        <v>17858</v>
      </c>
      <c r="E301" s="118" t="s">
        <v>17888</v>
      </c>
      <c r="F301" s="119"/>
      <c r="H301" t="s">
        <v>17894</v>
      </c>
      <c r="I301" s="118" t="s">
        <v>17924</v>
      </c>
      <c r="J301" s="119"/>
      <c r="L301" t="s">
        <v>17930</v>
      </c>
      <c r="M301" s="118" t="s">
        <v>17960</v>
      </c>
      <c r="N301" s="119"/>
      <c r="P301" t="s">
        <v>17966</v>
      </c>
      <c r="Q301" s="118" t="s">
        <v>17996</v>
      </c>
      <c r="R301" s="119"/>
      <c r="T301" t="s">
        <v>18002</v>
      </c>
      <c r="U301" s="118" t="s">
        <v>18032</v>
      </c>
      <c r="V301" s="119"/>
      <c r="X301" t="s">
        <v>18038</v>
      </c>
    </row>
    <row r="302" spans="1:24" x14ac:dyDescent="0.3">
      <c r="A302" s="118" t="s">
        <v>17853</v>
      </c>
      <c r="B302" s="119"/>
      <c r="D302" t="s">
        <v>17859</v>
      </c>
      <c r="E302" s="118" t="s">
        <v>17889</v>
      </c>
      <c r="F302" s="119"/>
      <c r="H302" t="s">
        <v>17895</v>
      </c>
      <c r="I302" s="118" t="s">
        <v>17925</v>
      </c>
      <c r="J302" s="119"/>
      <c r="L302" t="s">
        <v>17931</v>
      </c>
      <c r="M302" s="118" t="s">
        <v>17961</v>
      </c>
      <c r="N302" s="119"/>
      <c r="P302" t="s">
        <v>17967</v>
      </c>
      <c r="Q302" s="118" t="s">
        <v>17997</v>
      </c>
      <c r="R302" s="119"/>
      <c r="T302" t="s">
        <v>18003</v>
      </c>
      <c r="U302" s="118" t="s">
        <v>18033</v>
      </c>
      <c r="V302" s="119"/>
      <c r="X302" t="s">
        <v>18039</v>
      </c>
    </row>
    <row r="303" spans="1:24" x14ac:dyDescent="0.3">
      <c r="A303" s="118" t="s">
        <v>17864</v>
      </c>
      <c r="B303" s="119"/>
      <c r="D303" t="s">
        <v>17870</v>
      </c>
      <c r="E303" s="118" t="s">
        <v>17900</v>
      </c>
      <c r="F303" s="119"/>
      <c r="H303" t="s">
        <v>17906</v>
      </c>
      <c r="I303" s="118" t="s">
        <v>17936</v>
      </c>
      <c r="J303" s="119"/>
      <c r="L303" t="s">
        <v>17942</v>
      </c>
      <c r="M303" s="118" t="s">
        <v>17972</v>
      </c>
      <c r="N303" s="119"/>
      <c r="P303" t="s">
        <v>17978</v>
      </c>
      <c r="Q303" s="118" t="s">
        <v>18008</v>
      </c>
      <c r="R303" s="119"/>
      <c r="T303" t="s">
        <v>18014</v>
      </c>
      <c r="U303" s="118" t="s">
        <v>18044</v>
      </c>
      <c r="V303" s="119"/>
      <c r="X303" t="s">
        <v>18050</v>
      </c>
    </row>
    <row r="304" spans="1:24" x14ac:dyDescent="0.3">
      <c r="A304" s="118" t="s">
        <v>17865</v>
      </c>
      <c r="B304" s="119"/>
      <c r="D304" t="s">
        <v>17871</v>
      </c>
      <c r="E304" s="118" t="s">
        <v>17901</v>
      </c>
      <c r="F304" s="119"/>
      <c r="H304" t="s">
        <v>17907</v>
      </c>
      <c r="I304" s="118" t="s">
        <v>17937</v>
      </c>
      <c r="J304" s="119"/>
      <c r="L304" t="s">
        <v>17943</v>
      </c>
      <c r="M304" s="118" t="s">
        <v>17973</v>
      </c>
      <c r="N304" s="119"/>
      <c r="P304" t="s">
        <v>17979</v>
      </c>
      <c r="Q304" s="118" t="s">
        <v>18009</v>
      </c>
      <c r="R304" s="119"/>
      <c r="T304" t="s">
        <v>18015</v>
      </c>
      <c r="U304" s="118" t="s">
        <v>18045</v>
      </c>
      <c r="V304" s="119"/>
      <c r="X304" t="s">
        <v>18051</v>
      </c>
    </row>
    <row r="305" spans="1:24" x14ac:dyDescent="0.3">
      <c r="A305" s="118" t="s">
        <v>18056</v>
      </c>
      <c r="B305" s="119"/>
      <c r="D305" t="s">
        <v>18062</v>
      </c>
      <c r="E305" s="118" t="s">
        <v>18092</v>
      </c>
      <c r="F305" s="119"/>
      <c r="H305" t="s">
        <v>18098</v>
      </c>
      <c r="I305" s="118" t="s">
        <v>18128</v>
      </c>
      <c r="J305" s="119"/>
      <c r="L305" t="s">
        <v>18134</v>
      </c>
      <c r="M305" s="118" t="s">
        <v>18164</v>
      </c>
      <c r="N305" s="119"/>
      <c r="P305" t="s">
        <v>18170</v>
      </c>
      <c r="Q305" s="118" t="s">
        <v>18200</v>
      </c>
      <c r="R305" s="119"/>
      <c r="T305" t="s">
        <v>18206</v>
      </c>
      <c r="U305" s="118" t="s">
        <v>18236</v>
      </c>
      <c r="V305" s="119"/>
      <c r="X305" t="s">
        <v>18242</v>
      </c>
    </row>
    <row r="306" spans="1:24" x14ac:dyDescent="0.3">
      <c r="A306" s="118" t="s">
        <v>18057</v>
      </c>
      <c r="B306" s="119"/>
      <c r="D306" t="s">
        <v>18063</v>
      </c>
      <c r="E306" s="118" t="s">
        <v>18093</v>
      </c>
      <c r="F306" s="119"/>
      <c r="H306" t="s">
        <v>18099</v>
      </c>
      <c r="I306" s="118" t="s">
        <v>18129</v>
      </c>
      <c r="J306" s="119"/>
      <c r="L306" t="s">
        <v>18135</v>
      </c>
      <c r="M306" s="118" t="s">
        <v>18165</v>
      </c>
      <c r="N306" s="119"/>
      <c r="P306" t="s">
        <v>18171</v>
      </c>
      <c r="Q306" s="118" t="s">
        <v>18201</v>
      </c>
      <c r="R306" s="119"/>
      <c r="T306" t="s">
        <v>18207</v>
      </c>
      <c r="U306" s="118" t="s">
        <v>18237</v>
      </c>
      <c r="V306" s="119"/>
      <c r="X306" t="s">
        <v>18243</v>
      </c>
    </row>
    <row r="307" spans="1:24" x14ac:dyDescent="0.3">
      <c r="A307" s="118" t="s">
        <v>18068</v>
      </c>
      <c r="B307" s="119"/>
      <c r="D307" t="s">
        <v>18074</v>
      </c>
      <c r="E307" s="118" t="s">
        <v>18104</v>
      </c>
      <c r="F307" s="119"/>
      <c r="H307" t="s">
        <v>18110</v>
      </c>
      <c r="I307" s="118" t="s">
        <v>18140</v>
      </c>
      <c r="J307" s="119"/>
      <c r="L307" t="s">
        <v>18146</v>
      </c>
      <c r="M307" s="118" t="s">
        <v>18176</v>
      </c>
      <c r="N307" s="119"/>
      <c r="P307" t="s">
        <v>18182</v>
      </c>
      <c r="Q307" s="118" t="s">
        <v>18212</v>
      </c>
      <c r="R307" s="119"/>
      <c r="T307" t="s">
        <v>18218</v>
      </c>
      <c r="U307" s="118" t="s">
        <v>18248</v>
      </c>
      <c r="V307" s="119"/>
      <c r="X307" t="s">
        <v>18254</v>
      </c>
    </row>
    <row r="308" spans="1:24" x14ac:dyDescent="0.3">
      <c r="A308" s="118" t="s">
        <v>18069</v>
      </c>
      <c r="B308" s="119"/>
      <c r="D308" t="s">
        <v>18075</v>
      </c>
      <c r="E308" s="118" t="s">
        <v>18105</v>
      </c>
      <c r="F308" s="119"/>
      <c r="H308" t="s">
        <v>18111</v>
      </c>
      <c r="I308" s="118" t="s">
        <v>18141</v>
      </c>
      <c r="J308" s="119"/>
      <c r="L308" t="s">
        <v>18147</v>
      </c>
      <c r="M308" s="118" t="s">
        <v>18177</v>
      </c>
      <c r="N308" s="119"/>
      <c r="P308" t="s">
        <v>18183</v>
      </c>
      <c r="Q308" s="118" t="s">
        <v>18213</v>
      </c>
      <c r="R308" s="119"/>
      <c r="T308" t="s">
        <v>18219</v>
      </c>
      <c r="U308" s="118" t="s">
        <v>18249</v>
      </c>
      <c r="V308" s="119"/>
      <c r="X308" t="s">
        <v>18255</v>
      </c>
    </row>
    <row r="309" spans="1:24" x14ac:dyDescent="0.3">
      <c r="A309" s="118" t="s">
        <v>18080</v>
      </c>
      <c r="B309" s="119"/>
      <c r="D309" t="s">
        <v>18086</v>
      </c>
      <c r="E309" s="118" t="s">
        <v>18116</v>
      </c>
      <c r="F309" s="119"/>
      <c r="H309" t="s">
        <v>18122</v>
      </c>
      <c r="I309" s="118" t="s">
        <v>18152</v>
      </c>
      <c r="J309" s="119"/>
      <c r="L309" t="s">
        <v>18158</v>
      </c>
      <c r="M309" s="118" t="s">
        <v>18188</v>
      </c>
      <c r="N309" s="119"/>
      <c r="P309" t="s">
        <v>18194</v>
      </c>
      <c r="Q309" s="118" t="s">
        <v>18224</v>
      </c>
      <c r="R309" s="119"/>
      <c r="T309" t="s">
        <v>18230</v>
      </c>
      <c r="U309" s="118" t="s">
        <v>18260</v>
      </c>
      <c r="V309" s="119"/>
      <c r="X309" t="s">
        <v>18266</v>
      </c>
    </row>
    <row r="310" spans="1:24" x14ac:dyDescent="0.3">
      <c r="A310" s="118" t="s">
        <v>18081</v>
      </c>
      <c r="B310" s="119"/>
      <c r="D310" t="s">
        <v>18087</v>
      </c>
      <c r="E310" s="118" t="s">
        <v>18117</v>
      </c>
      <c r="F310" s="119"/>
      <c r="H310" t="s">
        <v>18123</v>
      </c>
      <c r="I310" s="118" t="s">
        <v>18153</v>
      </c>
      <c r="J310" s="119"/>
      <c r="L310" t="s">
        <v>18159</v>
      </c>
      <c r="M310" s="118" t="s">
        <v>18189</v>
      </c>
      <c r="N310" s="119"/>
      <c r="P310" t="s">
        <v>18195</v>
      </c>
      <c r="Q310" s="118" t="s">
        <v>18225</v>
      </c>
      <c r="R310" s="119"/>
      <c r="T310" t="s">
        <v>18231</v>
      </c>
      <c r="U310" s="118" t="s">
        <v>18261</v>
      </c>
      <c r="V310" s="119"/>
      <c r="X310" t="s">
        <v>18267</v>
      </c>
    </row>
    <row r="311" spans="1:24" x14ac:dyDescent="0.3">
      <c r="A311" s="118" t="s">
        <v>18272</v>
      </c>
      <c r="B311" s="119"/>
      <c r="D311" t="s">
        <v>18278</v>
      </c>
      <c r="E311" s="118" t="s">
        <v>18308</v>
      </c>
      <c r="F311" s="119"/>
      <c r="H311" t="s">
        <v>18314</v>
      </c>
      <c r="I311" s="118" t="s">
        <v>18344</v>
      </c>
      <c r="J311" s="119"/>
      <c r="L311" t="s">
        <v>18350</v>
      </c>
      <c r="M311" s="118" t="s">
        <v>18380</v>
      </c>
      <c r="N311" s="119"/>
      <c r="P311" t="s">
        <v>18386</v>
      </c>
      <c r="Q311" s="118" t="s">
        <v>18416</v>
      </c>
      <c r="R311" s="119"/>
      <c r="T311" t="s">
        <v>18422</v>
      </c>
      <c r="U311" s="118" t="s">
        <v>18452</v>
      </c>
      <c r="V311" s="119"/>
      <c r="X311" t="s">
        <v>18458</v>
      </c>
    </row>
    <row r="312" spans="1:24" x14ac:dyDescent="0.3">
      <c r="A312" s="118" t="s">
        <v>18273</v>
      </c>
      <c r="B312" s="119"/>
      <c r="D312" t="s">
        <v>18279</v>
      </c>
      <c r="E312" s="118" t="s">
        <v>18309</v>
      </c>
      <c r="F312" s="119"/>
      <c r="H312" t="s">
        <v>18315</v>
      </c>
      <c r="I312" s="118" t="s">
        <v>18345</v>
      </c>
      <c r="J312" s="119"/>
      <c r="L312" t="s">
        <v>18351</v>
      </c>
      <c r="M312" s="118" t="s">
        <v>18381</v>
      </c>
      <c r="N312" s="119"/>
      <c r="P312" t="s">
        <v>18387</v>
      </c>
      <c r="Q312" s="118" t="s">
        <v>18417</v>
      </c>
      <c r="R312" s="119"/>
      <c r="T312" t="s">
        <v>18423</v>
      </c>
      <c r="U312" s="118" t="s">
        <v>18453</v>
      </c>
      <c r="V312" s="119"/>
      <c r="X312" t="s">
        <v>18459</v>
      </c>
    </row>
    <row r="313" spans="1:24" x14ac:dyDescent="0.3">
      <c r="A313" s="118" t="s">
        <v>18284</v>
      </c>
      <c r="B313" s="119"/>
      <c r="D313" t="s">
        <v>18290</v>
      </c>
      <c r="E313" s="118" t="s">
        <v>18320</v>
      </c>
      <c r="F313" s="119"/>
      <c r="H313" t="s">
        <v>18326</v>
      </c>
      <c r="I313" s="118" t="s">
        <v>18356</v>
      </c>
      <c r="J313" s="119"/>
      <c r="L313" t="s">
        <v>18362</v>
      </c>
      <c r="M313" s="118" t="s">
        <v>18392</v>
      </c>
      <c r="N313" s="119"/>
      <c r="P313" t="s">
        <v>18398</v>
      </c>
      <c r="Q313" s="118" t="s">
        <v>18428</v>
      </c>
      <c r="R313" s="119"/>
      <c r="T313" t="s">
        <v>18434</v>
      </c>
      <c r="U313" s="118" t="s">
        <v>18464</v>
      </c>
      <c r="V313" s="119"/>
      <c r="X313" t="s">
        <v>18470</v>
      </c>
    </row>
    <row r="314" spans="1:24" x14ac:dyDescent="0.3">
      <c r="A314" s="118" t="s">
        <v>18285</v>
      </c>
      <c r="B314" s="119"/>
      <c r="D314" t="s">
        <v>18291</v>
      </c>
      <c r="E314" s="118" t="s">
        <v>18321</v>
      </c>
      <c r="F314" s="119"/>
      <c r="H314" t="s">
        <v>18327</v>
      </c>
      <c r="I314" s="118" t="s">
        <v>18357</v>
      </c>
      <c r="J314" s="119"/>
      <c r="L314" t="s">
        <v>18363</v>
      </c>
      <c r="M314" s="118" t="s">
        <v>18393</v>
      </c>
      <c r="N314" s="119"/>
      <c r="P314" t="s">
        <v>18399</v>
      </c>
      <c r="Q314" s="118" t="s">
        <v>18429</v>
      </c>
      <c r="R314" s="119"/>
      <c r="T314" t="s">
        <v>18435</v>
      </c>
      <c r="U314" s="118" t="s">
        <v>18465</v>
      </c>
      <c r="V314" s="119"/>
      <c r="X314" t="s">
        <v>18471</v>
      </c>
    </row>
    <row r="315" spans="1:24" x14ac:dyDescent="0.3">
      <c r="A315" s="118" t="s">
        <v>18296</v>
      </c>
      <c r="B315" s="119"/>
      <c r="D315" t="s">
        <v>18302</v>
      </c>
      <c r="E315" s="118" t="s">
        <v>18332</v>
      </c>
      <c r="F315" s="119"/>
      <c r="H315" t="s">
        <v>18338</v>
      </c>
      <c r="I315" s="118" t="s">
        <v>18368</v>
      </c>
      <c r="J315" s="119"/>
      <c r="L315" t="s">
        <v>18374</v>
      </c>
      <c r="M315" s="118" t="s">
        <v>18404</v>
      </c>
      <c r="N315" s="119"/>
      <c r="P315" t="s">
        <v>18410</v>
      </c>
      <c r="Q315" s="118" t="s">
        <v>18440</v>
      </c>
      <c r="R315" s="119"/>
      <c r="T315" t="s">
        <v>18446</v>
      </c>
      <c r="U315" s="118" t="s">
        <v>18476</v>
      </c>
      <c r="V315" s="119"/>
      <c r="X315" t="s">
        <v>18482</v>
      </c>
    </row>
    <row r="316" spans="1:24" x14ac:dyDescent="0.3">
      <c r="A316" s="118" t="s">
        <v>18297</v>
      </c>
      <c r="B316" s="119"/>
      <c r="D316" t="s">
        <v>18303</v>
      </c>
      <c r="E316" s="118" t="s">
        <v>18333</v>
      </c>
      <c r="F316" s="119"/>
      <c r="H316" t="s">
        <v>18339</v>
      </c>
      <c r="I316" s="118" t="s">
        <v>18369</v>
      </c>
      <c r="J316" s="119"/>
      <c r="L316" t="s">
        <v>18375</v>
      </c>
      <c r="M316" s="118" t="s">
        <v>18405</v>
      </c>
      <c r="N316" s="119"/>
      <c r="P316" t="s">
        <v>18411</v>
      </c>
      <c r="Q316" s="118" t="s">
        <v>18441</v>
      </c>
      <c r="R316" s="119"/>
      <c r="T316" t="s">
        <v>18447</v>
      </c>
      <c r="U316" s="118" t="s">
        <v>18477</v>
      </c>
      <c r="V316" s="119"/>
      <c r="X316" t="s">
        <v>18483</v>
      </c>
    </row>
    <row r="317" spans="1:24" x14ac:dyDescent="0.3">
      <c r="A317" s="118" t="s">
        <v>18488</v>
      </c>
      <c r="B317" s="119"/>
      <c r="D317" t="s">
        <v>18494</v>
      </c>
      <c r="E317" s="118" t="s">
        <v>18524</v>
      </c>
      <c r="F317" s="119"/>
      <c r="H317" t="s">
        <v>18530</v>
      </c>
      <c r="I317" s="118" t="s">
        <v>18560</v>
      </c>
      <c r="J317" s="119"/>
      <c r="L317" t="s">
        <v>18566</v>
      </c>
      <c r="M317" s="118" t="s">
        <v>18596</v>
      </c>
      <c r="N317" s="119"/>
      <c r="P317" t="s">
        <v>18602</v>
      </c>
      <c r="Q317" s="118" t="s">
        <v>18632</v>
      </c>
      <c r="R317" s="119"/>
      <c r="T317" t="s">
        <v>18638</v>
      </c>
      <c r="U317" s="118" t="s">
        <v>18668</v>
      </c>
      <c r="V317" s="119"/>
      <c r="X317" t="s">
        <v>18674</v>
      </c>
    </row>
    <row r="318" spans="1:24" x14ac:dyDescent="0.3">
      <c r="A318" s="118" t="s">
        <v>18489</v>
      </c>
      <c r="B318" s="119"/>
      <c r="D318" t="s">
        <v>18495</v>
      </c>
      <c r="E318" s="118" t="s">
        <v>18525</v>
      </c>
      <c r="F318" s="119"/>
      <c r="H318" t="s">
        <v>18531</v>
      </c>
      <c r="I318" s="118" t="s">
        <v>18561</v>
      </c>
      <c r="J318" s="119"/>
      <c r="L318" t="s">
        <v>18567</v>
      </c>
      <c r="M318" s="118" t="s">
        <v>18597</v>
      </c>
      <c r="N318" s="119"/>
      <c r="P318" t="s">
        <v>18603</v>
      </c>
      <c r="Q318" s="118" t="s">
        <v>18633</v>
      </c>
      <c r="R318" s="119"/>
      <c r="T318" t="s">
        <v>18639</v>
      </c>
      <c r="U318" s="118" t="s">
        <v>18669</v>
      </c>
      <c r="V318" s="119"/>
      <c r="X318" t="s">
        <v>18675</v>
      </c>
    </row>
    <row r="319" spans="1:24" x14ac:dyDescent="0.3">
      <c r="A319" s="118" t="s">
        <v>18500</v>
      </c>
      <c r="B319" s="119"/>
      <c r="D319" t="s">
        <v>18506</v>
      </c>
      <c r="E319" s="118" t="s">
        <v>18536</v>
      </c>
      <c r="F319" s="119"/>
      <c r="H319" t="s">
        <v>18542</v>
      </c>
      <c r="I319" s="118" t="s">
        <v>18572</v>
      </c>
      <c r="J319" s="119"/>
      <c r="L319" t="s">
        <v>18578</v>
      </c>
      <c r="M319" s="118" t="s">
        <v>18608</v>
      </c>
      <c r="N319" s="119"/>
      <c r="P319" t="s">
        <v>18614</v>
      </c>
      <c r="Q319" s="118" t="s">
        <v>18644</v>
      </c>
      <c r="R319" s="119"/>
      <c r="T319" t="s">
        <v>18650</v>
      </c>
      <c r="U319" s="118" t="s">
        <v>18680</v>
      </c>
      <c r="V319" s="119"/>
      <c r="X319" t="s">
        <v>18686</v>
      </c>
    </row>
    <row r="320" spans="1:24" x14ac:dyDescent="0.3">
      <c r="A320" s="118" t="s">
        <v>18501</v>
      </c>
      <c r="B320" s="119"/>
      <c r="D320" t="s">
        <v>18507</v>
      </c>
      <c r="E320" s="118" t="s">
        <v>18537</v>
      </c>
      <c r="F320" s="119"/>
      <c r="H320" t="s">
        <v>18543</v>
      </c>
      <c r="I320" s="118" t="s">
        <v>18573</v>
      </c>
      <c r="J320" s="119"/>
      <c r="L320" t="s">
        <v>18579</v>
      </c>
      <c r="M320" s="118" t="s">
        <v>18609</v>
      </c>
      <c r="N320" s="119"/>
      <c r="P320" t="s">
        <v>18615</v>
      </c>
      <c r="Q320" s="118" t="s">
        <v>18645</v>
      </c>
      <c r="R320" s="119"/>
      <c r="T320" t="s">
        <v>18651</v>
      </c>
      <c r="U320" s="118" t="s">
        <v>18681</v>
      </c>
      <c r="V320" s="119"/>
      <c r="X320" t="s">
        <v>18687</v>
      </c>
    </row>
    <row r="321" spans="1:24" x14ac:dyDescent="0.3">
      <c r="A321" s="118" t="s">
        <v>18512</v>
      </c>
      <c r="B321" s="119"/>
      <c r="D321" t="s">
        <v>18518</v>
      </c>
      <c r="E321" s="118" t="s">
        <v>18548</v>
      </c>
      <c r="F321" s="119"/>
      <c r="H321" t="s">
        <v>18554</v>
      </c>
      <c r="I321" s="118" t="s">
        <v>18584</v>
      </c>
      <c r="J321" s="119"/>
      <c r="L321" t="s">
        <v>18590</v>
      </c>
      <c r="M321" s="118" t="s">
        <v>18620</v>
      </c>
      <c r="N321" s="119"/>
      <c r="P321" t="s">
        <v>18626</v>
      </c>
      <c r="Q321" s="118" t="s">
        <v>18656</v>
      </c>
      <c r="R321" s="119"/>
      <c r="T321" t="s">
        <v>18662</v>
      </c>
      <c r="U321" s="118" t="s">
        <v>18692</v>
      </c>
      <c r="V321" s="119"/>
      <c r="X321" t="s">
        <v>18698</v>
      </c>
    </row>
    <row r="322" spans="1:24" x14ac:dyDescent="0.3">
      <c r="A322" s="118" t="s">
        <v>18513</v>
      </c>
      <c r="B322" s="119"/>
      <c r="D322" t="s">
        <v>18519</v>
      </c>
      <c r="E322" s="118" t="s">
        <v>18549</v>
      </c>
      <c r="F322" s="119"/>
      <c r="H322" t="s">
        <v>18555</v>
      </c>
      <c r="I322" s="118" t="s">
        <v>18585</v>
      </c>
      <c r="J322" s="119"/>
      <c r="L322" t="s">
        <v>18591</v>
      </c>
      <c r="M322" s="118" t="s">
        <v>18621</v>
      </c>
      <c r="N322" s="119"/>
      <c r="P322" t="s">
        <v>18627</v>
      </c>
      <c r="Q322" s="118" t="s">
        <v>18657</v>
      </c>
      <c r="R322" s="119"/>
      <c r="T322" t="s">
        <v>18663</v>
      </c>
      <c r="U322" s="118" t="s">
        <v>18693</v>
      </c>
      <c r="V322" s="119"/>
      <c r="X322" t="s">
        <v>18699</v>
      </c>
    </row>
    <row r="323" spans="1:24" x14ac:dyDescent="0.3">
      <c r="A323" s="118" t="s">
        <v>18704</v>
      </c>
      <c r="B323" s="119"/>
      <c r="D323" t="s">
        <v>18710</v>
      </c>
      <c r="E323" s="118" t="s">
        <v>18740</v>
      </c>
      <c r="F323" s="119"/>
      <c r="H323" t="s">
        <v>18746</v>
      </c>
      <c r="I323" s="118" t="s">
        <v>18776</v>
      </c>
      <c r="J323" s="119"/>
      <c r="L323" t="s">
        <v>18782</v>
      </c>
      <c r="M323" s="118" t="s">
        <v>18812</v>
      </c>
      <c r="N323" s="119"/>
      <c r="P323" t="s">
        <v>18818</v>
      </c>
      <c r="Q323" s="118" t="s">
        <v>18848</v>
      </c>
      <c r="R323" s="119"/>
      <c r="T323" t="s">
        <v>18854</v>
      </c>
      <c r="U323" s="118" t="s">
        <v>18884</v>
      </c>
      <c r="V323" s="119"/>
      <c r="X323" t="s">
        <v>18890</v>
      </c>
    </row>
    <row r="324" spans="1:24" x14ac:dyDescent="0.3">
      <c r="A324" s="118" t="s">
        <v>18705</v>
      </c>
      <c r="B324" s="119"/>
      <c r="D324" t="s">
        <v>18711</v>
      </c>
      <c r="E324" s="118" t="s">
        <v>18741</v>
      </c>
      <c r="F324" s="119"/>
      <c r="H324" t="s">
        <v>18747</v>
      </c>
      <c r="I324" s="118" t="s">
        <v>18777</v>
      </c>
      <c r="J324" s="119"/>
      <c r="L324" t="s">
        <v>18783</v>
      </c>
      <c r="M324" s="118" t="s">
        <v>18813</v>
      </c>
      <c r="N324" s="119"/>
      <c r="P324" t="s">
        <v>18819</v>
      </c>
      <c r="Q324" s="118" t="s">
        <v>18849</v>
      </c>
      <c r="R324" s="119"/>
      <c r="T324" t="s">
        <v>18855</v>
      </c>
      <c r="U324" s="118" t="s">
        <v>18885</v>
      </c>
      <c r="V324" s="119"/>
      <c r="X324" t="s">
        <v>18891</v>
      </c>
    </row>
    <row r="325" spans="1:24" x14ac:dyDescent="0.3">
      <c r="A325" s="118" t="s">
        <v>18716</v>
      </c>
      <c r="B325" s="119"/>
      <c r="D325" t="s">
        <v>18722</v>
      </c>
      <c r="E325" s="118" t="s">
        <v>18752</v>
      </c>
      <c r="F325" s="119"/>
      <c r="H325" t="s">
        <v>18758</v>
      </c>
      <c r="I325" s="118" t="s">
        <v>18788</v>
      </c>
      <c r="J325" s="119"/>
      <c r="L325" t="s">
        <v>18794</v>
      </c>
      <c r="M325" s="118" t="s">
        <v>18824</v>
      </c>
      <c r="N325" s="119"/>
      <c r="P325" t="s">
        <v>18830</v>
      </c>
      <c r="Q325" s="118" t="s">
        <v>18860</v>
      </c>
      <c r="R325" s="119"/>
      <c r="T325" t="s">
        <v>18866</v>
      </c>
      <c r="U325" s="118" t="s">
        <v>18896</v>
      </c>
      <c r="V325" s="119"/>
      <c r="X325" t="s">
        <v>18902</v>
      </c>
    </row>
    <row r="326" spans="1:24" x14ac:dyDescent="0.3">
      <c r="A326" s="118" t="s">
        <v>18717</v>
      </c>
      <c r="B326" s="119"/>
      <c r="D326" t="s">
        <v>18723</v>
      </c>
      <c r="E326" s="118" t="s">
        <v>18753</v>
      </c>
      <c r="F326" s="119"/>
      <c r="H326" t="s">
        <v>18759</v>
      </c>
      <c r="I326" s="118" t="s">
        <v>18789</v>
      </c>
      <c r="J326" s="119"/>
      <c r="L326" t="s">
        <v>18795</v>
      </c>
      <c r="M326" s="118" t="s">
        <v>18825</v>
      </c>
      <c r="N326" s="119"/>
      <c r="P326" t="s">
        <v>18831</v>
      </c>
      <c r="Q326" s="118" t="s">
        <v>18861</v>
      </c>
      <c r="R326" s="119"/>
      <c r="T326" t="s">
        <v>18867</v>
      </c>
      <c r="U326" s="118" t="s">
        <v>18897</v>
      </c>
      <c r="V326" s="119"/>
      <c r="X326" t="s">
        <v>18903</v>
      </c>
    </row>
    <row r="327" spans="1:24" x14ac:dyDescent="0.3">
      <c r="A327" s="118" t="s">
        <v>18728</v>
      </c>
      <c r="B327" s="119"/>
      <c r="D327" t="s">
        <v>18734</v>
      </c>
      <c r="E327" s="118" t="s">
        <v>18764</v>
      </c>
      <c r="F327" s="119"/>
      <c r="H327" t="s">
        <v>18770</v>
      </c>
      <c r="I327" s="118" t="s">
        <v>18800</v>
      </c>
      <c r="J327" s="119"/>
      <c r="L327" t="s">
        <v>18806</v>
      </c>
      <c r="M327" s="118" t="s">
        <v>18836</v>
      </c>
      <c r="N327" s="119"/>
      <c r="P327" t="s">
        <v>18842</v>
      </c>
      <c r="Q327" s="118" t="s">
        <v>18872</v>
      </c>
      <c r="R327" s="119"/>
      <c r="T327" t="s">
        <v>18878</v>
      </c>
      <c r="U327" s="118" t="s">
        <v>18908</v>
      </c>
      <c r="V327" s="119"/>
      <c r="X327" t="s">
        <v>18914</v>
      </c>
    </row>
    <row r="328" spans="1:24" x14ac:dyDescent="0.3">
      <c r="A328" s="118" t="s">
        <v>18729</v>
      </c>
      <c r="B328" s="119"/>
      <c r="D328" t="s">
        <v>18735</v>
      </c>
      <c r="E328" s="118" t="s">
        <v>18765</v>
      </c>
      <c r="F328" s="119"/>
      <c r="H328" t="s">
        <v>18771</v>
      </c>
      <c r="I328" s="118" t="s">
        <v>18801</v>
      </c>
      <c r="J328" s="119"/>
      <c r="L328" t="s">
        <v>18807</v>
      </c>
      <c r="M328" s="118" t="s">
        <v>18837</v>
      </c>
      <c r="N328" s="119"/>
      <c r="P328" t="s">
        <v>18843</v>
      </c>
      <c r="Q328" s="118" t="s">
        <v>18873</v>
      </c>
      <c r="R328" s="119"/>
      <c r="T328" t="s">
        <v>18879</v>
      </c>
      <c r="U328" s="118" t="s">
        <v>18909</v>
      </c>
      <c r="V328" s="119"/>
      <c r="X328" t="s">
        <v>18915</v>
      </c>
    </row>
    <row r="329" spans="1:24" x14ac:dyDescent="0.3">
      <c r="A329" s="118" t="s">
        <v>18920</v>
      </c>
      <c r="B329" s="119"/>
      <c r="D329" t="s">
        <v>18926</v>
      </c>
      <c r="E329" s="118" t="s">
        <v>18956</v>
      </c>
      <c r="F329" s="119"/>
      <c r="H329" t="s">
        <v>18962</v>
      </c>
      <c r="I329" s="118" t="s">
        <v>18992</v>
      </c>
      <c r="J329" s="119"/>
      <c r="L329" t="s">
        <v>18998</v>
      </c>
      <c r="M329" s="118" t="s">
        <v>19028</v>
      </c>
      <c r="N329" s="119"/>
      <c r="P329" t="s">
        <v>19034</v>
      </c>
      <c r="Q329" s="118" t="s">
        <v>19064</v>
      </c>
      <c r="R329" s="119"/>
      <c r="T329" t="s">
        <v>19070</v>
      </c>
      <c r="U329" s="118" t="s">
        <v>19100</v>
      </c>
      <c r="V329" s="119"/>
      <c r="X329" t="s">
        <v>19106</v>
      </c>
    </row>
    <row r="330" spans="1:24" x14ac:dyDescent="0.3">
      <c r="A330" s="118" t="s">
        <v>18921</v>
      </c>
      <c r="B330" s="119"/>
      <c r="D330" t="s">
        <v>18927</v>
      </c>
      <c r="E330" s="118" t="s">
        <v>18957</v>
      </c>
      <c r="F330" s="119"/>
      <c r="H330" t="s">
        <v>18963</v>
      </c>
      <c r="I330" s="118" t="s">
        <v>18993</v>
      </c>
      <c r="J330" s="119"/>
      <c r="L330" t="s">
        <v>18999</v>
      </c>
      <c r="M330" s="118" t="s">
        <v>19029</v>
      </c>
      <c r="N330" s="119"/>
      <c r="P330" t="s">
        <v>19035</v>
      </c>
      <c r="Q330" s="118" t="s">
        <v>19065</v>
      </c>
      <c r="R330" s="119"/>
      <c r="T330" t="s">
        <v>19071</v>
      </c>
      <c r="U330" s="118" t="s">
        <v>19101</v>
      </c>
      <c r="V330" s="119"/>
      <c r="X330" t="s">
        <v>19107</v>
      </c>
    </row>
    <row r="331" spans="1:24" x14ac:dyDescent="0.3">
      <c r="A331" s="118" t="s">
        <v>18932</v>
      </c>
      <c r="B331" s="119"/>
      <c r="D331" t="s">
        <v>18938</v>
      </c>
      <c r="E331" s="118" t="s">
        <v>18968</v>
      </c>
      <c r="F331" s="119"/>
      <c r="H331" t="s">
        <v>18974</v>
      </c>
      <c r="I331" s="118" t="s">
        <v>19004</v>
      </c>
      <c r="J331" s="119"/>
      <c r="L331" t="s">
        <v>19010</v>
      </c>
      <c r="M331" s="118" t="s">
        <v>19040</v>
      </c>
      <c r="N331" s="119"/>
      <c r="P331" t="s">
        <v>19046</v>
      </c>
      <c r="Q331" s="118" t="s">
        <v>19076</v>
      </c>
      <c r="R331" s="119"/>
      <c r="T331" t="s">
        <v>19082</v>
      </c>
      <c r="U331" s="118" t="s">
        <v>19112</v>
      </c>
      <c r="V331" s="119"/>
      <c r="X331" t="s">
        <v>19118</v>
      </c>
    </row>
    <row r="332" spans="1:24" x14ac:dyDescent="0.3">
      <c r="A332" s="118" t="s">
        <v>18933</v>
      </c>
      <c r="B332" s="119"/>
      <c r="D332" t="s">
        <v>18939</v>
      </c>
      <c r="E332" s="118" t="s">
        <v>18969</v>
      </c>
      <c r="F332" s="119"/>
      <c r="H332" t="s">
        <v>18975</v>
      </c>
      <c r="I332" s="118" t="s">
        <v>19005</v>
      </c>
      <c r="J332" s="119"/>
      <c r="L332" t="s">
        <v>19011</v>
      </c>
      <c r="M332" s="118" t="s">
        <v>19041</v>
      </c>
      <c r="N332" s="119"/>
      <c r="P332" t="s">
        <v>19047</v>
      </c>
      <c r="Q332" s="118" t="s">
        <v>19077</v>
      </c>
      <c r="R332" s="119"/>
      <c r="T332" t="s">
        <v>19083</v>
      </c>
      <c r="U332" s="118" t="s">
        <v>19113</v>
      </c>
      <c r="V332" s="119"/>
      <c r="X332" t="s">
        <v>19119</v>
      </c>
    </row>
    <row r="333" spans="1:24" x14ac:dyDescent="0.3">
      <c r="A333" s="118" t="s">
        <v>18944</v>
      </c>
      <c r="B333" s="119"/>
      <c r="D333" t="s">
        <v>18950</v>
      </c>
      <c r="E333" s="118" t="s">
        <v>18980</v>
      </c>
      <c r="F333" s="119"/>
      <c r="H333" t="s">
        <v>18986</v>
      </c>
      <c r="I333" s="118" t="s">
        <v>19016</v>
      </c>
      <c r="J333" s="119"/>
      <c r="L333" t="s">
        <v>19022</v>
      </c>
      <c r="M333" s="118" t="s">
        <v>19052</v>
      </c>
      <c r="N333" s="119"/>
      <c r="P333" t="s">
        <v>19058</v>
      </c>
      <c r="Q333" s="118" t="s">
        <v>19088</v>
      </c>
      <c r="R333" s="119"/>
      <c r="T333" t="s">
        <v>19094</v>
      </c>
      <c r="U333" s="118" t="s">
        <v>19124</v>
      </c>
      <c r="V333" s="119"/>
      <c r="X333" t="s">
        <v>19130</v>
      </c>
    </row>
    <row r="334" spans="1:24" x14ac:dyDescent="0.3">
      <c r="A334" s="118" t="s">
        <v>18945</v>
      </c>
      <c r="B334" s="119"/>
      <c r="D334" t="s">
        <v>18951</v>
      </c>
      <c r="E334" s="118" t="s">
        <v>18981</v>
      </c>
      <c r="F334" s="119"/>
      <c r="H334" t="s">
        <v>18987</v>
      </c>
      <c r="I334" s="118" t="s">
        <v>19017</v>
      </c>
      <c r="J334" s="119"/>
      <c r="L334" t="s">
        <v>19023</v>
      </c>
      <c r="M334" s="118" t="s">
        <v>19053</v>
      </c>
      <c r="N334" s="119"/>
      <c r="P334" t="s">
        <v>19059</v>
      </c>
      <c r="Q334" s="118" t="s">
        <v>19089</v>
      </c>
      <c r="R334" s="119"/>
      <c r="T334" t="s">
        <v>19095</v>
      </c>
      <c r="U334" s="118" t="s">
        <v>19125</v>
      </c>
      <c r="V334" s="119"/>
      <c r="X334" t="s">
        <v>19131</v>
      </c>
    </row>
    <row r="335" spans="1:24" x14ac:dyDescent="0.3">
      <c r="A335" s="118" t="s">
        <v>19136</v>
      </c>
      <c r="B335" s="119"/>
      <c r="D335" t="s">
        <v>19142</v>
      </c>
      <c r="E335" s="118" t="s">
        <v>19172</v>
      </c>
      <c r="F335" s="119"/>
      <c r="H335" t="s">
        <v>19178</v>
      </c>
      <c r="I335" s="118" t="s">
        <v>19208</v>
      </c>
      <c r="J335" s="119"/>
      <c r="L335" t="s">
        <v>19214</v>
      </c>
      <c r="M335" s="118" t="s">
        <v>19244</v>
      </c>
      <c r="N335" s="119"/>
      <c r="P335" t="s">
        <v>19250</v>
      </c>
      <c r="Q335" s="118" t="s">
        <v>19280</v>
      </c>
      <c r="R335" s="119"/>
      <c r="T335" t="s">
        <v>19286</v>
      </c>
      <c r="U335" s="118" t="s">
        <v>19316</v>
      </c>
      <c r="V335" s="119"/>
      <c r="X335" t="s">
        <v>19322</v>
      </c>
    </row>
    <row r="336" spans="1:24" x14ac:dyDescent="0.3">
      <c r="A336" s="118" t="s">
        <v>19137</v>
      </c>
      <c r="B336" s="119"/>
      <c r="D336" t="s">
        <v>19143</v>
      </c>
      <c r="E336" s="118" t="s">
        <v>19173</v>
      </c>
      <c r="F336" s="119"/>
      <c r="H336" t="s">
        <v>19179</v>
      </c>
      <c r="I336" s="118" t="s">
        <v>19209</v>
      </c>
      <c r="J336" s="119"/>
      <c r="L336" t="s">
        <v>19215</v>
      </c>
      <c r="M336" s="118" t="s">
        <v>19245</v>
      </c>
      <c r="N336" s="119"/>
      <c r="P336" t="s">
        <v>19251</v>
      </c>
      <c r="Q336" s="118" t="s">
        <v>19281</v>
      </c>
      <c r="R336" s="119"/>
      <c r="T336" t="s">
        <v>19287</v>
      </c>
      <c r="U336" s="118" t="s">
        <v>19317</v>
      </c>
      <c r="V336" s="119"/>
      <c r="X336" t="s">
        <v>19323</v>
      </c>
    </row>
    <row r="337" spans="1:24" x14ac:dyDescent="0.3">
      <c r="A337" s="118" t="s">
        <v>19148</v>
      </c>
      <c r="B337" s="119"/>
      <c r="D337" t="s">
        <v>19154</v>
      </c>
      <c r="E337" s="118" t="s">
        <v>19184</v>
      </c>
      <c r="F337" s="119"/>
      <c r="H337" t="s">
        <v>19190</v>
      </c>
      <c r="I337" s="118" t="s">
        <v>19220</v>
      </c>
      <c r="J337" s="119"/>
      <c r="L337" t="s">
        <v>19226</v>
      </c>
      <c r="M337" s="118" t="s">
        <v>19256</v>
      </c>
      <c r="N337" s="119"/>
      <c r="P337" t="s">
        <v>19262</v>
      </c>
      <c r="Q337" s="118" t="s">
        <v>19292</v>
      </c>
      <c r="R337" s="119"/>
      <c r="T337" t="s">
        <v>19298</v>
      </c>
      <c r="U337" s="118" t="s">
        <v>19328</v>
      </c>
      <c r="V337" s="119"/>
      <c r="X337" t="s">
        <v>19334</v>
      </c>
    </row>
    <row r="338" spans="1:24" x14ac:dyDescent="0.3">
      <c r="A338" s="118" t="s">
        <v>19149</v>
      </c>
      <c r="B338" s="119"/>
      <c r="D338" t="s">
        <v>19155</v>
      </c>
      <c r="E338" s="118" t="s">
        <v>19185</v>
      </c>
      <c r="F338" s="119"/>
      <c r="H338" t="s">
        <v>19191</v>
      </c>
      <c r="I338" s="118" t="s">
        <v>19221</v>
      </c>
      <c r="J338" s="119"/>
      <c r="L338" t="s">
        <v>19227</v>
      </c>
      <c r="M338" s="118" t="s">
        <v>19257</v>
      </c>
      <c r="N338" s="119"/>
      <c r="P338" t="s">
        <v>19263</v>
      </c>
      <c r="Q338" s="118" t="s">
        <v>19293</v>
      </c>
      <c r="R338" s="119"/>
      <c r="T338" t="s">
        <v>19299</v>
      </c>
      <c r="U338" s="118" t="s">
        <v>19329</v>
      </c>
      <c r="V338" s="119"/>
      <c r="X338" t="s">
        <v>19335</v>
      </c>
    </row>
    <row r="339" spans="1:24" x14ac:dyDescent="0.3">
      <c r="A339" s="118" t="s">
        <v>19160</v>
      </c>
      <c r="B339" s="119"/>
      <c r="D339" t="s">
        <v>19166</v>
      </c>
      <c r="E339" s="118" t="s">
        <v>19196</v>
      </c>
      <c r="F339" s="119"/>
      <c r="H339" t="s">
        <v>19202</v>
      </c>
      <c r="I339" s="118" t="s">
        <v>19232</v>
      </c>
      <c r="J339" s="119"/>
      <c r="L339" t="s">
        <v>19238</v>
      </c>
      <c r="M339" s="118" t="s">
        <v>19268</v>
      </c>
      <c r="N339" s="119"/>
      <c r="P339" t="s">
        <v>19274</v>
      </c>
      <c r="Q339" s="118" t="s">
        <v>19304</v>
      </c>
      <c r="R339" s="119"/>
      <c r="T339" t="s">
        <v>19310</v>
      </c>
      <c r="U339" s="118" t="s">
        <v>19340</v>
      </c>
      <c r="V339" s="119"/>
      <c r="X339" t="s">
        <v>19346</v>
      </c>
    </row>
    <row r="340" spans="1:24" x14ac:dyDescent="0.3">
      <c r="A340" s="118" t="s">
        <v>19161</v>
      </c>
      <c r="B340" s="119"/>
      <c r="D340" t="s">
        <v>19167</v>
      </c>
      <c r="E340" s="118" t="s">
        <v>19197</v>
      </c>
      <c r="F340" s="119"/>
      <c r="H340" t="s">
        <v>19203</v>
      </c>
      <c r="I340" s="118" t="s">
        <v>19233</v>
      </c>
      <c r="J340" s="119"/>
      <c r="L340" t="s">
        <v>19239</v>
      </c>
      <c r="M340" s="118" t="s">
        <v>19269</v>
      </c>
      <c r="N340" s="119"/>
      <c r="P340" t="s">
        <v>19275</v>
      </c>
      <c r="Q340" s="118" t="s">
        <v>19305</v>
      </c>
      <c r="R340" s="119"/>
      <c r="T340" t="s">
        <v>19311</v>
      </c>
      <c r="U340" s="118" t="s">
        <v>19341</v>
      </c>
      <c r="V340" s="119"/>
      <c r="X340" t="s">
        <v>19347</v>
      </c>
    </row>
    <row r="341" spans="1:24" x14ac:dyDescent="0.3">
      <c r="A341" s="118" t="s">
        <v>19352</v>
      </c>
      <c r="B341" s="119"/>
      <c r="D341" t="s">
        <v>19358</v>
      </c>
      <c r="E341" s="118" t="s">
        <v>19388</v>
      </c>
      <c r="F341" s="119"/>
      <c r="H341" t="s">
        <v>19394</v>
      </c>
      <c r="I341" s="118" t="s">
        <v>19424</v>
      </c>
      <c r="J341" s="119"/>
      <c r="L341" t="s">
        <v>19430</v>
      </c>
      <c r="M341" s="118" t="s">
        <v>19460</v>
      </c>
      <c r="N341" s="119"/>
      <c r="P341" t="s">
        <v>19466</v>
      </c>
      <c r="Q341" s="118" t="s">
        <v>19496</v>
      </c>
      <c r="R341" s="119"/>
      <c r="T341" t="s">
        <v>19502</v>
      </c>
      <c r="U341" s="118" t="s">
        <v>19532</v>
      </c>
      <c r="V341" s="119"/>
      <c r="X341" t="s">
        <v>19538</v>
      </c>
    </row>
    <row r="342" spans="1:24" x14ac:dyDescent="0.3">
      <c r="A342" s="118" t="s">
        <v>19353</v>
      </c>
      <c r="B342" s="119"/>
      <c r="D342" t="s">
        <v>19359</v>
      </c>
      <c r="E342" s="118" t="s">
        <v>19389</v>
      </c>
      <c r="F342" s="119"/>
      <c r="H342" t="s">
        <v>19395</v>
      </c>
      <c r="I342" s="118" t="s">
        <v>19425</v>
      </c>
      <c r="J342" s="119"/>
      <c r="L342" t="s">
        <v>19431</v>
      </c>
      <c r="M342" s="118" t="s">
        <v>19461</v>
      </c>
      <c r="N342" s="119"/>
      <c r="P342" t="s">
        <v>19467</v>
      </c>
      <c r="Q342" s="118" t="s">
        <v>19497</v>
      </c>
      <c r="R342" s="119"/>
      <c r="T342" t="s">
        <v>19503</v>
      </c>
      <c r="U342" s="118" t="s">
        <v>19533</v>
      </c>
      <c r="V342" s="119"/>
      <c r="X342" t="s">
        <v>19539</v>
      </c>
    </row>
    <row r="343" spans="1:24" x14ac:dyDescent="0.3">
      <c r="A343" s="118" t="s">
        <v>19364</v>
      </c>
      <c r="B343" s="119"/>
      <c r="D343" t="s">
        <v>19370</v>
      </c>
      <c r="E343" s="118" t="s">
        <v>19400</v>
      </c>
      <c r="F343" s="119"/>
      <c r="H343" t="s">
        <v>19406</v>
      </c>
      <c r="I343" s="118" t="s">
        <v>19436</v>
      </c>
      <c r="J343" s="119"/>
      <c r="L343" t="s">
        <v>19442</v>
      </c>
      <c r="M343" s="118" t="s">
        <v>19472</v>
      </c>
      <c r="N343" s="119"/>
      <c r="P343" t="s">
        <v>19478</v>
      </c>
      <c r="Q343" s="118" t="s">
        <v>19508</v>
      </c>
      <c r="R343" s="119"/>
      <c r="T343" t="s">
        <v>19514</v>
      </c>
      <c r="U343" s="118" t="s">
        <v>19544</v>
      </c>
      <c r="V343" s="119"/>
      <c r="X343" t="s">
        <v>19550</v>
      </c>
    </row>
    <row r="344" spans="1:24" x14ac:dyDescent="0.3">
      <c r="A344" s="118" t="s">
        <v>19365</v>
      </c>
      <c r="B344" s="119"/>
      <c r="D344" t="s">
        <v>19371</v>
      </c>
      <c r="E344" s="118" t="s">
        <v>19401</v>
      </c>
      <c r="F344" s="119"/>
      <c r="H344" t="s">
        <v>19407</v>
      </c>
      <c r="I344" s="118" t="s">
        <v>19437</v>
      </c>
      <c r="J344" s="119"/>
      <c r="L344" t="s">
        <v>19443</v>
      </c>
      <c r="M344" s="118" t="s">
        <v>19473</v>
      </c>
      <c r="N344" s="119"/>
      <c r="P344" t="s">
        <v>19479</v>
      </c>
      <c r="Q344" s="118" t="s">
        <v>19509</v>
      </c>
      <c r="R344" s="119"/>
      <c r="T344" t="s">
        <v>19515</v>
      </c>
      <c r="U344" s="118" t="s">
        <v>19545</v>
      </c>
      <c r="V344" s="119"/>
      <c r="X344" t="s">
        <v>19551</v>
      </c>
    </row>
    <row r="345" spans="1:24" x14ac:dyDescent="0.3">
      <c r="A345" s="118" t="s">
        <v>19376</v>
      </c>
      <c r="B345" s="119"/>
      <c r="D345" t="s">
        <v>19382</v>
      </c>
      <c r="E345" s="118" t="s">
        <v>19412</v>
      </c>
      <c r="F345" s="119"/>
      <c r="H345" t="s">
        <v>19418</v>
      </c>
      <c r="I345" s="118" t="s">
        <v>19448</v>
      </c>
      <c r="J345" s="119"/>
      <c r="L345" t="s">
        <v>19454</v>
      </c>
      <c r="M345" s="118" t="s">
        <v>19484</v>
      </c>
      <c r="N345" s="119"/>
      <c r="P345" t="s">
        <v>19490</v>
      </c>
      <c r="Q345" s="118" t="s">
        <v>19520</v>
      </c>
      <c r="R345" s="119"/>
      <c r="T345" t="s">
        <v>19526</v>
      </c>
      <c r="U345" s="118" t="s">
        <v>19556</v>
      </c>
      <c r="V345" s="119"/>
      <c r="X345" t="s">
        <v>19562</v>
      </c>
    </row>
    <row r="346" spans="1:24" x14ac:dyDescent="0.3">
      <c r="A346" s="118" t="s">
        <v>19377</v>
      </c>
      <c r="B346" s="119"/>
      <c r="D346" t="s">
        <v>19383</v>
      </c>
      <c r="E346" s="118" t="s">
        <v>19413</v>
      </c>
      <c r="F346" s="119"/>
      <c r="H346" t="s">
        <v>19419</v>
      </c>
      <c r="I346" s="118" t="s">
        <v>19449</v>
      </c>
      <c r="J346" s="119"/>
      <c r="L346" t="s">
        <v>19455</v>
      </c>
      <c r="M346" s="118" t="s">
        <v>19485</v>
      </c>
      <c r="N346" s="119"/>
      <c r="P346" t="s">
        <v>19491</v>
      </c>
      <c r="Q346" s="118" t="s">
        <v>19521</v>
      </c>
      <c r="R346" s="119"/>
      <c r="T346" t="s">
        <v>19527</v>
      </c>
      <c r="U346" s="118" t="s">
        <v>19557</v>
      </c>
      <c r="V346" s="119"/>
      <c r="X346" t="s">
        <v>19563</v>
      </c>
    </row>
    <row r="347" spans="1:24" x14ac:dyDescent="0.3">
      <c r="A347" s="118" t="s">
        <v>19568</v>
      </c>
      <c r="B347" s="119"/>
      <c r="D347" t="s">
        <v>19574</v>
      </c>
      <c r="E347" s="118" t="s">
        <v>19604</v>
      </c>
      <c r="F347" s="119"/>
      <c r="H347" t="s">
        <v>19610</v>
      </c>
      <c r="I347" s="118" t="s">
        <v>19640</v>
      </c>
      <c r="J347" s="119"/>
      <c r="L347" t="s">
        <v>19646</v>
      </c>
      <c r="M347" s="118" t="s">
        <v>19676</v>
      </c>
      <c r="N347" s="119"/>
      <c r="P347" t="s">
        <v>19682</v>
      </c>
      <c r="Q347" s="118" t="s">
        <v>19712</v>
      </c>
      <c r="R347" s="119"/>
      <c r="T347" t="s">
        <v>19718</v>
      </c>
      <c r="U347" s="118" t="s">
        <v>19748</v>
      </c>
      <c r="V347" s="119"/>
      <c r="X347" t="s">
        <v>19754</v>
      </c>
    </row>
    <row r="348" spans="1:24" x14ac:dyDescent="0.3">
      <c r="A348" s="118" t="s">
        <v>19569</v>
      </c>
      <c r="B348" s="119"/>
      <c r="D348" t="s">
        <v>19575</v>
      </c>
      <c r="E348" s="118" t="s">
        <v>19605</v>
      </c>
      <c r="F348" s="119"/>
      <c r="H348" t="s">
        <v>19611</v>
      </c>
      <c r="I348" s="118" t="s">
        <v>19641</v>
      </c>
      <c r="J348" s="119"/>
      <c r="L348" t="s">
        <v>19647</v>
      </c>
      <c r="M348" s="118" t="s">
        <v>19677</v>
      </c>
      <c r="N348" s="119"/>
      <c r="P348" t="s">
        <v>19683</v>
      </c>
      <c r="Q348" s="118" t="s">
        <v>19713</v>
      </c>
      <c r="R348" s="119"/>
      <c r="T348" t="s">
        <v>19719</v>
      </c>
      <c r="U348" s="118" t="s">
        <v>19749</v>
      </c>
      <c r="V348" s="119"/>
      <c r="X348" t="s">
        <v>19755</v>
      </c>
    </row>
    <row r="349" spans="1:24" x14ac:dyDescent="0.3">
      <c r="A349" s="118" t="s">
        <v>19580</v>
      </c>
      <c r="B349" s="119"/>
      <c r="D349" t="s">
        <v>19586</v>
      </c>
      <c r="E349" s="118" t="s">
        <v>19616</v>
      </c>
      <c r="F349" s="119"/>
      <c r="H349" t="s">
        <v>19622</v>
      </c>
      <c r="I349" s="118" t="s">
        <v>19652</v>
      </c>
      <c r="J349" s="119"/>
      <c r="L349" t="s">
        <v>19658</v>
      </c>
      <c r="M349" s="118" t="s">
        <v>19688</v>
      </c>
      <c r="N349" s="119"/>
      <c r="P349" t="s">
        <v>19694</v>
      </c>
      <c r="Q349" s="118" t="s">
        <v>19724</v>
      </c>
      <c r="R349" s="119"/>
      <c r="T349" t="s">
        <v>19730</v>
      </c>
      <c r="U349" s="118" t="s">
        <v>19760</v>
      </c>
      <c r="V349" s="119"/>
      <c r="X349" t="s">
        <v>19766</v>
      </c>
    </row>
    <row r="350" spans="1:24" x14ac:dyDescent="0.3">
      <c r="A350" s="118" t="s">
        <v>19581</v>
      </c>
      <c r="B350" s="119"/>
      <c r="D350" t="s">
        <v>19587</v>
      </c>
      <c r="E350" s="118" t="s">
        <v>19617</v>
      </c>
      <c r="F350" s="119"/>
      <c r="H350" t="s">
        <v>19623</v>
      </c>
      <c r="I350" s="118" t="s">
        <v>19653</v>
      </c>
      <c r="J350" s="119"/>
      <c r="L350" t="s">
        <v>19659</v>
      </c>
      <c r="M350" s="118" t="s">
        <v>19689</v>
      </c>
      <c r="N350" s="119"/>
      <c r="P350" t="s">
        <v>19695</v>
      </c>
      <c r="Q350" s="118" t="s">
        <v>19725</v>
      </c>
      <c r="R350" s="119"/>
      <c r="T350" t="s">
        <v>19731</v>
      </c>
      <c r="U350" s="118" t="s">
        <v>19761</v>
      </c>
      <c r="V350" s="119"/>
      <c r="X350" t="s">
        <v>19767</v>
      </c>
    </row>
    <row r="351" spans="1:24" x14ac:dyDescent="0.3">
      <c r="A351" s="118" t="s">
        <v>19592</v>
      </c>
      <c r="B351" s="119"/>
      <c r="D351" t="s">
        <v>19598</v>
      </c>
      <c r="E351" s="118" t="s">
        <v>19628</v>
      </c>
      <c r="F351" s="119"/>
      <c r="H351" t="s">
        <v>19634</v>
      </c>
      <c r="I351" s="118" t="s">
        <v>19664</v>
      </c>
      <c r="J351" s="119"/>
      <c r="L351" t="s">
        <v>19670</v>
      </c>
      <c r="M351" s="118" t="s">
        <v>19700</v>
      </c>
      <c r="N351" s="119"/>
      <c r="P351" t="s">
        <v>19706</v>
      </c>
      <c r="Q351" s="118" t="s">
        <v>19736</v>
      </c>
      <c r="R351" s="119"/>
      <c r="T351" t="s">
        <v>19742</v>
      </c>
      <c r="U351" s="118" t="s">
        <v>19772</v>
      </c>
      <c r="V351" s="119"/>
      <c r="X351" t="s">
        <v>19778</v>
      </c>
    </row>
    <row r="352" spans="1:24" x14ac:dyDescent="0.3">
      <c r="A352" s="118" t="s">
        <v>19593</v>
      </c>
      <c r="B352" s="119"/>
      <c r="D352" t="s">
        <v>19599</v>
      </c>
      <c r="E352" s="118" t="s">
        <v>19629</v>
      </c>
      <c r="F352" s="119"/>
      <c r="H352" t="s">
        <v>19635</v>
      </c>
      <c r="I352" s="118" t="s">
        <v>19665</v>
      </c>
      <c r="J352" s="119"/>
      <c r="L352" t="s">
        <v>19671</v>
      </c>
      <c r="M352" s="118" t="s">
        <v>19701</v>
      </c>
      <c r="N352" s="119"/>
      <c r="P352" t="s">
        <v>19707</v>
      </c>
      <c r="Q352" s="118" t="s">
        <v>19737</v>
      </c>
      <c r="R352" s="119"/>
      <c r="T352" t="s">
        <v>19743</v>
      </c>
      <c r="U352" s="118" t="s">
        <v>19773</v>
      </c>
      <c r="V352" s="119"/>
      <c r="X352" t="s">
        <v>19779</v>
      </c>
    </row>
    <row r="353" spans="1:24" x14ac:dyDescent="0.3">
      <c r="A353" s="118" t="s">
        <v>19784</v>
      </c>
      <c r="B353" s="119"/>
      <c r="D353" t="s">
        <v>19790</v>
      </c>
      <c r="E353" s="118" t="s">
        <v>19820</v>
      </c>
      <c r="F353" s="119"/>
      <c r="H353" t="s">
        <v>19826</v>
      </c>
      <c r="I353" s="118" t="s">
        <v>19856</v>
      </c>
      <c r="J353" s="119"/>
      <c r="L353" t="s">
        <v>19862</v>
      </c>
      <c r="M353" s="118" t="s">
        <v>19892</v>
      </c>
      <c r="N353" s="119"/>
      <c r="P353" t="s">
        <v>19898</v>
      </c>
      <c r="Q353" s="118" t="s">
        <v>19928</v>
      </c>
      <c r="R353" s="119"/>
      <c r="T353" t="s">
        <v>19934</v>
      </c>
      <c r="U353" s="118" t="s">
        <v>19964</v>
      </c>
      <c r="V353" s="119"/>
      <c r="X353" t="s">
        <v>19970</v>
      </c>
    </row>
    <row r="354" spans="1:24" x14ac:dyDescent="0.3">
      <c r="A354" s="118" t="s">
        <v>19785</v>
      </c>
      <c r="B354" s="119"/>
      <c r="D354" t="s">
        <v>19791</v>
      </c>
      <c r="E354" s="118" t="s">
        <v>19821</v>
      </c>
      <c r="F354" s="119"/>
      <c r="H354" t="s">
        <v>19827</v>
      </c>
      <c r="I354" s="118" t="s">
        <v>19857</v>
      </c>
      <c r="J354" s="119"/>
      <c r="L354" t="s">
        <v>19863</v>
      </c>
      <c r="M354" s="118" t="s">
        <v>19893</v>
      </c>
      <c r="N354" s="119"/>
      <c r="P354" t="s">
        <v>19899</v>
      </c>
      <c r="Q354" s="118" t="s">
        <v>19929</v>
      </c>
      <c r="R354" s="119"/>
      <c r="T354" t="s">
        <v>19935</v>
      </c>
      <c r="U354" s="118" t="s">
        <v>19965</v>
      </c>
      <c r="V354" s="119"/>
      <c r="X354" t="s">
        <v>19971</v>
      </c>
    </row>
    <row r="355" spans="1:24" x14ac:dyDescent="0.3">
      <c r="A355" s="118" t="s">
        <v>19796</v>
      </c>
      <c r="B355" s="119"/>
      <c r="D355" t="s">
        <v>19802</v>
      </c>
      <c r="E355" s="118" t="s">
        <v>19832</v>
      </c>
      <c r="F355" s="119"/>
      <c r="H355" t="s">
        <v>19838</v>
      </c>
      <c r="I355" s="118" t="s">
        <v>19868</v>
      </c>
      <c r="J355" s="119"/>
      <c r="L355" t="s">
        <v>19874</v>
      </c>
      <c r="M355" s="118" t="s">
        <v>19904</v>
      </c>
      <c r="N355" s="119"/>
      <c r="P355" t="s">
        <v>19910</v>
      </c>
      <c r="Q355" s="118" t="s">
        <v>19940</v>
      </c>
      <c r="R355" s="119"/>
      <c r="T355" t="s">
        <v>19946</v>
      </c>
      <c r="U355" s="118" t="s">
        <v>19976</v>
      </c>
      <c r="V355" s="119"/>
      <c r="X355" t="s">
        <v>19982</v>
      </c>
    </row>
    <row r="356" spans="1:24" x14ac:dyDescent="0.3">
      <c r="A356" s="118" t="s">
        <v>19797</v>
      </c>
      <c r="B356" s="119"/>
      <c r="D356" t="s">
        <v>19803</v>
      </c>
      <c r="E356" s="118" t="s">
        <v>19833</v>
      </c>
      <c r="F356" s="119"/>
      <c r="H356" t="s">
        <v>19839</v>
      </c>
      <c r="I356" s="118" t="s">
        <v>19869</v>
      </c>
      <c r="J356" s="119"/>
      <c r="L356" t="s">
        <v>19875</v>
      </c>
      <c r="M356" s="118" t="s">
        <v>19905</v>
      </c>
      <c r="N356" s="119"/>
      <c r="P356" t="s">
        <v>19911</v>
      </c>
      <c r="Q356" s="118" t="s">
        <v>19941</v>
      </c>
      <c r="R356" s="119"/>
      <c r="T356" t="s">
        <v>19947</v>
      </c>
      <c r="U356" s="118" t="s">
        <v>19977</v>
      </c>
      <c r="V356" s="119"/>
      <c r="X356" t="s">
        <v>19983</v>
      </c>
    </row>
    <row r="357" spans="1:24" x14ac:dyDescent="0.3">
      <c r="A357" s="118" t="s">
        <v>19808</v>
      </c>
      <c r="B357" s="119"/>
      <c r="D357" t="s">
        <v>19814</v>
      </c>
      <c r="E357" s="118" t="s">
        <v>19844</v>
      </c>
      <c r="F357" s="119"/>
      <c r="H357" t="s">
        <v>19850</v>
      </c>
      <c r="I357" s="118" t="s">
        <v>19880</v>
      </c>
      <c r="J357" s="119"/>
      <c r="L357" t="s">
        <v>19886</v>
      </c>
      <c r="M357" s="118" t="s">
        <v>19916</v>
      </c>
      <c r="N357" s="119"/>
      <c r="P357" t="s">
        <v>19922</v>
      </c>
      <c r="Q357" s="118" t="s">
        <v>19952</v>
      </c>
      <c r="R357" s="119"/>
      <c r="T357" t="s">
        <v>19958</v>
      </c>
      <c r="U357" s="118" t="s">
        <v>19988</v>
      </c>
      <c r="V357" s="119"/>
      <c r="X357" t="s">
        <v>19994</v>
      </c>
    </row>
    <row r="358" spans="1:24" x14ac:dyDescent="0.3">
      <c r="A358" s="118" t="s">
        <v>19809</v>
      </c>
      <c r="B358" s="119"/>
      <c r="D358" t="s">
        <v>19815</v>
      </c>
      <c r="E358" s="118" t="s">
        <v>19845</v>
      </c>
      <c r="F358" s="119"/>
      <c r="H358" t="s">
        <v>19851</v>
      </c>
      <c r="I358" s="118" t="s">
        <v>19881</v>
      </c>
      <c r="J358" s="119"/>
      <c r="L358" t="s">
        <v>19887</v>
      </c>
      <c r="M358" s="118" t="s">
        <v>19917</v>
      </c>
      <c r="N358" s="119"/>
      <c r="P358" t="s">
        <v>19923</v>
      </c>
      <c r="Q358" s="118" t="s">
        <v>19953</v>
      </c>
      <c r="R358" s="119"/>
      <c r="T358" t="s">
        <v>19959</v>
      </c>
      <c r="U358" s="118" t="s">
        <v>19989</v>
      </c>
      <c r="V358" s="119"/>
      <c r="X358" t="s">
        <v>19995</v>
      </c>
    </row>
    <row r="359" spans="1:24" x14ac:dyDescent="0.3">
      <c r="A359" s="118" t="s">
        <v>20000</v>
      </c>
      <c r="B359" s="119"/>
      <c r="D359" t="s">
        <v>20006</v>
      </c>
      <c r="E359" s="118" t="s">
        <v>20036</v>
      </c>
      <c r="F359" s="119"/>
      <c r="H359" t="s">
        <v>20042</v>
      </c>
      <c r="I359" s="118" t="s">
        <v>20072</v>
      </c>
      <c r="J359" s="119"/>
      <c r="L359" t="s">
        <v>20078</v>
      </c>
      <c r="M359" s="118" t="s">
        <v>20108</v>
      </c>
      <c r="N359" s="119"/>
      <c r="P359" t="s">
        <v>20114</v>
      </c>
      <c r="Q359" s="118" t="s">
        <v>20144</v>
      </c>
      <c r="R359" s="119"/>
      <c r="T359" t="s">
        <v>20150</v>
      </c>
      <c r="U359" s="118" t="s">
        <v>20180</v>
      </c>
      <c r="V359" s="119"/>
      <c r="X359" t="s">
        <v>20186</v>
      </c>
    </row>
    <row r="360" spans="1:24" x14ac:dyDescent="0.3">
      <c r="A360" s="118" t="s">
        <v>20001</v>
      </c>
      <c r="B360" s="119"/>
      <c r="D360" t="s">
        <v>20007</v>
      </c>
      <c r="E360" s="118" t="s">
        <v>20037</v>
      </c>
      <c r="F360" s="119"/>
      <c r="H360" t="s">
        <v>20043</v>
      </c>
      <c r="I360" s="118" t="s">
        <v>20073</v>
      </c>
      <c r="J360" s="119"/>
      <c r="L360" t="s">
        <v>20079</v>
      </c>
      <c r="M360" s="118" t="s">
        <v>20109</v>
      </c>
      <c r="N360" s="119"/>
      <c r="P360" t="s">
        <v>20115</v>
      </c>
      <c r="Q360" s="118" t="s">
        <v>20145</v>
      </c>
      <c r="R360" s="119"/>
      <c r="T360" t="s">
        <v>20151</v>
      </c>
      <c r="U360" s="118" t="s">
        <v>20181</v>
      </c>
      <c r="V360" s="119"/>
      <c r="X360" t="s">
        <v>20187</v>
      </c>
    </row>
    <row r="361" spans="1:24" x14ac:dyDescent="0.3">
      <c r="A361" s="118" t="s">
        <v>20012</v>
      </c>
      <c r="B361" s="119"/>
      <c r="D361" t="s">
        <v>20018</v>
      </c>
      <c r="E361" s="118" t="s">
        <v>20048</v>
      </c>
      <c r="F361" s="119"/>
      <c r="H361" t="s">
        <v>20054</v>
      </c>
      <c r="I361" s="118" t="s">
        <v>20084</v>
      </c>
      <c r="J361" s="119"/>
      <c r="L361" t="s">
        <v>20090</v>
      </c>
      <c r="M361" s="118" t="s">
        <v>20120</v>
      </c>
      <c r="N361" s="119"/>
      <c r="P361" t="s">
        <v>20126</v>
      </c>
      <c r="Q361" s="118" t="s">
        <v>20156</v>
      </c>
      <c r="R361" s="119"/>
      <c r="T361" t="s">
        <v>20162</v>
      </c>
      <c r="U361" s="118" t="s">
        <v>20192</v>
      </c>
      <c r="V361" s="119"/>
      <c r="X361" t="s">
        <v>20198</v>
      </c>
    </row>
    <row r="362" spans="1:24" x14ac:dyDescent="0.3">
      <c r="A362" s="118" t="s">
        <v>20013</v>
      </c>
      <c r="B362" s="119"/>
      <c r="D362" t="s">
        <v>20019</v>
      </c>
      <c r="E362" s="118" t="s">
        <v>20049</v>
      </c>
      <c r="F362" s="119"/>
      <c r="H362" t="s">
        <v>20055</v>
      </c>
      <c r="I362" s="118" t="s">
        <v>20085</v>
      </c>
      <c r="J362" s="119"/>
      <c r="L362" t="s">
        <v>20091</v>
      </c>
      <c r="M362" s="118" t="s">
        <v>20121</v>
      </c>
      <c r="N362" s="119"/>
      <c r="P362" t="s">
        <v>20127</v>
      </c>
      <c r="Q362" s="118" t="s">
        <v>20157</v>
      </c>
      <c r="R362" s="119"/>
      <c r="T362" t="s">
        <v>20163</v>
      </c>
      <c r="U362" s="118" t="s">
        <v>20193</v>
      </c>
      <c r="V362" s="119"/>
      <c r="X362" t="s">
        <v>20199</v>
      </c>
    </row>
    <row r="363" spans="1:24" x14ac:dyDescent="0.3">
      <c r="A363" s="118" t="s">
        <v>20024</v>
      </c>
      <c r="B363" s="119"/>
      <c r="D363" t="s">
        <v>20030</v>
      </c>
      <c r="E363" s="118" t="s">
        <v>20060</v>
      </c>
      <c r="F363" s="119"/>
      <c r="H363" t="s">
        <v>20066</v>
      </c>
      <c r="I363" s="118" t="s">
        <v>20096</v>
      </c>
      <c r="J363" s="119"/>
      <c r="L363" t="s">
        <v>20102</v>
      </c>
      <c r="M363" s="118" t="s">
        <v>20132</v>
      </c>
      <c r="N363" s="119"/>
      <c r="P363" t="s">
        <v>20138</v>
      </c>
      <c r="Q363" s="118" t="s">
        <v>20168</v>
      </c>
      <c r="R363" s="119"/>
      <c r="T363" t="s">
        <v>20174</v>
      </c>
      <c r="U363" s="118" t="s">
        <v>20204</v>
      </c>
      <c r="V363" s="119"/>
      <c r="X363" t="s">
        <v>20210</v>
      </c>
    </row>
    <row r="364" spans="1:24" x14ac:dyDescent="0.3">
      <c r="A364" s="118" t="s">
        <v>20025</v>
      </c>
      <c r="B364" s="119"/>
      <c r="D364" t="s">
        <v>20031</v>
      </c>
      <c r="E364" s="118" t="s">
        <v>20061</v>
      </c>
      <c r="F364" s="119"/>
      <c r="H364" t="s">
        <v>20067</v>
      </c>
      <c r="I364" s="118" t="s">
        <v>20097</v>
      </c>
      <c r="J364" s="119"/>
      <c r="L364" t="s">
        <v>20103</v>
      </c>
      <c r="M364" s="118" t="s">
        <v>20133</v>
      </c>
      <c r="N364" s="119"/>
      <c r="P364" t="s">
        <v>20139</v>
      </c>
      <c r="Q364" s="118" t="s">
        <v>20169</v>
      </c>
      <c r="R364" s="119"/>
      <c r="T364" t="s">
        <v>20175</v>
      </c>
      <c r="U364" s="118" t="s">
        <v>20205</v>
      </c>
      <c r="V364" s="119"/>
      <c r="X364" t="s">
        <v>20211</v>
      </c>
    </row>
    <row r="365" spans="1:24" x14ac:dyDescent="0.3">
      <c r="A365" s="118" t="s">
        <v>20216</v>
      </c>
      <c r="B365" s="119"/>
      <c r="D365" t="s">
        <v>20222</v>
      </c>
      <c r="E365" s="118" t="s">
        <v>20252</v>
      </c>
      <c r="F365" s="119"/>
      <c r="H365" t="s">
        <v>20258</v>
      </c>
      <c r="I365" s="118" t="s">
        <v>20288</v>
      </c>
      <c r="J365" s="119"/>
      <c r="L365" t="s">
        <v>20294</v>
      </c>
      <c r="M365" s="118" t="s">
        <v>20324</v>
      </c>
      <c r="N365" s="119"/>
      <c r="P365" t="s">
        <v>20330</v>
      </c>
      <c r="Q365" s="118" t="s">
        <v>20360</v>
      </c>
      <c r="R365" s="119"/>
      <c r="T365" t="s">
        <v>20366</v>
      </c>
      <c r="U365" s="118" t="s">
        <v>20396</v>
      </c>
      <c r="V365" s="119"/>
      <c r="X365" t="s">
        <v>20402</v>
      </c>
    </row>
    <row r="366" spans="1:24" x14ac:dyDescent="0.3">
      <c r="A366" s="118" t="s">
        <v>20217</v>
      </c>
      <c r="B366" s="119"/>
      <c r="D366" t="s">
        <v>20223</v>
      </c>
      <c r="E366" s="118" t="s">
        <v>20253</v>
      </c>
      <c r="F366" s="119"/>
      <c r="H366" t="s">
        <v>20259</v>
      </c>
      <c r="I366" s="118" t="s">
        <v>20289</v>
      </c>
      <c r="J366" s="119"/>
      <c r="L366" t="s">
        <v>20295</v>
      </c>
      <c r="M366" s="118" t="s">
        <v>20325</v>
      </c>
      <c r="N366" s="119"/>
      <c r="P366" t="s">
        <v>20331</v>
      </c>
      <c r="Q366" s="118" t="s">
        <v>20361</v>
      </c>
      <c r="R366" s="119"/>
      <c r="T366" t="s">
        <v>20367</v>
      </c>
      <c r="U366" s="118" t="s">
        <v>20397</v>
      </c>
      <c r="V366" s="119"/>
      <c r="X366" t="s">
        <v>20403</v>
      </c>
    </row>
    <row r="367" spans="1:24" x14ac:dyDescent="0.3">
      <c r="A367" s="118" t="s">
        <v>20228</v>
      </c>
      <c r="B367" s="119"/>
      <c r="D367" t="s">
        <v>20234</v>
      </c>
      <c r="E367" s="118" t="s">
        <v>20264</v>
      </c>
      <c r="F367" s="119"/>
      <c r="H367" t="s">
        <v>20270</v>
      </c>
      <c r="I367" s="118" t="s">
        <v>20300</v>
      </c>
      <c r="J367" s="119"/>
      <c r="L367" t="s">
        <v>20306</v>
      </c>
      <c r="M367" s="118" t="s">
        <v>20336</v>
      </c>
      <c r="N367" s="119"/>
      <c r="P367" t="s">
        <v>20342</v>
      </c>
      <c r="Q367" s="118" t="s">
        <v>20372</v>
      </c>
      <c r="R367" s="119"/>
      <c r="T367" t="s">
        <v>20378</v>
      </c>
      <c r="U367" s="118" t="s">
        <v>20408</v>
      </c>
      <c r="V367" s="119"/>
      <c r="X367" t="s">
        <v>20414</v>
      </c>
    </row>
    <row r="368" spans="1:24" x14ac:dyDescent="0.3">
      <c r="A368" s="118" t="s">
        <v>20229</v>
      </c>
      <c r="B368" s="119"/>
      <c r="D368" t="s">
        <v>20235</v>
      </c>
      <c r="E368" s="118" t="s">
        <v>20265</v>
      </c>
      <c r="F368" s="119"/>
      <c r="H368" t="s">
        <v>20271</v>
      </c>
      <c r="I368" s="118" t="s">
        <v>20301</v>
      </c>
      <c r="J368" s="119"/>
      <c r="L368" t="s">
        <v>20307</v>
      </c>
      <c r="M368" s="118" t="s">
        <v>20337</v>
      </c>
      <c r="N368" s="119"/>
      <c r="P368" t="s">
        <v>20343</v>
      </c>
      <c r="Q368" s="118" t="s">
        <v>20373</v>
      </c>
      <c r="R368" s="119"/>
      <c r="T368" t="s">
        <v>20379</v>
      </c>
      <c r="U368" s="118" t="s">
        <v>20409</v>
      </c>
      <c r="V368" s="119"/>
      <c r="X368" t="s">
        <v>20415</v>
      </c>
    </row>
    <row r="369" spans="1:24" x14ac:dyDescent="0.3">
      <c r="A369" s="118" t="s">
        <v>20240</v>
      </c>
      <c r="B369" s="119"/>
      <c r="D369" t="s">
        <v>20246</v>
      </c>
      <c r="E369" s="118" t="s">
        <v>20276</v>
      </c>
      <c r="F369" s="119"/>
      <c r="H369" t="s">
        <v>20282</v>
      </c>
      <c r="I369" s="118" t="s">
        <v>20312</v>
      </c>
      <c r="J369" s="119"/>
      <c r="L369" t="s">
        <v>20318</v>
      </c>
      <c r="M369" s="118" t="s">
        <v>20348</v>
      </c>
      <c r="N369" s="119"/>
      <c r="P369" t="s">
        <v>20354</v>
      </c>
      <c r="Q369" s="118" t="s">
        <v>20384</v>
      </c>
      <c r="R369" s="119"/>
      <c r="T369" t="s">
        <v>20390</v>
      </c>
      <c r="U369" s="118" t="s">
        <v>20420</v>
      </c>
      <c r="V369" s="119"/>
      <c r="X369" t="s">
        <v>20426</v>
      </c>
    </row>
    <row r="370" spans="1:24" x14ac:dyDescent="0.3">
      <c r="A370" s="118" t="s">
        <v>20241</v>
      </c>
      <c r="B370" s="119"/>
      <c r="D370" t="s">
        <v>20247</v>
      </c>
      <c r="E370" s="118" t="s">
        <v>20277</v>
      </c>
      <c r="F370" s="119"/>
      <c r="H370" t="s">
        <v>20283</v>
      </c>
      <c r="I370" s="118" t="s">
        <v>20313</v>
      </c>
      <c r="J370" s="119"/>
      <c r="L370" t="s">
        <v>20319</v>
      </c>
      <c r="M370" s="118" t="s">
        <v>20349</v>
      </c>
      <c r="N370" s="119"/>
      <c r="P370" t="s">
        <v>20355</v>
      </c>
      <c r="Q370" s="118" t="s">
        <v>20385</v>
      </c>
      <c r="R370" s="119"/>
      <c r="T370" t="s">
        <v>20391</v>
      </c>
      <c r="U370" s="118" t="s">
        <v>20421</v>
      </c>
      <c r="V370" s="119"/>
      <c r="X370" t="s">
        <v>20427</v>
      </c>
    </row>
    <row r="371" spans="1:24" x14ac:dyDescent="0.3">
      <c r="A371" s="118" t="s">
        <v>20432</v>
      </c>
      <c r="B371" s="119"/>
      <c r="D371" t="s">
        <v>20438</v>
      </c>
      <c r="E371" s="118" t="s">
        <v>20468</v>
      </c>
      <c r="F371" s="119"/>
      <c r="H371" t="s">
        <v>20474</v>
      </c>
      <c r="I371" s="118" t="s">
        <v>20504</v>
      </c>
      <c r="J371" s="119"/>
      <c r="L371" t="s">
        <v>20510</v>
      </c>
      <c r="M371" s="118" t="s">
        <v>20540</v>
      </c>
      <c r="N371" s="119"/>
      <c r="P371" t="s">
        <v>20546</v>
      </c>
      <c r="Q371" s="118" t="s">
        <v>20576</v>
      </c>
      <c r="R371" s="119"/>
      <c r="T371" t="s">
        <v>20582</v>
      </c>
      <c r="U371" s="118" t="s">
        <v>20612</v>
      </c>
      <c r="V371" s="119"/>
      <c r="X371" t="s">
        <v>20618</v>
      </c>
    </row>
    <row r="372" spans="1:24" x14ac:dyDescent="0.3">
      <c r="A372" s="118" t="s">
        <v>20433</v>
      </c>
      <c r="B372" s="119"/>
      <c r="D372" t="s">
        <v>20439</v>
      </c>
      <c r="E372" s="118" t="s">
        <v>20469</v>
      </c>
      <c r="F372" s="119"/>
      <c r="H372" t="s">
        <v>20475</v>
      </c>
      <c r="I372" s="118" t="s">
        <v>20505</v>
      </c>
      <c r="J372" s="119"/>
      <c r="L372" t="s">
        <v>20511</v>
      </c>
      <c r="M372" s="118" t="s">
        <v>20541</v>
      </c>
      <c r="N372" s="119"/>
      <c r="P372" t="s">
        <v>20547</v>
      </c>
      <c r="Q372" s="118" t="s">
        <v>20577</v>
      </c>
      <c r="R372" s="119"/>
      <c r="T372" t="s">
        <v>20583</v>
      </c>
      <c r="U372" s="118" t="s">
        <v>20613</v>
      </c>
      <c r="V372" s="119"/>
      <c r="X372" t="s">
        <v>20619</v>
      </c>
    </row>
    <row r="373" spans="1:24" x14ac:dyDescent="0.3">
      <c r="A373" s="118" t="s">
        <v>20444</v>
      </c>
      <c r="B373" s="119"/>
      <c r="D373" t="s">
        <v>20450</v>
      </c>
      <c r="E373" s="118" t="s">
        <v>20480</v>
      </c>
      <c r="F373" s="119"/>
      <c r="H373" t="s">
        <v>20486</v>
      </c>
      <c r="I373" s="118" t="s">
        <v>20516</v>
      </c>
      <c r="J373" s="119"/>
      <c r="L373" t="s">
        <v>20522</v>
      </c>
      <c r="M373" s="118" t="s">
        <v>20552</v>
      </c>
      <c r="N373" s="119"/>
      <c r="P373" t="s">
        <v>20558</v>
      </c>
      <c r="Q373" s="118" t="s">
        <v>20588</v>
      </c>
      <c r="R373" s="119"/>
      <c r="T373" t="s">
        <v>20594</v>
      </c>
      <c r="U373" s="118" t="s">
        <v>20624</v>
      </c>
      <c r="V373" s="119"/>
      <c r="X373" t="s">
        <v>20630</v>
      </c>
    </row>
    <row r="374" spans="1:24" x14ac:dyDescent="0.3">
      <c r="A374" s="118" t="s">
        <v>20445</v>
      </c>
      <c r="B374" s="119"/>
      <c r="D374" t="s">
        <v>20451</v>
      </c>
      <c r="E374" s="118" t="s">
        <v>20481</v>
      </c>
      <c r="F374" s="119"/>
      <c r="H374" t="s">
        <v>20487</v>
      </c>
      <c r="I374" s="118" t="s">
        <v>20517</v>
      </c>
      <c r="J374" s="119"/>
      <c r="L374" t="s">
        <v>20523</v>
      </c>
      <c r="M374" s="118" t="s">
        <v>20553</v>
      </c>
      <c r="N374" s="119"/>
      <c r="P374" t="s">
        <v>20559</v>
      </c>
      <c r="Q374" s="118" t="s">
        <v>20589</v>
      </c>
      <c r="R374" s="119"/>
      <c r="T374" t="s">
        <v>20595</v>
      </c>
      <c r="U374" s="118" t="s">
        <v>20625</v>
      </c>
      <c r="V374" s="119"/>
      <c r="X374" t="s">
        <v>20631</v>
      </c>
    </row>
    <row r="375" spans="1:24" x14ac:dyDescent="0.3">
      <c r="A375" s="118" t="s">
        <v>20456</v>
      </c>
      <c r="B375" s="119"/>
      <c r="D375" t="s">
        <v>20462</v>
      </c>
      <c r="E375" s="118" t="s">
        <v>20492</v>
      </c>
      <c r="F375" s="119"/>
      <c r="H375" t="s">
        <v>20498</v>
      </c>
      <c r="I375" s="118" t="s">
        <v>20528</v>
      </c>
      <c r="J375" s="119"/>
      <c r="L375" t="s">
        <v>20534</v>
      </c>
      <c r="M375" s="118" t="s">
        <v>20564</v>
      </c>
      <c r="N375" s="119"/>
      <c r="P375" t="s">
        <v>20570</v>
      </c>
      <c r="Q375" s="118" t="s">
        <v>20600</v>
      </c>
      <c r="R375" s="119"/>
      <c r="T375" t="s">
        <v>20606</v>
      </c>
      <c r="U375" s="118" t="s">
        <v>20636</v>
      </c>
      <c r="V375" s="119"/>
      <c r="X375" t="s">
        <v>20642</v>
      </c>
    </row>
    <row r="376" spans="1:24" x14ac:dyDescent="0.3">
      <c r="A376" s="118" t="s">
        <v>20457</v>
      </c>
      <c r="B376" s="119"/>
      <c r="D376" t="s">
        <v>20463</v>
      </c>
      <c r="E376" s="118" t="s">
        <v>20493</v>
      </c>
      <c r="F376" s="119"/>
      <c r="H376" t="s">
        <v>20499</v>
      </c>
      <c r="I376" s="118" t="s">
        <v>20529</v>
      </c>
      <c r="J376" s="119"/>
      <c r="L376" t="s">
        <v>20535</v>
      </c>
      <c r="M376" s="118" t="s">
        <v>20565</v>
      </c>
      <c r="N376" s="119"/>
      <c r="P376" t="s">
        <v>20571</v>
      </c>
      <c r="Q376" s="118" t="s">
        <v>20601</v>
      </c>
      <c r="R376" s="119"/>
      <c r="T376" t="s">
        <v>20607</v>
      </c>
      <c r="U376" s="118" t="s">
        <v>20637</v>
      </c>
      <c r="V376" s="119"/>
      <c r="X376" t="s">
        <v>20643</v>
      </c>
    </row>
    <row r="377" spans="1:24" x14ac:dyDescent="0.3">
      <c r="A377" s="118" t="s">
        <v>20648</v>
      </c>
      <c r="B377" s="119"/>
      <c r="D377" t="s">
        <v>20654</v>
      </c>
      <c r="E377" s="118" t="s">
        <v>20684</v>
      </c>
      <c r="F377" s="119"/>
      <c r="H377" t="s">
        <v>20690</v>
      </c>
      <c r="I377" s="118" t="s">
        <v>20720</v>
      </c>
      <c r="J377" s="119"/>
      <c r="L377" t="s">
        <v>20726</v>
      </c>
      <c r="M377" s="118" t="s">
        <v>20756</v>
      </c>
      <c r="N377" s="119"/>
      <c r="P377" t="s">
        <v>20762</v>
      </c>
      <c r="Q377" s="118" t="s">
        <v>20792</v>
      </c>
      <c r="R377" s="119"/>
      <c r="T377" t="s">
        <v>20798</v>
      </c>
      <c r="U377" s="118" t="s">
        <v>20828</v>
      </c>
      <c r="V377" s="119"/>
      <c r="X377" t="s">
        <v>20834</v>
      </c>
    </row>
    <row r="378" spans="1:24" x14ac:dyDescent="0.3">
      <c r="A378" s="118" t="s">
        <v>20649</v>
      </c>
      <c r="B378" s="119"/>
      <c r="D378" t="s">
        <v>20655</v>
      </c>
      <c r="E378" s="118" t="s">
        <v>20685</v>
      </c>
      <c r="F378" s="119"/>
      <c r="H378" t="s">
        <v>20691</v>
      </c>
      <c r="I378" s="118" t="s">
        <v>20721</v>
      </c>
      <c r="J378" s="119"/>
      <c r="L378" t="s">
        <v>20727</v>
      </c>
      <c r="M378" s="118" t="s">
        <v>20757</v>
      </c>
      <c r="N378" s="119"/>
      <c r="P378" t="s">
        <v>20763</v>
      </c>
      <c r="Q378" s="118" t="s">
        <v>20793</v>
      </c>
      <c r="R378" s="119"/>
      <c r="T378" t="s">
        <v>20799</v>
      </c>
      <c r="U378" s="118" t="s">
        <v>20829</v>
      </c>
      <c r="V378" s="119"/>
      <c r="X378" t="s">
        <v>20835</v>
      </c>
    </row>
    <row r="379" spans="1:24" x14ac:dyDescent="0.3">
      <c r="A379" s="118" t="s">
        <v>20660</v>
      </c>
      <c r="B379" s="119"/>
      <c r="D379" t="s">
        <v>20666</v>
      </c>
      <c r="E379" s="118" t="s">
        <v>20696</v>
      </c>
      <c r="F379" s="119"/>
      <c r="H379" t="s">
        <v>20702</v>
      </c>
      <c r="I379" s="118" t="s">
        <v>20732</v>
      </c>
      <c r="J379" s="119"/>
      <c r="L379" t="s">
        <v>20738</v>
      </c>
      <c r="M379" s="118" t="s">
        <v>20768</v>
      </c>
      <c r="N379" s="119"/>
      <c r="P379" t="s">
        <v>20774</v>
      </c>
      <c r="Q379" s="118" t="s">
        <v>20804</v>
      </c>
      <c r="R379" s="119"/>
      <c r="T379" t="s">
        <v>20810</v>
      </c>
      <c r="U379" s="118" t="s">
        <v>20840</v>
      </c>
      <c r="V379" s="119"/>
      <c r="X379" t="s">
        <v>20846</v>
      </c>
    </row>
    <row r="380" spans="1:24" x14ac:dyDescent="0.3">
      <c r="A380" s="118" t="s">
        <v>20661</v>
      </c>
      <c r="B380" s="119"/>
      <c r="D380" t="s">
        <v>20667</v>
      </c>
      <c r="E380" s="118" t="s">
        <v>20697</v>
      </c>
      <c r="F380" s="119"/>
      <c r="H380" t="s">
        <v>20703</v>
      </c>
      <c r="I380" s="118" t="s">
        <v>20733</v>
      </c>
      <c r="J380" s="119"/>
      <c r="L380" t="s">
        <v>20739</v>
      </c>
      <c r="M380" s="118" t="s">
        <v>20769</v>
      </c>
      <c r="N380" s="119"/>
      <c r="P380" t="s">
        <v>20775</v>
      </c>
      <c r="Q380" s="118" t="s">
        <v>20805</v>
      </c>
      <c r="R380" s="119"/>
      <c r="T380" t="s">
        <v>20811</v>
      </c>
      <c r="U380" s="118" t="s">
        <v>20841</v>
      </c>
      <c r="V380" s="119"/>
      <c r="X380" t="s">
        <v>20847</v>
      </c>
    </row>
    <row r="381" spans="1:24" x14ac:dyDescent="0.3">
      <c r="A381" s="118" t="s">
        <v>20672</v>
      </c>
      <c r="B381" s="119"/>
      <c r="D381" t="s">
        <v>20678</v>
      </c>
      <c r="E381" s="118" t="s">
        <v>20708</v>
      </c>
      <c r="F381" s="119"/>
      <c r="H381" t="s">
        <v>20714</v>
      </c>
      <c r="I381" s="118" t="s">
        <v>20744</v>
      </c>
      <c r="J381" s="119"/>
      <c r="L381" t="s">
        <v>20750</v>
      </c>
      <c r="M381" s="118" t="s">
        <v>20780</v>
      </c>
      <c r="N381" s="119"/>
      <c r="P381" t="s">
        <v>20786</v>
      </c>
      <c r="Q381" s="118" t="s">
        <v>20816</v>
      </c>
      <c r="R381" s="119"/>
      <c r="T381" t="s">
        <v>20822</v>
      </c>
      <c r="U381" s="118" t="s">
        <v>20852</v>
      </c>
      <c r="V381" s="119"/>
      <c r="X381" t="s">
        <v>20858</v>
      </c>
    </row>
    <row r="382" spans="1:24" x14ac:dyDescent="0.3">
      <c r="A382" s="118" t="s">
        <v>20673</v>
      </c>
      <c r="B382" s="119"/>
      <c r="D382" t="s">
        <v>20679</v>
      </c>
      <c r="E382" s="118" t="s">
        <v>20709</v>
      </c>
      <c r="F382" s="119"/>
      <c r="H382" t="s">
        <v>20715</v>
      </c>
      <c r="I382" s="118" t="s">
        <v>20745</v>
      </c>
      <c r="J382" s="119"/>
      <c r="L382" t="s">
        <v>20751</v>
      </c>
      <c r="M382" s="118" t="s">
        <v>20781</v>
      </c>
      <c r="N382" s="119"/>
      <c r="P382" t="s">
        <v>20787</v>
      </c>
      <c r="Q382" s="118" t="s">
        <v>20817</v>
      </c>
      <c r="R382" s="119"/>
      <c r="T382" t="s">
        <v>20823</v>
      </c>
      <c r="U382" s="118" t="s">
        <v>20853</v>
      </c>
      <c r="V382" s="119"/>
      <c r="X382" t="s">
        <v>20859</v>
      </c>
    </row>
    <row r="383" spans="1:24" x14ac:dyDescent="0.3">
      <c r="A383" s="118" t="s">
        <v>20864</v>
      </c>
      <c r="B383" s="119"/>
      <c r="D383" t="s">
        <v>20870</v>
      </c>
      <c r="E383" s="118" t="s">
        <v>20900</v>
      </c>
      <c r="F383" s="119"/>
      <c r="H383" t="s">
        <v>20906</v>
      </c>
      <c r="I383" s="118" t="s">
        <v>20936</v>
      </c>
      <c r="J383" s="119"/>
      <c r="L383" t="s">
        <v>20942</v>
      </c>
      <c r="M383" s="118" t="s">
        <v>20972</v>
      </c>
      <c r="N383" s="119"/>
      <c r="P383" t="s">
        <v>20978</v>
      </c>
      <c r="Q383" s="118" t="s">
        <v>21008</v>
      </c>
      <c r="R383" s="119"/>
      <c r="T383" t="s">
        <v>21014</v>
      </c>
      <c r="U383" s="118" t="s">
        <v>21044</v>
      </c>
      <c r="V383" s="119"/>
      <c r="X383" t="s">
        <v>21050</v>
      </c>
    </row>
    <row r="384" spans="1:24" x14ac:dyDescent="0.3">
      <c r="A384" s="118" t="s">
        <v>20865</v>
      </c>
      <c r="B384" s="119"/>
      <c r="D384" t="s">
        <v>20871</v>
      </c>
      <c r="E384" s="118" t="s">
        <v>20901</v>
      </c>
      <c r="F384" s="119"/>
      <c r="H384" t="s">
        <v>20907</v>
      </c>
      <c r="I384" s="118" t="s">
        <v>20937</v>
      </c>
      <c r="J384" s="119"/>
      <c r="L384" t="s">
        <v>20943</v>
      </c>
      <c r="M384" s="118" t="s">
        <v>20973</v>
      </c>
      <c r="N384" s="119"/>
      <c r="P384" t="s">
        <v>20979</v>
      </c>
      <c r="Q384" s="118" t="s">
        <v>21009</v>
      </c>
      <c r="R384" s="119"/>
      <c r="T384" t="s">
        <v>21015</v>
      </c>
      <c r="U384" s="118" t="s">
        <v>21045</v>
      </c>
      <c r="V384" s="119"/>
      <c r="X384" t="s">
        <v>21051</v>
      </c>
    </row>
    <row r="385" spans="1:24" x14ac:dyDescent="0.3">
      <c r="A385" s="118" t="s">
        <v>20876</v>
      </c>
      <c r="B385" s="119"/>
      <c r="D385" t="s">
        <v>20882</v>
      </c>
      <c r="E385" s="118" t="s">
        <v>20912</v>
      </c>
      <c r="F385" s="119"/>
      <c r="H385" t="s">
        <v>20918</v>
      </c>
      <c r="I385" s="118" t="s">
        <v>20948</v>
      </c>
      <c r="J385" s="119"/>
      <c r="L385" t="s">
        <v>20954</v>
      </c>
      <c r="M385" s="118" t="s">
        <v>20984</v>
      </c>
      <c r="N385" s="119"/>
      <c r="P385" t="s">
        <v>20990</v>
      </c>
      <c r="Q385" s="118" t="s">
        <v>21020</v>
      </c>
      <c r="R385" s="119"/>
      <c r="T385" t="s">
        <v>21026</v>
      </c>
      <c r="U385" s="118" t="s">
        <v>21056</v>
      </c>
      <c r="V385" s="119"/>
      <c r="X385" t="s">
        <v>21062</v>
      </c>
    </row>
    <row r="386" spans="1:24" x14ac:dyDescent="0.3">
      <c r="A386" s="118" t="s">
        <v>20877</v>
      </c>
      <c r="B386" s="119"/>
      <c r="D386" t="s">
        <v>20883</v>
      </c>
      <c r="E386" s="118" t="s">
        <v>20913</v>
      </c>
      <c r="F386" s="119"/>
      <c r="H386" t="s">
        <v>20919</v>
      </c>
      <c r="I386" s="118" t="s">
        <v>20949</v>
      </c>
      <c r="J386" s="119"/>
      <c r="L386" t="s">
        <v>20955</v>
      </c>
      <c r="M386" s="118" t="s">
        <v>20985</v>
      </c>
      <c r="N386" s="119"/>
      <c r="P386" t="s">
        <v>20991</v>
      </c>
      <c r="Q386" s="118" t="s">
        <v>21021</v>
      </c>
      <c r="R386" s="119"/>
      <c r="T386" t="s">
        <v>21027</v>
      </c>
      <c r="U386" s="118" t="s">
        <v>21057</v>
      </c>
      <c r="V386" s="119"/>
      <c r="X386" t="s">
        <v>21063</v>
      </c>
    </row>
    <row r="387" spans="1:24" x14ac:dyDescent="0.3">
      <c r="A387" s="118" t="s">
        <v>20888</v>
      </c>
      <c r="B387" s="119"/>
      <c r="D387" t="s">
        <v>20894</v>
      </c>
      <c r="E387" s="118" t="s">
        <v>20924</v>
      </c>
      <c r="F387" s="119"/>
      <c r="H387" t="s">
        <v>20930</v>
      </c>
      <c r="I387" s="118" t="s">
        <v>20960</v>
      </c>
      <c r="J387" s="119"/>
      <c r="L387" t="s">
        <v>20966</v>
      </c>
      <c r="M387" s="118" t="s">
        <v>20996</v>
      </c>
      <c r="N387" s="119"/>
      <c r="P387" t="s">
        <v>21002</v>
      </c>
      <c r="Q387" s="118" t="s">
        <v>21032</v>
      </c>
      <c r="R387" s="119"/>
      <c r="T387" t="s">
        <v>21038</v>
      </c>
      <c r="U387" s="118" t="s">
        <v>21068</v>
      </c>
      <c r="V387" s="119"/>
      <c r="X387" t="s">
        <v>21074</v>
      </c>
    </row>
    <row r="388" spans="1:24" x14ac:dyDescent="0.3">
      <c r="A388" s="118" t="s">
        <v>20889</v>
      </c>
      <c r="B388" s="119"/>
      <c r="D388" t="s">
        <v>20895</v>
      </c>
      <c r="E388" s="118" t="s">
        <v>20925</v>
      </c>
      <c r="F388" s="119"/>
      <c r="H388" t="s">
        <v>20931</v>
      </c>
      <c r="I388" s="118" t="s">
        <v>20961</v>
      </c>
      <c r="J388" s="119"/>
      <c r="L388" t="s">
        <v>20967</v>
      </c>
      <c r="M388" s="118" t="s">
        <v>20997</v>
      </c>
      <c r="N388" s="119"/>
      <c r="P388" t="s">
        <v>21003</v>
      </c>
      <c r="Q388" s="118" t="s">
        <v>21033</v>
      </c>
      <c r="R388" s="119"/>
      <c r="T388" t="s">
        <v>21039</v>
      </c>
      <c r="U388" s="118" t="s">
        <v>21069</v>
      </c>
      <c r="V388" s="119"/>
      <c r="X388" t="s">
        <v>21075</v>
      </c>
    </row>
    <row r="389" spans="1:24" x14ac:dyDescent="0.3">
      <c r="A389" s="118" t="s">
        <v>21080</v>
      </c>
      <c r="B389" s="119"/>
      <c r="D389" t="s">
        <v>21086</v>
      </c>
      <c r="E389" s="118" t="s">
        <v>21116</v>
      </c>
      <c r="F389" s="119"/>
      <c r="H389" t="s">
        <v>21122</v>
      </c>
      <c r="I389" s="118" t="s">
        <v>21152</v>
      </c>
      <c r="J389" s="119"/>
      <c r="L389" t="s">
        <v>21158</v>
      </c>
      <c r="M389" s="118" t="s">
        <v>21188</v>
      </c>
      <c r="N389" s="119"/>
      <c r="P389" t="s">
        <v>21194</v>
      </c>
      <c r="Q389" s="118" t="s">
        <v>21224</v>
      </c>
      <c r="R389" s="119"/>
      <c r="T389" t="s">
        <v>21230</v>
      </c>
      <c r="U389" s="118" t="s">
        <v>21260</v>
      </c>
      <c r="V389" s="119"/>
      <c r="X389" t="s">
        <v>21266</v>
      </c>
    </row>
    <row r="390" spans="1:24" x14ac:dyDescent="0.3">
      <c r="A390" s="118" t="s">
        <v>21081</v>
      </c>
      <c r="B390" s="119"/>
      <c r="D390" t="s">
        <v>21087</v>
      </c>
      <c r="E390" s="118" t="s">
        <v>21117</v>
      </c>
      <c r="F390" s="119"/>
      <c r="H390" t="s">
        <v>21123</v>
      </c>
      <c r="I390" s="118" t="s">
        <v>21153</v>
      </c>
      <c r="J390" s="119"/>
      <c r="L390" t="s">
        <v>21159</v>
      </c>
      <c r="M390" s="118" t="s">
        <v>21189</v>
      </c>
      <c r="N390" s="119"/>
      <c r="P390" t="s">
        <v>21195</v>
      </c>
      <c r="Q390" s="118" t="s">
        <v>21225</v>
      </c>
      <c r="R390" s="119"/>
      <c r="T390" t="s">
        <v>21231</v>
      </c>
      <c r="U390" s="118" t="s">
        <v>21261</v>
      </c>
      <c r="V390" s="119"/>
      <c r="X390" t="s">
        <v>21267</v>
      </c>
    </row>
    <row r="391" spans="1:24" x14ac:dyDescent="0.3">
      <c r="A391" s="118" t="s">
        <v>21092</v>
      </c>
      <c r="B391" s="119"/>
      <c r="D391" t="s">
        <v>21098</v>
      </c>
      <c r="E391" s="118" t="s">
        <v>21128</v>
      </c>
      <c r="F391" s="119"/>
      <c r="H391" t="s">
        <v>21134</v>
      </c>
      <c r="I391" s="118" t="s">
        <v>21164</v>
      </c>
      <c r="J391" s="119"/>
      <c r="L391" t="s">
        <v>21170</v>
      </c>
      <c r="M391" s="118" t="s">
        <v>21200</v>
      </c>
      <c r="N391" s="119"/>
      <c r="P391" t="s">
        <v>21206</v>
      </c>
      <c r="Q391" s="118" t="s">
        <v>21236</v>
      </c>
      <c r="R391" s="119"/>
      <c r="T391" t="s">
        <v>21242</v>
      </c>
      <c r="U391" s="118" t="s">
        <v>21272</v>
      </c>
      <c r="V391" s="119"/>
      <c r="X391" t="s">
        <v>21278</v>
      </c>
    </row>
    <row r="392" spans="1:24" x14ac:dyDescent="0.3">
      <c r="A392" s="118" t="s">
        <v>21093</v>
      </c>
      <c r="B392" s="119"/>
      <c r="D392" t="s">
        <v>21099</v>
      </c>
      <c r="E392" s="118" t="s">
        <v>21129</v>
      </c>
      <c r="F392" s="119"/>
      <c r="H392" t="s">
        <v>21135</v>
      </c>
      <c r="I392" s="118" t="s">
        <v>21165</v>
      </c>
      <c r="J392" s="119"/>
      <c r="L392" t="s">
        <v>21171</v>
      </c>
      <c r="M392" s="118" t="s">
        <v>21201</v>
      </c>
      <c r="N392" s="119"/>
      <c r="P392" t="s">
        <v>21207</v>
      </c>
      <c r="Q392" s="118" t="s">
        <v>21237</v>
      </c>
      <c r="R392" s="119"/>
      <c r="T392" t="s">
        <v>21243</v>
      </c>
      <c r="U392" s="118" t="s">
        <v>21273</v>
      </c>
      <c r="V392" s="119"/>
      <c r="X392" t="s">
        <v>21279</v>
      </c>
    </row>
    <row r="393" spans="1:24" x14ac:dyDescent="0.3">
      <c r="A393" s="118" t="s">
        <v>21104</v>
      </c>
      <c r="B393" s="119"/>
      <c r="D393" t="s">
        <v>21110</v>
      </c>
      <c r="E393" s="118" t="s">
        <v>21140</v>
      </c>
      <c r="F393" s="119"/>
      <c r="H393" t="s">
        <v>21146</v>
      </c>
      <c r="I393" s="118" t="s">
        <v>21176</v>
      </c>
      <c r="J393" s="119"/>
      <c r="L393" t="s">
        <v>21182</v>
      </c>
      <c r="M393" s="118" t="s">
        <v>21212</v>
      </c>
      <c r="N393" s="119"/>
      <c r="P393" t="s">
        <v>21218</v>
      </c>
      <c r="Q393" s="118" t="s">
        <v>21248</v>
      </c>
      <c r="R393" s="119"/>
      <c r="T393" t="s">
        <v>21254</v>
      </c>
      <c r="U393" s="118" t="s">
        <v>21284</v>
      </c>
      <c r="V393" s="119"/>
      <c r="X393" t="s">
        <v>21290</v>
      </c>
    </row>
    <row r="394" spans="1:24" x14ac:dyDescent="0.3">
      <c r="A394" s="118" t="s">
        <v>21105</v>
      </c>
      <c r="B394" s="119"/>
      <c r="D394" t="s">
        <v>21111</v>
      </c>
      <c r="E394" s="118" t="s">
        <v>21141</v>
      </c>
      <c r="F394" s="119"/>
      <c r="H394" t="s">
        <v>21147</v>
      </c>
      <c r="I394" s="118" t="s">
        <v>21177</v>
      </c>
      <c r="J394" s="119"/>
      <c r="L394" t="s">
        <v>21183</v>
      </c>
      <c r="M394" s="118" t="s">
        <v>21213</v>
      </c>
      <c r="N394" s="119"/>
      <c r="P394" t="s">
        <v>21219</v>
      </c>
      <c r="Q394" s="118" t="s">
        <v>21249</v>
      </c>
      <c r="R394" s="119"/>
      <c r="T394" t="s">
        <v>21255</v>
      </c>
      <c r="U394" s="118" t="s">
        <v>21285</v>
      </c>
      <c r="V394" s="119"/>
      <c r="X394" t="s">
        <v>21291</v>
      </c>
    </row>
    <row r="395" spans="1:24" x14ac:dyDescent="0.3">
      <c r="A395" s="118" t="s">
        <v>21296</v>
      </c>
      <c r="B395" s="119"/>
      <c r="D395" t="s">
        <v>21302</v>
      </c>
      <c r="E395" s="118" t="s">
        <v>21332</v>
      </c>
      <c r="F395" s="119"/>
      <c r="H395" t="s">
        <v>21338</v>
      </c>
      <c r="I395" s="118" t="s">
        <v>21368</v>
      </c>
      <c r="J395" s="119"/>
      <c r="L395" t="s">
        <v>21374</v>
      </c>
      <c r="M395" s="118" t="s">
        <v>21404</v>
      </c>
      <c r="N395" s="119"/>
      <c r="P395" t="s">
        <v>21410</v>
      </c>
      <c r="Q395" s="118" t="s">
        <v>21440</v>
      </c>
      <c r="R395" s="119"/>
      <c r="T395" t="s">
        <v>21446</v>
      </c>
      <c r="U395" s="118" t="s">
        <v>21476</v>
      </c>
      <c r="V395" s="119"/>
      <c r="X395" t="s">
        <v>21482</v>
      </c>
    </row>
    <row r="396" spans="1:24" x14ac:dyDescent="0.3">
      <c r="A396" s="118" t="s">
        <v>21297</v>
      </c>
      <c r="B396" s="119"/>
      <c r="D396" t="s">
        <v>21303</v>
      </c>
      <c r="E396" s="118" t="s">
        <v>21333</v>
      </c>
      <c r="F396" s="119"/>
      <c r="H396" t="s">
        <v>21339</v>
      </c>
      <c r="I396" s="118" t="s">
        <v>21369</v>
      </c>
      <c r="J396" s="119"/>
      <c r="L396" t="s">
        <v>21375</v>
      </c>
      <c r="M396" s="118" t="s">
        <v>21405</v>
      </c>
      <c r="N396" s="119"/>
      <c r="P396" t="s">
        <v>21411</v>
      </c>
      <c r="Q396" s="118" t="s">
        <v>21441</v>
      </c>
      <c r="R396" s="119"/>
      <c r="T396" t="s">
        <v>21447</v>
      </c>
      <c r="U396" s="118" t="s">
        <v>21477</v>
      </c>
      <c r="V396" s="119"/>
      <c r="X396" t="s">
        <v>21483</v>
      </c>
    </row>
    <row r="397" spans="1:24" x14ac:dyDescent="0.3">
      <c r="A397" s="118" t="s">
        <v>21308</v>
      </c>
      <c r="B397" s="119"/>
      <c r="D397" t="s">
        <v>21314</v>
      </c>
      <c r="E397" s="118" t="s">
        <v>21344</v>
      </c>
      <c r="F397" s="119"/>
      <c r="H397" t="s">
        <v>21350</v>
      </c>
      <c r="I397" s="118" t="s">
        <v>21380</v>
      </c>
      <c r="J397" s="119"/>
      <c r="L397" t="s">
        <v>21386</v>
      </c>
      <c r="M397" s="118" t="s">
        <v>21416</v>
      </c>
      <c r="N397" s="119"/>
      <c r="P397" t="s">
        <v>21422</v>
      </c>
      <c r="Q397" s="118" t="s">
        <v>21452</v>
      </c>
      <c r="R397" s="119"/>
      <c r="T397" t="s">
        <v>21458</v>
      </c>
      <c r="U397" s="118" t="s">
        <v>21488</v>
      </c>
      <c r="V397" s="119"/>
      <c r="X397" t="s">
        <v>21494</v>
      </c>
    </row>
    <row r="398" spans="1:24" x14ac:dyDescent="0.3">
      <c r="A398" s="118" t="s">
        <v>21309</v>
      </c>
      <c r="B398" s="119"/>
      <c r="D398" t="s">
        <v>21315</v>
      </c>
      <c r="E398" s="118" t="s">
        <v>21345</v>
      </c>
      <c r="F398" s="119"/>
      <c r="H398" t="s">
        <v>21351</v>
      </c>
      <c r="I398" s="118" t="s">
        <v>21381</v>
      </c>
      <c r="J398" s="119"/>
      <c r="L398" t="s">
        <v>21387</v>
      </c>
      <c r="M398" s="118" t="s">
        <v>21417</v>
      </c>
      <c r="N398" s="119"/>
      <c r="P398" t="s">
        <v>21423</v>
      </c>
      <c r="Q398" s="118" t="s">
        <v>21453</v>
      </c>
      <c r="R398" s="119"/>
      <c r="T398" t="s">
        <v>21459</v>
      </c>
      <c r="U398" s="118" t="s">
        <v>21489</v>
      </c>
      <c r="V398" s="119"/>
      <c r="X398" t="s">
        <v>21495</v>
      </c>
    </row>
    <row r="399" spans="1:24" x14ac:dyDescent="0.3">
      <c r="A399" s="118" t="s">
        <v>21320</v>
      </c>
      <c r="B399" s="119"/>
      <c r="D399" t="s">
        <v>21326</v>
      </c>
      <c r="E399" s="118" t="s">
        <v>21356</v>
      </c>
      <c r="F399" s="119"/>
      <c r="H399" t="s">
        <v>21362</v>
      </c>
      <c r="I399" s="118" t="s">
        <v>21392</v>
      </c>
      <c r="J399" s="119"/>
      <c r="L399" t="s">
        <v>21398</v>
      </c>
      <c r="M399" s="118" t="s">
        <v>21428</v>
      </c>
      <c r="N399" s="119"/>
      <c r="P399" t="s">
        <v>21434</v>
      </c>
      <c r="Q399" s="118" t="s">
        <v>21464</v>
      </c>
      <c r="R399" s="119"/>
      <c r="T399" t="s">
        <v>21470</v>
      </c>
      <c r="U399" s="118" t="s">
        <v>21500</v>
      </c>
      <c r="V399" s="119"/>
      <c r="X399" t="s">
        <v>21506</v>
      </c>
    </row>
    <row r="400" spans="1:24" x14ac:dyDescent="0.3">
      <c r="A400" s="118" t="s">
        <v>21321</v>
      </c>
      <c r="B400" s="119"/>
      <c r="D400" t="s">
        <v>21327</v>
      </c>
      <c r="E400" s="118" t="s">
        <v>21357</v>
      </c>
      <c r="F400" s="119"/>
      <c r="H400" t="s">
        <v>21363</v>
      </c>
      <c r="I400" s="118" t="s">
        <v>21393</v>
      </c>
      <c r="J400" s="119"/>
      <c r="L400" t="s">
        <v>21399</v>
      </c>
      <c r="M400" s="118" t="s">
        <v>21429</v>
      </c>
      <c r="N400" s="119"/>
      <c r="P400" t="s">
        <v>21435</v>
      </c>
      <c r="Q400" s="118" t="s">
        <v>21465</v>
      </c>
      <c r="R400" s="119"/>
      <c r="T400" t="s">
        <v>21471</v>
      </c>
      <c r="U400" s="118" t="s">
        <v>21501</v>
      </c>
      <c r="V400" s="119"/>
      <c r="X400" t="s">
        <v>21507</v>
      </c>
    </row>
    <row r="401" spans="1:24" x14ac:dyDescent="0.3">
      <c r="A401" s="118" t="s">
        <v>21512</v>
      </c>
      <c r="B401" s="119"/>
      <c r="D401" t="s">
        <v>21518</v>
      </c>
      <c r="E401" s="118" t="s">
        <v>21548</v>
      </c>
      <c r="F401" s="119"/>
      <c r="H401" t="s">
        <v>21554</v>
      </c>
      <c r="I401" s="118" t="s">
        <v>21584</v>
      </c>
      <c r="J401" s="119"/>
      <c r="L401" t="s">
        <v>21590</v>
      </c>
      <c r="M401" s="118" t="s">
        <v>21620</v>
      </c>
      <c r="N401" s="119"/>
      <c r="P401" t="s">
        <v>21626</v>
      </c>
      <c r="Q401" s="118" t="s">
        <v>21656</v>
      </c>
      <c r="R401" s="119"/>
      <c r="T401" t="s">
        <v>21662</v>
      </c>
      <c r="U401" s="118" t="s">
        <v>21692</v>
      </c>
      <c r="V401" s="119"/>
      <c r="X401" t="s">
        <v>21698</v>
      </c>
    </row>
    <row r="402" spans="1:24" x14ac:dyDescent="0.3">
      <c r="A402" s="118" t="s">
        <v>21513</v>
      </c>
      <c r="B402" s="119"/>
      <c r="D402" t="s">
        <v>21519</v>
      </c>
      <c r="E402" s="118" t="s">
        <v>21549</v>
      </c>
      <c r="F402" s="119"/>
      <c r="H402" t="s">
        <v>21555</v>
      </c>
      <c r="I402" s="118" t="s">
        <v>21585</v>
      </c>
      <c r="J402" s="119"/>
      <c r="L402" t="s">
        <v>21591</v>
      </c>
      <c r="M402" s="118" t="s">
        <v>21621</v>
      </c>
      <c r="N402" s="119"/>
      <c r="P402" t="s">
        <v>21627</v>
      </c>
      <c r="Q402" s="118" t="s">
        <v>21657</v>
      </c>
      <c r="R402" s="119"/>
      <c r="T402" t="s">
        <v>21663</v>
      </c>
      <c r="U402" s="118" t="s">
        <v>21693</v>
      </c>
      <c r="V402" s="119"/>
      <c r="X402" t="s">
        <v>21699</v>
      </c>
    </row>
    <row r="403" spans="1:24" x14ac:dyDescent="0.3">
      <c r="A403" s="118" t="s">
        <v>21524</v>
      </c>
      <c r="B403" s="119"/>
      <c r="D403" t="s">
        <v>21530</v>
      </c>
      <c r="E403" s="118" t="s">
        <v>21560</v>
      </c>
      <c r="F403" s="119"/>
      <c r="H403" t="s">
        <v>21566</v>
      </c>
      <c r="I403" s="118" t="s">
        <v>21596</v>
      </c>
      <c r="J403" s="119"/>
      <c r="L403" t="s">
        <v>21602</v>
      </c>
      <c r="M403" s="118" t="s">
        <v>21632</v>
      </c>
      <c r="N403" s="119"/>
      <c r="P403" t="s">
        <v>21638</v>
      </c>
      <c r="Q403" s="118" t="s">
        <v>21668</v>
      </c>
      <c r="R403" s="119"/>
      <c r="T403" t="s">
        <v>21674</v>
      </c>
      <c r="U403" s="118" t="s">
        <v>21704</v>
      </c>
      <c r="V403" s="119"/>
      <c r="X403" t="s">
        <v>21710</v>
      </c>
    </row>
    <row r="404" spans="1:24" x14ac:dyDescent="0.3">
      <c r="A404" s="118" t="s">
        <v>21525</v>
      </c>
      <c r="B404" s="119"/>
      <c r="D404" t="s">
        <v>21531</v>
      </c>
      <c r="E404" s="118" t="s">
        <v>21561</v>
      </c>
      <c r="F404" s="119"/>
      <c r="H404" t="s">
        <v>21567</v>
      </c>
      <c r="I404" s="118" t="s">
        <v>21597</v>
      </c>
      <c r="J404" s="119"/>
      <c r="L404" t="s">
        <v>21603</v>
      </c>
      <c r="M404" s="118" t="s">
        <v>21633</v>
      </c>
      <c r="N404" s="119"/>
      <c r="P404" t="s">
        <v>21639</v>
      </c>
      <c r="Q404" s="118" t="s">
        <v>21669</v>
      </c>
      <c r="R404" s="119"/>
      <c r="T404" t="s">
        <v>21675</v>
      </c>
      <c r="U404" s="118" t="s">
        <v>21705</v>
      </c>
      <c r="V404" s="119"/>
      <c r="X404" t="s">
        <v>21711</v>
      </c>
    </row>
    <row r="405" spans="1:24" x14ac:dyDescent="0.3">
      <c r="A405" s="118" t="s">
        <v>21536</v>
      </c>
      <c r="B405" s="119"/>
      <c r="D405" t="s">
        <v>21542</v>
      </c>
      <c r="E405" s="118" t="s">
        <v>21572</v>
      </c>
      <c r="F405" s="119"/>
      <c r="H405" t="s">
        <v>21578</v>
      </c>
      <c r="I405" s="118" t="s">
        <v>21608</v>
      </c>
      <c r="J405" s="119"/>
      <c r="L405" t="s">
        <v>21614</v>
      </c>
      <c r="M405" s="118" t="s">
        <v>21644</v>
      </c>
      <c r="N405" s="119"/>
      <c r="P405" t="s">
        <v>21650</v>
      </c>
      <c r="Q405" s="118" t="s">
        <v>21680</v>
      </c>
      <c r="R405" s="119"/>
      <c r="T405" t="s">
        <v>21686</v>
      </c>
      <c r="U405" s="118" t="s">
        <v>21716</v>
      </c>
      <c r="V405" s="119"/>
      <c r="X405" t="s">
        <v>21722</v>
      </c>
    </row>
    <row r="406" spans="1:24" x14ac:dyDescent="0.3">
      <c r="A406" s="118" t="s">
        <v>21537</v>
      </c>
      <c r="B406" s="119"/>
      <c r="D406" t="s">
        <v>21543</v>
      </c>
      <c r="E406" s="118" t="s">
        <v>21573</v>
      </c>
      <c r="F406" s="119"/>
      <c r="H406" t="s">
        <v>21579</v>
      </c>
      <c r="I406" s="118" t="s">
        <v>21609</v>
      </c>
      <c r="J406" s="119"/>
      <c r="L406" t="s">
        <v>21615</v>
      </c>
      <c r="M406" s="118" t="s">
        <v>21645</v>
      </c>
      <c r="N406" s="119"/>
      <c r="P406" t="s">
        <v>21651</v>
      </c>
      <c r="Q406" s="118" t="s">
        <v>21681</v>
      </c>
      <c r="R406" s="119"/>
      <c r="T406" t="s">
        <v>21687</v>
      </c>
      <c r="U406" s="118" t="s">
        <v>21717</v>
      </c>
      <c r="V406" s="119"/>
      <c r="X406" t="s">
        <v>21723</v>
      </c>
    </row>
    <row r="407" spans="1:24" x14ac:dyDescent="0.3">
      <c r="A407" s="118" t="s">
        <v>21728</v>
      </c>
      <c r="B407" s="119"/>
      <c r="D407" t="s">
        <v>21734</v>
      </c>
      <c r="E407" s="118" t="s">
        <v>21764</v>
      </c>
      <c r="F407" s="119"/>
      <c r="H407" t="s">
        <v>21770</v>
      </c>
      <c r="I407" s="118" t="s">
        <v>21800</v>
      </c>
      <c r="J407" s="119"/>
      <c r="L407" t="s">
        <v>21806</v>
      </c>
      <c r="M407" s="118" t="s">
        <v>21836</v>
      </c>
      <c r="N407" s="119"/>
      <c r="P407" t="s">
        <v>21842</v>
      </c>
      <c r="Q407" s="118" t="s">
        <v>21872</v>
      </c>
      <c r="R407" s="119"/>
      <c r="T407" t="s">
        <v>21878</v>
      </c>
      <c r="U407" s="118" t="s">
        <v>21908</v>
      </c>
      <c r="V407" s="119"/>
      <c r="X407" t="s">
        <v>21914</v>
      </c>
    </row>
    <row r="408" spans="1:24" x14ac:dyDescent="0.3">
      <c r="A408" s="118" t="s">
        <v>21729</v>
      </c>
      <c r="B408" s="119"/>
      <c r="D408" t="s">
        <v>21735</v>
      </c>
      <c r="E408" s="118" t="s">
        <v>21765</v>
      </c>
      <c r="F408" s="119"/>
      <c r="H408" t="s">
        <v>21771</v>
      </c>
      <c r="I408" s="118" t="s">
        <v>21801</v>
      </c>
      <c r="J408" s="119"/>
      <c r="L408" t="s">
        <v>21807</v>
      </c>
      <c r="M408" s="118" t="s">
        <v>21837</v>
      </c>
      <c r="N408" s="119"/>
      <c r="P408" t="s">
        <v>21843</v>
      </c>
      <c r="Q408" s="118" t="s">
        <v>21873</v>
      </c>
      <c r="R408" s="119"/>
      <c r="T408" t="s">
        <v>21879</v>
      </c>
      <c r="U408" s="118" t="s">
        <v>21909</v>
      </c>
      <c r="V408" s="119"/>
      <c r="X408" t="s">
        <v>21915</v>
      </c>
    </row>
    <row r="409" spans="1:24" x14ac:dyDescent="0.3">
      <c r="A409" s="118" t="s">
        <v>21740</v>
      </c>
      <c r="B409" s="119"/>
      <c r="D409" t="s">
        <v>21746</v>
      </c>
      <c r="E409" s="118" t="s">
        <v>21776</v>
      </c>
      <c r="F409" s="119"/>
      <c r="H409" t="s">
        <v>21782</v>
      </c>
      <c r="I409" s="118" t="s">
        <v>21812</v>
      </c>
      <c r="J409" s="119"/>
      <c r="L409" t="s">
        <v>21818</v>
      </c>
      <c r="M409" s="118" t="s">
        <v>21848</v>
      </c>
      <c r="N409" s="119"/>
      <c r="P409" t="s">
        <v>21854</v>
      </c>
      <c r="Q409" s="118" t="s">
        <v>21884</v>
      </c>
      <c r="R409" s="119"/>
      <c r="T409" t="s">
        <v>21890</v>
      </c>
      <c r="U409" s="118" t="s">
        <v>21920</v>
      </c>
      <c r="V409" s="119"/>
      <c r="X409" t="s">
        <v>21926</v>
      </c>
    </row>
    <row r="410" spans="1:24" x14ac:dyDescent="0.3">
      <c r="A410" s="118" t="s">
        <v>21741</v>
      </c>
      <c r="B410" s="119"/>
      <c r="D410" t="s">
        <v>21747</v>
      </c>
      <c r="E410" s="118" t="s">
        <v>21777</v>
      </c>
      <c r="F410" s="119"/>
      <c r="H410" t="s">
        <v>21783</v>
      </c>
      <c r="I410" s="118" t="s">
        <v>21813</v>
      </c>
      <c r="J410" s="119"/>
      <c r="L410" t="s">
        <v>21819</v>
      </c>
      <c r="M410" s="118" t="s">
        <v>21849</v>
      </c>
      <c r="N410" s="119"/>
      <c r="P410" t="s">
        <v>21855</v>
      </c>
      <c r="Q410" s="118" t="s">
        <v>21885</v>
      </c>
      <c r="R410" s="119"/>
      <c r="T410" t="s">
        <v>21891</v>
      </c>
      <c r="U410" s="118" t="s">
        <v>21921</v>
      </c>
      <c r="V410" s="119"/>
      <c r="X410" t="s">
        <v>21927</v>
      </c>
    </row>
    <row r="411" spans="1:24" x14ac:dyDescent="0.3">
      <c r="A411" s="118" t="s">
        <v>21752</v>
      </c>
      <c r="B411" s="119"/>
      <c r="D411" t="s">
        <v>21758</v>
      </c>
      <c r="E411" s="118" t="s">
        <v>21788</v>
      </c>
      <c r="F411" s="119"/>
      <c r="H411" t="s">
        <v>21794</v>
      </c>
      <c r="I411" s="118" t="s">
        <v>21824</v>
      </c>
      <c r="J411" s="119"/>
      <c r="L411" t="s">
        <v>21830</v>
      </c>
      <c r="M411" s="118" t="s">
        <v>21860</v>
      </c>
      <c r="N411" s="119"/>
      <c r="P411" t="s">
        <v>21866</v>
      </c>
      <c r="Q411" s="118" t="s">
        <v>21896</v>
      </c>
      <c r="R411" s="119"/>
      <c r="T411" t="s">
        <v>21902</v>
      </c>
      <c r="U411" s="118" t="s">
        <v>21932</v>
      </c>
      <c r="V411" s="119"/>
      <c r="X411" t="s">
        <v>21938</v>
      </c>
    </row>
    <row r="412" spans="1:24" x14ac:dyDescent="0.3">
      <c r="A412" s="118" t="s">
        <v>21753</v>
      </c>
      <c r="B412" s="119"/>
      <c r="D412" t="s">
        <v>21759</v>
      </c>
      <c r="E412" s="118" t="s">
        <v>21789</v>
      </c>
      <c r="F412" s="119"/>
      <c r="H412" t="s">
        <v>21795</v>
      </c>
      <c r="I412" s="118" t="s">
        <v>21825</v>
      </c>
      <c r="J412" s="119"/>
      <c r="L412" t="s">
        <v>21831</v>
      </c>
      <c r="M412" s="118" t="s">
        <v>21861</v>
      </c>
      <c r="N412" s="119"/>
      <c r="P412" t="s">
        <v>21867</v>
      </c>
      <c r="Q412" s="118" t="s">
        <v>21897</v>
      </c>
      <c r="R412" s="119"/>
      <c r="T412" t="s">
        <v>21903</v>
      </c>
      <c r="U412" s="118" t="s">
        <v>21933</v>
      </c>
      <c r="V412" s="119"/>
      <c r="X412" t="s">
        <v>21939</v>
      </c>
    </row>
    <row r="413" spans="1:24" x14ac:dyDescent="0.3">
      <c r="A413" s="118" t="s">
        <v>21944</v>
      </c>
      <c r="B413" s="119"/>
      <c r="D413" t="s">
        <v>21950</v>
      </c>
      <c r="E413" s="118" t="s">
        <v>21980</v>
      </c>
      <c r="F413" s="119"/>
      <c r="H413" t="s">
        <v>21986</v>
      </c>
      <c r="I413" s="118" t="s">
        <v>22016</v>
      </c>
      <c r="J413" s="119"/>
      <c r="L413" t="s">
        <v>22022</v>
      </c>
      <c r="M413" s="118" t="s">
        <v>22052</v>
      </c>
      <c r="N413" s="119"/>
      <c r="P413" t="s">
        <v>22058</v>
      </c>
      <c r="Q413" s="118" t="s">
        <v>22088</v>
      </c>
      <c r="R413" s="119"/>
      <c r="T413" t="s">
        <v>22094</v>
      </c>
      <c r="U413" s="118" t="s">
        <v>22124</v>
      </c>
      <c r="V413" s="119"/>
      <c r="X413" t="s">
        <v>22130</v>
      </c>
    </row>
    <row r="414" spans="1:24" x14ac:dyDescent="0.3">
      <c r="A414" s="118" t="s">
        <v>21945</v>
      </c>
      <c r="B414" s="119"/>
      <c r="D414" t="s">
        <v>21951</v>
      </c>
      <c r="E414" s="118" t="s">
        <v>21981</v>
      </c>
      <c r="F414" s="119"/>
      <c r="H414" t="s">
        <v>21987</v>
      </c>
      <c r="I414" s="118" t="s">
        <v>22017</v>
      </c>
      <c r="J414" s="119"/>
      <c r="L414" t="s">
        <v>22023</v>
      </c>
      <c r="M414" s="118" t="s">
        <v>22053</v>
      </c>
      <c r="N414" s="119"/>
      <c r="P414" t="s">
        <v>22059</v>
      </c>
      <c r="Q414" s="118" t="s">
        <v>22089</v>
      </c>
      <c r="R414" s="119"/>
      <c r="T414" t="s">
        <v>22095</v>
      </c>
      <c r="U414" s="118" t="s">
        <v>22125</v>
      </c>
      <c r="V414" s="119"/>
      <c r="X414" t="s">
        <v>22131</v>
      </c>
    </row>
    <row r="415" spans="1:24" x14ac:dyDescent="0.3">
      <c r="A415" s="118" t="s">
        <v>21956</v>
      </c>
      <c r="B415" s="119"/>
      <c r="D415" t="s">
        <v>21962</v>
      </c>
      <c r="E415" s="118" t="s">
        <v>21992</v>
      </c>
      <c r="F415" s="119"/>
      <c r="H415" t="s">
        <v>21998</v>
      </c>
      <c r="I415" s="118" t="s">
        <v>22028</v>
      </c>
      <c r="J415" s="119"/>
      <c r="L415" t="s">
        <v>22034</v>
      </c>
      <c r="M415" s="118" t="s">
        <v>22064</v>
      </c>
      <c r="N415" s="119"/>
      <c r="P415" t="s">
        <v>22070</v>
      </c>
      <c r="Q415" s="118" t="s">
        <v>22100</v>
      </c>
      <c r="R415" s="119"/>
      <c r="T415" t="s">
        <v>22106</v>
      </c>
      <c r="U415" s="118" t="s">
        <v>22136</v>
      </c>
      <c r="V415" s="119"/>
      <c r="X415" t="s">
        <v>22142</v>
      </c>
    </row>
    <row r="416" spans="1:24" x14ac:dyDescent="0.3">
      <c r="A416" s="118" t="s">
        <v>21957</v>
      </c>
      <c r="B416" s="119"/>
      <c r="D416" t="s">
        <v>21963</v>
      </c>
      <c r="E416" s="118" t="s">
        <v>21993</v>
      </c>
      <c r="F416" s="119"/>
      <c r="H416" t="s">
        <v>21999</v>
      </c>
      <c r="I416" s="118" t="s">
        <v>22029</v>
      </c>
      <c r="J416" s="119"/>
      <c r="L416" t="s">
        <v>22035</v>
      </c>
      <c r="M416" s="118" t="s">
        <v>22065</v>
      </c>
      <c r="N416" s="119"/>
      <c r="P416" t="s">
        <v>22071</v>
      </c>
      <c r="Q416" s="118" t="s">
        <v>22101</v>
      </c>
      <c r="R416" s="119"/>
      <c r="T416" t="s">
        <v>22107</v>
      </c>
      <c r="U416" s="118" t="s">
        <v>22137</v>
      </c>
      <c r="V416" s="119"/>
      <c r="X416" t="s">
        <v>22143</v>
      </c>
    </row>
    <row r="417" spans="1:24" x14ac:dyDescent="0.3">
      <c r="A417" s="118" t="s">
        <v>21968</v>
      </c>
      <c r="B417" s="119"/>
      <c r="D417" t="s">
        <v>21974</v>
      </c>
      <c r="E417" s="118" t="s">
        <v>22004</v>
      </c>
      <c r="F417" s="119"/>
      <c r="H417" t="s">
        <v>22010</v>
      </c>
      <c r="I417" s="118" t="s">
        <v>22040</v>
      </c>
      <c r="J417" s="119"/>
      <c r="L417" t="s">
        <v>22046</v>
      </c>
      <c r="M417" s="118" t="s">
        <v>22076</v>
      </c>
      <c r="N417" s="119"/>
      <c r="P417" t="s">
        <v>22082</v>
      </c>
      <c r="Q417" s="118" t="s">
        <v>22112</v>
      </c>
      <c r="R417" s="119"/>
      <c r="T417" t="s">
        <v>22118</v>
      </c>
      <c r="U417" s="118" t="s">
        <v>22148</v>
      </c>
      <c r="V417" s="119"/>
      <c r="X417" t="s">
        <v>22154</v>
      </c>
    </row>
    <row r="418" spans="1:24" x14ac:dyDescent="0.3">
      <c r="A418" s="118" t="s">
        <v>21969</v>
      </c>
      <c r="B418" s="119"/>
      <c r="D418" t="s">
        <v>21975</v>
      </c>
      <c r="E418" s="118" t="s">
        <v>22005</v>
      </c>
      <c r="F418" s="119"/>
      <c r="H418" t="s">
        <v>22011</v>
      </c>
      <c r="I418" s="118" t="s">
        <v>22041</v>
      </c>
      <c r="J418" s="119"/>
      <c r="L418" t="s">
        <v>22047</v>
      </c>
      <c r="M418" s="118" t="s">
        <v>22077</v>
      </c>
      <c r="N418" s="119"/>
      <c r="P418" t="s">
        <v>22083</v>
      </c>
      <c r="Q418" s="118" t="s">
        <v>22113</v>
      </c>
      <c r="R418" s="119"/>
      <c r="T418" t="s">
        <v>22119</v>
      </c>
      <c r="U418" s="118" t="s">
        <v>22149</v>
      </c>
      <c r="V418" s="119"/>
      <c r="X418" t="s">
        <v>22155</v>
      </c>
    </row>
    <row r="419" spans="1:24" x14ac:dyDescent="0.3">
      <c r="A419" s="118" t="s">
        <v>22160</v>
      </c>
      <c r="B419" s="119"/>
      <c r="D419" t="s">
        <v>22166</v>
      </c>
      <c r="E419" s="118" t="s">
        <v>22196</v>
      </c>
      <c r="F419" s="119"/>
      <c r="H419" t="s">
        <v>22202</v>
      </c>
      <c r="I419" s="118" t="s">
        <v>22232</v>
      </c>
      <c r="J419" s="119"/>
      <c r="L419" t="s">
        <v>22238</v>
      </c>
      <c r="M419" s="118" t="s">
        <v>22268</v>
      </c>
      <c r="N419" s="119"/>
      <c r="P419" t="s">
        <v>22274</v>
      </c>
      <c r="Q419" s="118" t="s">
        <v>22304</v>
      </c>
      <c r="R419" s="119"/>
      <c r="T419" t="s">
        <v>22310</v>
      </c>
      <c r="U419" s="118" t="s">
        <v>22340</v>
      </c>
      <c r="V419" s="119"/>
      <c r="X419" t="s">
        <v>22346</v>
      </c>
    </row>
    <row r="420" spans="1:24" x14ac:dyDescent="0.3">
      <c r="A420" s="118" t="s">
        <v>22161</v>
      </c>
      <c r="B420" s="119"/>
      <c r="D420" t="s">
        <v>22167</v>
      </c>
      <c r="E420" s="118" t="s">
        <v>22197</v>
      </c>
      <c r="F420" s="119"/>
      <c r="H420" t="s">
        <v>22203</v>
      </c>
      <c r="I420" s="118" t="s">
        <v>22233</v>
      </c>
      <c r="J420" s="119"/>
      <c r="L420" t="s">
        <v>22239</v>
      </c>
      <c r="M420" s="118" t="s">
        <v>22269</v>
      </c>
      <c r="N420" s="119"/>
      <c r="P420" t="s">
        <v>22275</v>
      </c>
      <c r="Q420" s="118" t="s">
        <v>22305</v>
      </c>
      <c r="R420" s="119"/>
      <c r="T420" t="s">
        <v>22311</v>
      </c>
      <c r="U420" s="118" t="s">
        <v>22341</v>
      </c>
      <c r="V420" s="119"/>
      <c r="X420" t="s">
        <v>22347</v>
      </c>
    </row>
    <row r="421" spans="1:24" x14ac:dyDescent="0.3">
      <c r="A421" s="118" t="s">
        <v>22172</v>
      </c>
      <c r="B421" s="119"/>
      <c r="D421" t="s">
        <v>22178</v>
      </c>
      <c r="E421" s="118" t="s">
        <v>22208</v>
      </c>
      <c r="F421" s="119"/>
      <c r="H421" t="s">
        <v>22214</v>
      </c>
      <c r="I421" s="118" t="s">
        <v>22244</v>
      </c>
      <c r="J421" s="119"/>
      <c r="L421" t="s">
        <v>22250</v>
      </c>
      <c r="M421" s="118" t="s">
        <v>22280</v>
      </c>
      <c r="N421" s="119"/>
      <c r="P421" t="s">
        <v>22286</v>
      </c>
      <c r="Q421" s="118" t="s">
        <v>22316</v>
      </c>
      <c r="R421" s="119"/>
      <c r="T421" t="s">
        <v>22322</v>
      </c>
      <c r="U421" s="118" t="s">
        <v>22352</v>
      </c>
      <c r="V421" s="119"/>
      <c r="X421" t="s">
        <v>22358</v>
      </c>
    </row>
    <row r="422" spans="1:24" x14ac:dyDescent="0.3">
      <c r="A422" s="118" t="s">
        <v>22173</v>
      </c>
      <c r="B422" s="119"/>
      <c r="D422" t="s">
        <v>22179</v>
      </c>
      <c r="E422" s="118" t="s">
        <v>22209</v>
      </c>
      <c r="F422" s="119"/>
      <c r="H422" t="s">
        <v>22215</v>
      </c>
      <c r="I422" s="118" t="s">
        <v>22245</v>
      </c>
      <c r="J422" s="119"/>
      <c r="L422" t="s">
        <v>22251</v>
      </c>
      <c r="M422" s="118" t="s">
        <v>22281</v>
      </c>
      <c r="N422" s="119"/>
      <c r="P422" t="s">
        <v>22287</v>
      </c>
      <c r="Q422" s="118" t="s">
        <v>22317</v>
      </c>
      <c r="R422" s="119"/>
      <c r="T422" t="s">
        <v>22323</v>
      </c>
      <c r="U422" s="118" t="s">
        <v>22353</v>
      </c>
      <c r="V422" s="119"/>
      <c r="X422" t="s">
        <v>22359</v>
      </c>
    </row>
    <row r="423" spans="1:24" x14ac:dyDescent="0.3">
      <c r="A423" s="118" t="s">
        <v>22184</v>
      </c>
      <c r="B423" s="119"/>
      <c r="D423" t="s">
        <v>22190</v>
      </c>
      <c r="E423" s="118" t="s">
        <v>22220</v>
      </c>
      <c r="F423" s="119"/>
      <c r="H423" t="s">
        <v>22226</v>
      </c>
      <c r="I423" s="118" t="s">
        <v>22256</v>
      </c>
      <c r="J423" s="119"/>
      <c r="L423" t="s">
        <v>22262</v>
      </c>
      <c r="M423" s="118" t="s">
        <v>22292</v>
      </c>
      <c r="N423" s="119"/>
      <c r="P423" t="s">
        <v>22298</v>
      </c>
      <c r="Q423" s="118" t="s">
        <v>22328</v>
      </c>
      <c r="R423" s="119"/>
      <c r="T423" t="s">
        <v>22334</v>
      </c>
      <c r="U423" s="118" t="s">
        <v>22364</v>
      </c>
      <c r="V423" s="119"/>
      <c r="X423" t="s">
        <v>22370</v>
      </c>
    </row>
    <row r="424" spans="1:24" x14ac:dyDescent="0.3">
      <c r="A424" s="118" t="s">
        <v>22185</v>
      </c>
      <c r="B424" s="119"/>
      <c r="D424" t="s">
        <v>22191</v>
      </c>
      <c r="E424" s="118" t="s">
        <v>22221</v>
      </c>
      <c r="F424" s="119"/>
      <c r="H424" t="s">
        <v>22227</v>
      </c>
      <c r="I424" s="118" t="s">
        <v>22257</v>
      </c>
      <c r="J424" s="119"/>
      <c r="L424" t="s">
        <v>22263</v>
      </c>
      <c r="M424" s="118" t="s">
        <v>22293</v>
      </c>
      <c r="N424" s="119"/>
      <c r="P424" t="s">
        <v>22299</v>
      </c>
      <c r="Q424" s="118" t="s">
        <v>22329</v>
      </c>
      <c r="R424" s="119"/>
      <c r="T424" t="s">
        <v>22335</v>
      </c>
      <c r="U424" s="118" t="s">
        <v>22365</v>
      </c>
      <c r="V424" s="119"/>
      <c r="X424" t="s">
        <v>22371</v>
      </c>
    </row>
    <row r="425" spans="1:24" x14ac:dyDescent="0.3">
      <c r="A425" s="118" t="s">
        <v>22376</v>
      </c>
      <c r="B425" s="119"/>
      <c r="D425" t="s">
        <v>22382</v>
      </c>
      <c r="E425" s="118" t="s">
        <v>22412</v>
      </c>
      <c r="F425" s="119"/>
      <c r="H425" t="s">
        <v>22418</v>
      </c>
      <c r="I425" s="118" t="s">
        <v>22448</v>
      </c>
      <c r="J425" s="119"/>
      <c r="L425" t="s">
        <v>22454</v>
      </c>
      <c r="M425" s="118" t="s">
        <v>22484</v>
      </c>
      <c r="N425" s="119"/>
      <c r="P425" t="s">
        <v>22490</v>
      </c>
      <c r="Q425" s="118" t="s">
        <v>22520</v>
      </c>
      <c r="R425" s="119"/>
      <c r="T425" t="s">
        <v>22526</v>
      </c>
      <c r="U425" s="118" t="s">
        <v>22556</v>
      </c>
      <c r="V425" s="119"/>
      <c r="X425" t="s">
        <v>22562</v>
      </c>
    </row>
    <row r="426" spans="1:24" x14ac:dyDescent="0.3">
      <c r="A426" s="118" t="s">
        <v>22377</v>
      </c>
      <c r="B426" s="119"/>
      <c r="D426" t="s">
        <v>22383</v>
      </c>
      <c r="E426" s="118" t="s">
        <v>22413</v>
      </c>
      <c r="F426" s="119"/>
      <c r="H426" t="s">
        <v>22419</v>
      </c>
      <c r="I426" s="118" t="s">
        <v>22449</v>
      </c>
      <c r="J426" s="119"/>
      <c r="L426" t="s">
        <v>22455</v>
      </c>
      <c r="M426" s="118" t="s">
        <v>22485</v>
      </c>
      <c r="N426" s="119"/>
      <c r="P426" t="s">
        <v>22491</v>
      </c>
      <c r="Q426" s="118" t="s">
        <v>22521</v>
      </c>
      <c r="R426" s="119"/>
      <c r="T426" t="s">
        <v>22527</v>
      </c>
      <c r="U426" s="118" t="s">
        <v>22557</v>
      </c>
      <c r="V426" s="119"/>
      <c r="X426" t="s">
        <v>22563</v>
      </c>
    </row>
    <row r="427" spans="1:24" x14ac:dyDescent="0.3">
      <c r="A427" s="118" t="s">
        <v>22388</v>
      </c>
      <c r="B427" s="119"/>
      <c r="D427" t="s">
        <v>22394</v>
      </c>
      <c r="E427" s="118" t="s">
        <v>22424</v>
      </c>
      <c r="F427" s="119"/>
      <c r="H427" t="s">
        <v>22430</v>
      </c>
      <c r="I427" s="118" t="s">
        <v>22460</v>
      </c>
      <c r="J427" s="119"/>
      <c r="L427" t="s">
        <v>22466</v>
      </c>
      <c r="M427" s="118" t="s">
        <v>22496</v>
      </c>
      <c r="N427" s="119"/>
      <c r="P427" t="s">
        <v>22502</v>
      </c>
      <c r="Q427" s="118" t="s">
        <v>22532</v>
      </c>
      <c r="R427" s="119"/>
      <c r="T427" t="s">
        <v>22538</v>
      </c>
      <c r="U427" s="118" t="s">
        <v>22568</v>
      </c>
      <c r="V427" s="119"/>
      <c r="X427" t="s">
        <v>22574</v>
      </c>
    </row>
    <row r="428" spans="1:24" x14ac:dyDescent="0.3">
      <c r="A428" s="118" t="s">
        <v>22389</v>
      </c>
      <c r="B428" s="119"/>
      <c r="D428" t="s">
        <v>22395</v>
      </c>
      <c r="E428" s="118" t="s">
        <v>22425</v>
      </c>
      <c r="F428" s="119"/>
      <c r="H428" t="s">
        <v>22431</v>
      </c>
      <c r="I428" s="118" t="s">
        <v>22461</v>
      </c>
      <c r="J428" s="119"/>
      <c r="L428" t="s">
        <v>22467</v>
      </c>
      <c r="M428" s="118" t="s">
        <v>22497</v>
      </c>
      <c r="N428" s="119"/>
      <c r="P428" t="s">
        <v>22503</v>
      </c>
      <c r="Q428" s="118" t="s">
        <v>22533</v>
      </c>
      <c r="R428" s="119"/>
      <c r="T428" t="s">
        <v>22539</v>
      </c>
      <c r="U428" s="118" t="s">
        <v>22569</v>
      </c>
      <c r="V428" s="119"/>
      <c r="X428" t="s">
        <v>22575</v>
      </c>
    </row>
    <row r="429" spans="1:24" x14ac:dyDescent="0.3">
      <c r="A429" s="118" t="s">
        <v>22400</v>
      </c>
      <c r="B429" s="119"/>
      <c r="D429" t="s">
        <v>22406</v>
      </c>
      <c r="E429" s="118" t="s">
        <v>22436</v>
      </c>
      <c r="F429" s="119"/>
      <c r="H429" t="s">
        <v>22442</v>
      </c>
      <c r="I429" s="118" t="s">
        <v>22472</v>
      </c>
      <c r="J429" s="119"/>
      <c r="L429" t="s">
        <v>22478</v>
      </c>
      <c r="M429" s="118" t="s">
        <v>22508</v>
      </c>
      <c r="N429" s="119"/>
      <c r="P429" t="s">
        <v>22514</v>
      </c>
      <c r="Q429" s="118" t="s">
        <v>22544</v>
      </c>
      <c r="R429" s="119"/>
      <c r="T429" t="s">
        <v>22550</v>
      </c>
      <c r="U429" s="118" t="s">
        <v>22580</v>
      </c>
      <c r="V429" s="119"/>
      <c r="X429" t="s">
        <v>22586</v>
      </c>
    </row>
    <row r="430" spans="1:24" x14ac:dyDescent="0.3">
      <c r="A430" s="118" t="s">
        <v>22401</v>
      </c>
      <c r="B430" s="119"/>
      <c r="D430" t="s">
        <v>22407</v>
      </c>
      <c r="E430" s="118" t="s">
        <v>22437</v>
      </c>
      <c r="F430" s="119"/>
      <c r="H430" t="s">
        <v>22443</v>
      </c>
      <c r="I430" s="118" t="s">
        <v>22473</v>
      </c>
      <c r="J430" s="119"/>
      <c r="L430" t="s">
        <v>22479</v>
      </c>
      <c r="M430" s="118" t="s">
        <v>22509</v>
      </c>
      <c r="N430" s="119"/>
      <c r="P430" t="s">
        <v>22515</v>
      </c>
      <c r="Q430" s="118" t="s">
        <v>22545</v>
      </c>
      <c r="R430" s="119"/>
      <c r="T430" t="s">
        <v>22551</v>
      </c>
      <c r="U430" s="118" t="s">
        <v>22581</v>
      </c>
      <c r="V430" s="119"/>
      <c r="X430" t="s">
        <v>22587</v>
      </c>
    </row>
    <row r="431" spans="1:24" x14ac:dyDescent="0.3">
      <c r="A431" s="118" t="s">
        <v>22592</v>
      </c>
      <c r="B431" s="119"/>
      <c r="D431" t="s">
        <v>22598</v>
      </c>
      <c r="E431" s="118" t="s">
        <v>22628</v>
      </c>
      <c r="F431" s="119"/>
      <c r="H431" t="s">
        <v>22634</v>
      </c>
      <c r="I431" s="118" t="s">
        <v>22664</v>
      </c>
      <c r="J431" s="119"/>
      <c r="L431" t="s">
        <v>22670</v>
      </c>
      <c r="M431" s="118" t="s">
        <v>22700</v>
      </c>
      <c r="N431" s="119"/>
      <c r="P431" t="s">
        <v>22706</v>
      </c>
      <c r="Q431" s="118" t="s">
        <v>22736</v>
      </c>
      <c r="R431" s="119"/>
      <c r="T431" t="s">
        <v>22742</v>
      </c>
      <c r="U431" s="118" t="s">
        <v>22772</v>
      </c>
      <c r="V431" s="119"/>
      <c r="X431" t="s">
        <v>22778</v>
      </c>
    </row>
    <row r="432" spans="1:24" x14ac:dyDescent="0.3">
      <c r="A432" s="118" t="s">
        <v>22593</v>
      </c>
      <c r="B432" s="119"/>
      <c r="D432" t="s">
        <v>22599</v>
      </c>
      <c r="E432" s="118" t="s">
        <v>22629</v>
      </c>
      <c r="F432" s="119"/>
      <c r="H432" t="s">
        <v>22635</v>
      </c>
      <c r="I432" s="118" t="s">
        <v>22665</v>
      </c>
      <c r="J432" s="119"/>
      <c r="L432" t="s">
        <v>22671</v>
      </c>
      <c r="M432" s="118" t="s">
        <v>22701</v>
      </c>
      <c r="N432" s="119"/>
      <c r="P432" t="s">
        <v>22707</v>
      </c>
      <c r="Q432" s="118" t="s">
        <v>22737</v>
      </c>
      <c r="R432" s="119"/>
      <c r="T432" t="s">
        <v>22743</v>
      </c>
      <c r="U432" s="118" t="s">
        <v>22773</v>
      </c>
      <c r="V432" s="119"/>
      <c r="X432" t="s">
        <v>22779</v>
      </c>
    </row>
    <row r="433" spans="1:24" x14ac:dyDescent="0.3">
      <c r="A433" s="118" t="s">
        <v>22604</v>
      </c>
      <c r="B433" s="119"/>
      <c r="D433" t="s">
        <v>22610</v>
      </c>
      <c r="E433" s="118" t="s">
        <v>22640</v>
      </c>
      <c r="F433" s="119"/>
      <c r="H433" t="s">
        <v>22646</v>
      </c>
      <c r="I433" s="118" t="s">
        <v>22676</v>
      </c>
      <c r="J433" s="119"/>
      <c r="L433" t="s">
        <v>22682</v>
      </c>
      <c r="M433" s="118" t="s">
        <v>22712</v>
      </c>
      <c r="N433" s="119"/>
      <c r="P433" t="s">
        <v>22718</v>
      </c>
      <c r="Q433" s="118" t="s">
        <v>22748</v>
      </c>
      <c r="R433" s="119"/>
      <c r="T433" t="s">
        <v>22754</v>
      </c>
      <c r="U433" s="118" t="s">
        <v>22784</v>
      </c>
      <c r="V433" s="119"/>
      <c r="X433" t="s">
        <v>22790</v>
      </c>
    </row>
    <row r="434" spans="1:24" x14ac:dyDescent="0.3">
      <c r="A434" s="118" t="s">
        <v>22605</v>
      </c>
      <c r="B434" s="119"/>
      <c r="D434" t="s">
        <v>22611</v>
      </c>
      <c r="E434" s="118" t="s">
        <v>22641</v>
      </c>
      <c r="F434" s="119"/>
      <c r="H434" t="s">
        <v>22647</v>
      </c>
      <c r="I434" s="118" t="s">
        <v>22677</v>
      </c>
      <c r="J434" s="119"/>
      <c r="L434" t="s">
        <v>22683</v>
      </c>
      <c r="M434" s="118" t="s">
        <v>22713</v>
      </c>
      <c r="N434" s="119"/>
      <c r="P434" t="s">
        <v>22719</v>
      </c>
      <c r="Q434" s="118" t="s">
        <v>22749</v>
      </c>
      <c r="R434" s="119"/>
      <c r="T434" t="s">
        <v>22755</v>
      </c>
      <c r="U434" s="118" t="s">
        <v>22785</v>
      </c>
      <c r="V434" s="119"/>
      <c r="X434" t="s">
        <v>22791</v>
      </c>
    </row>
    <row r="435" spans="1:24" x14ac:dyDescent="0.3">
      <c r="A435" s="118" t="s">
        <v>22616</v>
      </c>
      <c r="B435" s="119"/>
      <c r="D435" t="s">
        <v>22622</v>
      </c>
      <c r="E435" s="118" t="s">
        <v>22652</v>
      </c>
      <c r="F435" s="119"/>
      <c r="H435" t="s">
        <v>22658</v>
      </c>
      <c r="I435" s="118" t="s">
        <v>22688</v>
      </c>
      <c r="J435" s="119"/>
      <c r="L435" t="s">
        <v>22694</v>
      </c>
      <c r="M435" s="118" t="s">
        <v>22724</v>
      </c>
      <c r="N435" s="119"/>
      <c r="P435" t="s">
        <v>22730</v>
      </c>
      <c r="Q435" s="118" t="s">
        <v>22760</v>
      </c>
      <c r="R435" s="119"/>
      <c r="T435" t="s">
        <v>22766</v>
      </c>
      <c r="U435" s="118" t="s">
        <v>22796</v>
      </c>
      <c r="V435" s="119"/>
      <c r="X435" t="s">
        <v>22802</v>
      </c>
    </row>
    <row r="436" spans="1:24" x14ac:dyDescent="0.3">
      <c r="A436" s="118" t="s">
        <v>22617</v>
      </c>
      <c r="B436" s="119"/>
      <c r="D436" t="s">
        <v>22623</v>
      </c>
      <c r="E436" s="118" t="s">
        <v>22653</v>
      </c>
      <c r="F436" s="119"/>
      <c r="H436" t="s">
        <v>22659</v>
      </c>
      <c r="I436" s="118" t="s">
        <v>22689</v>
      </c>
      <c r="J436" s="119"/>
      <c r="L436" t="s">
        <v>22695</v>
      </c>
      <c r="M436" s="118" t="s">
        <v>22725</v>
      </c>
      <c r="N436" s="119"/>
      <c r="P436" t="s">
        <v>22731</v>
      </c>
      <c r="Q436" s="118" t="s">
        <v>22761</v>
      </c>
      <c r="R436" s="119"/>
      <c r="T436" t="s">
        <v>22767</v>
      </c>
      <c r="U436" s="118" t="s">
        <v>22797</v>
      </c>
      <c r="V436" s="119"/>
      <c r="X436" t="s">
        <v>22803</v>
      </c>
    </row>
    <row r="437" spans="1:24" x14ac:dyDescent="0.3">
      <c r="A437" s="118" t="s">
        <v>22808</v>
      </c>
      <c r="B437" s="119"/>
      <c r="D437" t="s">
        <v>22814</v>
      </c>
      <c r="E437" s="118" t="s">
        <v>22844</v>
      </c>
      <c r="F437" s="119"/>
      <c r="H437" t="s">
        <v>22850</v>
      </c>
      <c r="I437" s="118" t="s">
        <v>22880</v>
      </c>
      <c r="J437" s="119"/>
      <c r="L437" t="s">
        <v>22886</v>
      </c>
      <c r="M437" s="118" t="s">
        <v>22916</v>
      </c>
      <c r="N437" s="119"/>
      <c r="P437" t="s">
        <v>22922</v>
      </c>
      <c r="Q437" s="118" t="s">
        <v>22952</v>
      </c>
      <c r="R437" s="119"/>
      <c r="T437" t="s">
        <v>22958</v>
      </c>
      <c r="U437" s="118" t="s">
        <v>22988</v>
      </c>
      <c r="V437" s="119"/>
      <c r="X437" t="s">
        <v>22994</v>
      </c>
    </row>
    <row r="438" spans="1:24" x14ac:dyDescent="0.3">
      <c r="A438" s="118" t="s">
        <v>22809</v>
      </c>
      <c r="B438" s="119"/>
      <c r="D438" t="s">
        <v>22815</v>
      </c>
      <c r="E438" s="118" t="s">
        <v>22845</v>
      </c>
      <c r="F438" s="119"/>
      <c r="H438" t="s">
        <v>22851</v>
      </c>
      <c r="I438" s="118" t="s">
        <v>22881</v>
      </c>
      <c r="J438" s="119"/>
      <c r="L438" t="s">
        <v>22887</v>
      </c>
      <c r="M438" s="118" t="s">
        <v>22917</v>
      </c>
      <c r="N438" s="119"/>
      <c r="P438" t="s">
        <v>22923</v>
      </c>
      <c r="Q438" s="118" t="s">
        <v>22953</v>
      </c>
      <c r="R438" s="119"/>
      <c r="T438" t="s">
        <v>22959</v>
      </c>
      <c r="U438" s="118" t="s">
        <v>22989</v>
      </c>
      <c r="V438" s="119"/>
      <c r="X438" t="s">
        <v>22995</v>
      </c>
    </row>
    <row r="439" spans="1:24" x14ac:dyDescent="0.3">
      <c r="A439" s="118" t="s">
        <v>22820</v>
      </c>
      <c r="B439" s="119"/>
      <c r="D439" t="s">
        <v>22826</v>
      </c>
      <c r="E439" s="118" t="s">
        <v>22856</v>
      </c>
      <c r="F439" s="119"/>
      <c r="H439" t="s">
        <v>22862</v>
      </c>
      <c r="I439" s="118" t="s">
        <v>22892</v>
      </c>
      <c r="J439" s="119"/>
      <c r="L439" t="s">
        <v>22898</v>
      </c>
      <c r="M439" s="118" t="s">
        <v>22928</v>
      </c>
      <c r="N439" s="119"/>
      <c r="P439" t="s">
        <v>22934</v>
      </c>
      <c r="Q439" s="118" t="s">
        <v>22964</v>
      </c>
      <c r="R439" s="119"/>
      <c r="T439" t="s">
        <v>22970</v>
      </c>
      <c r="U439" s="118" t="s">
        <v>23000</v>
      </c>
      <c r="V439" s="119"/>
      <c r="X439" t="s">
        <v>23006</v>
      </c>
    </row>
    <row r="440" spans="1:24" x14ac:dyDescent="0.3">
      <c r="A440" s="118" t="s">
        <v>22821</v>
      </c>
      <c r="B440" s="119"/>
      <c r="D440" t="s">
        <v>22827</v>
      </c>
      <c r="E440" s="118" t="s">
        <v>22857</v>
      </c>
      <c r="F440" s="119"/>
      <c r="H440" t="s">
        <v>22863</v>
      </c>
      <c r="I440" s="118" t="s">
        <v>22893</v>
      </c>
      <c r="J440" s="119"/>
      <c r="L440" t="s">
        <v>22899</v>
      </c>
      <c r="M440" s="118" t="s">
        <v>22929</v>
      </c>
      <c r="N440" s="119"/>
      <c r="P440" t="s">
        <v>22935</v>
      </c>
      <c r="Q440" s="118" t="s">
        <v>22965</v>
      </c>
      <c r="R440" s="119"/>
      <c r="T440" t="s">
        <v>22971</v>
      </c>
      <c r="U440" s="118" t="s">
        <v>23001</v>
      </c>
      <c r="V440" s="119"/>
      <c r="X440" t="s">
        <v>23007</v>
      </c>
    </row>
    <row r="441" spans="1:24" x14ac:dyDescent="0.3">
      <c r="A441" s="118" t="s">
        <v>22832</v>
      </c>
      <c r="B441" s="119"/>
      <c r="D441" t="s">
        <v>22838</v>
      </c>
      <c r="E441" s="118" t="s">
        <v>22868</v>
      </c>
      <c r="F441" s="119"/>
      <c r="H441" t="s">
        <v>22874</v>
      </c>
      <c r="I441" s="118" t="s">
        <v>22904</v>
      </c>
      <c r="J441" s="119"/>
      <c r="L441" t="s">
        <v>22910</v>
      </c>
      <c r="M441" s="118" t="s">
        <v>22940</v>
      </c>
      <c r="N441" s="119"/>
      <c r="P441" t="s">
        <v>22946</v>
      </c>
      <c r="Q441" s="118" t="s">
        <v>22976</v>
      </c>
      <c r="R441" s="119"/>
      <c r="T441" t="s">
        <v>22982</v>
      </c>
      <c r="U441" s="118" t="s">
        <v>23012</v>
      </c>
      <c r="V441" s="119"/>
      <c r="X441" t="s">
        <v>23018</v>
      </c>
    </row>
    <row r="442" spans="1:24" x14ac:dyDescent="0.3">
      <c r="A442" s="118" t="s">
        <v>22833</v>
      </c>
      <c r="B442" s="119"/>
      <c r="D442" t="s">
        <v>22839</v>
      </c>
      <c r="E442" s="118" t="s">
        <v>22869</v>
      </c>
      <c r="F442" s="119"/>
      <c r="H442" t="s">
        <v>22875</v>
      </c>
      <c r="I442" s="118" t="s">
        <v>22905</v>
      </c>
      <c r="J442" s="119"/>
      <c r="L442" t="s">
        <v>22911</v>
      </c>
      <c r="M442" s="118" t="s">
        <v>22941</v>
      </c>
      <c r="N442" s="119"/>
      <c r="P442" t="s">
        <v>22947</v>
      </c>
      <c r="Q442" s="118" t="s">
        <v>22977</v>
      </c>
      <c r="R442" s="119"/>
      <c r="T442" t="s">
        <v>22983</v>
      </c>
      <c r="U442" s="118" t="s">
        <v>23013</v>
      </c>
      <c r="V442" s="119"/>
      <c r="X442" t="s">
        <v>23019</v>
      </c>
    </row>
    <row r="443" spans="1:24" x14ac:dyDescent="0.3">
      <c r="A443" s="118" t="s">
        <v>23024</v>
      </c>
      <c r="B443" s="119"/>
      <c r="D443" t="s">
        <v>23030</v>
      </c>
      <c r="E443" s="118" t="s">
        <v>23060</v>
      </c>
      <c r="F443" s="119"/>
      <c r="H443" t="s">
        <v>23066</v>
      </c>
      <c r="I443" s="118" t="s">
        <v>23096</v>
      </c>
      <c r="J443" s="119"/>
      <c r="L443" t="s">
        <v>23102</v>
      </c>
      <c r="M443" s="118" t="s">
        <v>23132</v>
      </c>
      <c r="N443" s="119"/>
      <c r="P443" t="s">
        <v>23138</v>
      </c>
      <c r="Q443" s="118" t="s">
        <v>23168</v>
      </c>
      <c r="R443" s="119"/>
      <c r="T443" t="s">
        <v>23174</v>
      </c>
      <c r="U443" s="118" t="s">
        <v>23204</v>
      </c>
      <c r="V443" s="119"/>
      <c r="X443" t="s">
        <v>23210</v>
      </c>
    </row>
    <row r="444" spans="1:24" x14ac:dyDescent="0.3">
      <c r="A444" s="118" t="s">
        <v>23025</v>
      </c>
      <c r="B444" s="119"/>
      <c r="D444" t="s">
        <v>23031</v>
      </c>
      <c r="E444" s="118" t="s">
        <v>23061</v>
      </c>
      <c r="F444" s="119"/>
      <c r="H444" t="s">
        <v>23067</v>
      </c>
      <c r="I444" s="118" t="s">
        <v>23097</v>
      </c>
      <c r="J444" s="119"/>
      <c r="L444" t="s">
        <v>23103</v>
      </c>
      <c r="M444" s="118" t="s">
        <v>23133</v>
      </c>
      <c r="N444" s="119"/>
      <c r="P444" t="s">
        <v>23139</v>
      </c>
      <c r="Q444" s="118" t="s">
        <v>23169</v>
      </c>
      <c r="R444" s="119"/>
      <c r="T444" t="s">
        <v>23175</v>
      </c>
      <c r="U444" s="118" t="s">
        <v>23205</v>
      </c>
      <c r="V444" s="119"/>
      <c r="X444" t="s">
        <v>23211</v>
      </c>
    </row>
    <row r="445" spans="1:24" x14ac:dyDescent="0.3">
      <c r="A445" s="118" t="s">
        <v>23036</v>
      </c>
      <c r="B445" s="119"/>
      <c r="D445" t="s">
        <v>23042</v>
      </c>
      <c r="E445" s="118" t="s">
        <v>23072</v>
      </c>
      <c r="F445" s="119"/>
      <c r="H445" t="s">
        <v>23078</v>
      </c>
      <c r="I445" s="118" t="s">
        <v>23108</v>
      </c>
      <c r="J445" s="119"/>
      <c r="L445" t="s">
        <v>23114</v>
      </c>
      <c r="M445" s="118" t="s">
        <v>23144</v>
      </c>
      <c r="N445" s="119"/>
      <c r="P445" t="s">
        <v>23150</v>
      </c>
      <c r="Q445" s="118" t="s">
        <v>23180</v>
      </c>
      <c r="R445" s="119"/>
      <c r="T445" t="s">
        <v>23186</v>
      </c>
      <c r="U445" s="118" t="s">
        <v>23216</v>
      </c>
      <c r="V445" s="119"/>
      <c r="X445" t="s">
        <v>23222</v>
      </c>
    </row>
    <row r="446" spans="1:24" x14ac:dyDescent="0.3">
      <c r="A446" s="118" t="s">
        <v>23037</v>
      </c>
      <c r="B446" s="119"/>
      <c r="D446" t="s">
        <v>23043</v>
      </c>
      <c r="E446" s="118" t="s">
        <v>23073</v>
      </c>
      <c r="F446" s="119"/>
      <c r="H446" t="s">
        <v>23079</v>
      </c>
      <c r="I446" s="118" t="s">
        <v>23109</v>
      </c>
      <c r="J446" s="119"/>
      <c r="L446" t="s">
        <v>23115</v>
      </c>
      <c r="M446" s="118" t="s">
        <v>23145</v>
      </c>
      <c r="N446" s="119"/>
      <c r="P446" t="s">
        <v>23151</v>
      </c>
      <c r="Q446" s="118" t="s">
        <v>23181</v>
      </c>
      <c r="R446" s="119"/>
      <c r="T446" t="s">
        <v>23187</v>
      </c>
      <c r="U446" s="118" t="s">
        <v>23217</v>
      </c>
      <c r="V446" s="119"/>
      <c r="X446" t="s">
        <v>23223</v>
      </c>
    </row>
    <row r="447" spans="1:24" x14ac:dyDescent="0.3">
      <c r="A447" s="118" t="s">
        <v>23048</v>
      </c>
      <c r="B447" s="119"/>
      <c r="D447" t="s">
        <v>23054</v>
      </c>
      <c r="E447" s="118" t="s">
        <v>23084</v>
      </c>
      <c r="F447" s="119"/>
      <c r="H447" t="s">
        <v>23090</v>
      </c>
      <c r="I447" s="118" t="s">
        <v>23120</v>
      </c>
      <c r="J447" s="119"/>
      <c r="L447" t="s">
        <v>23126</v>
      </c>
      <c r="M447" s="118" t="s">
        <v>23156</v>
      </c>
      <c r="N447" s="119"/>
      <c r="P447" t="s">
        <v>23162</v>
      </c>
      <c r="Q447" s="118" t="s">
        <v>23192</v>
      </c>
      <c r="R447" s="119"/>
      <c r="T447" t="s">
        <v>23198</v>
      </c>
      <c r="U447" s="118" t="s">
        <v>23228</v>
      </c>
      <c r="V447" s="119"/>
      <c r="X447" t="s">
        <v>23234</v>
      </c>
    </row>
    <row r="448" spans="1:24" x14ac:dyDescent="0.3">
      <c r="A448" s="118" t="s">
        <v>23049</v>
      </c>
      <c r="B448" s="119"/>
      <c r="D448" t="s">
        <v>23055</v>
      </c>
      <c r="E448" s="118" t="s">
        <v>23085</v>
      </c>
      <c r="F448" s="119"/>
      <c r="H448" t="s">
        <v>23091</v>
      </c>
      <c r="I448" s="118" t="s">
        <v>23121</v>
      </c>
      <c r="J448" s="119"/>
      <c r="L448" t="s">
        <v>23127</v>
      </c>
      <c r="M448" s="118" t="s">
        <v>23157</v>
      </c>
      <c r="N448" s="119"/>
      <c r="P448" t="s">
        <v>23163</v>
      </c>
      <c r="Q448" s="118" t="s">
        <v>23193</v>
      </c>
      <c r="R448" s="119"/>
      <c r="T448" t="s">
        <v>23199</v>
      </c>
      <c r="U448" s="118" t="s">
        <v>23229</v>
      </c>
      <c r="V448" s="119"/>
      <c r="X448" t="s">
        <v>23235</v>
      </c>
    </row>
    <row r="449" spans="1:24" x14ac:dyDescent="0.3">
      <c r="A449" s="118" t="s">
        <v>23240</v>
      </c>
      <c r="B449" s="119"/>
      <c r="D449" t="s">
        <v>23246</v>
      </c>
      <c r="E449" s="118" t="s">
        <v>23276</v>
      </c>
      <c r="F449" s="119"/>
      <c r="H449" t="s">
        <v>23282</v>
      </c>
      <c r="I449" s="118" t="s">
        <v>23312</v>
      </c>
      <c r="J449" s="119"/>
      <c r="L449" t="s">
        <v>23318</v>
      </c>
      <c r="M449" s="118" t="s">
        <v>23348</v>
      </c>
      <c r="N449" s="119"/>
      <c r="P449" t="s">
        <v>23354</v>
      </c>
      <c r="Q449" s="118" t="s">
        <v>23384</v>
      </c>
      <c r="R449" s="119"/>
      <c r="T449" t="s">
        <v>23390</v>
      </c>
      <c r="U449" s="118" t="s">
        <v>23420</v>
      </c>
      <c r="V449" s="119"/>
      <c r="X449" t="s">
        <v>23426</v>
      </c>
    </row>
    <row r="450" spans="1:24" x14ac:dyDescent="0.3">
      <c r="A450" s="118" t="s">
        <v>23241</v>
      </c>
      <c r="B450" s="119"/>
      <c r="D450" t="s">
        <v>23247</v>
      </c>
      <c r="E450" s="118" t="s">
        <v>23277</v>
      </c>
      <c r="F450" s="119"/>
      <c r="H450" t="s">
        <v>23283</v>
      </c>
      <c r="I450" s="118" t="s">
        <v>23313</v>
      </c>
      <c r="J450" s="119"/>
      <c r="L450" t="s">
        <v>23319</v>
      </c>
      <c r="M450" s="118" t="s">
        <v>23349</v>
      </c>
      <c r="N450" s="119"/>
      <c r="P450" t="s">
        <v>23355</v>
      </c>
      <c r="Q450" s="118" t="s">
        <v>23385</v>
      </c>
      <c r="R450" s="119"/>
      <c r="T450" t="s">
        <v>23391</v>
      </c>
      <c r="U450" s="118" t="s">
        <v>23421</v>
      </c>
      <c r="V450" s="119"/>
      <c r="X450" t="s">
        <v>23427</v>
      </c>
    </row>
    <row r="451" spans="1:24" x14ac:dyDescent="0.3">
      <c r="A451" s="118" t="s">
        <v>23252</v>
      </c>
      <c r="B451" s="119"/>
      <c r="D451" t="s">
        <v>23258</v>
      </c>
      <c r="E451" s="118" t="s">
        <v>23288</v>
      </c>
      <c r="F451" s="119"/>
      <c r="H451" t="s">
        <v>23294</v>
      </c>
      <c r="I451" s="118" t="s">
        <v>23324</v>
      </c>
      <c r="J451" s="119"/>
      <c r="L451" t="s">
        <v>23330</v>
      </c>
      <c r="M451" s="118" t="s">
        <v>23360</v>
      </c>
      <c r="N451" s="119"/>
      <c r="P451" t="s">
        <v>23366</v>
      </c>
      <c r="Q451" s="118" t="s">
        <v>23396</v>
      </c>
      <c r="R451" s="119"/>
      <c r="T451" t="s">
        <v>23402</v>
      </c>
      <c r="U451" s="118" t="s">
        <v>23432</v>
      </c>
      <c r="V451" s="119"/>
      <c r="X451" t="s">
        <v>23438</v>
      </c>
    </row>
    <row r="452" spans="1:24" x14ac:dyDescent="0.3">
      <c r="A452" s="118" t="s">
        <v>23253</v>
      </c>
      <c r="B452" s="119"/>
      <c r="D452" t="s">
        <v>23259</v>
      </c>
      <c r="E452" s="118" t="s">
        <v>23289</v>
      </c>
      <c r="F452" s="119"/>
      <c r="H452" t="s">
        <v>23295</v>
      </c>
      <c r="I452" s="118" t="s">
        <v>23325</v>
      </c>
      <c r="J452" s="119"/>
      <c r="L452" t="s">
        <v>23331</v>
      </c>
      <c r="M452" s="118" t="s">
        <v>23361</v>
      </c>
      <c r="N452" s="119"/>
      <c r="P452" t="s">
        <v>23367</v>
      </c>
      <c r="Q452" s="118" t="s">
        <v>23397</v>
      </c>
      <c r="R452" s="119"/>
      <c r="T452" t="s">
        <v>23403</v>
      </c>
      <c r="U452" s="118" t="s">
        <v>23433</v>
      </c>
      <c r="V452" s="119"/>
      <c r="X452" t="s">
        <v>23439</v>
      </c>
    </row>
    <row r="453" spans="1:24" x14ac:dyDescent="0.3">
      <c r="A453" s="118" t="s">
        <v>23264</v>
      </c>
      <c r="B453" s="119"/>
      <c r="D453" t="s">
        <v>23270</v>
      </c>
      <c r="E453" s="118" t="s">
        <v>23300</v>
      </c>
      <c r="F453" s="119"/>
      <c r="H453" t="s">
        <v>23306</v>
      </c>
      <c r="I453" s="118" t="s">
        <v>23336</v>
      </c>
      <c r="J453" s="119"/>
      <c r="L453" t="s">
        <v>23342</v>
      </c>
      <c r="M453" s="118" t="s">
        <v>23372</v>
      </c>
      <c r="N453" s="119"/>
      <c r="P453" t="s">
        <v>23378</v>
      </c>
      <c r="Q453" s="118" t="s">
        <v>23408</v>
      </c>
      <c r="R453" s="119"/>
      <c r="T453" t="s">
        <v>23414</v>
      </c>
      <c r="U453" s="118" t="s">
        <v>23444</v>
      </c>
      <c r="V453" s="119"/>
      <c r="X453" t="s">
        <v>23450</v>
      </c>
    </row>
    <row r="454" spans="1:24" x14ac:dyDescent="0.3">
      <c r="A454" s="118" t="s">
        <v>23265</v>
      </c>
      <c r="B454" s="119"/>
      <c r="D454" t="s">
        <v>23271</v>
      </c>
      <c r="E454" s="118" t="s">
        <v>23301</v>
      </c>
      <c r="F454" s="119"/>
      <c r="H454" t="s">
        <v>23307</v>
      </c>
      <c r="I454" s="118" t="s">
        <v>23337</v>
      </c>
      <c r="J454" s="119"/>
      <c r="L454" t="s">
        <v>23343</v>
      </c>
      <c r="M454" s="118" t="s">
        <v>23373</v>
      </c>
      <c r="N454" s="119"/>
      <c r="P454" t="s">
        <v>23379</v>
      </c>
      <c r="Q454" s="118" t="s">
        <v>23409</v>
      </c>
      <c r="R454" s="119"/>
      <c r="T454" t="s">
        <v>23415</v>
      </c>
      <c r="U454" s="118" t="s">
        <v>23445</v>
      </c>
      <c r="V454" s="119"/>
      <c r="X454" t="s">
        <v>23451</v>
      </c>
    </row>
    <row r="455" spans="1:24" x14ac:dyDescent="0.3">
      <c r="A455" s="118" t="s">
        <v>23456</v>
      </c>
      <c r="B455" s="119"/>
      <c r="D455" t="s">
        <v>23462</v>
      </c>
      <c r="E455" s="118" t="s">
        <v>23492</v>
      </c>
      <c r="F455" s="119"/>
      <c r="H455" t="s">
        <v>23498</v>
      </c>
      <c r="I455" s="118" t="s">
        <v>23528</v>
      </c>
      <c r="J455" s="119"/>
      <c r="L455" t="s">
        <v>23534</v>
      </c>
      <c r="M455" s="118" t="s">
        <v>23564</v>
      </c>
      <c r="N455" s="119"/>
      <c r="P455" t="s">
        <v>23570</v>
      </c>
      <c r="Q455" s="118" t="s">
        <v>23600</v>
      </c>
      <c r="R455" s="119"/>
      <c r="T455" t="s">
        <v>23606</v>
      </c>
      <c r="U455" s="118" t="s">
        <v>23636</v>
      </c>
      <c r="V455" s="119"/>
      <c r="X455" t="s">
        <v>23642</v>
      </c>
    </row>
    <row r="456" spans="1:24" x14ac:dyDescent="0.3">
      <c r="A456" s="118" t="s">
        <v>23457</v>
      </c>
      <c r="B456" s="119"/>
      <c r="D456" t="s">
        <v>23463</v>
      </c>
      <c r="E456" s="118" t="s">
        <v>23493</v>
      </c>
      <c r="F456" s="119"/>
      <c r="H456" t="s">
        <v>23499</v>
      </c>
      <c r="I456" s="118" t="s">
        <v>23529</v>
      </c>
      <c r="J456" s="119"/>
      <c r="L456" t="s">
        <v>23535</v>
      </c>
      <c r="M456" s="118" t="s">
        <v>23565</v>
      </c>
      <c r="N456" s="119"/>
      <c r="P456" t="s">
        <v>23571</v>
      </c>
      <c r="Q456" s="118" t="s">
        <v>23601</v>
      </c>
      <c r="R456" s="119"/>
      <c r="T456" t="s">
        <v>23607</v>
      </c>
      <c r="U456" s="118" t="s">
        <v>23637</v>
      </c>
      <c r="V456" s="119"/>
      <c r="X456" t="s">
        <v>23643</v>
      </c>
    </row>
    <row r="457" spans="1:24" x14ac:dyDescent="0.3">
      <c r="A457" s="118" t="s">
        <v>23468</v>
      </c>
      <c r="B457" s="119"/>
      <c r="D457" t="s">
        <v>23474</v>
      </c>
      <c r="E457" s="118" t="s">
        <v>23504</v>
      </c>
      <c r="F457" s="119"/>
      <c r="H457" t="s">
        <v>23510</v>
      </c>
      <c r="I457" s="118" t="s">
        <v>23540</v>
      </c>
      <c r="J457" s="119"/>
      <c r="L457" t="s">
        <v>23546</v>
      </c>
      <c r="M457" s="118" t="s">
        <v>23576</v>
      </c>
      <c r="N457" s="119"/>
      <c r="P457" t="s">
        <v>23582</v>
      </c>
      <c r="Q457" s="118" t="s">
        <v>23612</v>
      </c>
      <c r="R457" s="119"/>
      <c r="T457" t="s">
        <v>23618</v>
      </c>
      <c r="U457" s="118" t="s">
        <v>23648</v>
      </c>
      <c r="V457" s="119"/>
      <c r="X457" t="s">
        <v>23654</v>
      </c>
    </row>
    <row r="458" spans="1:24" x14ac:dyDescent="0.3">
      <c r="A458" s="118" t="s">
        <v>23469</v>
      </c>
      <c r="B458" s="119"/>
      <c r="D458" t="s">
        <v>23475</v>
      </c>
      <c r="E458" s="118" t="s">
        <v>23505</v>
      </c>
      <c r="F458" s="119"/>
      <c r="H458" t="s">
        <v>23511</v>
      </c>
      <c r="I458" s="118" t="s">
        <v>23541</v>
      </c>
      <c r="J458" s="119"/>
      <c r="L458" t="s">
        <v>23547</v>
      </c>
      <c r="M458" s="118" t="s">
        <v>23577</v>
      </c>
      <c r="N458" s="119"/>
      <c r="P458" t="s">
        <v>23583</v>
      </c>
      <c r="Q458" s="118" t="s">
        <v>23613</v>
      </c>
      <c r="R458" s="119"/>
      <c r="T458" t="s">
        <v>23619</v>
      </c>
      <c r="U458" s="118" t="s">
        <v>23649</v>
      </c>
      <c r="V458" s="119"/>
      <c r="X458" t="s">
        <v>23655</v>
      </c>
    </row>
    <row r="459" spans="1:24" x14ac:dyDescent="0.3">
      <c r="A459" s="118" t="s">
        <v>23480</v>
      </c>
      <c r="B459" s="119"/>
      <c r="D459" t="s">
        <v>23486</v>
      </c>
      <c r="E459" s="118" t="s">
        <v>23516</v>
      </c>
      <c r="F459" s="119"/>
      <c r="H459" t="s">
        <v>23522</v>
      </c>
      <c r="I459" s="118" t="s">
        <v>23552</v>
      </c>
      <c r="J459" s="119"/>
      <c r="L459" t="s">
        <v>23558</v>
      </c>
      <c r="M459" s="118" t="s">
        <v>23588</v>
      </c>
      <c r="N459" s="119"/>
      <c r="P459" t="s">
        <v>23594</v>
      </c>
      <c r="Q459" s="118" t="s">
        <v>23624</v>
      </c>
      <c r="R459" s="119"/>
      <c r="T459" t="s">
        <v>23630</v>
      </c>
      <c r="U459" s="118" t="s">
        <v>23660</v>
      </c>
      <c r="V459" s="119"/>
      <c r="X459" t="s">
        <v>23666</v>
      </c>
    </row>
    <row r="460" spans="1:24" x14ac:dyDescent="0.3">
      <c r="A460" s="118" t="s">
        <v>23481</v>
      </c>
      <c r="B460" s="119"/>
      <c r="D460" t="s">
        <v>23487</v>
      </c>
      <c r="E460" s="118" t="s">
        <v>23517</v>
      </c>
      <c r="F460" s="119"/>
      <c r="H460" t="s">
        <v>23523</v>
      </c>
      <c r="I460" s="118" t="s">
        <v>23553</v>
      </c>
      <c r="J460" s="119"/>
      <c r="L460" t="s">
        <v>23559</v>
      </c>
      <c r="M460" s="118" t="s">
        <v>23589</v>
      </c>
      <c r="N460" s="119"/>
      <c r="P460" t="s">
        <v>23595</v>
      </c>
      <c r="Q460" s="118" t="s">
        <v>23625</v>
      </c>
      <c r="R460" s="119"/>
      <c r="T460" t="s">
        <v>23631</v>
      </c>
      <c r="U460" s="118" t="s">
        <v>23661</v>
      </c>
      <c r="V460" s="119"/>
      <c r="X460" t="s">
        <v>23667</v>
      </c>
    </row>
    <row r="461" spans="1:24" x14ac:dyDescent="0.3">
      <c r="A461" s="118" t="s">
        <v>23672</v>
      </c>
      <c r="B461" s="119"/>
      <c r="D461" t="s">
        <v>23678</v>
      </c>
      <c r="E461" s="118" t="s">
        <v>23708</v>
      </c>
      <c r="F461" s="119"/>
      <c r="H461" t="s">
        <v>23714</v>
      </c>
      <c r="I461" s="118" t="s">
        <v>23744</v>
      </c>
      <c r="J461" s="119"/>
      <c r="L461" t="s">
        <v>23750</v>
      </c>
      <c r="M461" s="118" t="s">
        <v>23780</v>
      </c>
      <c r="N461" s="119"/>
      <c r="P461" t="s">
        <v>23786</v>
      </c>
      <c r="Q461" s="118" t="s">
        <v>23816</v>
      </c>
      <c r="R461" s="119"/>
      <c r="T461" t="s">
        <v>23822</v>
      </c>
      <c r="U461" s="118" t="s">
        <v>23852</v>
      </c>
      <c r="V461" s="119"/>
      <c r="X461" t="s">
        <v>23858</v>
      </c>
    </row>
    <row r="462" spans="1:24" x14ac:dyDescent="0.3">
      <c r="A462" s="118" t="s">
        <v>23673</v>
      </c>
      <c r="B462" s="119"/>
      <c r="D462" t="s">
        <v>23679</v>
      </c>
      <c r="E462" s="118" t="s">
        <v>23709</v>
      </c>
      <c r="F462" s="119"/>
      <c r="H462" t="s">
        <v>23715</v>
      </c>
      <c r="I462" s="118" t="s">
        <v>23745</v>
      </c>
      <c r="J462" s="119"/>
      <c r="L462" t="s">
        <v>23751</v>
      </c>
      <c r="M462" s="118" t="s">
        <v>23781</v>
      </c>
      <c r="N462" s="119"/>
      <c r="P462" t="s">
        <v>23787</v>
      </c>
      <c r="Q462" s="118" t="s">
        <v>23817</v>
      </c>
      <c r="R462" s="119"/>
      <c r="T462" t="s">
        <v>23823</v>
      </c>
      <c r="U462" s="118" t="s">
        <v>23853</v>
      </c>
      <c r="V462" s="119"/>
      <c r="X462" t="s">
        <v>23859</v>
      </c>
    </row>
    <row r="463" spans="1:24" x14ac:dyDescent="0.3">
      <c r="A463" s="118" t="s">
        <v>23684</v>
      </c>
      <c r="B463" s="119"/>
      <c r="D463" t="s">
        <v>23690</v>
      </c>
      <c r="E463" s="118" t="s">
        <v>23720</v>
      </c>
      <c r="F463" s="119"/>
      <c r="H463" t="s">
        <v>23726</v>
      </c>
      <c r="I463" s="118" t="s">
        <v>23756</v>
      </c>
      <c r="J463" s="119"/>
      <c r="L463" t="s">
        <v>23762</v>
      </c>
      <c r="M463" s="118" t="s">
        <v>23792</v>
      </c>
      <c r="N463" s="119"/>
      <c r="P463" t="s">
        <v>23798</v>
      </c>
      <c r="Q463" s="118" t="s">
        <v>23828</v>
      </c>
      <c r="R463" s="119"/>
      <c r="T463" t="s">
        <v>23834</v>
      </c>
      <c r="U463" s="118" t="s">
        <v>23864</v>
      </c>
      <c r="V463" s="119"/>
      <c r="X463" t="s">
        <v>23870</v>
      </c>
    </row>
    <row r="464" spans="1:24" x14ac:dyDescent="0.3">
      <c r="A464" s="118" t="s">
        <v>23685</v>
      </c>
      <c r="B464" s="119"/>
      <c r="D464" t="s">
        <v>23691</v>
      </c>
      <c r="E464" s="118" t="s">
        <v>23721</v>
      </c>
      <c r="F464" s="119"/>
      <c r="H464" t="s">
        <v>23727</v>
      </c>
      <c r="I464" s="118" t="s">
        <v>23757</v>
      </c>
      <c r="J464" s="119"/>
      <c r="L464" t="s">
        <v>23763</v>
      </c>
      <c r="M464" s="118" t="s">
        <v>23793</v>
      </c>
      <c r="N464" s="119"/>
      <c r="P464" t="s">
        <v>23799</v>
      </c>
      <c r="Q464" s="118" t="s">
        <v>23829</v>
      </c>
      <c r="R464" s="119"/>
      <c r="T464" t="s">
        <v>23835</v>
      </c>
      <c r="U464" s="118" t="s">
        <v>23865</v>
      </c>
      <c r="V464" s="119"/>
      <c r="X464" t="s">
        <v>23871</v>
      </c>
    </row>
    <row r="465" spans="1:24" x14ac:dyDescent="0.3">
      <c r="A465" s="118" t="s">
        <v>23696</v>
      </c>
      <c r="B465" s="119"/>
      <c r="D465" t="s">
        <v>23702</v>
      </c>
      <c r="E465" s="118" t="s">
        <v>23732</v>
      </c>
      <c r="F465" s="119"/>
      <c r="H465" t="s">
        <v>23738</v>
      </c>
      <c r="I465" s="118" t="s">
        <v>23768</v>
      </c>
      <c r="J465" s="119"/>
      <c r="L465" t="s">
        <v>23774</v>
      </c>
      <c r="M465" s="118" t="s">
        <v>23804</v>
      </c>
      <c r="N465" s="119"/>
      <c r="P465" t="s">
        <v>23810</v>
      </c>
      <c r="Q465" s="118" t="s">
        <v>23840</v>
      </c>
      <c r="R465" s="119"/>
      <c r="T465" t="s">
        <v>23846</v>
      </c>
      <c r="U465" s="118" t="s">
        <v>23876</v>
      </c>
      <c r="V465" s="119"/>
      <c r="X465" t="s">
        <v>23882</v>
      </c>
    </row>
    <row r="466" spans="1:24" x14ac:dyDescent="0.3">
      <c r="A466" s="118" t="s">
        <v>23697</v>
      </c>
      <c r="B466" s="119"/>
      <c r="D466" t="s">
        <v>23703</v>
      </c>
      <c r="E466" s="118" t="s">
        <v>23733</v>
      </c>
      <c r="F466" s="119"/>
      <c r="H466" t="s">
        <v>23739</v>
      </c>
      <c r="I466" s="118" t="s">
        <v>23769</v>
      </c>
      <c r="J466" s="119"/>
      <c r="L466" t="s">
        <v>23775</v>
      </c>
      <c r="M466" s="118" t="s">
        <v>23805</v>
      </c>
      <c r="N466" s="119"/>
      <c r="P466" t="s">
        <v>23811</v>
      </c>
      <c r="Q466" s="118" t="s">
        <v>23841</v>
      </c>
      <c r="R466" s="119"/>
      <c r="T466" t="s">
        <v>23847</v>
      </c>
      <c r="U466" s="118" t="s">
        <v>23877</v>
      </c>
      <c r="V466" s="119"/>
      <c r="X466" t="s">
        <v>23883</v>
      </c>
    </row>
    <row r="467" spans="1:24" x14ac:dyDescent="0.3">
      <c r="A467" s="118" t="s">
        <v>23888</v>
      </c>
      <c r="B467" s="119"/>
      <c r="D467" t="s">
        <v>23894</v>
      </c>
      <c r="E467" s="118" t="s">
        <v>23924</v>
      </c>
      <c r="F467" s="119"/>
      <c r="H467" t="s">
        <v>23930</v>
      </c>
      <c r="I467" s="118" t="s">
        <v>23960</v>
      </c>
      <c r="J467" s="119"/>
      <c r="L467" t="s">
        <v>23966</v>
      </c>
      <c r="M467" s="118" t="s">
        <v>23996</v>
      </c>
      <c r="N467" s="119"/>
      <c r="P467" t="s">
        <v>24002</v>
      </c>
      <c r="Q467" s="118" t="s">
        <v>24032</v>
      </c>
      <c r="R467" s="119"/>
      <c r="T467" t="s">
        <v>24038</v>
      </c>
      <c r="U467" s="118" t="s">
        <v>24068</v>
      </c>
      <c r="V467" s="119"/>
      <c r="X467" t="s">
        <v>24074</v>
      </c>
    </row>
    <row r="468" spans="1:24" x14ac:dyDescent="0.3">
      <c r="A468" s="118" t="s">
        <v>23889</v>
      </c>
      <c r="B468" s="119"/>
      <c r="D468" t="s">
        <v>23895</v>
      </c>
      <c r="E468" s="118" t="s">
        <v>23925</v>
      </c>
      <c r="F468" s="119"/>
      <c r="H468" t="s">
        <v>23931</v>
      </c>
      <c r="I468" s="118" t="s">
        <v>23961</v>
      </c>
      <c r="J468" s="119"/>
      <c r="L468" t="s">
        <v>23967</v>
      </c>
      <c r="M468" s="118" t="s">
        <v>23997</v>
      </c>
      <c r="N468" s="119"/>
      <c r="P468" t="s">
        <v>24003</v>
      </c>
      <c r="Q468" s="118" t="s">
        <v>24033</v>
      </c>
      <c r="R468" s="119"/>
      <c r="T468" t="s">
        <v>24039</v>
      </c>
      <c r="U468" s="118" t="s">
        <v>24069</v>
      </c>
      <c r="V468" s="119"/>
      <c r="X468" t="s">
        <v>24075</v>
      </c>
    </row>
    <row r="469" spans="1:24" x14ac:dyDescent="0.3">
      <c r="A469" s="118" t="s">
        <v>23900</v>
      </c>
      <c r="B469" s="119"/>
      <c r="D469" t="s">
        <v>23906</v>
      </c>
      <c r="E469" s="118" t="s">
        <v>23936</v>
      </c>
      <c r="F469" s="119"/>
      <c r="H469" t="s">
        <v>23942</v>
      </c>
      <c r="I469" s="118" t="s">
        <v>23972</v>
      </c>
      <c r="J469" s="119"/>
      <c r="L469" t="s">
        <v>23978</v>
      </c>
      <c r="M469" s="118" t="s">
        <v>24008</v>
      </c>
      <c r="N469" s="119"/>
      <c r="P469" t="s">
        <v>24014</v>
      </c>
      <c r="Q469" s="118" t="s">
        <v>24044</v>
      </c>
      <c r="R469" s="119"/>
      <c r="T469" t="s">
        <v>24050</v>
      </c>
      <c r="U469" s="118" t="s">
        <v>24080</v>
      </c>
      <c r="V469" s="119"/>
      <c r="X469" t="s">
        <v>24086</v>
      </c>
    </row>
    <row r="470" spans="1:24" x14ac:dyDescent="0.3">
      <c r="A470" s="118" t="s">
        <v>23901</v>
      </c>
      <c r="B470" s="119"/>
      <c r="D470" t="s">
        <v>23907</v>
      </c>
      <c r="E470" s="118" t="s">
        <v>23937</v>
      </c>
      <c r="F470" s="119"/>
      <c r="H470" t="s">
        <v>23943</v>
      </c>
      <c r="I470" s="118" t="s">
        <v>23973</v>
      </c>
      <c r="J470" s="119"/>
      <c r="L470" t="s">
        <v>23979</v>
      </c>
      <c r="M470" s="118" t="s">
        <v>24009</v>
      </c>
      <c r="N470" s="119"/>
      <c r="P470" t="s">
        <v>24015</v>
      </c>
      <c r="Q470" s="118" t="s">
        <v>24045</v>
      </c>
      <c r="R470" s="119"/>
      <c r="T470" t="s">
        <v>24051</v>
      </c>
      <c r="U470" s="118" t="s">
        <v>24081</v>
      </c>
      <c r="V470" s="119"/>
      <c r="X470" t="s">
        <v>24087</v>
      </c>
    </row>
    <row r="471" spans="1:24" x14ac:dyDescent="0.3">
      <c r="A471" s="118" t="s">
        <v>23912</v>
      </c>
      <c r="B471" s="119"/>
      <c r="D471" t="s">
        <v>23918</v>
      </c>
      <c r="E471" s="118" t="s">
        <v>23948</v>
      </c>
      <c r="F471" s="119"/>
      <c r="H471" t="s">
        <v>23954</v>
      </c>
      <c r="I471" s="118" t="s">
        <v>23984</v>
      </c>
      <c r="J471" s="119"/>
      <c r="L471" t="s">
        <v>23990</v>
      </c>
      <c r="M471" s="118" t="s">
        <v>24020</v>
      </c>
      <c r="N471" s="119"/>
      <c r="P471" t="s">
        <v>24026</v>
      </c>
      <c r="Q471" s="118" t="s">
        <v>24056</v>
      </c>
      <c r="R471" s="119"/>
      <c r="T471" t="s">
        <v>24062</v>
      </c>
      <c r="U471" s="118" t="s">
        <v>24092</v>
      </c>
      <c r="V471" s="119"/>
      <c r="X471" t="s">
        <v>24098</v>
      </c>
    </row>
    <row r="472" spans="1:24" x14ac:dyDescent="0.3">
      <c r="A472" s="118" t="s">
        <v>23913</v>
      </c>
      <c r="B472" s="119"/>
      <c r="D472" t="s">
        <v>23919</v>
      </c>
      <c r="E472" s="118" t="s">
        <v>23949</v>
      </c>
      <c r="F472" s="119"/>
      <c r="H472" t="s">
        <v>23955</v>
      </c>
      <c r="I472" s="118" t="s">
        <v>23985</v>
      </c>
      <c r="J472" s="119"/>
      <c r="L472" t="s">
        <v>23991</v>
      </c>
      <c r="M472" s="118" t="s">
        <v>24021</v>
      </c>
      <c r="N472" s="119"/>
      <c r="P472" t="s">
        <v>24027</v>
      </c>
      <c r="Q472" s="118" t="s">
        <v>24057</v>
      </c>
      <c r="R472" s="119"/>
      <c r="T472" t="s">
        <v>24063</v>
      </c>
      <c r="U472" s="118" t="s">
        <v>24093</v>
      </c>
      <c r="V472" s="119"/>
      <c r="X472" t="s">
        <v>24099</v>
      </c>
    </row>
    <row r="473" spans="1:24" x14ac:dyDescent="0.3">
      <c r="A473" s="118" t="s">
        <v>24104</v>
      </c>
      <c r="B473" s="119"/>
      <c r="D473" t="s">
        <v>24110</v>
      </c>
      <c r="E473" s="118" t="s">
        <v>24140</v>
      </c>
      <c r="F473" s="119"/>
      <c r="H473" t="s">
        <v>24146</v>
      </c>
      <c r="I473" s="118" t="s">
        <v>24176</v>
      </c>
      <c r="J473" s="119"/>
      <c r="L473" t="s">
        <v>24182</v>
      </c>
      <c r="M473" s="118" t="s">
        <v>24212</v>
      </c>
      <c r="N473" s="119"/>
      <c r="P473" t="s">
        <v>24218</v>
      </c>
      <c r="Q473" s="118" t="s">
        <v>24248</v>
      </c>
      <c r="R473" s="119"/>
      <c r="T473" t="s">
        <v>24254</v>
      </c>
      <c r="U473" s="118" t="s">
        <v>24284</v>
      </c>
      <c r="V473" s="119"/>
      <c r="X473" t="s">
        <v>24290</v>
      </c>
    </row>
    <row r="474" spans="1:24" x14ac:dyDescent="0.3">
      <c r="A474" s="118" t="s">
        <v>24105</v>
      </c>
      <c r="B474" s="119"/>
      <c r="D474" t="s">
        <v>24111</v>
      </c>
      <c r="E474" s="118" t="s">
        <v>24141</v>
      </c>
      <c r="F474" s="119"/>
      <c r="H474" t="s">
        <v>24147</v>
      </c>
      <c r="I474" s="118" t="s">
        <v>24177</v>
      </c>
      <c r="J474" s="119"/>
      <c r="L474" t="s">
        <v>24183</v>
      </c>
      <c r="M474" s="118" t="s">
        <v>24213</v>
      </c>
      <c r="N474" s="119"/>
      <c r="P474" t="s">
        <v>24219</v>
      </c>
      <c r="Q474" s="118" t="s">
        <v>24249</v>
      </c>
      <c r="R474" s="119"/>
      <c r="T474" t="s">
        <v>24255</v>
      </c>
      <c r="U474" s="118" t="s">
        <v>24285</v>
      </c>
      <c r="V474" s="119"/>
      <c r="X474" t="s">
        <v>24291</v>
      </c>
    </row>
    <row r="475" spans="1:24" x14ac:dyDescent="0.3">
      <c r="A475" s="118" t="s">
        <v>24116</v>
      </c>
      <c r="B475" s="119"/>
      <c r="D475" t="s">
        <v>24122</v>
      </c>
      <c r="E475" s="118" t="s">
        <v>24152</v>
      </c>
      <c r="F475" s="119"/>
      <c r="H475" t="s">
        <v>24158</v>
      </c>
      <c r="I475" s="118" t="s">
        <v>24188</v>
      </c>
      <c r="J475" s="119"/>
      <c r="L475" t="s">
        <v>24194</v>
      </c>
      <c r="M475" s="118" t="s">
        <v>24224</v>
      </c>
      <c r="N475" s="119"/>
      <c r="P475" t="s">
        <v>24230</v>
      </c>
      <c r="Q475" s="118" t="s">
        <v>24260</v>
      </c>
      <c r="R475" s="119"/>
      <c r="T475" t="s">
        <v>24266</v>
      </c>
      <c r="U475" s="118" t="s">
        <v>24296</v>
      </c>
      <c r="V475" s="119"/>
      <c r="X475" t="s">
        <v>24302</v>
      </c>
    </row>
    <row r="476" spans="1:24" x14ac:dyDescent="0.3">
      <c r="A476" s="118" t="s">
        <v>24117</v>
      </c>
      <c r="B476" s="119"/>
      <c r="D476" t="s">
        <v>24123</v>
      </c>
      <c r="E476" s="118" t="s">
        <v>24153</v>
      </c>
      <c r="F476" s="119"/>
      <c r="H476" t="s">
        <v>24159</v>
      </c>
      <c r="I476" s="118" t="s">
        <v>24189</v>
      </c>
      <c r="J476" s="119"/>
      <c r="L476" t="s">
        <v>24195</v>
      </c>
      <c r="M476" s="118" t="s">
        <v>24225</v>
      </c>
      <c r="N476" s="119"/>
      <c r="P476" t="s">
        <v>24231</v>
      </c>
      <c r="Q476" s="118" t="s">
        <v>24261</v>
      </c>
      <c r="R476" s="119"/>
      <c r="T476" t="s">
        <v>24267</v>
      </c>
      <c r="U476" s="118" t="s">
        <v>24297</v>
      </c>
      <c r="V476" s="119"/>
      <c r="X476" t="s">
        <v>24303</v>
      </c>
    </row>
    <row r="477" spans="1:24" x14ac:dyDescent="0.3">
      <c r="A477" s="118" t="s">
        <v>24128</v>
      </c>
      <c r="B477" s="119"/>
      <c r="D477" t="s">
        <v>24134</v>
      </c>
      <c r="E477" s="118" t="s">
        <v>24164</v>
      </c>
      <c r="F477" s="119"/>
      <c r="H477" t="s">
        <v>24170</v>
      </c>
      <c r="I477" s="118" t="s">
        <v>24200</v>
      </c>
      <c r="J477" s="119"/>
      <c r="L477" t="s">
        <v>24206</v>
      </c>
      <c r="M477" s="118" t="s">
        <v>24236</v>
      </c>
      <c r="N477" s="119"/>
      <c r="P477" t="s">
        <v>24242</v>
      </c>
      <c r="Q477" s="118" t="s">
        <v>24272</v>
      </c>
      <c r="R477" s="119"/>
      <c r="T477" t="s">
        <v>24278</v>
      </c>
      <c r="U477" s="118" t="s">
        <v>24308</v>
      </c>
      <c r="V477" s="119"/>
      <c r="X477" t="s">
        <v>24314</v>
      </c>
    </row>
    <row r="478" spans="1:24" x14ac:dyDescent="0.3">
      <c r="A478" s="118" t="s">
        <v>24129</v>
      </c>
      <c r="B478" s="119"/>
      <c r="D478" t="s">
        <v>24135</v>
      </c>
      <c r="E478" s="118" t="s">
        <v>24165</v>
      </c>
      <c r="F478" s="119"/>
      <c r="H478" t="s">
        <v>24171</v>
      </c>
      <c r="I478" s="118" t="s">
        <v>24201</v>
      </c>
      <c r="J478" s="119"/>
      <c r="L478" t="s">
        <v>24207</v>
      </c>
      <c r="M478" s="118" t="s">
        <v>24237</v>
      </c>
      <c r="N478" s="119"/>
      <c r="P478" t="s">
        <v>24243</v>
      </c>
      <c r="Q478" s="118" t="s">
        <v>24273</v>
      </c>
      <c r="R478" s="119"/>
      <c r="T478" t="s">
        <v>24279</v>
      </c>
      <c r="U478" s="118" t="s">
        <v>24309</v>
      </c>
      <c r="V478" s="119"/>
      <c r="X478" t="s">
        <v>24315</v>
      </c>
    </row>
    <row r="479" spans="1:24" x14ac:dyDescent="0.3">
      <c r="A479" s="118" t="s">
        <v>24320</v>
      </c>
      <c r="B479" s="119"/>
      <c r="D479" t="s">
        <v>24326</v>
      </c>
      <c r="E479" s="118" t="s">
        <v>24356</v>
      </c>
      <c r="F479" s="119"/>
      <c r="H479" t="s">
        <v>24362</v>
      </c>
      <c r="I479" s="118" t="s">
        <v>24392</v>
      </c>
      <c r="J479" s="119"/>
      <c r="L479" t="s">
        <v>24398</v>
      </c>
      <c r="M479" s="118" t="s">
        <v>24428</v>
      </c>
      <c r="N479" s="119"/>
      <c r="P479" t="s">
        <v>24434</v>
      </c>
      <c r="Q479" s="118" t="s">
        <v>24464</v>
      </c>
      <c r="R479" s="119"/>
      <c r="T479" t="s">
        <v>24470</v>
      </c>
      <c r="U479" s="118" t="s">
        <v>24500</v>
      </c>
      <c r="V479" s="119"/>
      <c r="X479" t="s">
        <v>24506</v>
      </c>
    </row>
    <row r="480" spans="1:24" x14ac:dyDescent="0.3">
      <c r="A480" s="118" t="s">
        <v>24321</v>
      </c>
      <c r="B480" s="119"/>
      <c r="D480" t="s">
        <v>24327</v>
      </c>
      <c r="E480" s="118" t="s">
        <v>24357</v>
      </c>
      <c r="F480" s="119"/>
      <c r="H480" t="s">
        <v>24363</v>
      </c>
      <c r="I480" s="118" t="s">
        <v>24393</v>
      </c>
      <c r="J480" s="119"/>
      <c r="L480" t="s">
        <v>24399</v>
      </c>
      <c r="M480" s="118" t="s">
        <v>24429</v>
      </c>
      <c r="N480" s="119"/>
      <c r="P480" t="s">
        <v>24435</v>
      </c>
      <c r="Q480" s="118" t="s">
        <v>24465</v>
      </c>
      <c r="R480" s="119"/>
      <c r="T480" t="s">
        <v>24471</v>
      </c>
      <c r="U480" s="118" t="s">
        <v>24501</v>
      </c>
      <c r="V480" s="119"/>
      <c r="X480" t="s">
        <v>24507</v>
      </c>
    </row>
    <row r="481" spans="1:24" x14ac:dyDescent="0.3">
      <c r="A481" s="118" t="s">
        <v>24332</v>
      </c>
      <c r="B481" s="119"/>
      <c r="D481" t="s">
        <v>24338</v>
      </c>
      <c r="E481" s="118" t="s">
        <v>24368</v>
      </c>
      <c r="F481" s="119"/>
      <c r="H481" t="s">
        <v>24374</v>
      </c>
      <c r="I481" s="118" t="s">
        <v>24404</v>
      </c>
      <c r="J481" s="119"/>
      <c r="L481" t="s">
        <v>24410</v>
      </c>
      <c r="M481" s="118" t="s">
        <v>24440</v>
      </c>
      <c r="N481" s="119"/>
      <c r="P481" t="s">
        <v>24446</v>
      </c>
      <c r="Q481" s="118" t="s">
        <v>24476</v>
      </c>
      <c r="R481" s="119"/>
      <c r="T481" t="s">
        <v>24482</v>
      </c>
      <c r="U481" s="118" t="s">
        <v>24512</v>
      </c>
      <c r="V481" s="119"/>
      <c r="X481" t="s">
        <v>24518</v>
      </c>
    </row>
    <row r="482" spans="1:24" x14ac:dyDescent="0.3">
      <c r="A482" s="118" t="s">
        <v>24333</v>
      </c>
      <c r="B482" s="119"/>
      <c r="D482" t="s">
        <v>24339</v>
      </c>
      <c r="E482" s="118" t="s">
        <v>24369</v>
      </c>
      <c r="F482" s="119"/>
      <c r="H482" t="s">
        <v>24375</v>
      </c>
      <c r="I482" s="118" t="s">
        <v>24405</v>
      </c>
      <c r="J482" s="119"/>
      <c r="L482" t="s">
        <v>24411</v>
      </c>
      <c r="M482" s="118" t="s">
        <v>24441</v>
      </c>
      <c r="N482" s="119"/>
      <c r="P482" t="s">
        <v>24447</v>
      </c>
      <c r="Q482" s="118" t="s">
        <v>24477</v>
      </c>
      <c r="R482" s="119"/>
      <c r="T482" t="s">
        <v>24483</v>
      </c>
      <c r="U482" s="118" t="s">
        <v>24513</v>
      </c>
      <c r="V482" s="119"/>
      <c r="X482" t="s">
        <v>24519</v>
      </c>
    </row>
    <row r="483" spans="1:24" x14ac:dyDescent="0.3">
      <c r="A483" s="118" t="s">
        <v>24344</v>
      </c>
      <c r="B483" s="119"/>
      <c r="D483" t="s">
        <v>24350</v>
      </c>
      <c r="E483" s="118" t="s">
        <v>24380</v>
      </c>
      <c r="F483" s="119"/>
      <c r="H483" t="s">
        <v>24386</v>
      </c>
      <c r="I483" s="118" t="s">
        <v>24416</v>
      </c>
      <c r="J483" s="119"/>
      <c r="L483" t="s">
        <v>24422</v>
      </c>
      <c r="M483" s="118" t="s">
        <v>24452</v>
      </c>
      <c r="N483" s="119"/>
      <c r="P483" t="s">
        <v>24458</v>
      </c>
      <c r="Q483" s="118" t="s">
        <v>24488</v>
      </c>
      <c r="R483" s="119"/>
      <c r="T483" t="s">
        <v>24494</v>
      </c>
      <c r="U483" s="118" t="s">
        <v>24524</v>
      </c>
      <c r="V483" s="119"/>
      <c r="X483" t="s">
        <v>24530</v>
      </c>
    </row>
    <row r="484" spans="1:24" x14ac:dyDescent="0.3">
      <c r="A484" s="118" t="s">
        <v>24345</v>
      </c>
      <c r="B484" s="119"/>
      <c r="D484" t="s">
        <v>24351</v>
      </c>
      <c r="E484" s="118" t="s">
        <v>24381</v>
      </c>
      <c r="F484" s="119"/>
      <c r="H484" t="s">
        <v>24387</v>
      </c>
      <c r="I484" s="118" t="s">
        <v>24417</v>
      </c>
      <c r="J484" s="119"/>
      <c r="L484" t="s">
        <v>24423</v>
      </c>
      <c r="M484" s="118" t="s">
        <v>24453</v>
      </c>
      <c r="N484" s="119"/>
      <c r="P484" t="s">
        <v>24459</v>
      </c>
      <c r="Q484" s="118" t="s">
        <v>24489</v>
      </c>
      <c r="R484" s="119"/>
      <c r="T484" t="s">
        <v>24495</v>
      </c>
      <c r="U484" s="118" t="s">
        <v>24525</v>
      </c>
      <c r="V484" s="119"/>
      <c r="X484" t="s">
        <v>24531</v>
      </c>
    </row>
    <row r="485" spans="1:24" x14ac:dyDescent="0.3">
      <c r="A485" s="118" t="s">
        <v>24536</v>
      </c>
      <c r="B485" s="119"/>
      <c r="D485" t="s">
        <v>24542</v>
      </c>
      <c r="E485" s="118" t="s">
        <v>24572</v>
      </c>
      <c r="F485" s="119"/>
      <c r="H485" t="s">
        <v>24578</v>
      </c>
      <c r="I485" s="118" t="s">
        <v>24608</v>
      </c>
      <c r="J485" s="119"/>
      <c r="L485" t="s">
        <v>24614</v>
      </c>
      <c r="M485" s="118" t="s">
        <v>24644</v>
      </c>
      <c r="N485" s="119"/>
      <c r="P485" t="s">
        <v>24650</v>
      </c>
      <c r="Q485" s="118" t="s">
        <v>24680</v>
      </c>
      <c r="R485" s="119"/>
      <c r="T485" t="s">
        <v>24686</v>
      </c>
      <c r="U485" s="118" t="s">
        <v>24716</v>
      </c>
      <c r="V485" s="119"/>
      <c r="X485" t="s">
        <v>24722</v>
      </c>
    </row>
    <row r="486" spans="1:24" x14ac:dyDescent="0.3">
      <c r="A486" s="118" t="s">
        <v>24537</v>
      </c>
      <c r="B486" s="119"/>
      <c r="D486" t="s">
        <v>24543</v>
      </c>
      <c r="E486" s="118" t="s">
        <v>24573</v>
      </c>
      <c r="F486" s="119"/>
      <c r="H486" t="s">
        <v>24579</v>
      </c>
      <c r="I486" s="118" t="s">
        <v>24609</v>
      </c>
      <c r="J486" s="119"/>
      <c r="L486" t="s">
        <v>24615</v>
      </c>
      <c r="M486" s="118" t="s">
        <v>24645</v>
      </c>
      <c r="N486" s="119"/>
      <c r="P486" t="s">
        <v>24651</v>
      </c>
      <c r="Q486" s="118" t="s">
        <v>24681</v>
      </c>
      <c r="R486" s="119"/>
      <c r="T486" t="s">
        <v>24687</v>
      </c>
      <c r="U486" s="118" t="s">
        <v>24717</v>
      </c>
      <c r="V486" s="119"/>
      <c r="X486" t="s">
        <v>24723</v>
      </c>
    </row>
    <row r="487" spans="1:24" x14ac:dyDescent="0.3">
      <c r="A487" s="118" t="s">
        <v>24548</v>
      </c>
      <c r="B487" s="119"/>
      <c r="D487" t="s">
        <v>24554</v>
      </c>
      <c r="E487" s="118" t="s">
        <v>24584</v>
      </c>
      <c r="F487" s="119"/>
      <c r="H487" t="s">
        <v>24590</v>
      </c>
      <c r="I487" s="118" t="s">
        <v>24620</v>
      </c>
      <c r="J487" s="119"/>
      <c r="L487" t="s">
        <v>24626</v>
      </c>
      <c r="M487" s="118" t="s">
        <v>24656</v>
      </c>
      <c r="N487" s="119"/>
      <c r="P487" t="s">
        <v>24662</v>
      </c>
      <c r="Q487" s="118" t="s">
        <v>24692</v>
      </c>
      <c r="R487" s="119"/>
      <c r="T487" t="s">
        <v>24698</v>
      </c>
      <c r="U487" s="118" t="s">
        <v>24728</v>
      </c>
      <c r="V487" s="119"/>
      <c r="X487" t="s">
        <v>24734</v>
      </c>
    </row>
    <row r="488" spans="1:24" x14ac:dyDescent="0.3">
      <c r="A488" s="118" t="s">
        <v>24549</v>
      </c>
      <c r="B488" s="119"/>
      <c r="D488" t="s">
        <v>24555</v>
      </c>
      <c r="E488" s="118" t="s">
        <v>24585</v>
      </c>
      <c r="F488" s="119"/>
      <c r="H488" t="s">
        <v>24591</v>
      </c>
      <c r="I488" s="118" t="s">
        <v>24621</v>
      </c>
      <c r="J488" s="119"/>
      <c r="L488" t="s">
        <v>24627</v>
      </c>
      <c r="M488" s="118" t="s">
        <v>24657</v>
      </c>
      <c r="N488" s="119"/>
      <c r="P488" t="s">
        <v>24663</v>
      </c>
      <c r="Q488" s="118" t="s">
        <v>24693</v>
      </c>
      <c r="R488" s="119"/>
      <c r="T488" t="s">
        <v>24699</v>
      </c>
      <c r="U488" s="118" t="s">
        <v>24729</v>
      </c>
      <c r="V488" s="119"/>
      <c r="X488" t="s">
        <v>24735</v>
      </c>
    </row>
    <row r="489" spans="1:24" x14ac:dyDescent="0.3">
      <c r="A489" s="118" t="s">
        <v>24560</v>
      </c>
      <c r="B489" s="119"/>
      <c r="D489" t="s">
        <v>24566</v>
      </c>
      <c r="E489" s="118" t="s">
        <v>24596</v>
      </c>
      <c r="F489" s="119"/>
      <c r="H489" t="s">
        <v>24602</v>
      </c>
      <c r="I489" s="118" t="s">
        <v>24632</v>
      </c>
      <c r="J489" s="119"/>
      <c r="L489" t="s">
        <v>24638</v>
      </c>
      <c r="M489" s="118" t="s">
        <v>24668</v>
      </c>
      <c r="N489" s="119"/>
      <c r="P489" t="s">
        <v>24674</v>
      </c>
      <c r="Q489" s="118" t="s">
        <v>24704</v>
      </c>
      <c r="R489" s="119"/>
      <c r="T489" t="s">
        <v>24710</v>
      </c>
      <c r="U489" s="118" t="s">
        <v>24740</v>
      </c>
      <c r="V489" s="119"/>
      <c r="X489" t="s">
        <v>24746</v>
      </c>
    </row>
    <row r="490" spans="1:24" x14ac:dyDescent="0.3">
      <c r="A490" s="118" t="s">
        <v>24561</v>
      </c>
      <c r="B490" s="119"/>
      <c r="D490" t="s">
        <v>24567</v>
      </c>
      <c r="E490" s="118" t="s">
        <v>24597</v>
      </c>
      <c r="F490" s="119"/>
      <c r="H490" t="s">
        <v>24603</v>
      </c>
      <c r="I490" s="118" t="s">
        <v>24633</v>
      </c>
      <c r="J490" s="119"/>
      <c r="L490" t="s">
        <v>24639</v>
      </c>
      <c r="M490" s="118" t="s">
        <v>24669</v>
      </c>
      <c r="N490" s="119"/>
      <c r="P490" t="s">
        <v>24675</v>
      </c>
      <c r="Q490" s="118" t="s">
        <v>24705</v>
      </c>
      <c r="R490" s="119"/>
      <c r="T490" t="s">
        <v>24711</v>
      </c>
      <c r="U490" s="118" t="s">
        <v>24741</v>
      </c>
      <c r="V490" s="119"/>
      <c r="X490" t="s">
        <v>24747</v>
      </c>
    </row>
    <row r="491" spans="1:24" x14ac:dyDescent="0.3">
      <c r="A491" s="118" t="s">
        <v>24752</v>
      </c>
      <c r="B491" s="119"/>
      <c r="D491" t="s">
        <v>24758</v>
      </c>
      <c r="E491" s="118" t="s">
        <v>24788</v>
      </c>
      <c r="F491" s="119"/>
      <c r="H491" t="s">
        <v>24794</v>
      </c>
      <c r="I491" s="118" t="s">
        <v>24824</v>
      </c>
      <c r="J491" s="119"/>
      <c r="L491" t="s">
        <v>24830</v>
      </c>
      <c r="M491" s="118" t="s">
        <v>24860</v>
      </c>
      <c r="N491" s="119"/>
      <c r="P491" t="s">
        <v>24866</v>
      </c>
      <c r="Q491" s="118" t="s">
        <v>24896</v>
      </c>
      <c r="R491" s="119"/>
      <c r="T491" t="s">
        <v>24902</v>
      </c>
      <c r="U491" s="118" t="s">
        <v>24932</v>
      </c>
      <c r="V491" s="119"/>
      <c r="X491" t="s">
        <v>24938</v>
      </c>
    </row>
    <row r="492" spans="1:24" x14ac:dyDescent="0.3">
      <c r="A492" s="118" t="s">
        <v>24753</v>
      </c>
      <c r="B492" s="119"/>
      <c r="D492" t="s">
        <v>24759</v>
      </c>
      <c r="E492" s="118" t="s">
        <v>24789</v>
      </c>
      <c r="F492" s="119"/>
      <c r="H492" t="s">
        <v>24795</v>
      </c>
      <c r="I492" s="118" t="s">
        <v>24825</v>
      </c>
      <c r="J492" s="119"/>
      <c r="L492" t="s">
        <v>24831</v>
      </c>
      <c r="M492" s="118" t="s">
        <v>24861</v>
      </c>
      <c r="N492" s="119"/>
      <c r="P492" t="s">
        <v>24867</v>
      </c>
      <c r="Q492" s="118" t="s">
        <v>24897</v>
      </c>
      <c r="R492" s="119"/>
      <c r="T492" t="s">
        <v>24903</v>
      </c>
      <c r="U492" s="118" t="s">
        <v>24933</v>
      </c>
      <c r="V492" s="119"/>
      <c r="X492" t="s">
        <v>24939</v>
      </c>
    </row>
    <row r="493" spans="1:24" x14ac:dyDescent="0.3">
      <c r="A493" s="118" t="s">
        <v>24764</v>
      </c>
      <c r="B493" s="119"/>
      <c r="D493" t="s">
        <v>24770</v>
      </c>
      <c r="E493" s="118" t="s">
        <v>24800</v>
      </c>
      <c r="F493" s="119"/>
      <c r="H493" t="s">
        <v>24806</v>
      </c>
      <c r="I493" s="118" t="s">
        <v>24836</v>
      </c>
      <c r="J493" s="119"/>
      <c r="L493" t="s">
        <v>24842</v>
      </c>
      <c r="M493" s="118" t="s">
        <v>24872</v>
      </c>
      <c r="N493" s="119"/>
      <c r="P493" t="s">
        <v>24878</v>
      </c>
      <c r="Q493" s="118" t="s">
        <v>24908</v>
      </c>
      <c r="R493" s="119"/>
      <c r="T493" t="s">
        <v>24914</v>
      </c>
      <c r="U493" s="118" t="s">
        <v>24944</v>
      </c>
      <c r="V493" s="119"/>
      <c r="X493" t="s">
        <v>24950</v>
      </c>
    </row>
    <row r="494" spans="1:24" x14ac:dyDescent="0.3">
      <c r="A494" s="118" t="s">
        <v>24765</v>
      </c>
      <c r="B494" s="119"/>
      <c r="D494" t="s">
        <v>24771</v>
      </c>
      <c r="E494" s="118" t="s">
        <v>24801</v>
      </c>
      <c r="F494" s="119"/>
      <c r="H494" t="s">
        <v>24807</v>
      </c>
      <c r="I494" s="118" t="s">
        <v>24837</v>
      </c>
      <c r="J494" s="119"/>
      <c r="L494" t="s">
        <v>24843</v>
      </c>
      <c r="M494" s="118" t="s">
        <v>24873</v>
      </c>
      <c r="N494" s="119"/>
      <c r="P494" t="s">
        <v>24879</v>
      </c>
      <c r="Q494" s="118" t="s">
        <v>24909</v>
      </c>
      <c r="R494" s="119"/>
      <c r="T494" t="s">
        <v>24915</v>
      </c>
      <c r="U494" s="118" t="s">
        <v>24945</v>
      </c>
      <c r="V494" s="119"/>
      <c r="X494" t="s">
        <v>24951</v>
      </c>
    </row>
    <row r="495" spans="1:24" x14ac:dyDescent="0.3">
      <c r="A495" s="118" t="s">
        <v>24776</v>
      </c>
      <c r="B495" s="119"/>
      <c r="D495" t="s">
        <v>24782</v>
      </c>
      <c r="E495" s="118" t="s">
        <v>24812</v>
      </c>
      <c r="F495" s="119"/>
      <c r="H495" t="s">
        <v>24818</v>
      </c>
      <c r="I495" s="118" t="s">
        <v>24848</v>
      </c>
      <c r="J495" s="119"/>
      <c r="L495" t="s">
        <v>24854</v>
      </c>
      <c r="M495" s="118" t="s">
        <v>24884</v>
      </c>
      <c r="N495" s="119"/>
      <c r="P495" t="s">
        <v>24890</v>
      </c>
      <c r="Q495" s="118" t="s">
        <v>24920</v>
      </c>
      <c r="R495" s="119"/>
      <c r="T495" t="s">
        <v>24926</v>
      </c>
      <c r="U495" s="118" t="s">
        <v>24956</v>
      </c>
      <c r="V495" s="119"/>
      <c r="X495" t="s">
        <v>24962</v>
      </c>
    </row>
    <row r="496" spans="1:24" x14ac:dyDescent="0.3">
      <c r="A496" s="118" t="s">
        <v>24777</v>
      </c>
      <c r="B496" s="119"/>
      <c r="D496" t="s">
        <v>24783</v>
      </c>
      <c r="E496" s="118" t="s">
        <v>24813</v>
      </c>
      <c r="F496" s="119"/>
      <c r="H496" t="s">
        <v>24819</v>
      </c>
      <c r="I496" s="118" t="s">
        <v>24849</v>
      </c>
      <c r="J496" s="119"/>
      <c r="L496" t="s">
        <v>24855</v>
      </c>
      <c r="M496" s="118" t="s">
        <v>24885</v>
      </c>
      <c r="N496" s="119"/>
      <c r="P496" t="s">
        <v>24891</v>
      </c>
      <c r="Q496" s="118" t="s">
        <v>24921</v>
      </c>
      <c r="R496" s="119"/>
      <c r="T496" t="s">
        <v>24927</v>
      </c>
      <c r="U496" s="118" t="s">
        <v>24957</v>
      </c>
      <c r="V496" s="119"/>
      <c r="X496" t="s">
        <v>24963</v>
      </c>
    </row>
    <row r="497" spans="1:24" x14ac:dyDescent="0.3">
      <c r="A497" s="118" t="s">
        <v>24968</v>
      </c>
      <c r="B497" s="119"/>
      <c r="D497" t="s">
        <v>24974</v>
      </c>
      <c r="E497" s="118" t="s">
        <v>25004</v>
      </c>
      <c r="F497" s="119"/>
      <c r="H497" t="s">
        <v>25010</v>
      </c>
      <c r="I497" s="118" t="s">
        <v>25040</v>
      </c>
      <c r="J497" s="119"/>
      <c r="L497" t="s">
        <v>25046</v>
      </c>
      <c r="M497" s="118" t="s">
        <v>25076</v>
      </c>
      <c r="N497" s="119"/>
      <c r="P497" t="s">
        <v>25082</v>
      </c>
      <c r="Q497" s="118" t="s">
        <v>25112</v>
      </c>
      <c r="R497" s="119"/>
      <c r="T497" t="s">
        <v>25118</v>
      </c>
      <c r="U497" s="118" t="s">
        <v>25148</v>
      </c>
      <c r="V497" s="119"/>
      <c r="X497" t="s">
        <v>25154</v>
      </c>
    </row>
    <row r="498" spans="1:24" x14ac:dyDescent="0.3">
      <c r="A498" s="118" t="s">
        <v>24969</v>
      </c>
      <c r="B498" s="119"/>
      <c r="D498" t="s">
        <v>24975</v>
      </c>
      <c r="E498" s="118" t="s">
        <v>25005</v>
      </c>
      <c r="F498" s="119"/>
      <c r="H498" t="s">
        <v>25011</v>
      </c>
      <c r="I498" s="118" t="s">
        <v>25041</v>
      </c>
      <c r="J498" s="119"/>
      <c r="L498" t="s">
        <v>25047</v>
      </c>
      <c r="M498" s="118" t="s">
        <v>25077</v>
      </c>
      <c r="N498" s="119"/>
      <c r="P498" t="s">
        <v>25083</v>
      </c>
      <c r="Q498" s="118" t="s">
        <v>25113</v>
      </c>
      <c r="R498" s="119"/>
      <c r="T498" t="s">
        <v>25119</v>
      </c>
      <c r="U498" s="118" t="s">
        <v>25149</v>
      </c>
      <c r="V498" s="119"/>
      <c r="X498" t="s">
        <v>25155</v>
      </c>
    </row>
    <row r="499" spans="1:24" x14ac:dyDescent="0.3">
      <c r="A499" s="118" t="s">
        <v>24980</v>
      </c>
      <c r="B499" s="119"/>
      <c r="D499" t="s">
        <v>24986</v>
      </c>
      <c r="E499" s="118" t="s">
        <v>25016</v>
      </c>
      <c r="F499" s="119"/>
      <c r="H499" t="s">
        <v>25022</v>
      </c>
      <c r="I499" s="118" t="s">
        <v>25052</v>
      </c>
      <c r="J499" s="119"/>
      <c r="L499" t="s">
        <v>25058</v>
      </c>
      <c r="M499" s="118" t="s">
        <v>25088</v>
      </c>
      <c r="N499" s="119"/>
      <c r="P499" t="s">
        <v>25094</v>
      </c>
      <c r="Q499" s="118" t="s">
        <v>25124</v>
      </c>
      <c r="R499" s="119"/>
      <c r="T499" t="s">
        <v>25130</v>
      </c>
      <c r="U499" s="118" t="s">
        <v>25160</v>
      </c>
      <c r="V499" s="119"/>
      <c r="X499" t="s">
        <v>25166</v>
      </c>
    </row>
    <row r="500" spans="1:24" x14ac:dyDescent="0.3">
      <c r="A500" s="118" t="s">
        <v>24981</v>
      </c>
      <c r="B500" s="119"/>
      <c r="D500" t="s">
        <v>24987</v>
      </c>
      <c r="E500" s="118" t="s">
        <v>25017</v>
      </c>
      <c r="F500" s="119"/>
      <c r="H500" t="s">
        <v>25023</v>
      </c>
      <c r="I500" s="118" t="s">
        <v>25053</v>
      </c>
      <c r="J500" s="119"/>
      <c r="L500" t="s">
        <v>25059</v>
      </c>
      <c r="M500" s="118" t="s">
        <v>25089</v>
      </c>
      <c r="N500" s="119"/>
      <c r="P500" t="s">
        <v>25095</v>
      </c>
      <c r="Q500" s="118" t="s">
        <v>25125</v>
      </c>
      <c r="R500" s="119"/>
      <c r="T500" t="s">
        <v>25131</v>
      </c>
      <c r="U500" s="118" t="s">
        <v>25161</v>
      </c>
      <c r="V500" s="119"/>
      <c r="X500" t="s">
        <v>25167</v>
      </c>
    </row>
    <row r="501" spans="1:24" x14ac:dyDescent="0.3">
      <c r="A501" s="118" t="s">
        <v>24992</v>
      </c>
      <c r="B501" s="119"/>
      <c r="D501" t="s">
        <v>24998</v>
      </c>
      <c r="E501" s="118" t="s">
        <v>25028</v>
      </c>
      <c r="F501" s="119"/>
      <c r="H501" t="s">
        <v>25034</v>
      </c>
      <c r="I501" s="118" t="s">
        <v>25064</v>
      </c>
      <c r="J501" s="119"/>
      <c r="L501" t="s">
        <v>25070</v>
      </c>
      <c r="M501" s="118" t="s">
        <v>25100</v>
      </c>
      <c r="N501" s="119"/>
      <c r="P501" t="s">
        <v>25106</v>
      </c>
      <c r="Q501" s="118" t="s">
        <v>25136</v>
      </c>
      <c r="R501" s="119"/>
      <c r="T501" t="s">
        <v>25142</v>
      </c>
      <c r="U501" s="118" t="s">
        <v>25172</v>
      </c>
      <c r="V501" s="119"/>
      <c r="X501" t="s">
        <v>25178</v>
      </c>
    </row>
    <row r="502" spans="1:24" x14ac:dyDescent="0.3">
      <c r="A502" s="118" t="s">
        <v>24993</v>
      </c>
      <c r="B502" s="119"/>
      <c r="D502" t="s">
        <v>24999</v>
      </c>
      <c r="E502" s="118" t="s">
        <v>25029</v>
      </c>
      <c r="F502" s="119"/>
      <c r="H502" t="s">
        <v>25035</v>
      </c>
      <c r="I502" s="118" t="s">
        <v>25065</v>
      </c>
      <c r="J502" s="119"/>
      <c r="L502" t="s">
        <v>25071</v>
      </c>
      <c r="M502" s="118" t="s">
        <v>25101</v>
      </c>
      <c r="N502" s="119"/>
      <c r="P502" t="s">
        <v>25107</v>
      </c>
      <c r="Q502" s="118" t="s">
        <v>25137</v>
      </c>
      <c r="R502" s="119"/>
      <c r="T502" t="s">
        <v>25143</v>
      </c>
      <c r="U502" s="118" t="s">
        <v>25173</v>
      </c>
      <c r="V502" s="119"/>
      <c r="X502" t="s">
        <v>25179</v>
      </c>
    </row>
    <row r="503" spans="1:24" x14ac:dyDescent="0.3">
      <c r="A503" s="118" t="s">
        <v>25184</v>
      </c>
      <c r="B503" s="119"/>
      <c r="D503" t="s">
        <v>25190</v>
      </c>
      <c r="E503" s="118" t="s">
        <v>25220</v>
      </c>
      <c r="F503" s="119"/>
      <c r="H503" t="s">
        <v>25226</v>
      </c>
      <c r="I503" s="118" t="s">
        <v>25256</v>
      </c>
      <c r="J503" s="119"/>
      <c r="L503" t="s">
        <v>25262</v>
      </c>
      <c r="M503" s="118" t="s">
        <v>25292</v>
      </c>
      <c r="N503" s="119"/>
      <c r="P503" t="s">
        <v>25298</v>
      </c>
      <c r="Q503" s="118" t="s">
        <v>25328</v>
      </c>
      <c r="R503" s="119"/>
      <c r="T503" t="s">
        <v>25334</v>
      </c>
      <c r="U503" s="118" t="s">
        <v>25364</v>
      </c>
      <c r="V503" s="119"/>
      <c r="X503" t="s">
        <v>25370</v>
      </c>
    </row>
    <row r="504" spans="1:24" x14ac:dyDescent="0.3">
      <c r="A504" s="118" t="s">
        <v>25185</v>
      </c>
      <c r="B504" s="119"/>
      <c r="D504" t="s">
        <v>25191</v>
      </c>
      <c r="E504" s="118" t="s">
        <v>25221</v>
      </c>
      <c r="F504" s="119"/>
      <c r="H504" t="s">
        <v>25227</v>
      </c>
      <c r="I504" s="118" t="s">
        <v>25257</v>
      </c>
      <c r="J504" s="119"/>
      <c r="L504" t="s">
        <v>25263</v>
      </c>
      <c r="M504" s="118" t="s">
        <v>25293</v>
      </c>
      <c r="N504" s="119"/>
      <c r="P504" t="s">
        <v>25299</v>
      </c>
      <c r="Q504" s="118" t="s">
        <v>25329</v>
      </c>
      <c r="R504" s="119"/>
      <c r="T504" t="s">
        <v>25335</v>
      </c>
      <c r="U504" s="118" t="s">
        <v>25365</v>
      </c>
      <c r="V504" s="119"/>
      <c r="X504" t="s">
        <v>25371</v>
      </c>
    </row>
    <row r="505" spans="1:24" x14ac:dyDescent="0.3">
      <c r="A505" s="118" t="s">
        <v>25196</v>
      </c>
      <c r="B505" s="119"/>
      <c r="D505" t="s">
        <v>25202</v>
      </c>
      <c r="E505" s="118" t="s">
        <v>25232</v>
      </c>
      <c r="F505" s="119"/>
      <c r="H505" t="s">
        <v>25238</v>
      </c>
      <c r="I505" s="118" t="s">
        <v>25268</v>
      </c>
      <c r="J505" s="119"/>
      <c r="L505" t="s">
        <v>25274</v>
      </c>
      <c r="M505" s="118" t="s">
        <v>25304</v>
      </c>
      <c r="N505" s="119"/>
      <c r="P505" t="s">
        <v>25310</v>
      </c>
      <c r="Q505" s="118" t="s">
        <v>25340</v>
      </c>
      <c r="R505" s="119"/>
      <c r="T505" t="s">
        <v>25346</v>
      </c>
      <c r="U505" s="118" t="s">
        <v>25376</v>
      </c>
      <c r="V505" s="119"/>
      <c r="X505" t="s">
        <v>25382</v>
      </c>
    </row>
    <row r="506" spans="1:24" x14ac:dyDescent="0.3">
      <c r="A506" s="118" t="s">
        <v>25197</v>
      </c>
      <c r="B506" s="119"/>
      <c r="D506" t="s">
        <v>25203</v>
      </c>
      <c r="E506" s="118" t="s">
        <v>25233</v>
      </c>
      <c r="F506" s="119"/>
      <c r="H506" t="s">
        <v>25239</v>
      </c>
      <c r="I506" s="118" t="s">
        <v>25269</v>
      </c>
      <c r="J506" s="119"/>
      <c r="L506" t="s">
        <v>25275</v>
      </c>
      <c r="M506" s="118" t="s">
        <v>25305</v>
      </c>
      <c r="N506" s="119"/>
      <c r="P506" t="s">
        <v>25311</v>
      </c>
      <c r="Q506" s="118" t="s">
        <v>25341</v>
      </c>
      <c r="R506" s="119"/>
      <c r="T506" t="s">
        <v>25347</v>
      </c>
      <c r="U506" s="118" t="s">
        <v>25377</v>
      </c>
      <c r="V506" s="119"/>
      <c r="X506" t="s">
        <v>25383</v>
      </c>
    </row>
    <row r="507" spans="1:24" x14ac:dyDescent="0.3">
      <c r="A507" s="118" t="s">
        <v>25208</v>
      </c>
      <c r="B507" s="119"/>
      <c r="D507" t="s">
        <v>25214</v>
      </c>
      <c r="E507" s="118" t="s">
        <v>25244</v>
      </c>
      <c r="F507" s="119"/>
      <c r="H507" t="s">
        <v>25250</v>
      </c>
      <c r="I507" s="118" t="s">
        <v>25280</v>
      </c>
      <c r="J507" s="119"/>
      <c r="L507" t="s">
        <v>25286</v>
      </c>
      <c r="M507" s="118" t="s">
        <v>25316</v>
      </c>
      <c r="N507" s="119"/>
      <c r="P507" t="s">
        <v>25322</v>
      </c>
      <c r="Q507" s="118" t="s">
        <v>25352</v>
      </c>
      <c r="R507" s="119"/>
      <c r="T507" t="s">
        <v>25358</v>
      </c>
      <c r="U507" s="118" t="s">
        <v>25388</v>
      </c>
      <c r="V507" s="119"/>
      <c r="X507" t="s">
        <v>25394</v>
      </c>
    </row>
    <row r="508" spans="1:24" x14ac:dyDescent="0.3">
      <c r="A508" s="118" t="s">
        <v>25209</v>
      </c>
      <c r="B508" s="119"/>
      <c r="D508" t="s">
        <v>25215</v>
      </c>
      <c r="E508" s="118" t="s">
        <v>25245</v>
      </c>
      <c r="F508" s="119"/>
      <c r="H508" t="s">
        <v>25251</v>
      </c>
      <c r="I508" s="118" t="s">
        <v>25281</v>
      </c>
      <c r="J508" s="119"/>
      <c r="L508" t="s">
        <v>25287</v>
      </c>
      <c r="M508" s="118" t="s">
        <v>25317</v>
      </c>
      <c r="N508" s="119"/>
      <c r="P508" t="s">
        <v>25323</v>
      </c>
      <c r="Q508" s="118" t="s">
        <v>25353</v>
      </c>
      <c r="R508" s="119"/>
      <c r="T508" t="s">
        <v>25359</v>
      </c>
      <c r="U508" s="118" t="s">
        <v>25389</v>
      </c>
      <c r="V508" s="119"/>
      <c r="X508" t="s">
        <v>25395</v>
      </c>
    </row>
    <row r="509" spans="1:24" x14ac:dyDescent="0.3">
      <c r="A509" s="118" t="s">
        <v>25400</v>
      </c>
      <c r="B509" s="119"/>
      <c r="D509" t="s">
        <v>25406</v>
      </c>
      <c r="E509" s="118" t="s">
        <v>25436</v>
      </c>
      <c r="F509" s="119"/>
      <c r="H509" t="s">
        <v>25442</v>
      </c>
      <c r="I509" s="118" t="s">
        <v>25472</v>
      </c>
      <c r="J509" s="119"/>
      <c r="L509" t="s">
        <v>25478</v>
      </c>
      <c r="M509" s="118" t="s">
        <v>25508</v>
      </c>
      <c r="N509" s="119"/>
      <c r="P509" t="s">
        <v>25514</v>
      </c>
      <c r="Q509" s="118" t="s">
        <v>25544</v>
      </c>
      <c r="R509" s="119"/>
      <c r="T509" t="s">
        <v>25550</v>
      </c>
      <c r="U509" s="118" t="s">
        <v>25580</v>
      </c>
      <c r="V509" s="119"/>
      <c r="X509" t="s">
        <v>25586</v>
      </c>
    </row>
    <row r="510" spans="1:24" x14ac:dyDescent="0.3">
      <c r="A510" s="118" t="s">
        <v>25401</v>
      </c>
      <c r="B510" s="119"/>
      <c r="D510" t="s">
        <v>25407</v>
      </c>
      <c r="E510" s="118" t="s">
        <v>25437</v>
      </c>
      <c r="F510" s="119"/>
      <c r="H510" t="s">
        <v>25443</v>
      </c>
      <c r="I510" s="118" t="s">
        <v>25473</v>
      </c>
      <c r="J510" s="119"/>
      <c r="L510" t="s">
        <v>25479</v>
      </c>
      <c r="M510" s="118" t="s">
        <v>25509</v>
      </c>
      <c r="N510" s="119"/>
      <c r="P510" t="s">
        <v>25515</v>
      </c>
      <c r="Q510" s="118" t="s">
        <v>25545</v>
      </c>
      <c r="R510" s="119"/>
      <c r="T510" t="s">
        <v>25551</v>
      </c>
      <c r="U510" s="118" t="s">
        <v>25581</v>
      </c>
      <c r="V510" s="119"/>
      <c r="X510" t="s">
        <v>25587</v>
      </c>
    </row>
    <row r="511" spans="1:24" x14ac:dyDescent="0.3">
      <c r="A511" s="118" t="s">
        <v>25412</v>
      </c>
      <c r="B511" s="119"/>
      <c r="D511" t="s">
        <v>25418</v>
      </c>
      <c r="E511" s="118" t="s">
        <v>25448</v>
      </c>
      <c r="F511" s="119"/>
      <c r="H511" t="s">
        <v>25454</v>
      </c>
      <c r="I511" s="118" t="s">
        <v>25484</v>
      </c>
      <c r="J511" s="119"/>
      <c r="L511" t="s">
        <v>25490</v>
      </c>
      <c r="M511" s="118" t="s">
        <v>25520</v>
      </c>
      <c r="N511" s="119"/>
      <c r="P511" t="s">
        <v>25526</v>
      </c>
      <c r="Q511" s="118" t="s">
        <v>25556</v>
      </c>
      <c r="R511" s="119"/>
      <c r="T511" t="s">
        <v>25562</v>
      </c>
      <c r="U511" s="118" t="s">
        <v>25592</v>
      </c>
      <c r="V511" s="119"/>
      <c r="X511" t="s">
        <v>25598</v>
      </c>
    </row>
    <row r="512" spans="1:24" x14ac:dyDescent="0.3">
      <c r="A512" s="118" t="s">
        <v>25413</v>
      </c>
      <c r="B512" s="119"/>
      <c r="D512" t="s">
        <v>25419</v>
      </c>
      <c r="E512" s="118" t="s">
        <v>25449</v>
      </c>
      <c r="F512" s="119"/>
      <c r="H512" t="s">
        <v>25455</v>
      </c>
      <c r="I512" s="118" t="s">
        <v>25485</v>
      </c>
      <c r="J512" s="119"/>
      <c r="L512" t="s">
        <v>25491</v>
      </c>
      <c r="M512" s="118" t="s">
        <v>25521</v>
      </c>
      <c r="N512" s="119"/>
      <c r="P512" t="s">
        <v>25527</v>
      </c>
      <c r="Q512" s="118" t="s">
        <v>25557</v>
      </c>
      <c r="R512" s="119"/>
      <c r="T512" t="s">
        <v>25563</v>
      </c>
      <c r="U512" s="118" t="s">
        <v>25593</v>
      </c>
      <c r="V512" s="119"/>
      <c r="X512" t="s">
        <v>25599</v>
      </c>
    </row>
    <row r="513" spans="1:24" x14ac:dyDescent="0.3">
      <c r="A513" s="118" t="s">
        <v>25424</v>
      </c>
      <c r="B513" s="119"/>
      <c r="D513" t="s">
        <v>25430</v>
      </c>
      <c r="E513" s="118" t="s">
        <v>25460</v>
      </c>
      <c r="F513" s="119"/>
      <c r="H513" t="s">
        <v>25466</v>
      </c>
      <c r="I513" s="118" t="s">
        <v>25496</v>
      </c>
      <c r="J513" s="119"/>
      <c r="L513" t="s">
        <v>25502</v>
      </c>
      <c r="M513" s="118" t="s">
        <v>25532</v>
      </c>
      <c r="N513" s="119"/>
      <c r="P513" t="s">
        <v>25538</v>
      </c>
      <c r="Q513" s="118" t="s">
        <v>25568</v>
      </c>
      <c r="R513" s="119"/>
      <c r="T513" t="s">
        <v>25574</v>
      </c>
      <c r="U513" s="118" t="s">
        <v>25604</v>
      </c>
      <c r="V513" s="119"/>
      <c r="X513" t="s">
        <v>25610</v>
      </c>
    </row>
    <row r="514" spans="1:24" x14ac:dyDescent="0.3">
      <c r="A514" s="118" t="s">
        <v>25425</v>
      </c>
      <c r="B514" s="119"/>
      <c r="D514" t="s">
        <v>25431</v>
      </c>
      <c r="E514" s="118" t="s">
        <v>25461</v>
      </c>
      <c r="F514" s="119"/>
      <c r="H514" t="s">
        <v>25467</v>
      </c>
      <c r="I514" s="118" t="s">
        <v>25497</v>
      </c>
      <c r="J514" s="119"/>
      <c r="L514" t="s">
        <v>25503</v>
      </c>
      <c r="M514" s="118" t="s">
        <v>25533</v>
      </c>
      <c r="N514" s="119"/>
      <c r="P514" t="s">
        <v>25539</v>
      </c>
      <c r="Q514" s="118" t="s">
        <v>25569</v>
      </c>
      <c r="R514" s="119"/>
      <c r="T514" t="s">
        <v>25575</v>
      </c>
      <c r="U514" s="118" t="s">
        <v>25605</v>
      </c>
      <c r="V514" s="119"/>
      <c r="X514" t="s">
        <v>25611</v>
      </c>
    </row>
    <row r="515" spans="1:24" x14ac:dyDescent="0.3">
      <c r="A515" s="118" t="s">
        <v>25616</v>
      </c>
      <c r="B515" s="119"/>
      <c r="D515" t="s">
        <v>25622</v>
      </c>
      <c r="E515" s="118" t="s">
        <v>25652</v>
      </c>
      <c r="F515" s="119"/>
      <c r="H515" t="s">
        <v>25658</v>
      </c>
      <c r="I515" s="118" t="s">
        <v>25688</v>
      </c>
      <c r="J515" s="119"/>
      <c r="L515" t="s">
        <v>25694</v>
      </c>
      <c r="M515" s="118" t="s">
        <v>25724</v>
      </c>
      <c r="N515" s="119"/>
      <c r="P515" t="s">
        <v>25730</v>
      </c>
      <c r="Q515" s="118" t="s">
        <v>25760</v>
      </c>
      <c r="R515" s="119"/>
      <c r="T515" t="s">
        <v>25766</v>
      </c>
      <c r="U515" s="118" t="s">
        <v>25796</v>
      </c>
      <c r="V515" s="119"/>
      <c r="X515" t="s">
        <v>25802</v>
      </c>
    </row>
    <row r="516" spans="1:24" x14ac:dyDescent="0.3">
      <c r="A516" s="118" t="s">
        <v>25617</v>
      </c>
      <c r="B516" s="119"/>
      <c r="D516" t="s">
        <v>25623</v>
      </c>
      <c r="E516" s="118" t="s">
        <v>25653</v>
      </c>
      <c r="F516" s="119"/>
      <c r="H516" t="s">
        <v>25659</v>
      </c>
      <c r="I516" s="118" t="s">
        <v>25689</v>
      </c>
      <c r="J516" s="119"/>
      <c r="L516" t="s">
        <v>25695</v>
      </c>
      <c r="M516" s="118" t="s">
        <v>25725</v>
      </c>
      <c r="N516" s="119"/>
      <c r="P516" t="s">
        <v>25731</v>
      </c>
      <c r="Q516" s="118" t="s">
        <v>25761</v>
      </c>
      <c r="R516" s="119"/>
      <c r="T516" t="s">
        <v>25767</v>
      </c>
      <c r="U516" s="118" t="s">
        <v>25797</v>
      </c>
      <c r="V516" s="119"/>
      <c r="X516" t="s">
        <v>25803</v>
      </c>
    </row>
    <row r="517" spans="1:24" x14ac:dyDescent="0.3">
      <c r="A517" s="118" t="s">
        <v>25628</v>
      </c>
      <c r="B517" s="119"/>
      <c r="D517" t="s">
        <v>25634</v>
      </c>
      <c r="E517" s="118" t="s">
        <v>25664</v>
      </c>
      <c r="F517" s="119"/>
      <c r="H517" t="s">
        <v>25670</v>
      </c>
      <c r="I517" s="118" t="s">
        <v>25700</v>
      </c>
      <c r="J517" s="119"/>
      <c r="L517" t="s">
        <v>25706</v>
      </c>
      <c r="M517" s="118" t="s">
        <v>25736</v>
      </c>
      <c r="N517" s="119"/>
      <c r="P517" t="s">
        <v>25742</v>
      </c>
      <c r="Q517" s="118" t="s">
        <v>25772</v>
      </c>
      <c r="R517" s="119"/>
      <c r="T517" t="s">
        <v>25778</v>
      </c>
      <c r="U517" s="118" t="s">
        <v>25808</v>
      </c>
      <c r="V517" s="119"/>
      <c r="X517" t="s">
        <v>25814</v>
      </c>
    </row>
    <row r="518" spans="1:24" x14ac:dyDescent="0.3">
      <c r="A518" s="118" t="s">
        <v>25629</v>
      </c>
      <c r="B518" s="119"/>
      <c r="D518" t="s">
        <v>25635</v>
      </c>
      <c r="E518" s="118" t="s">
        <v>25665</v>
      </c>
      <c r="F518" s="119"/>
      <c r="H518" t="s">
        <v>25671</v>
      </c>
      <c r="I518" s="118" t="s">
        <v>25701</v>
      </c>
      <c r="J518" s="119"/>
      <c r="L518" t="s">
        <v>25707</v>
      </c>
      <c r="M518" s="118" t="s">
        <v>25737</v>
      </c>
      <c r="N518" s="119"/>
      <c r="P518" t="s">
        <v>25743</v>
      </c>
      <c r="Q518" s="118" t="s">
        <v>25773</v>
      </c>
      <c r="R518" s="119"/>
      <c r="T518" t="s">
        <v>25779</v>
      </c>
      <c r="U518" s="118" t="s">
        <v>25809</v>
      </c>
      <c r="V518" s="119"/>
      <c r="X518" t="s">
        <v>25815</v>
      </c>
    </row>
    <row r="519" spans="1:24" x14ac:dyDescent="0.3">
      <c r="A519" s="118" t="s">
        <v>25640</v>
      </c>
      <c r="B519" s="119"/>
      <c r="D519" t="s">
        <v>25646</v>
      </c>
      <c r="E519" s="118" t="s">
        <v>25676</v>
      </c>
      <c r="F519" s="119"/>
      <c r="H519" t="s">
        <v>25682</v>
      </c>
      <c r="I519" s="118" t="s">
        <v>25712</v>
      </c>
      <c r="J519" s="119"/>
      <c r="L519" t="s">
        <v>25718</v>
      </c>
      <c r="M519" s="118" t="s">
        <v>25748</v>
      </c>
      <c r="N519" s="119"/>
      <c r="P519" t="s">
        <v>25754</v>
      </c>
      <c r="Q519" s="118" t="s">
        <v>25784</v>
      </c>
      <c r="R519" s="119"/>
      <c r="T519" t="s">
        <v>25790</v>
      </c>
      <c r="U519" s="118" t="s">
        <v>25820</v>
      </c>
      <c r="V519" s="119"/>
      <c r="X519" t="s">
        <v>25826</v>
      </c>
    </row>
    <row r="520" spans="1:24" x14ac:dyDescent="0.3">
      <c r="A520" s="118" t="s">
        <v>25641</v>
      </c>
      <c r="B520" s="119"/>
      <c r="D520" t="s">
        <v>25647</v>
      </c>
      <c r="E520" s="118" t="s">
        <v>25677</v>
      </c>
      <c r="F520" s="119"/>
      <c r="H520" t="s">
        <v>25683</v>
      </c>
      <c r="I520" s="118" t="s">
        <v>25713</v>
      </c>
      <c r="J520" s="119"/>
      <c r="L520" t="s">
        <v>25719</v>
      </c>
      <c r="M520" s="118" t="s">
        <v>25749</v>
      </c>
      <c r="N520" s="119"/>
      <c r="P520" t="s">
        <v>25755</v>
      </c>
      <c r="Q520" s="118" t="s">
        <v>25785</v>
      </c>
      <c r="R520" s="119"/>
      <c r="T520" t="s">
        <v>25791</v>
      </c>
      <c r="U520" s="118" t="s">
        <v>25821</v>
      </c>
      <c r="V520" s="119"/>
      <c r="X520" t="s">
        <v>25827</v>
      </c>
    </row>
    <row r="521" spans="1:24" x14ac:dyDescent="0.3">
      <c r="A521" s="118" t="s">
        <v>25832</v>
      </c>
      <c r="B521" s="119"/>
      <c r="D521" t="s">
        <v>25838</v>
      </c>
      <c r="E521" s="118" t="s">
        <v>25868</v>
      </c>
      <c r="F521" s="119"/>
      <c r="H521" t="s">
        <v>25874</v>
      </c>
      <c r="I521" s="118" t="s">
        <v>25904</v>
      </c>
      <c r="J521" s="119"/>
      <c r="L521" t="s">
        <v>25910</v>
      </c>
      <c r="M521" s="118" t="s">
        <v>25940</v>
      </c>
      <c r="N521" s="119"/>
      <c r="P521" t="s">
        <v>25946</v>
      </c>
      <c r="Q521" s="118" t="s">
        <v>25976</v>
      </c>
      <c r="R521" s="119"/>
      <c r="T521" t="s">
        <v>25982</v>
      </c>
      <c r="U521" s="118" t="s">
        <v>26012</v>
      </c>
      <c r="V521" s="119"/>
      <c r="X521" t="s">
        <v>26018</v>
      </c>
    </row>
    <row r="522" spans="1:24" x14ac:dyDescent="0.3">
      <c r="A522" s="118" t="s">
        <v>25833</v>
      </c>
      <c r="B522" s="119"/>
      <c r="D522" t="s">
        <v>25839</v>
      </c>
      <c r="E522" s="118" t="s">
        <v>25869</v>
      </c>
      <c r="F522" s="119"/>
      <c r="H522" t="s">
        <v>25875</v>
      </c>
      <c r="I522" s="118" t="s">
        <v>25905</v>
      </c>
      <c r="J522" s="119"/>
      <c r="L522" t="s">
        <v>25911</v>
      </c>
      <c r="M522" s="118" t="s">
        <v>25941</v>
      </c>
      <c r="N522" s="119"/>
      <c r="P522" t="s">
        <v>25947</v>
      </c>
      <c r="Q522" s="118" t="s">
        <v>25977</v>
      </c>
      <c r="R522" s="119"/>
      <c r="T522" t="s">
        <v>25983</v>
      </c>
      <c r="U522" s="118" t="s">
        <v>26013</v>
      </c>
      <c r="V522" s="119"/>
      <c r="X522" t="s">
        <v>26019</v>
      </c>
    </row>
    <row r="523" spans="1:24" x14ac:dyDescent="0.3">
      <c r="A523" s="118" t="s">
        <v>25844</v>
      </c>
      <c r="B523" s="119"/>
      <c r="D523" t="s">
        <v>25850</v>
      </c>
      <c r="E523" s="118" t="s">
        <v>25880</v>
      </c>
      <c r="F523" s="119"/>
      <c r="H523" t="s">
        <v>25886</v>
      </c>
      <c r="I523" s="118" t="s">
        <v>25916</v>
      </c>
      <c r="J523" s="119"/>
      <c r="L523" t="s">
        <v>25922</v>
      </c>
      <c r="M523" s="118" t="s">
        <v>25952</v>
      </c>
      <c r="N523" s="119"/>
      <c r="P523" t="s">
        <v>25958</v>
      </c>
      <c r="Q523" s="118" t="s">
        <v>25988</v>
      </c>
      <c r="R523" s="119"/>
      <c r="T523" t="s">
        <v>25994</v>
      </c>
      <c r="U523" s="118" t="s">
        <v>26024</v>
      </c>
      <c r="V523" s="119"/>
      <c r="X523" t="s">
        <v>26030</v>
      </c>
    </row>
    <row r="524" spans="1:24" x14ac:dyDescent="0.3">
      <c r="A524" s="118" t="s">
        <v>25845</v>
      </c>
      <c r="B524" s="119"/>
      <c r="D524" t="s">
        <v>25851</v>
      </c>
      <c r="E524" s="118" t="s">
        <v>25881</v>
      </c>
      <c r="F524" s="119"/>
      <c r="H524" t="s">
        <v>25887</v>
      </c>
      <c r="I524" s="118" t="s">
        <v>25917</v>
      </c>
      <c r="J524" s="119"/>
      <c r="L524" t="s">
        <v>25923</v>
      </c>
      <c r="M524" s="118" t="s">
        <v>25953</v>
      </c>
      <c r="N524" s="119"/>
      <c r="P524" t="s">
        <v>25959</v>
      </c>
      <c r="Q524" s="118" t="s">
        <v>25989</v>
      </c>
      <c r="R524" s="119"/>
      <c r="T524" t="s">
        <v>25995</v>
      </c>
      <c r="U524" s="118" t="s">
        <v>26025</v>
      </c>
      <c r="V524" s="119"/>
      <c r="X524" t="s">
        <v>26031</v>
      </c>
    </row>
    <row r="525" spans="1:24" x14ac:dyDescent="0.3">
      <c r="A525" s="118" t="s">
        <v>25856</v>
      </c>
      <c r="B525" s="119"/>
      <c r="D525" t="s">
        <v>25862</v>
      </c>
      <c r="E525" s="118" t="s">
        <v>25892</v>
      </c>
      <c r="F525" s="119"/>
      <c r="H525" t="s">
        <v>25898</v>
      </c>
      <c r="I525" s="118" t="s">
        <v>25928</v>
      </c>
      <c r="J525" s="119"/>
      <c r="L525" t="s">
        <v>25934</v>
      </c>
      <c r="M525" s="118" t="s">
        <v>25964</v>
      </c>
      <c r="N525" s="119"/>
      <c r="P525" t="s">
        <v>25970</v>
      </c>
      <c r="Q525" s="118" t="s">
        <v>26000</v>
      </c>
      <c r="R525" s="119"/>
      <c r="T525" t="s">
        <v>26006</v>
      </c>
      <c r="U525" s="118" t="s">
        <v>26036</v>
      </c>
      <c r="V525" s="119"/>
      <c r="X525" t="s">
        <v>26042</v>
      </c>
    </row>
    <row r="526" spans="1:24" x14ac:dyDescent="0.3">
      <c r="A526" s="118" t="s">
        <v>25857</v>
      </c>
      <c r="B526" s="119"/>
      <c r="D526" t="s">
        <v>25863</v>
      </c>
      <c r="E526" s="118" t="s">
        <v>25893</v>
      </c>
      <c r="F526" s="119"/>
      <c r="H526" t="s">
        <v>25899</v>
      </c>
      <c r="I526" s="118" t="s">
        <v>25929</v>
      </c>
      <c r="J526" s="119"/>
      <c r="L526" t="s">
        <v>25935</v>
      </c>
      <c r="M526" s="118" t="s">
        <v>25965</v>
      </c>
      <c r="N526" s="119"/>
      <c r="P526" t="s">
        <v>25971</v>
      </c>
      <c r="Q526" s="118" t="s">
        <v>26001</v>
      </c>
      <c r="R526" s="119"/>
      <c r="T526" t="s">
        <v>26007</v>
      </c>
      <c r="U526" s="118" t="s">
        <v>26037</v>
      </c>
      <c r="V526" s="119"/>
      <c r="X526" t="s">
        <v>26043</v>
      </c>
    </row>
    <row r="527" spans="1:24" x14ac:dyDescent="0.3">
      <c r="A527" s="118" t="s">
        <v>26048</v>
      </c>
      <c r="B527" s="119"/>
      <c r="D527" t="s">
        <v>26054</v>
      </c>
      <c r="E527" s="118" t="s">
        <v>26084</v>
      </c>
      <c r="F527" s="119"/>
      <c r="H527" t="s">
        <v>26090</v>
      </c>
      <c r="I527" s="118" t="s">
        <v>26120</v>
      </c>
      <c r="J527" s="119"/>
      <c r="L527" t="s">
        <v>26126</v>
      </c>
      <c r="M527" s="118" t="s">
        <v>26156</v>
      </c>
      <c r="N527" s="119"/>
      <c r="P527" t="s">
        <v>26162</v>
      </c>
      <c r="Q527" s="118" t="s">
        <v>26192</v>
      </c>
      <c r="R527" s="119"/>
      <c r="T527" t="s">
        <v>26198</v>
      </c>
      <c r="U527" s="118" t="s">
        <v>26228</v>
      </c>
      <c r="V527" s="119"/>
      <c r="X527" t="s">
        <v>26234</v>
      </c>
    </row>
    <row r="528" spans="1:24" x14ac:dyDescent="0.3">
      <c r="A528" s="118" t="s">
        <v>26049</v>
      </c>
      <c r="B528" s="119"/>
      <c r="D528" t="s">
        <v>26055</v>
      </c>
      <c r="E528" s="118" t="s">
        <v>26085</v>
      </c>
      <c r="F528" s="119"/>
      <c r="H528" t="s">
        <v>26091</v>
      </c>
      <c r="I528" s="118" t="s">
        <v>26121</v>
      </c>
      <c r="J528" s="119"/>
      <c r="L528" t="s">
        <v>26127</v>
      </c>
      <c r="M528" s="118" t="s">
        <v>26157</v>
      </c>
      <c r="N528" s="119"/>
      <c r="P528" t="s">
        <v>26163</v>
      </c>
      <c r="Q528" s="118" t="s">
        <v>26193</v>
      </c>
      <c r="R528" s="119"/>
      <c r="T528" t="s">
        <v>26199</v>
      </c>
      <c r="U528" s="118" t="s">
        <v>26229</v>
      </c>
      <c r="V528" s="119"/>
      <c r="X528" t="s">
        <v>26235</v>
      </c>
    </row>
    <row r="529" spans="1:24" x14ac:dyDescent="0.3">
      <c r="A529" s="118" t="s">
        <v>26060</v>
      </c>
      <c r="B529" s="119"/>
      <c r="D529" t="s">
        <v>26066</v>
      </c>
      <c r="E529" s="118" t="s">
        <v>26096</v>
      </c>
      <c r="F529" s="119"/>
      <c r="H529" t="s">
        <v>26102</v>
      </c>
      <c r="I529" s="118" t="s">
        <v>26132</v>
      </c>
      <c r="J529" s="119"/>
      <c r="L529" t="s">
        <v>26138</v>
      </c>
      <c r="M529" s="118" t="s">
        <v>26168</v>
      </c>
      <c r="N529" s="119"/>
      <c r="P529" t="s">
        <v>26174</v>
      </c>
      <c r="Q529" s="118" t="s">
        <v>26204</v>
      </c>
      <c r="R529" s="119"/>
      <c r="T529" t="s">
        <v>26210</v>
      </c>
      <c r="U529" s="118" t="s">
        <v>26240</v>
      </c>
      <c r="V529" s="119"/>
      <c r="X529" t="s">
        <v>26246</v>
      </c>
    </row>
    <row r="530" spans="1:24" x14ac:dyDescent="0.3">
      <c r="A530" s="118" t="s">
        <v>26061</v>
      </c>
      <c r="B530" s="119"/>
      <c r="D530" t="s">
        <v>26067</v>
      </c>
      <c r="E530" s="118" t="s">
        <v>26097</v>
      </c>
      <c r="F530" s="119"/>
      <c r="H530" t="s">
        <v>26103</v>
      </c>
      <c r="I530" s="118" t="s">
        <v>26133</v>
      </c>
      <c r="J530" s="119"/>
      <c r="L530" t="s">
        <v>26139</v>
      </c>
      <c r="M530" s="118" t="s">
        <v>26169</v>
      </c>
      <c r="N530" s="119"/>
      <c r="P530" t="s">
        <v>26175</v>
      </c>
      <c r="Q530" s="118" t="s">
        <v>26205</v>
      </c>
      <c r="R530" s="119"/>
      <c r="T530" t="s">
        <v>26211</v>
      </c>
      <c r="U530" s="118" t="s">
        <v>26241</v>
      </c>
      <c r="V530" s="119"/>
      <c r="X530" t="s">
        <v>26247</v>
      </c>
    </row>
    <row r="531" spans="1:24" x14ac:dyDescent="0.3">
      <c r="A531" s="118" t="s">
        <v>26072</v>
      </c>
      <c r="B531" s="119"/>
      <c r="D531" t="s">
        <v>26078</v>
      </c>
      <c r="E531" s="118" t="s">
        <v>26108</v>
      </c>
      <c r="F531" s="119"/>
      <c r="H531" t="s">
        <v>26114</v>
      </c>
      <c r="I531" s="118" t="s">
        <v>26144</v>
      </c>
      <c r="J531" s="119"/>
      <c r="L531" t="s">
        <v>26150</v>
      </c>
      <c r="M531" s="118" t="s">
        <v>26180</v>
      </c>
      <c r="N531" s="119"/>
      <c r="P531" t="s">
        <v>26186</v>
      </c>
      <c r="Q531" s="118" t="s">
        <v>26216</v>
      </c>
      <c r="R531" s="119"/>
      <c r="T531" t="s">
        <v>26222</v>
      </c>
      <c r="U531" s="118" t="s">
        <v>26252</v>
      </c>
      <c r="V531" s="119"/>
      <c r="X531" t="s">
        <v>26258</v>
      </c>
    </row>
    <row r="532" spans="1:24" x14ac:dyDescent="0.3">
      <c r="A532" s="118" t="s">
        <v>26073</v>
      </c>
      <c r="B532" s="119"/>
      <c r="D532" t="s">
        <v>26079</v>
      </c>
      <c r="E532" s="118" t="s">
        <v>26109</v>
      </c>
      <c r="F532" s="119"/>
      <c r="H532" t="s">
        <v>26115</v>
      </c>
      <c r="I532" s="118" t="s">
        <v>26145</v>
      </c>
      <c r="J532" s="119"/>
      <c r="L532" t="s">
        <v>26151</v>
      </c>
      <c r="M532" s="118" t="s">
        <v>26181</v>
      </c>
      <c r="N532" s="119"/>
      <c r="P532" t="s">
        <v>26187</v>
      </c>
      <c r="Q532" s="118" t="s">
        <v>26217</v>
      </c>
      <c r="R532" s="119"/>
      <c r="T532" t="s">
        <v>26223</v>
      </c>
      <c r="U532" s="118" t="s">
        <v>26253</v>
      </c>
      <c r="V532" s="119"/>
      <c r="X532" t="s">
        <v>26259</v>
      </c>
    </row>
    <row r="533" spans="1:24" x14ac:dyDescent="0.3">
      <c r="A533" s="118" t="s">
        <v>26264</v>
      </c>
      <c r="B533" s="119"/>
      <c r="D533" t="s">
        <v>26270</v>
      </c>
      <c r="E533" s="118" t="s">
        <v>26300</v>
      </c>
      <c r="F533" s="119"/>
      <c r="H533" t="s">
        <v>26306</v>
      </c>
      <c r="I533" s="118" t="s">
        <v>26336</v>
      </c>
      <c r="J533" s="119"/>
      <c r="L533" t="s">
        <v>26342</v>
      </c>
      <c r="M533" s="118" t="s">
        <v>26372</v>
      </c>
      <c r="N533" s="119"/>
      <c r="P533" t="s">
        <v>26378</v>
      </c>
      <c r="Q533" s="118" t="s">
        <v>26408</v>
      </c>
      <c r="R533" s="119"/>
      <c r="T533" t="s">
        <v>26414</v>
      </c>
      <c r="U533" s="118" t="s">
        <v>26444</v>
      </c>
      <c r="V533" s="119"/>
      <c r="X533" t="s">
        <v>26450</v>
      </c>
    </row>
    <row r="534" spans="1:24" x14ac:dyDescent="0.3">
      <c r="A534" s="118" t="s">
        <v>26265</v>
      </c>
      <c r="B534" s="119"/>
      <c r="D534" t="s">
        <v>26271</v>
      </c>
      <c r="E534" s="118" t="s">
        <v>26301</v>
      </c>
      <c r="F534" s="119"/>
      <c r="H534" t="s">
        <v>26307</v>
      </c>
      <c r="I534" s="118" t="s">
        <v>26337</v>
      </c>
      <c r="J534" s="119"/>
      <c r="L534" t="s">
        <v>26343</v>
      </c>
      <c r="M534" s="118" t="s">
        <v>26373</v>
      </c>
      <c r="N534" s="119"/>
      <c r="P534" t="s">
        <v>26379</v>
      </c>
      <c r="Q534" s="118" t="s">
        <v>26409</v>
      </c>
      <c r="R534" s="119"/>
      <c r="T534" t="s">
        <v>26415</v>
      </c>
      <c r="U534" s="118" t="s">
        <v>26445</v>
      </c>
      <c r="V534" s="119"/>
      <c r="X534" t="s">
        <v>26451</v>
      </c>
    </row>
    <row r="535" spans="1:24" x14ac:dyDescent="0.3">
      <c r="A535" s="118" t="s">
        <v>26276</v>
      </c>
      <c r="B535" s="119"/>
      <c r="D535" t="s">
        <v>26282</v>
      </c>
      <c r="E535" s="118" t="s">
        <v>26312</v>
      </c>
      <c r="F535" s="119"/>
      <c r="H535" t="s">
        <v>26318</v>
      </c>
      <c r="I535" s="118" t="s">
        <v>26348</v>
      </c>
      <c r="J535" s="119"/>
      <c r="L535" t="s">
        <v>26354</v>
      </c>
      <c r="M535" s="118" t="s">
        <v>26384</v>
      </c>
      <c r="N535" s="119"/>
      <c r="P535" t="s">
        <v>26390</v>
      </c>
      <c r="Q535" s="118" t="s">
        <v>26420</v>
      </c>
      <c r="R535" s="119"/>
      <c r="T535" t="s">
        <v>26426</v>
      </c>
      <c r="U535" s="118" t="s">
        <v>26456</v>
      </c>
      <c r="V535" s="119"/>
      <c r="X535" t="s">
        <v>26462</v>
      </c>
    </row>
    <row r="536" spans="1:24" x14ac:dyDescent="0.3">
      <c r="A536" s="118" t="s">
        <v>26277</v>
      </c>
      <c r="B536" s="119"/>
      <c r="D536" t="s">
        <v>26283</v>
      </c>
      <c r="E536" s="118" t="s">
        <v>26313</v>
      </c>
      <c r="F536" s="119"/>
      <c r="H536" t="s">
        <v>26319</v>
      </c>
      <c r="I536" s="118" t="s">
        <v>26349</v>
      </c>
      <c r="J536" s="119"/>
      <c r="L536" t="s">
        <v>26355</v>
      </c>
      <c r="M536" s="118" t="s">
        <v>26385</v>
      </c>
      <c r="N536" s="119"/>
      <c r="P536" t="s">
        <v>26391</v>
      </c>
      <c r="Q536" s="118" t="s">
        <v>26421</v>
      </c>
      <c r="R536" s="119"/>
      <c r="T536" t="s">
        <v>26427</v>
      </c>
      <c r="U536" s="118" t="s">
        <v>26457</v>
      </c>
      <c r="V536" s="119"/>
      <c r="X536" t="s">
        <v>26463</v>
      </c>
    </row>
    <row r="537" spans="1:24" x14ac:dyDescent="0.3">
      <c r="A537" s="118" t="s">
        <v>26288</v>
      </c>
      <c r="B537" s="119"/>
      <c r="D537" t="s">
        <v>26294</v>
      </c>
      <c r="E537" s="118" t="s">
        <v>26324</v>
      </c>
      <c r="F537" s="119"/>
      <c r="H537" t="s">
        <v>26330</v>
      </c>
      <c r="I537" s="118" t="s">
        <v>26360</v>
      </c>
      <c r="J537" s="119"/>
      <c r="L537" t="s">
        <v>26366</v>
      </c>
      <c r="M537" s="118" t="s">
        <v>26396</v>
      </c>
      <c r="N537" s="119"/>
      <c r="P537" t="s">
        <v>26402</v>
      </c>
      <c r="Q537" s="118" t="s">
        <v>26432</v>
      </c>
      <c r="R537" s="119"/>
      <c r="T537" t="s">
        <v>26438</v>
      </c>
      <c r="U537" s="118" t="s">
        <v>26468</v>
      </c>
      <c r="V537" s="119"/>
      <c r="X537" t="s">
        <v>26474</v>
      </c>
    </row>
    <row r="538" spans="1:24" x14ac:dyDescent="0.3">
      <c r="A538" s="118" t="s">
        <v>26289</v>
      </c>
      <c r="B538" s="119"/>
      <c r="D538" t="s">
        <v>26295</v>
      </c>
      <c r="E538" s="118" t="s">
        <v>26325</v>
      </c>
      <c r="F538" s="119"/>
      <c r="H538" t="s">
        <v>26331</v>
      </c>
      <c r="I538" s="118" t="s">
        <v>26361</v>
      </c>
      <c r="J538" s="119"/>
      <c r="L538" t="s">
        <v>26367</v>
      </c>
      <c r="M538" s="118" t="s">
        <v>26397</v>
      </c>
      <c r="N538" s="119"/>
      <c r="P538" t="s">
        <v>26403</v>
      </c>
      <c r="Q538" s="118" t="s">
        <v>26433</v>
      </c>
      <c r="R538" s="119"/>
      <c r="T538" t="s">
        <v>26439</v>
      </c>
      <c r="U538" s="118" t="s">
        <v>26469</v>
      </c>
      <c r="V538" s="119"/>
      <c r="X538" t="s">
        <v>26475</v>
      </c>
    </row>
    <row r="539" spans="1:24" x14ac:dyDescent="0.3">
      <c r="A539" s="118" t="s">
        <v>26480</v>
      </c>
      <c r="B539" s="119"/>
      <c r="D539" t="s">
        <v>26486</v>
      </c>
      <c r="E539" s="118" t="s">
        <v>26516</v>
      </c>
      <c r="F539" s="119"/>
      <c r="H539" t="s">
        <v>26522</v>
      </c>
      <c r="I539" s="118" t="s">
        <v>26552</v>
      </c>
      <c r="J539" s="119"/>
      <c r="L539" t="s">
        <v>26558</v>
      </c>
      <c r="M539" s="118" t="s">
        <v>26588</v>
      </c>
      <c r="N539" s="119"/>
      <c r="P539" t="s">
        <v>26594</v>
      </c>
      <c r="Q539" s="118" t="s">
        <v>26624</v>
      </c>
      <c r="R539" s="119"/>
      <c r="T539" t="s">
        <v>26630</v>
      </c>
      <c r="U539" s="118" t="s">
        <v>26660</v>
      </c>
      <c r="V539" s="119"/>
      <c r="X539" t="s">
        <v>26666</v>
      </c>
    </row>
    <row r="540" spans="1:24" x14ac:dyDescent="0.3">
      <c r="A540" s="118" t="s">
        <v>26481</v>
      </c>
      <c r="B540" s="119"/>
      <c r="D540" t="s">
        <v>26487</v>
      </c>
      <c r="E540" s="118" t="s">
        <v>26517</v>
      </c>
      <c r="F540" s="119"/>
      <c r="H540" t="s">
        <v>26523</v>
      </c>
      <c r="I540" s="118" t="s">
        <v>26553</v>
      </c>
      <c r="J540" s="119"/>
      <c r="L540" t="s">
        <v>26559</v>
      </c>
      <c r="M540" s="118" t="s">
        <v>26589</v>
      </c>
      <c r="N540" s="119"/>
      <c r="P540" t="s">
        <v>26595</v>
      </c>
      <c r="Q540" s="118" t="s">
        <v>26625</v>
      </c>
      <c r="R540" s="119"/>
      <c r="T540" t="s">
        <v>26631</v>
      </c>
      <c r="U540" s="118" t="s">
        <v>26661</v>
      </c>
      <c r="V540" s="119"/>
      <c r="X540" t="s">
        <v>26667</v>
      </c>
    </row>
    <row r="541" spans="1:24" x14ac:dyDescent="0.3">
      <c r="A541" s="118" t="s">
        <v>26492</v>
      </c>
      <c r="B541" s="119"/>
      <c r="D541" t="s">
        <v>26498</v>
      </c>
      <c r="E541" s="118" t="s">
        <v>26528</v>
      </c>
      <c r="F541" s="119"/>
      <c r="H541" t="s">
        <v>26534</v>
      </c>
      <c r="I541" s="118" t="s">
        <v>26564</v>
      </c>
      <c r="J541" s="119"/>
      <c r="L541" t="s">
        <v>26570</v>
      </c>
      <c r="M541" s="118" t="s">
        <v>26600</v>
      </c>
      <c r="N541" s="119"/>
      <c r="P541" t="s">
        <v>26606</v>
      </c>
      <c r="Q541" s="118" t="s">
        <v>26636</v>
      </c>
      <c r="R541" s="119"/>
      <c r="T541" t="s">
        <v>26642</v>
      </c>
      <c r="U541" s="118" t="s">
        <v>26672</v>
      </c>
      <c r="V541" s="119"/>
      <c r="X541" t="s">
        <v>26678</v>
      </c>
    </row>
    <row r="542" spans="1:24" x14ac:dyDescent="0.3">
      <c r="A542" s="118" t="s">
        <v>26493</v>
      </c>
      <c r="B542" s="119"/>
      <c r="D542" t="s">
        <v>26499</v>
      </c>
      <c r="E542" s="118" t="s">
        <v>26529</v>
      </c>
      <c r="F542" s="119"/>
      <c r="H542" t="s">
        <v>26535</v>
      </c>
      <c r="I542" s="118" t="s">
        <v>26565</v>
      </c>
      <c r="J542" s="119"/>
      <c r="L542" t="s">
        <v>26571</v>
      </c>
      <c r="M542" s="118" t="s">
        <v>26601</v>
      </c>
      <c r="N542" s="119"/>
      <c r="P542" t="s">
        <v>26607</v>
      </c>
      <c r="Q542" s="118" t="s">
        <v>26637</v>
      </c>
      <c r="R542" s="119"/>
      <c r="T542" t="s">
        <v>26643</v>
      </c>
      <c r="U542" s="118" t="s">
        <v>26673</v>
      </c>
      <c r="V542" s="119"/>
      <c r="X542" t="s">
        <v>26679</v>
      </c>
    </row>
    <row r="543" spans="1:24" x14ac:dyDescent="0.3">
      <c r="A543" s="118" t="s">
        <v>26504</v>
      </c>
      <c r="B543" s="119"/>
      <c r="D543" t="s">
        <v>26510</v>
      </c>
      <c r="E543" s="118" t="s">
        <v>26540</v>
      </c>
      <c r="F543" s="119"/>
      <c r="H543" t="s">
        <v>26546</v>
      </c>
      <c r="I543" s="118" t="s">
        <v>26576</v>
      </c>
      <c r="J543" s="119"/>
      <c r="L543" t="s">
        <v>26582</v>
      </c>
      <c r="M543" s="118" t="s">
        <v>26612</v>
      </c>
      <c r="N543" s="119"/>
      <c r="P543" t="s">
        <v>26618</v>
      </c>
      <c r="Q543" s="118" t="s">
        <v>26648</v>
      </c>
      <c r="R543" s="119"/>
      <c r="T543" t="s">
        <v>26654</v>
      </c>
      <c r="U543" s="118" t="s">
        <v>26684</v>
      </c>
      <c r="V543" s="119"/>
      <c r="X543" t="s">
        <v>26690</v>
      </c>
    </row>
    <row r="544" spans="1:24" x14ac:dyDescent="0.3">
      <c r="A544" s="118" t="s">
        <v>26505</v>
      </c>
      <c r="B544" s="119"/>
      <c r="D544" t="s">
        <v>26511</v>
      </c>
      <c r="E544" s="118" t="s">
        <v>26541</v>
      </c>
      <c r="F544" s="119"/>
      <c r="H544" t="s">
        <v>26547</v>
      </c>
      <c r="I544" s="118" t="s">
        <v>26577</v>
      </c>
      <c r="J544" s="119"/>
      <c r="L544" t="s">
        <v>26583</v>
      </c>
      <c r="M544" s="118" t="s">
        <v>26613</v>
      </c>
      <c r="N544" s="119"/>
      <c r="P544" t="s">
        <v>26619</v>
      </c>
      <c r="Q544" s="118" t="s">
        <v>26649</v>
      </c>
      <c r="R544" s="119"/>
      <c r="T544" t="s">
        <v>26655</v>
      </c>
      <c r="U544" s="118" t="s">
        <v>26685</v>
      </c>
      <c r="V544" s="119"/>
      <c r="X544" t="s">
        <v>26691</v>
      </c>
    </row>
    <row r="545" spans="1:24" x14ac:dyDescent="0.3">
      <c r="A545" s="118" t="s">
        <v>26696</v>
      </c>
      <c r="B545" s="119"/>
      <c r="D545" t="s">
        <v>26702</v>
      </c>
      <c r="E545" s="118" t="s">
        <v>26732</v>
      </c>
      <c r="F545" s="119"/>
      <c r="H545" t="s">
        <v>26738</v>
      </c>
      <c r="I545" s="118" t="s">
        <v>26768</v>
      </c>
      <c r="J545" s="119"/>
      <c r="L545" t="s">
        <v>26774</v>
      </c>
      <c r="M545" s="118" t="s">
        <v>26804</v>
      </c>
      <c r="N545" s="119"/>
      <c r="P545" t="s">
        <v>26810</v>
      </c>
      <c r="Q545" s="118" t="s">
        <v>26840</v>
      </c>
      <c r="R545" s="119"/>
      <c r="T545" t="s">
        <v>26846</v>
      </c>
      <c r="U545" s="118" t="s">
        <v>26876</v>
      </c>
      <c r="V545" s="119"/>
      <c r="X545" t="s">
        <v>26882</v>
      </c>
    </row>
    <row r="546" spans="1:24" x14ac:dyDescent="0.3">
      <c r="A546" s="118" t="s">
        <v>26697</v>
      </c>
      <c r="B546" s="119"/>
      <c r="D546" t="s">
        <v>26703</v>
      </c>
      <c r="E546" s="118" t="s">
        <v>26733</v>
      </c>
      <c r="F546" s="119"/>
      <c r="H546" t="s">
        <v>26739</v>
      </c>
      <c r="I546" s="118" t="s">
        <v>26769</v>
      </c>
      <c r="J546" s="119"/>
      <c r="L546" t="s">
        <v>26775</v>
      </c>
      <c r="M546" s="118" t="s">
        <v>26805</v>
      </c>
      <c r="N546" s="119"/>
      <c r="P546" t="s">
        <v>26811</v>
      </c>
      <c r="Q546" s="118" t="s">
        <v>26841</v>
      </c>
      <c r="R546" s="119"/>
      <c r="T546" t="s">
        <v>26847</v>
      </c>
      <c r="U546" s="118" t="s">
        <v>26877</v>
      </c>
      <c r="V546" s="119"/>
      <c r="X546" t="s">
        <v>26883</v>
      </c>
    </row>
    <row r="547" spans="1:24" x14ac:dyDescent="0.3">
      <c r="A547" s="118" t="s">
        <v>26708</v>
      </c>
      <c r="B547" s="119"/>
      <c r="D547" t="s">
        <v>26714</v>
      </c>
      <c r="E547" s="118" t="s">
        <v>26744</v>
      </c>
      <c r="F547" s="119"/>
      <c r="H547" t="s">
        <v>26750</v>
      </c>
      <c r="I547" s="118" t="s">
        <v>26780</v>
      </c>
      <c r="J547" s="119"/>
      <c r="L547" t="s">
        <v>26786</v>
      </c>
      <c r="M547" s="118" t="s">
        <v>26816</v>
      </c>
      <c r="N547" s="119"/>
      <c r="P547" t="s">
        <v>26822</v>
      </c>
      <c r="Q547" s="118" t="s">
        <v>26852</v>
      </c>
      <c r="R547" s="119"/>
      <c r="T547" t="s">
        <v>26858</v>
      </c>
      <c r="U547" s="118" t="s">
        <v>26888</v>
      </c>
      <c r="V547" s="119"/>
      <c r="X547" t="s">
        <v>26894</v>
      </c>
    </row>
    <row r="548" spans="1:24" x14ac:dyDescent="0.3">
      <c r="A548" s="118" t="s">
        <v>26709</v>
      </c>
      <c r="B548" s="119"/>
      <c r="D548" t="s">
        <v>26715</v>
      </c>
      <c r="E548" s="118" t="s">
        <v>26745</v>
      </c>
      <c r="F548" s="119"/>
      <c r="H548" t="s">
        <v>26751</v>
      </c>
      <c r="I548" s="118" t="s">
        <v>26781</v>
      </c>
      <c r="J548" s="119"/>
      <c r="L548" t="s">
        <v>26787</v>
      </c>
      <c r="M548" s="118" t="s">
        <v>26817</v>
      </c>
      <c r="N548" s="119"/>
      <c r="P548" t="s">
        <v>26823</v>
      </c>
      <c r="Q548" s="118" t="s">
        <v>26853</v>
      </c>
      <c r="R548" s="119"/>
      <c r="T548" t="s">
        <v>26859</v>
      </c>
      <c r="U548" s="118" t="s">
        <v>26889</v>
      </c>
      <c r="V548" s="119"/>
      <c r="X548" t="s">
        <v>26895</v>
      </c>
    </row>
    <row r="549" spans="1:24" x14ac:dyDescent="0.3">
      <c r="A549" s="118" t="s">
        <v>26720</v>
      </c>
      <c r="B549" s="119"/>
      <c r="D549" t="s">
        <v>26726</v>
      </c>
      <c r="E549" s="118" t="s">
        <v>26756</v>
      </c>
      <c r="F549" s="119"/>
      <c r="H549" t="s">
        <v>26762</v>
      </c>
      <c r="I549" s="118" t="s">
        <v>26792</v>
      </c>
      <c r="J549" s="119"/>
      <c r="L549" t="s">
        <v>26798</v>
      </c>
      <c r="M549" s="118" t="s">
        <v>26828</v>
      </c>
      <c r="N549" s="119"/>
      <c r="P549" t="s">
        <v>26834</v>
      </c>
      <c r="Q549" s="118" t="s">
        <v>26864</v>
      </c>
      <c r="R549" s="119"/>
      <c r="T549" t="s">
        <v>26870</v>
      </c>
      <c r="U549" s="118" t="s">
        <v>26900</v>
      </c>
      <c r="V549" s="119"/>
      <c r="X549" t="s">
        <v>26906</v>
      </c>
    </row>
    <row r="550" spans="1:24" x14ac:dyDescent="0.3">
      <c r="A550" s="118" t="s">
        <v>26721</v>
      </c>
      <c r="B550" s="119"/>
      <c r="D550" t="s">
        <v>26727</v>
      </c>
      <c r="E550" s="118" t="s">
        <v>26757</v>
      </c>
      <c r="F550" s="119"/>
      <c r="H550" t="s">
        <v>26763</v>
      </c>
      <c r="I550" s="118" t="s">
        <v>26793</v>
      </c>
      <c r="J550" s="119"/>
      <c r="L550" t="s">
        <v>26799</v>
      </c>
      <c r="M550" s="118" t="s">
        <v>26829</v>
      </c>
      <c r="N550" s="119"/>
      <c r="P550" t="s">
        <v>26835</v>
      </c>
      <c r="Q550" s="118" t="s">
        <v>26865</v>
      </c>
      <c r="R550" s="119"/>
      <c r="T550" t="s">
        <v>26871</v>
      </c>
      <c r="U550" s="118" t="s">
        <v>26901</v>
      </c>
      <c r="V550" s="119"/>
      <c r="X550" t="s">
        <v>26907</v>
      </c>
    </row>
    <row r="551" spans="1:24" x14ac:dyDescent="0.3">
      <c r="A551" s="118" t="s">
        <v>26912</v>
      </c>
      <c r="B551" s="119"/>
      <c r="D551" t="s">
        <v>26918</v>
      </c>
      <c r="E551" s="118" t="s">
        <v>26948</v>
      </c>
      <c r="F551" s="119"/>
      <c r="H551" t="s">
        <v>26954</v>
      </c>
      <c r="I551" s="118" t="s">
        <v>26984</v>
      </c>
      <c r="J551" s="119"/>
      <c r="L551" t="s">
        <v>26990</v>
      </c>
      <c r="M551" s="118" t="s">
        <v>27020</v>
      </c>
      <c r="N551" s="119"/>
      <c r="P551" t="s">
        <v>27026</v>
      </c>
      <c r="Q551" s="118" t="s">
        <v>27056</v>
      </c>
      <c r="R551" s="119"/>
      <c r="T551" t="s">
        <v>27062</v>
      </c>
      <c r="U551" s="118" t="s">
        <v>27092</v>
      </c>
      <c r="V551" s="119"/>
      <c r="X551" t="s">
        <v>27098</v>
      </c>
    </row>
    <row r="552" spans="1:24" x14ac:dyDescent="0.3">
      <c r="A552" s="118" t="s">
        <v>26913</v>
      </c>
      <c r="B552" s="119"/>
      <c r="D552" t="s">
        <v>26919</v>
      </c>
      <c r="E552" s="118" t="s">
        <v>26949</v>
      </c>
      <c r="F552" s="119"/>
      <c r="H552" t="s">
        <v>26955</v>
      </c>
      <c r="I552" s="118" t="s">
        <v>26985</v>
      </c>
      <c r="J552" s="119"/>
      <c r="L552" t="s">
        <v>26991</v>
      </c>
      <c r="M552" s="118" t="s">
        <v>27021</v>
      </c>
      <c r="N552" s="119"/>
      <c r="P552" t="s">
        <v>27027</v>
      </c>
      <c r="Q552" s="118" t="s">
        <v>27057</v>
      </c>
      <c r="R552" s="119"/>
      <c r="T552" t="s">
        <v>27063</v>
      </c>
      <c r="U552" s="118" t="s">
        <v>27093</v>
      </c>
      <c r="V552" s="119"/>
      <c r="X552" t="s">
        <v>27099</v>
      </c>
    </row>
    <row r="553" spans="1:24" x14ac:dyDescent="0.3">
      <c r="A553" s="118" t="s">
        <v>26924</v>
      </c>
      <c r="B553" s="119"/>
      <c r="D553" t="s">
        <v>26930</v>
      </c>
      <c r="E553" s="118" t="s">
        <v>26960</v>
      </c>
      <c r="F553" s="119"/>
      <c r="H553" t="s">
        <v>26966</v>
      </c>
      <c r="I553" s="118" t="s">
        <v>26996</v>
      </c>
      <c r="J553" s="119"/>
      <c r="L553" t="s">
        <v>27002</v>
      </c>
      <c r="M553" s="118" t="s">
        <v>27032</v>
      </c>
      <c r="N553" s="119"/>
      <c r="P553" t="s">
        <v>27038</v>
      </c>
      <c r="Q553" s="118" t="s">
        <v>27068</v>
      </c>
      <c r="R553" s="119"/>
      <c r="T553" t="s">
        <v>27074</v>
      </c>
      <c r="U553" s="118" t="s">
        <v>27104</v>
      </c>
      <c r="V553" s="119"/>
      <c r="X553" t="s">
        <v>27110</v>
      </c>
    </row>
    <row r="554" spans="1:24" x14ac:dyDescent="0.3">
      <c r="A554" s="118" t="s">
        <v>26925</v>
      </c>
      <c r="B554" s="119"/>
      <c r="D554" t="s">
        <v>26931</v>
      </c>
      <c r="E554" s="118" t="s">
        <v>26961</v>
      </c>
      <c r="F554" s="119"/>
      <c r="H554" t="s">
        <v>26967</v>
      </c>
      <c r="I554" s="118" t="s">
        <v>26997</v>
      </c>
      <c r="J554" s="119"/>
      <c r="L554" t="s">
        <v>27003</v>
      </c>
      <c r="M554" s="118" t="s">
        <v>27033</v>
      </c>
      <c r="N554" s="119"/>
      <c r="P554" t="s">
        <v>27039</v>
      </c>
      <c r="Q554" s="118" t="s">
        <v>27069</v>
      </c>
      <c r="R554" s="119"/>
      <c r="T554" t="s">
        <v>27075</v>
      </c>
      <c r="U554" s="118" t="s">
        <v>27105</v>
      </c>
      <c r="V554" s="119"/>
      <c r="X554" t="s">
        <v>27111</v>
      </c>
    </row>
    <row r="555" spans="1:24" x14ac:dyDescent="0.3">
      <c r="A555" s="118" t="s">
        <v>26936</v>
      </c>
      <c r="B555" s="119"/>
      <c r="D555" t="s">
        <v>26942</v>
      </c>
      <c r="E555" s="118" t="s">
        <v>26972</v>
      </c>
      <c r="F555" s="119"/>
      <c r="H555" t="s">
        <v>26978</v>
      </c>
      <c r="I555" s="118" t="s">
        <v>27008</v>
      </c>
      <c r="J555" s="119"/>
      <c r="L555" t="s">
        <v>27014</v>
      </c>
      <c r="M555" s="118" t="s">
        <v>27044</v>
      </c>
      <c r="N555" s="119"/>
      <c r="P555" t="s">
        <v>27050</v>
      </c>
      <c r="Q555" s="118" t="s">
        <v>27080</v>
      </c>
      <c r="R555" s="119"/>
      <c r="T555" t="s">
        <v>27086</v>
      </c>
      <c r="U555" s="118" t="s">
        <v>27116</v>
      </c>
      <c r="V555" s="119"/>
      <c r="X555" t="s">
        <v>27122</v>
      </c>
    </row>
    <row r="556" spans="1:24" x14ac:dyDescent="0.3">
      <c r="A556" s="118" t="s">
        <v>26937</v>
      </c>
      <c r="B556" s="119"/>
      <c r="D556" t="s">
        <v>26943</v>
      </c>
      <c r="E556" s="118" t="s">
        <v>26973</v>
      </c>
      <c r="F556" s="119"/>
      <c r="H556" t="s">
        <v>26979</v>
      </c>
      <c r="I556" s="118" t="s">
        <v>27009</v>
      </c>
      <c r="J556" s="119"/>
      <c r="L556" t="s">
        <v>27015</v>
      </c>
      <c r="M556" s="118" t="s">
        <v>27045</v>
      </c>
      <c r="N556" s="119"/>
      <c r="P556" t="s">
        <v>27051</v>
      </c>
      <c r="Q556" s="118" t="s">
        <v>27081</v>
      </c>
      <c r="R556" s="119"/>
      <c r="T556" t="s">
        <v>27087</v>
      </c>
      <c r="U556" s="118" t="s">
        <v>27117</v>
      </c>
      <c r="V556" s="119"/>
      <c r="X556" t="s">
        <v>27123</v>
      </c>
    </row>
    <row r="557" spans="1:24" x14ac:dyDescent="0.3">
      <c r="A557" s="118" t="s">
        <v>27128</v>
      </c>
      <c r="B557" s="119"/>
      <c r="D557" t="s">
        <v>27134</v>
      </c>
      <c r="E557" s="118" t="s">
        <v>27164</v>
      </c>
      <c r="F557" s="119"/>
      <c r="H557" t="s">
        <v>27170</v>
      </c>
      <c r="I557" s="118" t="s">
        <v>27200</v>
      </c>
      <c r="J557" s="119"/>
      <c r="L557" t="s">
        <v>27206</v>
      </c>
      <c r="M557" s="118" t="s">
        <v>27236</v>
      </c>
      <c r="N557" s="119"/>
      <c r="P557" t="s">
        <v>27242</v>
      </c>
      <c r="Q557" s="118" t="s">
        <v>27272</v>
      </c>
      <c r="R557" s="119"/>
      <c r="T557" t="s">
        <v>27278</v>
      </c>
      <c r="U557" s="118" t="s">
        <v>27308</v>
      </c>
      <c r="V557" s="119"/>
      <c r="X557" t="s">
        <v>27314</v>
      </c>
    </row>
    <row r="558" spans="1:24" x14ac:dyDescent="0.3">
      <c r="A558" s="118" t="s">
        <v>27129</v>
      </c>
      <c r="B558" s="119"/>
      <c r="D558" t="s">
        <v>27135</v>
      </c>
      <c r="E558" s="118" t="s">
        <v>27165</v>
      </c>
      <c r="F558" s="119"/>
      <c r="H558" t="s">
        <v>27171</v>
      </c>
      <c r="I558" s="118" t="s">
        <v>27201</v>
      </c>
      <c r="J558" s="119"/>
      <c r="L558" t="s">
        <v>27207</v>
      </c>
      <c r="M558" s="118" t="s">
        <v>27237</v>
      </c>
      <c r="N558" s="119"/>
      <c r="P558" t="s">
        <v>27243</v>
      </c>
      <c r="Q558" s="118" t="s">
        <v>27273</v>
      </c>
      <c r="R558" s="119"/>
      <c r="T558" t="s">
        <v>27279</v>
      </c>
      <c r="U558" s="118" t="s">
        <v>27309</v>
      </c>
      <c r="V558" s="119"/>
      <c r="X558" t="s">
        <v>27315</v>
      </c>
    </row>
    <row r="559" spans="1:24" x14ac:dyDescent="0.3">
      <c r="A559" s="118" t="s">
        <v>27140</v>
      </c>
      <c r="B559" s="119"/>
      <c r="D559" t="s">
        <v>27146</v>
      </c>
      <c r="E559" s="118" t="s">
        <v>27176</v>
      </c>
      <c r="F559" s="119"/>
      <c r="H559" t="s">
        <v>27182</v>
      </c>
      <c r="I559" s="118" t="s">
        <v>27212</v>
      </c>
      <c r="J559" s="119"/>
      <c r="L559" t="s">
        <v>27218</v>
      </c>
      <c r="M559" s="118" t="s">
        <v>27248</v>
      </c>
      <c r="N559" s="119"/>
      <c r="P559" t="s">
        <v>27254</v>
      </c>
      <c r="Q559" s="118" t="s">
        <v>27284</v>
      </c>
      <c r="R559" s="119"/>
      <c r="T559" t="s">
        <v>27290</v>
      </c>
      <c r="U559" s="118" t="s">
        <v>27320</v>
      </c>
      <c r="V559" s="119"/>
      <c r="X559" t="s">
        <v>27326</v>
      </c>
    </row>
    <row r="560" spans="1:24" x14ac:dyDescent="0.3">
      <c r="A560" s="118" t="s">
        <v>27141</v>
      </c>
      <c r="B560" s="119"/>
      <c r="D560" t="s">
        <v>27147</v>
      </c>
      <c r="E560" s="118" t="s">
        <v>27177</v>
      </c>
      <c r="F560" s="119"/>
      <c r="H560" t="s">
        <v>27183</v>
      </c>
      <c r="I560" s="118" t="s">
        <v>27213</v>
      </c>
      <c r="J560" s="119"/>
      <c r="L560" t="s">
        <v>27219</v>
      </c>
      <c r="M560" s="118" t="s">
        <v>27249</v>
      </c>
      <c r="N560" s="119"/>
      <c r="P560" t="s">
        <v>27255</v>
      </c>
      <c r="Q560" s="118" t="s">
        <v>27285</v>
      </c>
      <c r="R560" s="119"/>
      <c r="T560" t="s">
        <v>27291</v>
      </c>
      <c r="U560" s="118" t="s">
        <v>27321</v>
      </c>
      <c r="V560" s="119"/>
      <c r="X560" t="s">
        <v>27327</v>
      </c>
    </row>
    <row r="561" spans="1:24" x14ac:dyDescent="0.3">
      <c r="A561" s="118" t="s">
        <v>27152</v>
      </c>
      <c r="B561" s="119"/>
      <c r="D561" t="s">
        <v>27158</v>
      </c>
      <c r="E561" s="118" t="s">
        <v>27188</v>
      </c>
      <c r="F561" s="119"/>
      <c r="H561" t="s">
        <v>27194</v>
      </c>
      <c r="I561" s="118" t="s">
        <v>27224</v>
      </c>
      <c r="J561" s="119"/>
      <c r="L561" t="s">
        <v>27230</v>
      </c>
      <c r="M561" s="118" t="s">
        <v>27260</v>
      </c>
      <c r="N561" s="119"/>
      <c r="P561" t="s">
        <v>27266</v>
      </c>
      <c r="Q561" s="118" t="s">
        <v>27296</v>
      </c>
      <c r="R561" s="119"/>
      <c r="T561" t="s">
        <v>27302</v>
      </c>
      <c r="U561" s="118" t="s">
        <v>27332</v>
      </c>
      <c r="V561" s="119"/>
      <c r="X561" t="s">
        <v>27338</v>
      </c>
    </row>
    <row r="562" spans="1:24" x14ac:dyDescent="0.3">
      <c r="A562" s="118" t="s">
        <v>27153</v>
      </c>
      <c r="B562" s="119"/>
      <c r="D562" t="s">
        <v>27159</v>
      </c>
      <c r="E562" s="118" t="s">
        <v>27189</v>
      </c>
      <c r="F562" s="119"/>
      <c r="H562" t="s">
        <v>27195</v>
      </c>
      <c r="I562" s="118" t="s">
        <v>27225</v>
      </c>
      <c r="J562" s="119"/>
      <c r="L562" t="s">
        <v>27231</v>
      </c>
      <c r="M562" s="118" t="s">
        <v>27261</v>
      </c>
      <c r="N562" s="119"/>
      <c r="P562" t="s">
        <v>27267</v>
      </c>
      <c r="Q562" s="118" t="s">
        <v>27297</v>
      </c>
      <c r="R562" s="119"/>
      <c r="T562" t="s">
        <v>27303</v>
      </c>
      <c r="U562" s="118" t="s">
        <v>27333</v>
      </c>
      <c r="V562" s="119"/>
      <c r="X562" t="s">
        <v>27339</v>
      </c>
    </row>
    <row r="563" spans="1:24" x14ac:dyDescent="0.3">
      <c r="A563" s="118" t="s">
        <v>27344</v>
      </c>
      <c r="B563" s="119"/>
      <c r="D563" t="s">
        <v>27350</v>
      </c>
      <c r="E563" s="118" t="s">
        <v>27380</v>
      </c>
      <c r="F563" s="119"/>
      <c r="H563" t="s">
        <v>27386</v>
      </c>
      <c r="I563" s="118" t="s">
        <v>27416</v>
      </c>
      <c r="J563" s="119"/>
      <c r="L563" t="s">
        <v>27422</v>
      </c>
      <c r="M563" s="118" t="s">
        <v>27452</v>
      </c>
      <c r="N563" s="119"/>
      <c r="P563" t="s">
        <v>27458</v>
      </c>
      <c r="Q563" s="118" t="s">
        <v>27488</v>
      </c>
      <c r="R563" s="119"/>
      <c r="T563" t="s">
        <v>27494</v>
      </c>
      <c r="U563" s="118" t="s">
        <v>27524</v>
      </c>
      <c r="V563" s="119"/>
      <c r="X563" t="s">
        <v>27530</v>
      </c>
    </row>
    <row r="564" spans="1:24" x14ac:dyDescent="0.3">
      <c r="A564" s="118" t="s">
        <v>27345</v>
      </c>
      <c r="B564" s="119"/>
      <c r="D564" t="s">
        <v>27351</v>
      </c>
      <c r="E564" s="118" t="s">
        <v>27381</v>
      </c>
      <c r="F564" s="119"/>
      <c r="H564" t="s">
        <v>27387</v>
      </c>
      <c r="I564" s="118" t="s">
        <v>27417</v>
      </c>
      <c r="J564" s="119"/>
      <c r="L564" t="s">
        <v>27423</v>
      </c>
      <c r="M564" s="118" t="s">
        <v>27453</v>
      </c>
      <c r="N564" s="119"/>
      <c r="P564" t="s">
        <v>27459</v>
      </c>
      <c r="Q564" s="118" t="s">
        <v>27489</v>
      </c>
      <c r="R564" s="119"/>
      <c r="T564" t="s">
        <v>27495</v>
      </c>
      <c r="U564" s="118" t="s">
        <v>27525</v>
      </c>
      <c r="V564" s="119"/>
      <c r="X564" t="s">
        <v>27531</v>
      </c>
    </row>
    <row r="565" spans="1:24" x14ac:dyDescent="0.3">
      <c r="A565" s="118" t="s">
        <v>27356</v>
      </c>
      <c r="B565" s="119"/>
      <c r="D565" t="s">
        <v>27362</v>
      </c>
      <c r="E565" s="118" t="s">
        <v>27392</v>
      </c>
      <c r="F565" s="119"/>
      <c r="H565" t="s">
        <v>27398</v>
      </c>
      <c r="I565" s="118" t="s">
        <v>27428</v>
      </c>
      <c r="J565" s="119"/>
      <c r="L565" t="s">
        <v>27434</v>
      </c>
      <c r="M565" s="118" t="s">
        <v>27464</v>
      </c>
      <c r="N565" s="119"/>
      <c r="P565" t="s">
        <v>27470</v>
      </c>
      <c r="Q565" s="118" t="s">
        <v>27500</v>
      </c>
      <c r="R565" s="119"/>
      <c r="T565" t="s">
        <v>27506</v>
      </c>
      <c r="U565" s="118" t="s">
        <v>27536</v>
      </c>
      <c r="V565" s="119"/>
      <c r="X565" t="s">
        <v>27542</v>
      </c>
    </row>
    <row r="566" spans="1:24" x14ac:dyDescent="0.3">
      <c r="A566" s="118" t="s">
        <v>27357</v>
      </c>
      <c r="B566" s="119"/>
      <c r="D566" t="s">
        <v>27363</v>
      </c>
      <c r="E566" s="118" t="s">
        <v>27393</v>
      </c>
      <c r="F566" s="119"/>
      <c r="H566" t="s">
        <v>27399</v>
      </c>
      <c r="I566" s="118" t="s">
        <v>27429</v>
      </c>
      <c r="J566" s="119"/>
      <c r="L566" t="s">
        <v>27435</v>
      </c>
      <c r="M566" s="118" t="s">
        <v>27465</v>
      </c>
      <c r="N566" s="119"/>
      <c r="P566" t="s">
        <v>27471</v>
      </c>
      <c r="Q566" s="118" t="s">
        <v>27501</v>
      </c>
      <c r="R566" s="119"/>
      <c r="T566" t="s">
        <v>27507</v>
      </c>
      <c r="U566" s="118" t="s">
        <v>27537</v>
      </c>
      <c r="V566" s="119"/>
      <c r="X566" t="s">
        <v>27543</v>
      </c>
    </row>
    <row r="567" spans="1:24" x14ac:dyDescent="0.3">
      <c r="A567" s="118" t="s">
        <v>27368</v>
      </c>
      <c r="B567" s="119"/>
      <c r="D567" t="s">
        <v>27374</v>
      </c>
      <c r="E567" s="118" t="s">
        <v>27404</v>
      </c>
      <c r="F567" s="119"/>
      <c r="H567" t="s">
        <v>27410</v>
      </c>
      <c r="I567" s="118" t="s">
        <v>27440</v>
      </c>
      <c r="J567" s="119"/>
      <c r="L567" t="s">
        <v>27446</v>
      </c>
      <c r="M567" s="118" t="s">
        <v>27476</v>
      </c>
      <c r="N567" s="119"/>
      <c r="P567" t="s">
        <v>27482</v>
      </c>
      <c r="Q567" s="118" t="s">
        <v>27512</v>
      </c>
      <c r="R567" s="119"/>
      <c r="T567" t="s">
        <v>27518</v>
      </c>
      <c r="U567" s="118" t="s">
        <v>27548</v>
      </c>
      <c r="V567" s="119"/>
      <c r="X567" t="s">
        <v>27554</v>
      </c>
    </row>
    <row r="568" spans="1:24" x14ac:dyDescent="0.3">
      <c r="A568" s="118" t="s">
        <v>27369</v>
      </c>
      <c r="B568" s="119"/>
      <c r="D568" t="s">
        <v>27375</v>
      </c>
      <c r="E568" s="118" t="s">
        <v>27405</v>
      </c>
      <c r="F568" s="119"/>
      <c r="H568" t="s">
        <v>27411</v>
      </c>
      <c r="I568" s="118" t="s">
        <v>27441</v>
      </c>
      <c r="J568" s="119"/>
      <c r="L568" t="s">
        <v>27447</v>
      </c>
      <c r="M568" s="118" t="s">
        <v>27477</v>
      </c>
      <c r="N568" s="119"/>
      <c r="P568" t="s">
        <v>27483</v>
      </c>
      <c r="Q568" s="118" t="s">
        <v>27513</v>
      </c>
      <c r="R568" s="119"/>
      <c r="T568" t="s">
        <v>27519</v>
      </c>
      <c r="U568" s="118" t="s">
        <v>27549</v>
      </c>
      <c r="V568" s="119"/>
      <c r="X568" t="s">
        <v>27555</v>
      </c>
    </row>
    <row r="569" spans="1:24" x14ac:dyDescent="0.3">
      <c r="A569" s="118" t="s">
        <v>27560</v>
      </c>
      <c r="B569" s="119"/>
      <c r="D569" t="s">
        <v>27566</v>
      </c>
      <c r="E569" s="118" t="s">
        <v>27596</v>
      </c>
      <c r="F569" s="119"/>
      <c r="H569" t="s">
        <v>27602</v>
      </c>
      <c r="I569" s="118" t="s">
        <v>27632</v>
      </c>
      <c r="J569" s="119"/>
      <c r="L569" t="s">
        <v>27638</v>
      </c>
      <c r="M569" s="118" t="s">
        <v>27668</v>
      </c>
      <c r="N569" s="119"/>
      <c r="P569" t="s">
        <v>27674</v>
      </c>
      <c r="Q569" s="118" t="s">
        <v>27704</v>
      </c>
      <c r="R569" s="119"/>
      <c r="T569" t="s">
        <v>27710</v>
      </c>
      <c r="U569" s="118" t="s">
        <v>27740</v>
      </c>
      <c r="V569" s="119"/>
      <c r="X569" t="s">
        <v>27746</v>
      </c>
    </row>
    <row r="570" spans="1:24" x14ac:dyDescent="0.3">
      <c r="A570" s="118" t="s">
        <v>27561</v>
      </c>
      <c r="B570" s="119"/>
      <c r="D570" t="s">
        <v>27567</v>
      </c>
      <c r="E570" s="118" t="s">
        <v>27597</v>
      </c>
      <c r="F570" s="119"/>
      <c r="H570" t="s">
        <v>27603</v>
      </c>
      <c r="I570" s="118" t="s">
        <v>27633</v>
      </c>
      <c r="J570" s="119"/>
      <c r="L570" t="s">
        <v>27639</v>
      </c>
      <c r="M570" s="118" t="s">
        <v>27669</v>
      </c>
      <c r="N570" s="119"/>
      <c r="P570" t="s">
        <v>27675</v>
      </c>
      <c r="Q570" s="118" t="s">
        <v>27705</v>
      </c>
      <c r="R570" s="119"/>
      <c r="T570" t="s">
        <v>27711</v>
      </c>
      <c r="U570" s="118" t="s">
        <v>27741</v>
      </c>
      <c r="V570" s="119"/>
      <c r="X570" t="s">
        <v>27747</v>
      </c>
    </row>
    <row r="571" spans="1:24" x14ac:dyDescent="0.3">
      <c r="A571" s="118" t="s">
        <v>27572</v>
      </c>
      <c r="B571" s="119"/>
      <c r="D571" t="s">
        <v>27578</v>
      </c>
      <c r="E571" s="118" t="s">
        <v>27608</v>
      </c>
      <c r="F571" s="119"/>
      <c r="H571" t="s">
        <v>27614</v>
      </c>
      <c r="I571" s="118" t="s">
        <v>27644</v>
      </c>
      <c r="J571" s="119"/>
      <c r="L571" t="s">
        <v>27650</v>
      </c>
      <c r="M571" s="118" t="s">
        <v>27680</v>
      </c>
      <c r="N571" s="119"/>
      <c r="P571" t="s">
        <v>27686</v>
      </c>
      <c r="Q571" s="118" t="s">
        <v>27716</v>
      </c>
      <c r="R571" s="119"/>
      <c r="T571" t="s">
        <v>27722</v>
      </c>
      <c r="U571" s="118" t="s">
        <v>27752</v>
      </c>
      <c r="V571" s="119"/>
      <c r="X571" t="s">
        <v>27758</v>
      </c>
    </row>
    <row r="572" spans="1:24" x14ac:dyDescent="0.3">
      <c r="A572" s="118" t="s">
        <v>27573</v>
      </c>
      <c r="B572" s="119"/>
      <c r="D572" t="s">
        <v>27579</v>
      </c>
      <c r="E572" s="118" t="s">
        <v>27609</v>
      </c>
      <c r="F572" s="119"/>
      <c r="H572" t="s">
        <v>27615</v>
      </c>
      <c r="I572" s="118" t="s">
        <v>27645</v>
      </c>
      <c r="J572" s="119"/>
      <c r="L572" t="s">
        <v>27651</v>
      </c>
      <c r="M572" s="118" t="s">
        <v>27681</v>
      </c>
      <c r="N572" s="119"/>
      <c r="P572" t="s">
        <v>27687</v>
      </c>
      <c r="Q572" s="118" t="s">
        <v>27717</v>
      </c>
      <c r="R572" s="119"/>
      <c r="T572" t="s">
        <v>27723</v>
      </c>
      <c r="U572" s="118" t="s">
        <v>27753</v>
      </c>
      <c r="V572" s="119"/>
      <c r="X572" t="s">
        <v>27759</v>
      </c>
    </row>
    <row r="573" spans="1:24" x14ac:dyDescent="0.3">
      <c r="A573" s="118" t="s">
        <v>27584</v>
      </c>
      <c r="B573" s="119"/>
      <c r="D573" t="s">
        <v>27590</v>
      </c>
      <c r="E573" s="118" t="s">
        <v>27620</v>
      </c>
      <c r="F573" s="119"/>
      <c r="H573" t="s">
        <v>27626</v>
      </c>
      <c r="I573" s="118" t="s">
        <v>27656</v>
      </c>
      <c r="J573" s="119"/>
      <c r="L573" t="s">
        <v>27662</v>
      </c>
      <c r="M573" s="118" t="s">
        <v>27692</v>
      </c>
      <c r="N573" s="119"/>
      <c r="P573" t="s">
        <v>27698</v>
      </c>
      <c r="Q573" s="118" t="s">
        <v>27728</v>
      </c>
      <c r="R573" s="119"/>
      <c r="T573" t="s">
        <v>27734</v>
      </c>
      <c r="U573" s="118" t="s">
        <v>27764</v>
      </c>
      <c r="V573" s="119"/>
      <c r="X573" t="s">
        <v>27770</v>
      </c>
    </row>
    <row r="574" spans="1:24" x14ac:dyDescent="0.3">
      <c r="A574" s="118" t="s">
        <v>27585</v>
      </c>
      <c r="B574" s="119"/>
      <c r="D574" t="s">
        <v>27591</v>
      </c>
      <c r="E574" s="118" t="s">
        <v>27621</v>
      </c>
      <c r="F574" s="119"/>
      <c r="H574" t="s">
        <v>27627</v>
      </c>
      <c r="I574" s="118" t="s">
        <v>27657</v>
      </c>
      <c r="J574" s="119"/>
      <c r="L574" t="s">
        <v>27663</v>
      </c>
      <c r="M574" s="118" t="s">
        <v>27693</v>
      </c>
      <c r="N574" s="119"/>
      <c r="P574" t="s">
        <v>27699</v>
      </c>
      <c r="Q574" s="118" t="s">
        <v>27729</v>
      </c>
      <c r="R574" s="119"/>
      <c r="T574" t="s">
        <v>27735</v>
      </c>
      <c r="U574" s="118" t="s">
        <v>27765</v>
      </c>
      <c r="V574" s="119"/>
      <c r="X574" t="s">
        <v>27771</v>
      </c>
    </row>
    <row r="575" spans="1:24" x14ac:dyDescent="0.3">
      <c r="A575" s="118" t="s">
        <v>27776</v>
      </c>
      <c r="B575" s="119"/>
      <c r="D575" t="s">
        <v>27782</v>
      </c>
      <c r="E575" s="118" t="s">
        <v>27812</v>
      </c>
      <c r="F575" s="119"/>
      <c r="H575" t="s">
        <v>27818</v>
      </c>
      <c r="I575" s="118" t="s">
        <v>27848</v>
      </c>
      <c r="J575" s="119"/>
      <c r="L575" t="s">
        <v>27854</v>
      </c>
      <c r="M575" s="118" t="s">
        <v>27884</v>
      </c>
      <c r="N575" s="119"/>
      <c r="P575" t="s">
        <v>27890</v>
      </c>
      <c r="Q575" s="118" t="s">
        <v>27920</v>
      </c>
      <c r="R575" s="119"/>
      <c r="T575" t="s">
        <v>27926</v>
      </c>
      <c r="U575" s="118" t="s">
        <v>27956</v>
      </c>
      <c r="V575" s="119"/>
      <c r="X575" t="s">
        <v>27962</v>
      </c>
    </row>
    <row r="576" spans="1:24" x14ac:dyDescent="0.3">
      <c r="A576" s="118" t="s">
        <v>27777</v>
      </c>
      <c r="B576" s="119"/>
      <c r="D576" t="s">
        <v>27783</v>
      </c>
      <c r="E576" s="118" t="s">
        <v>27813</v>
      </c>
      <c r="F576" s="119"/>
      <c r="H576" t="s">
        <v>27819</v>
      </c>
      <c r="I576" s="118" t="s">
        <v>27849</v>
      </c>
      <c r="J576" s="119"/>
      <c r="L576" t="s">
        <v>27855</v>
      </c>
      <c r="M576" s="118" t="s">
        <v>27885</v>
      </c>
      <c r="N576" s="119"/>
      <c r="P576" t="s">
        <v>27891</v>
      </c>
      <c r="Q576" s="118" t="s">
        <v>27921</v>
      </c>
      <c r="R576" s="119"/>
      <c r="T576" t="s">
        <v>27927</v>
      </c>
      <c r="U576" s="118" t="s">
        <v>27957</v>
      </c>
      <c r="V576" s="119"/>
      <c r="X576" t="s">
        <v>27963</v>
      </c>
    </row>
    <row r="577" spans="1:24" x14ac:dyDescent="0.3">
      <c r="A577" s="118" t="s">
        <v>27788</v>
      </c>
      <c r="B577" s="119"/>
      <c r="D577" t="s">
        <v>27794</v>
      </c>
      <c r="E577" s="118" t="s">
        <v>27824</v>
      </c>
      <c r="F577" s="119"/>
      <c r="H577" t="s">
        <v>27830</v>
      </c>
      <c r="I577" s="118" t="s">
        <v>27860</v>
      </c>
      <c r="J577" s="119"/>
      <c r="L577" t="s">
        <v>27866</v>
      </c>
      <c r="M577" s="118" t="s">
        <v>27896</v>
      </c>
      <c r="N577" s="119"/>
      <c r="P577" t="s">
        <v>27902</v>
      </c>
      <c r="Q577" s="118" t="s">
        <v>27932</v>
      </c>
      <c r="R577" s="119"/>
      <c r="T577" t="s">
        <v>27938</v>
      </c>
      <c r="U577" s="118" t="s">
        <v>27968</v>
      </c>
      <c r="V577" s="119"/>
      <c r="X577" t="s">
        <v>27974</v>
      </c>
    </row>
    <row r="578" spans="1:24" x14ac:dyDescent="0.3">
      <c r="A578" s="118" t="s">
        <v>27789</v>
      </c>
      <c r="B578" s="119"/>
      <c r="D578" t="s">
        <v>27795</v>
      </c>
      <c r="E578" s="118" t="s">
        <v>27825</v>
      </c>
      <c r="F578" s="119"/>
      <c r="H578" t="s">
        <v>27831</v>
      </c>
      <c r="I578" s="118" t="s">
        <v>27861</v>
      </c>
      <c r="J578" s="119"/>
      <c r="L578" t="s">
        <v>27867</v>
      </c>
      <c r="M578" s="118" t="s">
        <v>27897</v>
      </c>
      <c r="N578" s="119"/>
      <c r="P578" t="s">
        <v>27903</v>
      </c>
      <c r="Q578" s="118" t="s">
        <v>27933</v>
      </c>
      <c r="R578" s="119"/>
      <c r="T578" t="s">
        <v>27939</v>
      </c>
      <c r="U578" s="118" t="s">
        <v>27969</v>
      </c>
      <c r="V578" s="119"/>
      <c r="X578" t="s">
        <v>27975</v>
      </c>
    </row>
    <row r="579" spans="1:24" x14ac:dyDescent="0.3">
      <c r="A579" s="118" t="s">
        <v>27800</v>
      </c>
      <c r="B579" s="119"/>
      <c r="D579" t="s">
        <v>27806</v>
      </c>
      <c r="E579" s="118" t="s">
        <v>27836</v>
      </c>
      <c r="F579" s="119"/>
      <c r="H579" t="s">
        <v>27842</v>
      </c>
      <c r="I579" s="118" t="s">
        <v>27872</v>
      </c>
      <c r="J579" s="119"/>
      <c r="L579" t="s">
        <v>27878</v>
      </c>
      <c r="M579" s="118" t="s">
        <v>27908</v>
      </c>
      <c r="N579" s="119"/>
      <c r="P579" t="s">
        <v>27914</v>
      </c>
      <c r="Q579" s="118" t="s">
        <v>27944</v>
      </c>
      <c r="R579" s="119"/>
      <c r="T579" t="s">
        <v>27950</v>
      </c>
      <c r="U579" s="118" t="s">
        <v>27980</v>
      </c>
      <c r="V579" s="119"/>
      <c r="X579" t="s">
        <v>27986</v>
      </c>
    </row>
    <row r="580" spans="1:24" x14ac:dyDescent="0.3">
      <c r="A580" s="118" t="s">
        <v>27801</v>
      </c>
      <c r="B580" s="119"/>
      <c r="D580" t="s">
        <v>27807</v>
      </c>
      <c r="E580" s="118" t="s">
        <v>27837</v>
      </c>
      <c r="F580" s="119"/>
      <c r="H580" t="s">
        <v>27843</v>
      </c>
      <c r="I580" s="118" t="s">
        <v>27873</v>
      </c>
      <c r="J580" s="119"/>
      <c r="L580" t="s">
        <v>27879</v>
      </c>
      <c r="M580" s="118" t="s">
        <v>27909</v>
      </c>
      <c r="N580" s="119"/>
      <c r="P580" t="s">
        <v>27915</v>
      </c>
      <c r="Q580" s="118" t="s">
        <v>27945</v>
      </c>
      <c r="R580" s="119"/>
      <c r="T580" t="s">
        <v>27951</v>
      </c>
      <c r="U580" s="118" t="s">
        <v>27981</v>
      </c>
      <c r="V580" s="119"/>
      <c r="X580" t="s">
        <v>27987</v>
      </c>
    </row>
    <row r="581" spans="1:24" x14ac:dyDescent="0.3">
      <c r="A581" s="118" t="s">
        <v>27992</v>
      </c>
      <c r="B581" s="119"/>
      <c r="D581" t="s">
        <v>27998</v>
      </c>
      <c r="E581" s="118" t="s">
        <v>28028</v>
      </c>
      <c r="F581" s="119"/>
      <c r="H581" t="s">
        <v>28034</v>
      </c>
      <c r="I581" s="118" t="s">
        <v>28064</v>
      </c>
      <c r="J581" s="119"/>
      <c r="L581" t="s">
        <v>28070</v>
      </c>
      <c r="M581" s="118" t="s">
        <v>28100</v>
      </c>
      <c r="N581" s="119"/>
      <c r="P581" t="s">
        <v>28106</v>
      </c>
      <c r="Q581" s="118" t="s">
        <v>28136</v>
      </c>
      <c r="R581" s="119"/>
      <c r="T581" t="s">
        <v>28142</v>
      </c>
      <c r="U581" s="118" t="s">
        <v>28172</v>
      </c>
      <c r="V581" s="119"/>
      <c r="X581" t="s">
        <v>28178</v>
      </c>
    </row>
    <row r="582" spans="1:24" x14ac:dyDescent="0.3">
      <c r="A582" s="118" t="s">
        <v>27993</v>
      </c>
      <c r="B582" s="119"/>
      <c r="D582" t="s">
        <v>27999</v>
      </c>
      <c r="E582" s="118" t="s">
        <v>28029</v>
      </c>
      <c r="F582" s="119"/>
      <c r="H582" t="s">
        <v>28035</v>
      </c>
      <c r="I582" s="118" t="s">
        <v>28065</v>
      </c>
      <c r="J582" s="119"/>
      <c r="L582" t="s">
        <v>28071</v>
      </c>
      <c r="M582" s="118" t="s">
        <v>28101</v>
      </c>
      <c r="N582" s="119"/>
      <c r="P582" t="s">
        <v>28107</v>
      </c>
      <c r="Q582" s="118" t="s">
        <v>28137</v>
      </c>
      <c r="R582" s="119"/>
      <c r="T582" t="s">
        <v>28143</v>
      </c>
      <c r="U582" s="118" t="s">
        <v>28173</v>
      </c>
      <c r="V582" s="119"/>
      <c r="X582" t="s">
        <v>28179</v>
      </c>
    </row>
    <row r="583" spans="1:24" x14ac:dyDescent="0.3">
      <c r="A583" s="118" t="s">
        <v>28004</v>
      </c>
      <c r="B583" s="119"/>
      <c r="D583" t="s">
        <v>28010</v>
      </c>
      <c r="E583" s="118" t="s">
        <v>28040</v>
      </c>
      <c r="F583" s="119"/>
      <c r="H583" t="s">
        <v>28046</v>
      </c>
      <c r="I583" s="118" t="s">
        <v>28076</v>
      </c>
      <c r="J583" s="119"/>
      <c r="L583" t="s">
        <v>28082</v>
      </c>
      <c r="M583" s="118" t="s">
        <v>28112</v>
      </c>
      <c r="N583" s="119"/>
      <c r="P583" t="s">
        <v>28118</v>
      </c>
      <c r="Q583" s="118" t="s">
        <v>28148</v>
      </c>
      <c r="R583" s="119"/>
      <c r="T583" t="s">
        <v>28154</v>
      </c>
      <c r="U583" s="118" t="s">
        <v>28184</v>
      </c>
      <c r="V583" s="119"/>
      <c r="X583" t="s">
        <v>28190</v>
      </c>
    </row>
    <row r="584" spans="1:24" x14ac:dyDescent="0.3">
      <c r="A584" s="118" t="s">
        <v>28005</v>
      </c>
      <c r="B584" s="119"/>
      <c r="D584" t="s">
        <v>28011</v>
      </c>
      <c r="E584" s="118" t="s">
        <v>28041</v>
      </c>
      <c r="F584" s="119"/>
      <c r="H584" t="s">
        <v>28047</v>
      </c>
      <c r="I584" s="118" t="s">
        <v>28077</v>
      </c>
      <c r="J584" s="119"/>
      <c r="L584" t="s">
        <v>28083</v>
      </c>
      <c r="M584" s="118" t="s">
        <v>28113</v>
      </c>
      <c r="N584" s="119"/>
      <c r="P584" t="s">
        <v>28119</v>
      </c>
      <c r="Q584" s="118" t="s">
        <v>28149</v>
      </c>
      <c r="R584" s="119"/>
      <c r="T584" t="s">
        <v>28155</v>
      </c>
      <c r="U584" s="118" t="s">
        <v>28185</v>
      </c>
      <c r="V584" s="119"/>
      <c r="X584" t="s">
        <v>28191</v>
      </c>
    </row>
    <row r="585" spans="1:24" x14ac:dyDescent="0.3">
      <c r="A585" s="118" t="s">
        <v>28016</v>
      </c>
      <c r="B585" s="119"/>
      <c r="D585" t="s">
        <v>28022</v>
      </c>
      <c r="E585" s="118" t="s">
        <v>28052</v>
      </c>
      <c r="F585" s="119"/>
      <c r="H585" t="s">
        <v>28058</v>
      </c>
      <c r="I585" s="118" t="s">
        <v>28088</v>
      </c>
      <c r="J585" s="119"/>
      <c r="L585" t="s">
        <v>28094</v>
      </c>
      <c r="M585" s="118" t="s">
        <v>28124</v>
      </c>
      <c r="N585" s="119"/>
      <c r="P585" t="s">
        <v>28130</v>
      </c>
      <c r="Q585" s="118" t="s">
        <v>28160</v>
      </c>
      <c r="R585" s="119"/>
      <c r="T585" t="s">
        <v>28166</v>
      </c>
      <c r="U585" s="118" t="s">
        <v>28196</v>
      </c>
      <c r="V585" s="119"/>
      <c r="X585" t="s">
        <v>28202</v>
      </c>
    </row>
    <row r="586" spans="1:24" x14ac:dyDescent="0.3">
      <c r="A586" s="118" t="s">
        <v>28017</v>
      </c>
      <c r="B586" s="119"/>
      <c r="D586" t="s">
        <v>28023</v>
      </c>
      <c r="E586" s="118" t="s">
        <v>28053</v>
      </c>
      <c r="F586" s="119"/>
      <c r="H586" t="s">
        <v>28059</v>
      </c>
      <c r="I586" s="118" t="s">
        <v>28089</v>
      </c>
      <c r="J586" s="119"/>
      <c r="L586" t="s">
        <v>28095</v>
      </c>
      <c r="M586" s="118" t="s">
        <v>28125</v>
      </c>
      <c r="N586" s="119"/>
      <c r="P586" t="s">
        <v>28131</v>
      </c>
      <c r="Q586" s="118" t="s">
        <v>28161</v>
      </c>
      <c r="R586" s="119"/>
      <c r="T586" t="s">
        <v>28167</v>
      </c>
      <c r="U586" s="118" t="s">
        <v>28197</v>
      </c>
      <c r="V586" s="119"/>
      <c r="X586" t="s">
        <v>28203</v>
      </c>
    </row>
    <row r="587" spans="1:24" x14ac:dyDescent="0.3">
      <c r="A587" s="118" t="s">
        <v>28208</v>
      </c>
      <c r="B587" s="119"/>
      <c r="D587" t="s">
        <v>28214</v>
      </c>
      <c r="E587" s="118" t="s">
        <v>28244</v>
      </c>
      <c r="F587" s="119"/>
      <c r="H587" t="s">
        <v>28250</v>
      </c>
      <c r="I587" s="118" t="s">
        <v>28280</v>
      </c>
      <c r="J587" s="119"/>
      <c r="L587" t="s">
        <v>28286</v>
      </c>
      <c r="M587" s="118" t="s">
        <v>28316</v>
      </c>
      <c r="N587" s="119"/>
      <c r="P587" t="s">
        <v>28322</v>
      </c>
      <c r="Q587" s="118" t="s">
        <v>28352</v>
      </c>
      <c r="R587" s="119"/>
      <c r="T587" t="s">
        <v>28358</v>
      </c>
      <c r="U587" s="118" t="s">
        <v>28388</v>
      </c>
      <c r="V587" s="119"/>
      <c r="X587" t="s">
        <v>28394</v>
      </c>
    </row>
    <row r="588" spans="1:24" x14ac:dyDescent="0.3">
      <c r="A588" s="118" t="s">
        <v>28209</v>
      </c>
      <c r="B588" s="119"/>
      <c r="D588" t="s">
        <v>28215</v>
      </c>
      <c r="E588" s="118" t="s">
        <v>28245</v>
      </c>
      <c r="F588" s="119"/>
      <c r="H588" t="s">
        <v>28251</v>
      </c>
      <c r="I588" s="118" t="s">
        <v>28281</v>
      </c>
      <c r="J588" s="119"/>
      <c r="L588" t="s">
        <v>28287</v>
      </c>
      <c r="M588" s="118" t="s">
        <v>28317</v>
      </c>
      <c r="N588" s="119"/>
      <c r="P588" t="s">
        <v>28323</v>
      </c>
      <c r="Q588" s="118" t="s">
        <v>28353</v>
      </c>
      <c r="R588" s="119"/>
      <c r="T588" t="s">
        <v>28359</v>
      </c>
      <c r="U588" s="118" t="s">
        <v>28389</v>
      </c>
      <c r="V588" s="119"/>
      <c r="X588" t="s">
        <v>28395</v>
      </c>
    </row>
    <row r="589" spans="1:24" x14ac:dyDescent="0.3">
      <c r="A589" s="118" t="s">
        <v>28220</v>
      </c>
      <c r="B589" s="119"/>
      <c r="D589" t="s">
        <v>28226</v>
      </c>
      <c r="E589" s="118" t="s">
        <v>28256</v>
      </c>
      <c r="F589" s="119"/>
      <c r="H589" t="s">
        <v>28262</v>
      </c>
      <c r="I589" s="118" t="s">
        <v>28292</v>
      </c>
      <c r="J589" s="119"/>
      <c r="L589" t="s">
        <v>28298</v>
      </c>
      <c r="M589" s="118" t="s">
        <v>28328</v>
      </c>
      <c r="N589" s="119"/>
      <c r="P589" t="s">
        <v>28334</v>
      </c>
      <c r="Q589" s="118" t="s">
        <v>28364</v>
      </c>
      <c r="R589" s="119"/>
      <c r="T589" t="s">
        <v>28370</v>
      </c>
      <c r="U589" s="118" t="s">
        <v>28400</v>
      </c>
      <c r="V589" s="119"/>
      <c r="X589" t="s">
        <v>28406</v>
      </c>
    </row>
    <row r="590" spans="1:24" x14ac:dyDescent="0.3">
      <c r="A590" s="118" t="s">
        <v>28221</v>
      </c>
      <c r="B590" s="119"/>
      <c r="D590" t="s">
        <v>28227</v>
      </c>
      <c r="E590" s="118" t="s">
        <v>28257</v>
      </c>
      <c r="F590" s="119"/>
      <c r="H590" t="s">
        <v>28263</v>
      </c>
      <c r="I590" s="118" t="s">
        <v>28293</v>
      </c>
      <c r="J590" s="119"/>
      <c r="L590" t="s">
        <v>28299</v>
      </c>
      <c r="M590" s="118" t="s">
        <v>28329</v>
      </c>
      <c r="N590" s="119"/>
      <c r="P590" t="s">
        <v>28335</v>
      </c>
      <c r="Q590" s="118" t="s">
        <v>28365</v>
      </c>
      <c r="R590" s="119"/>
      <c r="T590" t="s">
        <v>28371</v>
      </c>
      <c r="U590" s="118" t="s">
        <v>28401</v>
      </c>
      <c r="V590" s="119"/>
      <c r="X590" t="s">
        <v>28407</v>
      </c>
    </row>
    <row r="591" spans="1:24" x14ac:dyDescent="0.3">
      <c r="A591" s="118" t="s">
        <v>28232</v>
      </c>
      <c r="B591" s="119"/>
      <c r="D591" t="s">
        <v>28238</v>
      </c>
      <c r="E591" s="118" t="s">
        <v>28268</v>
      </c>
      <c r="F591" s="119"/>
      <c r="H591" t="s">
        <v>28274</v>
      </c>
      <c r="I591" s="118" t="s">
        <v>28304</v>
      </c>
      <c r="J591" s="119"/>
      <c r="L591" t="s">
        <v>28310</v>
      </c>
      <c r="M591" s="118" t="s">
        <v>28340</v>
      </c>
      <c r="N591" s="119"/>
      <c r="P591" t="s">
        <v>28346</v>
      </c>
      <c r="Q591" s="118" t="s">
        <v>28376</v>
      </c>
      <c r="R591" s="119"/>
      <c r="T591" t="s">
        <v>28382</v>
      </c>
      <c r="U591" s="118" t="s">
        <v>28412</v>
      </c>
      <c r="V591" s="119"/>
      <c r="X591" t="s">
        <v>28418</v>
      </c>
    </row>
    <row r="592" spans="1:24" x14ac:dyDescent="0.3">
      <c r="A592" s="118" t="s">
        <v>28233</v>
      </c>
      <c r="B592" s="119"/>
      <c r="D592" t="s">
        <v>28239</v>
      </c>
      <c r="E592" s="118" t="s">
        <v>28269</v>
      </c>
      <c r="F592" s="119"/>
      <c r="H592" t="s">
        <v>28275</v>
      </c>
      <c r="I592" s="118" t="s">
        <v>28305</v>
      </c>
      <c r="J592" s="119"/>
      <c r="L592" t="s">
        <v>28311</v>
      </c>
      <c r="M592" s="118" t="s">
        <v>28341</v>
      </c>
      <c r="N592" s="119"/>
      <c r="P592" t="s">
        <v>28347</v>
      </c>
      <c r="Q592" s="118" t="s">
        <v>28377</v>
      </c>
      <c r="R592" s="119"/>
      <c r="T592" t="s">
        <v>28383</v>
      </c>
      <c r="U592" s="118" t="s">
        <v>28413</v>
      </c>
      <c r="V592" s="119"/>
      <c r="X592" t="s">
        <v>28419</v>
      </c>
    </row>
    <row r="593" spans="1:24" x14ac:dyDescent="0.3">
      <c r="A593" s="118" t="s">
        <v>28424</v>
      </c>
      <c r="B593" s="119"/>
      <c r="D593" t="s">
        <v>28430</v>
      </c>
      <c r="E593" s="118" t="s">
        <v>28460</v>
      </c>
      <c r="F593" s="119"/>
      <c r="H593" t="s">
        <v>28466</v>
      </c>
      <c r="I593" s="118" t="s">
        <v>28496</v>
      </c>
      <c r="J593" s="119"/>
      <c r="L593" t="s">
        <v>28502</v>
      </c>
      <c r="M593" s="118" t="s">
        <v>28532</v>
      </c>
      <c r="N593" s="119"/>
      <c r="P593" t="s">
        <v>28538</v>
      </c>
      <c r="Q593" s="118" t="s">
        <v>28568</v>
      </c>
      <c r="R593" s="119"/>
      <c r="T593" t="s">
        <v>28574</v>
      </c>
      <c r="U593" s="118" t="s">
        <v>28604</v>
      </c>
      <c r="V593" s="119"/>
      <c r="X593" t="s">
        <v>28610</v>
      </c>
    </row>
    <row r="594" spans="1:24" x14ac:dyDescent="0.3">
      <c r="A594" s="118" t="s">
        <v>28425</v>
      </c>
      <c r="B594" s="119"/>
      <c r="D594" t="s">
        <v>28431</v>
      </c>
      <c r="E594" s="118" t="s">
        <v>28461</v>
      </c>
      <c r="F594" s="119"/>
      <c r="H594" t="s">
        <v>28467</v>
      </c>
      <c r="I594" s="118" t="s">
        <v>28497</v>
      </c>
      <c r="J594" s="119"/>
      <c r="L594" t="s">
        <v>28503</v>
      </c>
      <c r="M594" s="118" t="s">
        <v>28533</v>
      </c>
      <c r="N594" s="119"/>
      <c r="P594" t="s">
        <v>28539</v>
      </c>
      <c r="Q594" s="118" t="s">
        <v>28569</v>
      </c>
      <c r="R594" s="119"/>
      <c r="T594" t="s">
        <v>28575</v>
      </c>
      <c r="U594" s="118" t="s">
        <v>28605</v>
      </c>
      <c r="V594" s="119"/>
      <c r="X594" t="s">
        <v>28611</v>
      </c>
    </row>
    <row r="595" spans="1:24" x14ac:dyDescent="0.3">
      <c r="A595" s="118" t="s">
        <v>28436</v>
      </c>
      <c r="B595" s="119"/>
      <c r="D595" t="s">
        <v>28442</v>
      </c>
      <c r="E595" s="118" t="s">
        <v>28472</v>
      </c>
      <c r="F595" s="119"/>
      <c r="H595" t="s">
        <v>28478</v>
      </c>
      <c r="I595" s="118" t="s">
        <v>28508</v>
      </c>
      <c r="J595" s="119"/>
      <c r="L595" t="s">
        <v>28514</v>
      </c>
      <c r="M595" s="118" t="s">
        <v>28544</v>
      </c>
      <c r="N595" s="119"/>
      <c r="P595" t="s">
        <v>28550</v>
      </c>
      <c r="Q595" s="118" t="s">
        <v>28580</v>
      </c>
      <c r="R595" s="119"/>
      <c r="T595" t="s">
        <v>28586</v>
      </c>
      <c r="U595" s="118" t="s">
        <v>28616</v>
      </c>
      <c r="V595" s="119"/>
      <c r="X595" t="s">
        <v>28622</v>
      </c>
    </row>
    <row r="596" spans="1:24" x14ac:dyDescent="0.3">
      <c r="A596" s="118" t="s">
        <v>28437</v>
      </c>
      <c r="B596" s="119"/>
      <c r="D596" t="s">
        <v>28443</v>
      </c>
      <c r="E596" s="118" t="s">
        <v>28473</v>
      </c>
      <c r="F596" s="119"/>
      <c r="H596" t="s">
        <v>28479</v>
      </c>
      <c r="I596" s="118" t="s">
        <v>28509</v>
      </c>
      <c r="J596" s="119"/>
      <c r="L596" t="s">
        <v>28515</v>
      </c>
      <c r="M596" s="118" t="s">
        <v>28545</v>
      </c>
      <c r="N596" s="119"/>
      <c r="P596" t="s">
        <v>28551</v>
      </c>
      <c r="Q596" s="118" t="s">
        <v>28581</v>
      </c>
      <c r="R596" s="119"/>
      <c r="T596" t="s">
        <v>28587</v>
      </c>
      <c r="U596" s="118" t="s">
        <v>28617</v>
      </c>
      <c r="V596" s="119"/>
      <c r="X596" t="s">
        <v>28623</v>
      </c>
    </row>
    <row r="597" spans="1:24" x14ac:dyDescent="0.3">
      <c r="A597" s="118" t="s">
        <v>28448</v>
      </c>
      <c r="B597" s="119"/>
      <c r="D597" t="s">
        <v>28454</v>
      </c>
      <c r="E597" s="118" t="s">
        <v>28484</v>
      </c>
      <c r="F597" s="119"/>
      <c r="H597" t="s">
        <v>28490</v>
      </c>
      <c r="I597" s="118" t="s">
        <v>28520</v>
      </c>
      <c r="J597" s="119"/>
      <c r="L597" t="s">
        <v>28526</v>
      </c>
      <c r="M597" s="118" t="s">
        <v>28556</v>
      </c>
      <c r="N597" s="119"/>
      <c r="P597" t="s">
        <v>28562</v>
      </c>
      <c r="Q597" s="118" t="s">
        <v>28592</v>
      </c>
      <c r="R597" s="119"/>
      <c r="T597" t="s">
        <v>28598</v>
      </c>
      <c r="U597" s="118" t="s">
        <v>28628</v>
      </c>
      <c r="V597" s="119"/>
      <c r="X597" t="s">
        <v>28634</v>
      </c>
    </row>
    <row r="598" spans="1:24" x14ac:dyDescent="0.3">
      <c r="A598" s="118" t="s">
        <v>28449</v>
      </c>
      <c r="B598" s="119"/>
      <c r="D598" t="s">
        <v>28455</v>
      </c>
      <c r="E598" s="118" t="s">
        <v>28485</v>
      </c>
      <c r="F598" s="119"/>
      <c r="H598" t="s">
        <v>28491</v>
      </c>
      <c r="I598" s="118" t="s">
        <v>28521</v>
      </c>
      <c r="J598" s="119"/>
      <c r="L598" t="s">
        <v>28527</v>
      </c>
      <c r="M598" s="118" t="s">
        <v>28557</v>
      </c>
      <c r="N598" s="119"/>
      <c r="P598" t="s">
        <v>28563</v>
      </c>
      <c r="Q598" s="118" t="s">
        <v>28593</v>
      </c>
      <c r="R598" s="119"/>
      <c r="T598" t="s">
        <v>28599</v>
      </c>
      <c r="U598" s="118" t="s">
        <v>28629</v>
      </c>
      <c r="V598" s="119"/>
      <c r="X598" t="s">
        <v>28635</v>
      </c>
    </row>
    <row r="599" spans="1:24" x14ac:dyDescent="0.3">
      <c r="A599" s="118" t="s">
        <v>28640</v>
      </c>
      <c r="B599" s="119"/>
      <c r="D599" t="s">
        <v>28646</v>
      </c>
      <c r="E599" s="118" t="s">
        <v>28676</v>
      </c>
      <c r="F599" s="119"/>
      <c r="H599" t="s">
        <v>28682</v>
      </c>
      <c r="I599" s="118" t="s">
        <v>28712</v>
      </c>
      <c r="J599" s="119"/>
      <c r="L599" t="s">
        <v>28718</v>
      </c>
      <c r="M599" s="118" t="s">
        <v>28748</v>
      </c>
      <c r="N599" s="119"/>
      <c r="P599" t="s">
        <v>28754</v>
      </c>
      <c r="Q599" s="118"/>
      <c r="R599" s="119"/>
      <c r="U599" s="118"/>
      <c r="V599" s="119"/>
    </row>
    <row r="600" spans="1:24" x14ac:dyDescent="0.3">
      <c r="A600" s="118" t="s">
        <v>28641</v>
      </c>
      <c r="B600" s="119"/>
      <c r="D600" t="s">
        <v>28647</v>
      </c>
      <c r="E600" s="118" t="s">
        <v>28677</v>
      </c>
      <c r="F600" s="119"/>
      <c r="H600" t="s">
        <v>28683</v>
      </c>
      <c r="I600" s="118" t="s">
        <v>28713</v>
      </c>
      <c r="J600" s="119"/>
      <c r="L600" t="s">
        <v>28719</v>
      </c>
      <c r="M600" s="118" t="s">
        <v>28749</v>
      </c>
      <c r="N600" s="119"/>
      <c r="P600" t="s">
        <v>28755</v>
      </c>
      <c r="Q600" s="118"/>
      <c r="R600" s="119"/>
      <c r="U600" s="118"/>
      <c r="V600" s="119"/>
    </row>
    <row r="601" spans="1:24" x14ac:dyDescent="0.3">
      <c r="A601" s="118" t="s">
        <v>28652</v>
      </c>
      <c r="B601" s="119"/>
      <c r="D601" t="s">
        <v>28658</v>
      </c>
      <c r="E601" s="118" t="s">
        <v>28688</v>
      </c>
      <c r="F601" s="119"/>
      <c r="H601" t="s">
        <v>28694</v>
      </c>
      <c r="I601" s="118" t="s">
        <v>28724</v>
      </c>
      <c r="J601" s="119"/>
      <c r="L601" t="s">
        <v>28730</v>
      </c>
      <c r="M601" s="118"/>
      <c r="N601" s="119"/>
      <c r="Q601" s="118"/>
      <c r="R601" s="119"/>
      <c r="U601" s="118"/>
      <c r="V601" s="119"/>
    </row>
    <row r="602" spans="1:24" x14ac:dyDescent="0.3">
      <c r="A602" s="118" t="s">
        <v>28653</v>
      </c>
      <c r="B602" s="119"/>
      <c r="D602" t="s">
        <v>28659</v>
      </c>
      <c r="E602" s="118" t="s">
        <v>28689</v>
      </c>
      <c r="F602" s="119"/>
      <c r="H602" t="s">
        <v>28695</v>
      </c>
      <c r="I602" s="118" t="s">
        <v>28725</v>
      </c>
      <c r="J602" s="119"/>
      <c r="L602" t="s">
        <v>28731</v>
      </c>
      <c r="M602" s="118"/>
      <c r="N602" s="119"/>
      <c r="Q602" s="118"/>
      <c r="R602" s="119"/>
      <c r="U602" s="118"/>
      <c r="V602" s="119"/>
    </row>
    <row r="603" spans="1:24" x14ac:dyDescent="0.3">
      <c r="A603" s="118" t="s">
        <v>28664</v>
      </c>
      <c r="B603" s="119"/>
      <c r="D603" t="s">
        <v>28670</v>
      </c>
      <c r="E603" s="118" t="s">
        <v>28700</v>
      </c>
      <c r="F603" s="119"/>
      <c r="H603" t="s">
        <v>28706</v>
      </c>
      <c r="I603" s="118" t="s">
        <v>28736</v>
      </c>
      <c r="J603" s="119"/>
      <c r="L603" t="s">
        <v>28742</v>
      </c>
      <c r="M603" s="118"/>
      <c r="N603" s="119"/>
      <c r="Q603" s="118"/>
      <c r="R603" s="119"/>
      <c r="U603" s="118"/>
      <c r="V603" s="119"/>
    </row>
    <row r="604" spans="1:24" x14ac:dyDescent="0.3">
      <c r="A604" s="118" t="s">
        <v>28665</v>
      </c>
      <c r="B604" s="119"/>
      <c r="D604" t="s">
        <v>28671</v>
      </c>
      <c r="E604" s="118" t="s">
        <v>28701</v>
      </c>
      <c r="F604" s="119"/>
      <c r="H604" t="s">
        <v>28707</v>
      </c>
      <c r="I604" s="118" t="s">
        <v>28737</v>
      </c>
      <c r="J604" s="119"/>
      <c r="L604" t="s">
        <v>28743</v>
      </c>
      <c r="M604" s="118"/>
      <c r="N604" s="119"/>
      <c r="Q604" s="118"/>
      <c r="R604" s="119"/>
      <c r="U604" s="118"/>
      <c r="V604" s="119"/>
    </row>
    <row r="605" spans="1:24" x14ac:dyDescent="0.3">
      <c r="A605" s="118"/>
      <c r="B605" s="119"/>
      <c r="E605" s="118"/>
      <c r="F605" s="119"/>
      <c r="I605" s="118"/>
      <c r="J605" s="119"/>
      <c r="M605" s="118"/>
      <c r="N605" s="119"/>
      <c r="Q605" s="118"/>
      <c r="R605" s="119"/>
      <c r="U605" s="118"/>
      <c r="V605" s="119"/>
    </row>
    <row r="606" spans="1:24" x14ac:dyDescent="0.3">
      <c r="A606" s="118"/>
      <c r="B606" s="119"/>
      <c r="E606" s="118"/>
      <c r="F606" s="119"/>
      <c r="I606" s="118"/>
      <c r="J606" s="119"/>
      <c r="M606" s="118"/>
      <c r="N606" s="119"/>
      <c r="Q606" s="118"/>
      <c r="R606" s="119"/>
      <c r="U606" s="118"/>
      <c r="V606" s="119"/>
    </row>
    <row r="607" spans="1:24" x14ac:dyDescent="0.3">
      <c r="A607" s="118"/>
      <c r="B607" s="119"/>
      <c r="E607" s="118"/>
      <c r="F607" s="119"/>
      <c r="I607" s="118"/>
      <c r="J607" s="119"/>
      <c r="M607" s="118"/>
      <c r="N607" s="119"/>
      <c r="Q607" s="118"/>
      <c r="R607" s="119"/>
      <c r="U607" s="118"/>
      <c r="V607" s="119"/>
    </row>
    <row r="608" spans="1:24" x14ac:dyDescent="0.3">
      <c r="A608" s="118"/>
      <c r="B608" s="119"/>
      <c r="E608" s="118"/>
      <c r="F608" s="119"/>
      <c r="I608" s="118"/>
      <c r="J608" s="119"/>
      <c r="M608" s="118"/>
      <c r="N608" s="119"/>
      <c r="Q608" s="118"/>
      <c r="R608" s="119"/>
      <c r="U608" s="118"/>
      <c r="V608" s="119"/>
    </row>
    <row r="609" spans="1:22" x14ac:dyDescent="0.3">
      <c r="A609" s="118"/>
      <c r="B609" s="119"/>
      <c r="E609" s="118"/>
      <c r="F609" s="119"/>
      <c r="I609" s="118"/>
      <c r="J609" s="119"/>
      <c r="M609" s="118"/>
      <c r="N609" s="119"/>
      <c r="Q609" s="118"/>
      <c r="R609" s="119"/>
      <c r="U609" s="118"/>
      <c r="V609" s="119"/>
    </row>
    <row r="610" spans="1:22" x14ac:dyDescent="0.3">
      <c r="A610" s="118"/>
      <c r="B610" s="119"/>
      <c r="E610" s="118"/>
      <c r="F610" s="119"/>
      <c r="I610" s="118"/>
      <c r="J610" s="119"/>
      <c r="M610" s="118"/>
      <c r="N610" s="119"/>
      <c r="Q610" s="118"/>
      <c r="R610" s="119"/>
      <c r="U610" s="118"/>
      <c r="V610" s="119"/>
    </row>
    <row r="611" spans="1:22" x14ac:dyDescent="0.3">
      <c r="A611" s="118"/>
      <c r="B611" s="119"/>
      <c r="E611" s="118"/>
      <c r="F611" s="119"/>
      <c r="I611" s="118"/>
      <c r="J611" s="119"/>
      <c r="M611" s="118"/>
      <c r="N611" s="119"/>
      <c r="Q611" s="118"/>
      <c r="R611" s="119"/>
      <c r="U611" s="118"/>
      <c r="V611" s="119"/>
    </row>
    <row r="612" spans="1:22" x14ac:dyDescent="0.3">
      <c r="A612" s="118"/>
      <c r="B612" s="119"/>
      <c r="E612" s="118"/>
      <c r="F612" s="119"/>
      <c r="I612" s="118"/>
      <c r="J612" s="119"/>
      <c r="M612" s="118"/>
      <c r="N612" s="119"/>
      <c r="Q612" s="118"/>
      <c r="R612" s="119"/>
      <c r="U612" s="118"/>
      <c r="V612" s="119"/>
    </row>
    <row r="613" spans="1:22" x14ac:dyDescent="0.3">
      <c r="A613" s="118"/>
      <c r="B613" s="119"/>
      <c r="E613" s="118"/>
      <c r="F613" s="119"/>
      <c r="I613" s="118"/>
      <c r="J613" s="119"/>
      <c r="M613" s="118"/>
      <c r="N613" s="119"/>
      <c r="Q613" s="118"/>
      <c r="R613" s="119"/>
      <c r="U613" s="118"/>
      <c r="V613" s="119"/>
    </row>
    <row r="614" spans="1:22" x14ac:dyDescent="0.3">
      <c r="A614" s="118"/>
      <c r="B614" s="119"/>
      <c r="E614" s="118"/>
      <c r="F614" s="119"/>
      <c r="I614" s="118"/>
      <c r="J614" s="119"/>
      <c r="M614" s="118"/>
      <c r="N614" s="119"/>
      <c r="Q614" s="118"/>
      <c r="R614" s="119"/>
      <c r="U614" s="118"/>
      <c r="V614" s="119"/>
    </row>
    <row r="615" spans="1:22" x14ac:dyDescent="0.3">
      <c r="A615" s="118"/>
      <c r="B615" s="119"/>
      <c r="E615" s="118"/>
      <c r="F615" s="119"/>
      <c r="I615" s="118"/>
      <c r="J615" s="119"/>
      <c r="M615" s="118"/>
      <c r="N615" s="119"/>
      <c r="Q615" s="118"/>
      <c r="R615" s="119"/>
      <c r="U615" s="118"/>
      <c r="V615" s="119"/>
    </row>
    <row r="616" spans="1:22" x14ac:dyDescent="0.3">
      <c r="A616" s="118"/>
      <c r="B616" s="119"/>
      <c r="E616" s="118"/>
      <c r="F616" s="119"/>
      <c r="I616" s="118"/>
      <c r="J616" s="119"/>
      <c r="M616" s="118"/>
      <c r="N616" s="119"/>
      <c r="Q616" s="118"/>
      <c r="R616" s="119"/>
      <c r="U616" s="118"/>
      <c r="V616" s="119"/>
    </row>
    <row r="617" spans="1:22" x14ac:dyDescent="0.3">
      <c r="A617" s="118"/>
      <c r="B617" s="119"/>
      <c r="E617" s="118"/>
      <c r="F617" s="119"/>
      <c r="I617" s="118"/>
      <c r="J617" s="119"/>
      <c r="M617" s="118"/>
      <c r="N617" s="119"/>
      <c r="Q617" s="118"/>
      <c r="R617" s="119"/>
      <c r="U617" s="118"/>
      <c r="V617" s="119"/>
    </row>
    <row r="618" spans="1:22" x14ac:dyDescent="0.3">
      <c r="A618" s="118"/>
      <c r="B618" s="119"/>
      <c r="E618" s="118"/>
      <c r="F618" s="119"/>
      <c r="I618" s="118"/>
      <c r="J618" s="119"/>
      <c r="M618" s="118"/>
      <c r="N618" s="119"/>
      <c r="Q618" s="118"/>
      <c r="R618" s="119"/>
      <c r="U618" s="118"/>
      <c r="V618" s="119"/>
    </row>
    <row r="619" spans="1:22" x14ac:dyDescent="0.3">
      <c r="A619" s="118"/>
      <c r="B619" s="119"/>
      <c r="E619" s="118"/>
      <c r="F619" s="119"/>
      <c r="I619" s="118"/>
      <c r="J619" s="119"/>
      <c r="M619" s="118"/>
      <c r="N619" s="119"/>
      <c r="Q619" s="118"/>
      <c r="R619" s="119"/>
      <c r="U619" s="118"/>
      <c r="V619" s="119"/>
    </row>
    <row r="620" spans="1:22" x14ac:dyDescent="0.3">
      <c r="A620" s="118"/>
      <c r="B620" s="119"/>
      <c r="E620" s="118"/>
      <c r="F620" s="119"/>
      <c r="I620" s="118"/>
      <c r="J620" s="119"/>
      <c r="M620" s="118"/>
      <c r="N620" s="119"/>
      <c r="Q620" s="118"/>
      <c r="R620" s="119"/>
      <c r="U620" s="118"/>
      <c r="V620" s="119"/>
    </row>
    <row r="621" spans="1:22" x14ac:dyDescent="0.3">
      <c r="A621" s="118"/>
      <c r="B621" s="119"/>
      <c r="E621" s="118"/>
      <c r="F621" s="119"/>
      <c r="I621" s="118"/>
      <c r="J621" s="119"/>
      <c r="M621" s="118"/>
      <c r="N621" s="119"/>
      <c r="Q621" s="118"/>
      <c r="R621" s="119"/>
      <c r="U621" s="118"/>
      <c r="V621" s="119"/>
    </row>
    <row r="622" spans="1:22" x14ac:dyDescent="0.3">
      <c r="A622" s="118"/>
      <c r="B622" s="119"/>
      <c r="E622" s="118"/>
      <c r="F622" s="119"/>
      <c r="I622" s="118"/>
      <c r="J622" s="119"/>
      <c r="M622" s="118"/>
      <c r="N622" s="119"/>
      <c r="Q622" s="118"/>
      <c r="R622" s="119"/>
      <c r="U622" s="118"/>
      <c r="V622" s="119"/>
    </row>
    <row r="623" spans="1:22" x14ac:dyDescent="0.3">
      <c r="A623" s="118"/>
      <c r="B623" s="119"/>
      <c r="E623" s="118"/>
      <c r="F623" s="119"/>
      <c r="I623" s="118"/>
      <c r="J623" s="119"/>
      <c r="M623" s="118"/>
      <c r="N623" s="119"/>
      <c r="Q623" s="118"/>
      <c r="R623" s="119"/>
      <c r="U623" s="118"/>
      <c r="V623" s="119"/>
    </row>
    <row r="624" spans="1:22" x14ac:dyDescent="0.3">
      <c r="A624" s="118"/>
      <c r="B624" s="119"/>
      <c r="E624" s="118"/>
      <c r="F624" s="119"/>
      <c r="I624" s="118"/>
      <c r="J624" s="119"/>
      <c r="M624" s="118"/>
      <c r="N624" s="119"/>
      <c r="Q624" s="118"/>
      <c r="R624" s="119"/>
      <c r="U624" s="118"/>
      <c r="V624" s="119"/>
    </row>
    <row r="625" spans="1:22" x14ac:dyDescent="0.3">
      <c r="A625" s="118"/>
      <c r="B625" s="119"/>
      <c r="E625" s="118"/>
      <c r="F625" s="119"/>
      <c r="I625" s="118"/>
      <c r="J625" s="119"/>
      <c r="M625" s="118"/>
      <c r="N625" s="119"/>
      <c r="Q625" s="118"/>
      <c r="R625" s="119"/>
      <c r="U625" s="118"/>
      <c r="V625" s="119"/>
    </row>
    <row r="626" spans="1:22" x14ac:dyDescent="0.3">
      <c r="A626" s="118"/>
      <c r="B626" s="119"/>
      <c r="E626" s="118"/>
      <c r="F626" s="119"/>
      <c r="I626" s="118"/>
      <c r="J626" s="119"/>
      <c r="M626" s="118"/>
      <c r="N626" s="119"/>
      <c r="Q626" s="118"/>
      <c r="R626" s="119"/>
      <c r="U626" s="118"/>
      <c r="V626" s="119"/>
    </row>
    <row r="627" spans="1:22" x14ac:dyDescent="0.3">
      <c r="A627" s="118"/>
      <c r="B627" s="119"/>
      <c r="E627" s="118"/>
      <c r="F627" s="119"/>
      <c r="I627" s="118"/>
      <c r="J627" s="119"/>
      <c r="M627" s="118"/>
      <c r="N627" s="119"/>
      <c r="Q627" s="118"/>
      <c r="R627" s="119"/>
      <c r="U627" s="118"/>
      <c r="V627" s="119"/>
    </row>
    <row r="628" spans="1:22" x14ac:dyDescent="0.3">
      <c r="A628" s="118"/>
      <c r="B628" s="119"/>
      <c r="E628" s="118"/>
      <c r="F628" s="119"/>
      <c r="I628" s="118"/>
      <c r="J628" s="119"/>
      <c r="M628" s="118"/>
      <c r="N628" s="119"/>
      <c r="Q628" s="118"/>
      <c r="R628" s="119"/>
      <c r="U628" s="118"/>
      <c r="V628" s="119"/>
    </row>
    <row r="629" spans="1:22" x14ac:dyDescent="0.3">
      <c r="A629" s="118"/>
      <c r="B629" s="119"/>
      <c r="E629" s="118"/>
      <c r="F629" s="119"/>
      <c r="I629" s="118"/>
      <c r="J629" s="119"/>
      <c r="M629" s="118"/>
      <c r="N629" s="119"/>
      <c r="Q629" s="118"/>
      <c r="R629" s="119"/>
      <c r="U629" s="118"/>
      <c r="V629" s="119"/>
    </row>
    <row r="630" spans="1:22" x14ac:dyDescent="0.3">
      <c r="A630" s="118"/>
      <c r="B630" s="119"/>
      <c r="E630" s="118"/>
      <c r="F630" s="119"/>
      <c r="I630" s="118"/>
      <c r="J630" s="119"/>
      <c r="M630" s="118"/>
      <c r="N630" s="119"/>
      <c r="Q630" s="118"/>
      <c r="R630" s="119"/>
      <c r="U630" s="118"/>
      <c r="V630" s="119"/>
    </row>
    <row r="631" spans="1:22" x14ac:dyDescent="0.3">
      <c r="A631" s="118"/>
      <c r="B631" s="119"/>
      <c r="E631" s="118"/>
      <c r="F631" s="119"/>
      <c r="I631" s="118"/>
      <c r="J631" s="119"/>
      <c r="M631" s="118"/>
      <c r="N631" s="119"/>
      <c r="Q631" s="118"/>
      <c r="R631" s="119"/>
      <c r="U631" s="118"/>
      <c r="V631" s="119"/>
    </row>
    <row r="632" spans="1:22" x14ac:dyDescent="0.3">
      <c r="A632" s="118"/>
      <c r="B632" s="119"/>
      <c r="E632" s="118"/>
      <c r="F632" s="119"/>
      <c r="I632" s="118"/>
      <c r="J632" s="119"/>
      <c r="M632" s="118"/>
      <c r="N632" s="119"/>
      <c r="Q632" s="118"/>
      <c r="R632" s="119"/>
      <c r="U632" s="118"/>
      <c r="V632" s="119"/>
    </row>
    <row r="633" spans="1:22" x14ac:dyDescent="0.3">
      <c r="A633" s="118"/>
      <c r="B633" s="119"/>
      <c r="E633" s="118"/>
      <c r="F633" s="119"/>
      <c r="I633" s="118"/>
      <c r="J633" s="119"/>
      <c r="M633" s="118"/>
      <c r="N633" s="119"/>
      <c r="Q633" s="118"/>
      <c r="R633" s="119"/>
      <c r="U633" s="118"/>
      <c r="V633" s="119"/>
    </row>
    <row r="634" spans="1:22" x14ac:dyDescent="0.3">
      <c r="A634" s="118"/>
      <c r="B634" s="119"/>
      <c r="E634" s="118"/>
      <c r="F634" s="119"/>
      <c r="I634" s="118"/>
      <c r="J634" s="119"/>
      <c r="M634" s="118"/>
      <c r="N634" s="119"/>
      <c r="Q634" s="118"/>
      <c r="R634" s="119"/>
      <c r="U634" s="118"/>
      <c r="V634" s="119"/>
    </row>
    <row r="635" spans="1:22" x14ac:dyDescent="0.3">
      <c r="A635" s="118"/>
      <c r="B635" s="119"/>
      <c r="E635" s="118"/>
      <c r="F635" s="119"/>
      <c r="I635" s="118"/>
      <c r="J635" s="119"/>
      <c r="M635" s="118"/>
      <c r="N635" s="119"/>
      <c r="Q635" s="118"/>
      <c r="R635" s="119"/>
      <c r="U635" s="118"/>
      <c r="V635" s="119"/>
    </row>
    <row r="636" spans="1:22" x14ac:dyDescent="0.3">
      <c r="A636" s="118"/>
      <c r="B636" s="119"/>
      <c r="E636" s="118"/>
      <c r="F636" s="119"/>
      <c r="I636" s="118"/>
      <c r="J636" s="119"/>
      <c r="M636" s="118"/>
      <c r="N636" s="119"/>
      <c r="Q636" s="118"/>
      <c r="R636" s="119"/>
      <c r="U636" s="118"/>
      <c r="V636" s="119"/>
    </row>
    <row r="637" spans="1:22" x14ac:dyDescent="0.3">
      <c r="A637" s="118"/>
      <c r="B637" s="119"/>
      <c r="E637" s="118"/>
      <c r="F637" s="119"/>
      <c r="I637" s="118"/>
      <c r="J637" s="119"/>
      <c r="M637" s="118"/>
      <c r="N637" s="119"/>
      <c r="Q637" s="118"/>
      <c r="R637" s="119"/>
      <c r="U637" s="118"/>
      <c r="V637" s="119"/>
    </row>
    <row r="638" spans="1:22" x14ac:dyDescent="0.3">
      <c r="A638" s="118"/>
      <c r="B638" s="119"/>
      <c r="E638" s="118"/>
      <c r="F638" s="119"/>
      <c r="I638" s="118"/>
      <c r="J638" s="119"/>
      <c r="M638" s="118"/>
      <c r="N638" s="119"/>
      <c r="Q638" s="118"/>
      <c r="R638" s="119"/>
      <c r="U638" s="118"/>
      <c r="V638" s="119"/>
    </row>
    <row r="639" spans="1:22" x14ac:dyDescent="0.3">
      <c r="A639" s="118"/>
      <c r="B639" s="119"/>
      <c r="E639" s="118"/>
      <c r="F639" s="119"/>
      <c r="I639" s="118"/>
      <c r="J639" s="119"/>
      <c r="M639" s="118"/>
      <c r="N639" s="119"/>
      <c r="Q639" s="118"/>
      <c r="R639" s="119"/>
      <c r="U639" s="118"/>
      <c r="V639" s="119"/>
    </row>
    <row r="640" spans="1:22" x14ac:dyDescent="0.3">
      <c r="A640" s="118"/>
      <c r="B640" s="119"/>
      <c r="E640" s="118"/>
      <c r="F640" s="119"/>
      <c r="I640" s="118"/>
      <c r="J640" s="119"/>
      <c r="M640" s="118"/>
      <c r="N640" s="119"/>
      <c r="Q640" s="118"/>
      <c r="R640" s="119"/>
      <c r="U640" s="118"/>
      <c r="V640" s="119"/>
    </row>
    <row r="641" spans="1:22" x14ac:dyDescent="0.3">
      <c r="A641" s="118"/>
      <c r="B641" s="119"/>
      <c r="E641" s="118"/>
      <c r="F641" s="119"/>
      <c r="I641" s="118"/>
      <c r="J641" s="119"/>
      <c r="M641" s="118"/>
      <c r="N641" s="119"/>
      <c r="Q641" s="118"/>
      <c r="R641" s="119"/>
      <c r="U641" s="118"/>
      <c r="V641" s="119"/>
    </row>
    <row r="642" spans="1:22" x14ac:dyDescent="0.3">
      <c r="A642" s="118"/>
      <c r="B642" s="119"/>
      <c r="E642" s="118"/>
      <c r="F642" s="119"/>
      <c r="I642" s="118"/>
      <c r="J642" s="119"/>
      <c r="M642" s="118"/>
      <c r="N642" s="119"/>
      <c r="Q642" s="118"/>
      <c r="R642" s="119"/>
      <c r="U642" s="118"/>
      <c r="V642" s="119"/>
    </row>
    <row r="643" spans="1:22" x14ac:dyDescent="0.3">
      <c r="A643" s="118"/>
      <c r="B643" s="119"/>
      <c r="E643" s="118"/>
      <c r="F643" s="119"/>
      <c r="I643" s="118"/>
      <c r="J643" s="119"/>
      <c r="M643" s="118"/>
      <c r="N643" s="119"/>
      <c r="Q643" s="118"/>
      <c r="R643" s="119"/>
      <c r="U643" s="118"/>
      <c r="V643" s="119"/>
    </row>
    <row r="644" spans="1:22" x14ac:dyDescent="0.3">
      <c r="A644" s="118"/>
      <c r="B644" s="119"/>
      <c r="E644" s="118"/>
      <c r="F644" s="119"/>
      <c r="I644" s="118"/>
      <c r="J644" s="119"/>
      <c r="M644" s="118"/>
      <c r="N644" s="119"/>
      <c r="Q644" s="118"/>
      <c r="R644" s="119"/>
      <c r="U644" s="118"/>
      <c r="V644" s="119"/>
    </row>
    <row r="645" spans="1:22" x14ac:dyDescent="0.3">
      <c r="A645" s="118"/>
      <c r="B645" s="119"/>
      <c r="E645" s="118"/>
      <c r="F645" s="119"/>
      <c r="I645" s="118"/>
      <c r="J645" s="119"/>
      <c r="M645" s="118"/>
      <c r="N645" s="119"/>
      <c r="Q645" s="118"/>
      <c r="R645" s="119"/>
      <c r="U645" s="118"/>
      <c r="V645" s="119"/>
    </row>
    <row r="646" spans="1:22" x14ac:dyDescent="0.3">
      <c r="A646" s="118"/>
      <c r="B646" s="119"/>
      <c r="E646" s="118"/>
      <c r="F646" s="119"/>
      <c r="I646" s="118"/>
      <c r="J646" s="119"/>
      <c r="M646" s="118"/>
      <c r="N646" s="119"/>
      <c r="Q646" s="118"/>
      <c r="R646" s="119"/>
      <c r="U646" s="118"/>
      <c r="V646" s="119"/>
    </row>
    <row r="647" spans="1:22" x14ac:dyDescent="0.3">
      <c r="A647" s="118"/>
      <c r="B647" s="119"/>
      <c r="E647" s="118"/>
      <c r="F647" s="119"/>
      <c r="I647" s="118"/>
      <c r="J647" s="119"/>
      <c r="M647" s="118"/>
      <c r="N647" s="119"/>
      <c r="Q647" s="118"/>
      <c r="R647" s="119"/>
      <c r="U647" s="118"/>
      <c r="V647" s="119"/>
    </row>
    <row r="648" spans="1:22" x14ac:dyDescent="0.3">
      <c r="A648" s="118"/>
      <c r="B648" s="119"/>
      <c r="E648" s="118"/>
      <c r="F648" s="119"/>
      <c r="I648" s="118"/>
      <c r="J648" s="119"/>
      <c r="M648" s="118"/>
      <c r="N648" s="119"/>
      <c r="Q648" s="118"/>
      <c r="R648" s="119"/>
      <c r="U648" s="118"/>
      <c r="V648" s="119"/>
    </row>
    <row r="649" spans="1:22" x14ac:dyDescent="0.3">
      <c r="A649" s="118"/>
      <c r="B649" s="119"/>
      <c r="E649" s="118"/>
      <c r="F649" s="119"/>
      <c r="I649" s="118"/>
      <c r="J649" s="119"/>
      <c r="M649" s="118"/>
      <c r="N649" s="119"/>
      <c r="Q649" s="118"/>
      <c r="R649" s="119"/>
      <c r="U649" s="118"/>
      <c r="V649" s="119"/>
    </row>
    <row r="650" spans="1:22" x14ac:dyDescent="0.3">
      <c r="A650" s="118"/>
      <c r="B650" s="119"/>
      <c r="E650" s="118"/>
      <c r="F650" s="119"/>
      <c r="I650" s="118"/>
      <c r="J650" s="119"/>
      <c r="M650" s="118"/>
      <c r="N650" s="119"/>
      <c r="Q650" s="118"/>
      <c r="R650" s="119"/>
      <c r="U650" s="118"/>
      <c r="V650" s="119"/>
    </row>
    <row r="651" spans="1:22" x14ac:dyDescent="0.3">
      <c r="A651" s="118"/>
      <c r="B651" s="119"/>
      <c r="E651" s="118"/>
      <c r="F651" s="119"/>
      <c r="I651" s="118"/>
      <c r="J651" s="119"/>
      <c r="M651" s="118"/>
      <c r="N651" s="119"/>
      <c r="Q651" s="118"/>
      <c r="R651" s="119"/>
      <c r="U651" s="118"/>
      <c r="V651" s="119"/>
    </row>
    <row r="652" spans="1:22" x14ac:dyDescent="0.3">
      <c r="A652" s="118"/>
      <c r="B652" s="119"/>
      <c r="E652" s="118"/>
      <c r="F652" s="119"/>
      <c r="I652" s="118"/>
      <c r="J652" s="119"/>
      <c r="M652" s="118"/>
      <c r="N652" s="119"/>
      <c r="Q652" s="118"/>
      <c r="R652" s="119"/>
      <c r="U652" s="118"/>
      <c r="V652" s="119"/>
    </row>
    <row r="653" spans="1:22" x14ac:dyDescent="0.3">
      <c r="A653" s="118"/>
      <c r="B653" s="119"/>
      <c r="E653" s="118"/>
      <c r="F653" s="119"/>
      <c r="I653" s="118"/>
      <c r="J653" s="119"/>
      <c r="M653" s="118"/>
      <c r="N653" s="119"/>
      <c r="Q653" s="118"/>
      <c r="R653" s="119"/>
      <c r="U653" s="118"/>
      <c r="V653" s="119"/>
    </row>
    <row r="654" spans="1:22" x14ac:dyDescent="0.3">
      <c r="A654" s="118"/>
      <c r="B654" s="119"/>
      <c r="E654" s="118"/>
      <c r="F654" s="119"/>
      <c r="I654" s="118"/>
      <c r="J654" s="119"/>
      <c r="M654" s="118"/>
      <c r="N654" s="119"/>
      <c r="Q654" s="118"/>
      <c r="R654" s="119"/>
      <c r="U654" s="118"/>
      <c r="V654" s="119"/>
    </row>
    <row r="655" spans="1:22" x14ac:dyDescent="0.3">
      <c r="A655" s="118"/>
      <c r="B655" s="119"/>
      <c r="E655" s="118"/>
      <c r="F655" s="119"/>
      <c r="I655" s="118"/>
      <c r="J655" s="119"/>
      <c r="M655" s="118"/>
      <c r="N655" s="119"/>
      <c r="Q655" s="118"/>
      <c r="R655" s="119"/>
      <c r="U655" s="118"/>
      <c r="V655" s="119"/>
    </row>
    <row r="656" spans="1:22" x14ac:dyDescent="0.3">
      <c r="A656" s="118"/>
      <c r="B656" s="119"/>
      <c r="E656" s="118"/>
      <c r="F656" s="119"/>
      <c r="I656" s="118"/>
      <c r="J656" s="119"/>
      <c r="M656" s="118"/>
      <c r="N656" s="119"/>
      <c r="Q656" s="118"/>
      <c r="R656" s="119"/>
      <c r="U656" s="118"/>
      <c r="V656" s="119"/>
    </row>
    <row r="657" spans="1:22" x14ac:dyDescent="0.3">
      <c r="A657" s="118"/>
      <c r="B657" s="119"/>
      <c r="E657" s="118"/>
      <c r="F657" s="119"/>
      <c r="I657" s="118"/>
      <c r="J657" s="119"/>
      <c r="M657" s="118"/>
      <c r="N657" s="119"/>
      <c r="Q657" s="118"/>
      <c r="R657" s="119"/>
      <c r="U657" s="118"/>
      <c r="V657" s="119"/>
    </row>
    <row r="658" spans="1:22" x14ac:dyDescent="0.3">
      <c r="A658" s="118"/>
      <c r="B658" s="119"/>
      <c r="E658" s="118"/>
      <c r="F658" s="119"/>
      <c r="I658" s="118"/>
      <c r="J658" s="119"/>
      <c r="M658" s="118"/>
      <c r="N658" s="119"/>
      <c r="Q658" s="118"/>
      <c r="R658" s="119"/>
      <c r="U658" s="118"/>
      <c r="V658" s="119"/>
    </row>
    <row r="659" spans="1:22" x14ac:dyDescent="0.3">
      <c r="A659" s="118"/>
      <c r="B659" s="119"/>
      <c r="E659" s="118"/>
      <c r="F659" s="119"/>
      <c r="I659" s="118"/>
      <c r="J659" s="119"/>
      <c r="M659" s="118"/>
      <c r="N659" s="119"/>
      <c r="Q659" s="118"/>
      <c r="R659" s="119"/>
      <c r="U659" s="118"/>
      <c r="V659" s="119"/>
    </row>
    <row r="660" spans="1:22" x14ac:dyDescent="0.3">
      <c r="A660" s="118"/>
      <c r="B660" s="119"/>
      <c r="E660" s="118"/>
      <c r="F660" s="119"/>
      <c r="I660" s="118"/>
      <c r="J660" s="119"/>
      <c r="M660" s="118"/>
      <c r="N660" s="119"/>
      <c r="Q660" s="118"/>
      <c r="R660" s="119"/>
      <c r="U660" s="118"/>
      <c r="V660" s="119"/>
    </row>
    <row r="661" spans="1:22" x14ac:dyDescent="0.3">
      <c r="A661" s="118"/>
      <c r="B661" s="119"/>
      <c r="E661" s="118"/>
      <c r="F661" s="119"/>
      <c r="I661" s="118"/>
      <c r="J661" s="119"/>
      <c r="M661" s="118"/>
      <c r="N661" s="119"/>
      <c r="Q661" s="118"/>
      <c r="R661" s="119"/>
      <c r="U661" s="118"/>
      <c r="V661" s="119"/>
    </row>
    <row r="662" spans="1:22" x14ac:dyDescent="0.3">
      <c r="A662" s="118"/>
      <c r="B662" s="119"/>
      <c r="E662" s="118"/>
      <c r="F662" s="119"/>
      <c r="I662" s="118"/>
      <c r="J662" s="119"/>
      <c r="M662" s="118"/>
      <c r="N662" s="119"/>
      <c r="Q662" s="118"/>
      <c r="R662" s="119"/>
      <c r="U662" s="118"/>
      <c r="V662" s="119"/>
    </row>
    <row r="663" spans="1:22" x14ac:dyDescent="0.3">
      <c r="A663" s="118"/>
      <c r="B663" s="119"/>
      <c r="E663" s="118"/>
      <c r="F663" s="119"/>
      <c r="I663" s="118"/>
      <c r="J663" s="119"/>
      <c r="M663" s="118"/>
      <c r="N663" s="119"/>
      <c r="Q663" s="118"/>
      <c r="R663" s="119"/>
      <c r="U663" s="118"/>
      <c r="V663" s="119"/>
    </row>
    <row r="664" spans="1:22" x14ac:dyDescent="0.3">
      <c r="A664" s="118"/>
      <c r="B664" s="119"/>
      <c r="E664" s="118"/>
      <c r="F664" s="119"/>
      <c r="I664" s="118"/>
      <c r="J664" s="119"/>
      <c r="M664" s="118"/>
      <c r="N664" s="119"/>
      <c r="Q664" s="118"/>
      <c r="R664" s="119"/>
      <c r="U664" s="118"/>
      <c r="V664" s="119"/>
    </row>
    <row r="665" spans="1:22" x14ac:dyDescent="0.3">
      <c r="A665" s="118"/>
      <c r="B665" s="119"/>
      <c r="E665" s="118"/>
      <c r="F665" s="119"/>
      <c r="I665" s="118"/>
      <c r="J665" s="119"/>
      <c r="M665" s="118"/>
      <c r="N665" s="119"/>
      <c r="Q665" s="118"/>
      <c r="R665" s="119"/>
      <c r="U665" s="118"/>
      <c r="V665" s="119"/>
    </row>
    <row r="666" spans="1:22" x14ac:dyDescent="0.3">
      <c r="A666" s="118"/>
      <c r="B666" s="119"/>
      <c r="E666" s="118"/>
      <c r="F666" s="119"/>
      <c r="I666" s="118"/>
      <c r="J666" s="119"/>
      <c r="M666" s="118"/>
      <c r="N666" s="119"/>
      <c r="Q666" s="118"/>
      <c r="R666" s="119"/>
      <c r="U666" s="118"/>
      <c r="V666" s="119"/>
    </row>
    <row r="667" spans="1:22" x14ac:dyDescent="0.3">
      <c r="A667" s="118"/>
      <c r="B667" s="119"/>
      <c r="E667" s="118"/>
      <c r="F667" s="119"/>
      <c r="I667" s="118"/>
      <c r="J667" s="119"/>
      <c r="M667" s="118"/>
      <c r="N667" s="119"/>
      <c r="Q667" s="118"/>
      <c r="R667" s="119"/>
      <c r="U667" s="118"/>
      <c r="V667" s="119"/>
    </row>
    <row r="668" spans="1:22" x14ac:dyDescent="0.3">
      <c r="A668" s="118"/>
      <c r="B668" s="119"/>
      <c r="E668" s="118"/>
      <c r="F668" s="119"/>
      <c r="I668" s="118"/>
      <c r="J668" s="119"/>
      <c r="M668" s="118"/>
      <c r="N668" s="119"/>
      <c r="Q668" s="118"/>
      <c r="R668" s="119"/>
      <c r="U668" s="118"/>
      <c r="V668" s="119"/>
    </row>
    <row r="669" spans="1:22" x14ac:dyDescent="0.3">
      <c r="A669" s="118"/>
      <c r="B669" s="119"/>
      <c r="E669" s="118"/>
      <c r="F669" s="119"/>
      <c r="I669" s="118"/>
      <c r="J669" s="119"/>
      <c r="M669" s="118"/>
      <c r="N669" s="119"/>
      <c r="Q669" s="118"/>
      <c r="R669" s="119"/>
      <c r="U669" s="118"/>
      <c r="V669" s="119"/>
    </row>
    <row r="670" spans="1:22" x14ac:dyDescent="0.3">
      <c r="A670" s="118"/>
      <c r="B670" s="119"/>
      <c r="E670" s="118"/>
      <c r="F670" s="119"/>
      <c r="I670" s="118"/>
      <c r="J670" s="119"/>
      <c r="M670" s="118"/>
      <c r="N670" s="119"/>
      <c r="Q670" s="118"/>
      <c r="R670" s="119"/>
      <c r="U670" s="118"/>
      <c r="V670" s="119"/>
    </row>
    <row r="671" spans="1:22" x14ac:dyDescent="0.3">
      <c r="A671" s="118"/>
      <c r="B671" s="119"/>
      <c r="E671" s="118"/>
      <c r="F671" s="119"/>
      <c r="I671" s="118"/>
      <c r="J671" s="119"/>
      <c r="M671" s="118"/>
      <c r="N671" s="119"/>
      <c r="Q671" s="118"/>
      <c r="R671" s="119"/>
      <c r="U671" s="118"/>
      <c r="V671" s="119"/>
    </row>
    <row r="672" spans="1:22" x14ac:dyDescent="0.3">
      <c r="A672" s="118"/>
      <c r="B672" s="119"/>
      <c r="E672" s="118"/>
      <c r="F672" s="119"/>
      <c r="I672" s="118"/>
      <c r="J672" s="119"/>
      <c r="M672" s="118"/>
      <c r="N672" s="119"/>
      <c r="Q672" s="118"/>
      <c r="R672" s="119"/>
      <c r="U672" s="118"/>
      <c r="V672" s="119"/>
    </row>
    <row r="673" spans="1:22" x14ac:dyDescent="0.3">
      <c r="A673" s="118"/>
      <c r="B673" s="119"/>
      <c r="E673" s="118"/>
      <c r="F673" s="119"/>
      <c r="I673" s="118"/>
      <c r="J673" s="119"/>
      <c r="M673" s="118"/>
      <c r="N673" s="119"/>
      <c r="Q673" s="118"/>
      <c r="R673" s="119"/>
      <c r="U673" s="118"/>
      <c r="V673" s="119"/>
    </row>
    <row r="674" spans="1:22" x14ac:dyDescent="0.3">
      <c r="A674" s="118"/>
      <c r="B674" s="119"/>
      <c r="E674" s="118"/>
      <c r="F674" s="119"/>
      <c r="I674" s="118"/>
      <c r="J674" s="119"/>
      <c r="M674" s="118"/>
      <c r="N674" s="119"/>
      <c r="Q674" s="118"/>
      <c r="R674" s="119"/>
      <c r="U674" s="118"/>
      <c r="V674" s="119"/>
    </row>
    <row r="675" spans="1:22" x14ac:dyDescent="0.3">
      <c r="A675" s="118"/>
      <c r="B675" s="119"/>
      <c r="E675" s="118"/>
      <c r="F675" s="119"/>
      <c r="I675" s="118"/>
      <c r="J675" s="119"/>
      <c r="M675" s="118"/>
      <c r="N675" s="119"/>
      <c r="Q675" s="118"/>
      <c r="R675" s="119"/>
      <c r="U675" s="118"/>
      <c r="V675" s="119"/>
    </row>
    <row r="676" spans="1:22" x14ac:dyDescent="0.3">
      <c r="A676" s="118"/>
      <c r="B676" s="119"/>
      <c r="E676" s="118"/>
      <c r="F676" s="119"/>
      <c r="I676" s="118"/>
      <c r="J676" s="119"/>
      <c r="M676" s="118"/>
      <c r="N676" s="119"/>
      <c r="Q676" s="118"/>
      <c r="R676" s="119"/>
      <c r="U676" s="118"/>
      <c r="V676" s="119"/>
    </row>
    <row r="677" spans="1:22" x14ac:dyDescent="0.3">
      <c r="A677" s="118"/>
      <c r="B677" s="119"/>
      <c r="E677" s="118"/>
      <c r="F677" s="119"/>
      <c r="I677" s="118"/>
      <c r="J677" s="119"/>
      <c r="M677" s="118"/>
      <c r="N677" s="119"/>
      <c r="Q677" s="118"/>
      <c r="R677" s="119"/>
      <c r="U677" s="118"/>
      <c r="V677" s="119"/>
    </row>
    <row r="678" spans="1:22" x14ac:dyDescent="0.3">
      <c r="A678" s="118"/>
      <c r="B678" s="119"/>
      <c r="E678" s="118"/>
      <c r="F678" s="119"/>
      <c r="I678" s="118"/>
      <c r="J678" s="119"/>
      <c r="M678" s="118"/>
      <c r="N678" s="119"/>
      <c r="Q678" s="118"/>
      <c r="R678" s="119"/>
      <c r="U678" s="118"/>
      <c r="V678" s="119"/>
    </row>
    <row r="679" spans="1:22" x14ac:dyDescent="0.3">
      <c r="A679" s="118"/>
      <c r="B679" s="119"/>
      <c r="E679" s="118"/>
      <c r="F679" s="119"/>
      <c r="I679" s="118"/>
      <c r="J679" s="119"/>
      <c r="M679" s="118"/>
      <c r="N679" s="119"/>
      <c r="Q679" s="118"/>
      <c r="R679" s="119"/>
      <c r="U679" s="118"/>
      <c r="V679" s="119"/>
    </row>
    <row r="680" spans="1:22" x14ac:dyDescent="0.3">
      <c r="A680" s="118"/>
      <c r="B680" s="119"/>
      <c r="E680" s="118"/>
      <c r="F680" s="119"/>
      <c r="I680" s="118"/>
      <c r="J680" s="119"/>
      <c r="M680" s="118"/>
      <c r="N680" s="119"/>
      <c r="Q680" s="118"/>
      <c r="R680" s="119"/>
      <c r="U680" s="118"/>
      <c r="V680" s="119"/>
    </row>
    <row r="681" spans="1:22" x14ac:dyDescent="0.3">
      <c r="A681" s="118"/>
      <c r="B681" s="119"/>
      <c r="E681" s="118"/>
      <c r="F681" s="119"/>
      <c r="I681" s="118"/>
      <c r="J681" s="119"/>
      <c r="M681" s="118"/>
      <c r="N681" s="119"/>
      <c r="Q681" s="118"/>
      <c r="R681" s="119"/>
      <c r="U681" s="118"/>
      <c r="V681" s="119"/>
    </row>
    <row r="682" spans="1:22" x14ac:dyDescent="0.3">
      <c r="A682" s="118"/>
      <c r="B682" s="119"/>
      <c r="E682" s="118"/>
      <c r="F682" s="119"/>
      <c r="I682" s="118"/>
      <c r="J682" s="119"/>
      <c r="M682" s="118"/>
      <c r="N682" s="119"/>
      <c r="Q682" s="118"/>
      <c r="R682" s="119"/>
      <c r="U682" s="118"/>
      <c r="V682" s="119"/>
    </row>
    <row r="683" spans="1:22" x14ac:dyDescent="0.3">
      <c r="A683" s="118"/>
      <c r="B683" s="119"/>
      <c r="E683" s="118"/>
      <c r="F683" s="119"/>
      <c r="I683" s="118"/>
      <c r="J683" s="119"/>
      <c r="M683" s="118"/>
      <c r="N683" s="119"/>
      <c r="Q683" s="118"/>
      <c r="R683" s="119"/>
      <c r="U683" s="118"/>
      <c r="V683" s="119"/>
    </row>
    <row r="684" spans="1:22" x14ac:dyDescent="0.3">
      <c r="A684" s="118"/>
      <c r="B684" s="119"/>
      <c r="E684" s="118"/>
      <c r="F684" s="119"/>
      <c r="I684" s="118"/>
      <c r="J684" s="119"/>
      <c r="M684" s="118"/>
      <c r="N684" s="119"/>
      <c r="Q684" s="118"/>
      <c r="R684" s="119"/>
      <c r="U684" s="118"/>
      <c r="V684" s="119"/>
    </row>
    <row r="685" spans="1:22" x14ac:dyDescent="0.3">
      <c r="A685" s="118"/>
      <c r="B685" s="119"/>
      <c r="E685" s="118"/>
      <c r="F685" s="119"/>
      <c r="I685" s="118"/>
      <c r="J685" s="119"/>
      <c r="M685" s="118"/>
      <c r="N685" s="119"/>
      <c r="Q685" s="118"/>
      <c r="R685" s="119"/>
      <c r="U685" s="118"/>
      <c r="V685" s="119"/>
    </row>
    <row r="686" spans="1:22" x14ac:dyDescent="0.3">
      <c r="A686" s="118"/>
      <c r="B686" s="119"/>
      <c r="E686" s="118"/>
      <c r="F686" s="119"/>
      <c r="I686" s="118"/>
      <c r="J686" s="119"/>
      <c r="M686" s="118"/>
      <c r="N686" s="119"/>
      <c r="Q686" s="118"/>
      <c r="R686" s="119"/>
      <c r="U686" s="118"/>
      <c r="V686" s="119"/>
    </row>
    <row r="687" spans="1:22" x14ac:dyDescent="0.3">
      <c r="A687" s="118"/>
      <c r="B687" s="119"/>
      <c r="E687" s="118"/>
      <c r="F687" s="119"/>
      <c r="I687" s="118"/>
      <c r="J687" s="119"/>
      <c r="M687" s="118"/>
      <c r="N687" s="119"/>
      <c r="Q687" s="118"/>
      <c r="R687" s="119"/>
      <c r="U687" s="118"/>
      <c r="V687" s="119"/>
    </row>
    <row r="688" spans="1:22" x14ac:dyDescent="0.3">
      <c r="A688" s="118"/>
      <c r="B688" s="119"/>
      <c r="E688" s="118"/>
      <c r="F688" s="119"/>
      <c r="I688" s="118"/>
      <c r="J688" s="119"/>
      <c r="M688" s="118"/>
      <c r="N688" s="119"/>
      <c r="Q688" s="118"/>
      <c r="R688" s="119"/>
      <c r="U688" s="118"/>
      <c r="V688" s="119"/>
    </row>
    <row r="689" spans="1:22" x14ac:dyDescent="0.3">
      <c r="A689" s="118"/>
      <c r="B689" s="119"/>
      <c r="E689" s="118"/>
      <c r="F689" s="119"/>
      <c r="I689" s="118"/>
      <c r="J689" s="119"/>
      <c r="M689" s="118"/>
      <c r="N689" s="119"/>
      <c r="Q689" s="118"/>
      <c r="R689" s="119"/>
      <c r="U689" s="118"/>
      <c r="V689" s="119"/>
    </row>
    <row r="690" spans="1:22" x14ac:dyDescent="0.3">
      <c r="A690" s="118"/>
      <c r="B690" s="119"/>
      <c r="E690" s="118"/>
      <c r="F690" s="119"/>
      <c r="I690" s="118"/>
      <c r="J690" s="119"/>
      <c r="M690" s="118"/>
      <c r="N690" s="119"/>
      <c r="Q690" s="118"/>
      <c r="R690" s="119"/>
      <c r="U690" s="118"/>
      <c r="V690" s="119"/>
    </row>
    <row r="691" spans="1:22" x14ac:dyDescent="0.3">
      <c r="A691" s="118"/>
      <c r="B691" s="119"/>
      <c r="E691" s="118"/>
      <c r="F691" s="119"/>
      <c r="I691" s="118"/>
      <c r="J691" s="119"/>
      <c r="M691" s="118"/>
      <c r="N691" s="119"/>
      <c r="Q691" s="118"/>
      <c r="R691" s="119"/>
      <c r="U691" s="118"/>
      <c r="V691" s="119"/>
    </row>
    <row r="692" spans="1:22" x14ac:dyDescent="0.3">
      <c r="A692" s="118"/>
      <c r="B692" s="119"/>
      <c r="E692" s="118"/>
      <c r="F692" s="119"/>
      <c r="I692" s="118"/>
      <c r="J692" s="119"/>
      <c r="M692" s="118"/>
      <c r="N692" s="119"/>
      <c r="Q692" s="118"/>
      <c r="R692" s="119"/>
      <c r="U692" s="118"/>
      <c r="V692" s="119"/>
    </row>
    <row r="693" spans="1:22" x14ac:dyDescent="0.3">
      <c r="A693" s="118"/>
      <c r="B693" s="119"/>
      <c r="E693" s="118"/>
      <c r="F693" s="119"/>
      <c r="I693" s="118"/>
      <c r="J693" s="119"/>
      <c r="M693" s="118"/>
      <c r="N693" s="119"/>
      <c r="Q693" s="118"/>
      <c r="R693" s="119"/>
      <c r="U693" s="118"/>
      <c r="V693" s="119"/>
    </row>
    <row r="694" spans="1:22" x14ac:dyDescent="0.3">
      <c r="A694" s="118"/>
      <c r="B694" s="119"/>
      <c r="E694" s="118"/>
      <c r="F694" s="119"/>
      <c r="I694" s="118"/>
      <c r="J694" s="119"/>
      <c r="M694" s="118"/>
      <c r="N694" s="119"/>
      <c r="Q694" s="118"/>
      <c r="R694" s="119"/>
      <c r="U694" s="118"/>
      <c r="V694" s="119"/>
    </row>
    <row r="695" spans="1:22" x14ac:dyDescent="0.3">
      <c r="A695" s="118"/>
      <c r="B695" s="119"/>
      <c r="E695" s="118"/>
      <c r="F695" s="119"/>
      <c r="I695" s="118"/>
      <c r="J695" s="119"/>
      <c r="M695" s="118"/>
      <c r="N695" s="119"/>
      <c r="Q695" s="118"/>
      <c r="R695" s="119"/>
      <c r="U695" s="118"/>
      <c r="V695" s="119"/>
    </row>
    <row r="696" spans="1:22" x14ac:dyDescent="0.3">
      <c r="A696" s="118"/>
      <c r="B696" s="119"/>
      <c r="E696" s="118"/>
      <c r="F696" s="119"/>
      <c r="I696" s="118"/>
      <c r="J696" s="119"/>
      <c r="M696" s="118"/>
      <c r="N696" s="119"/>
      <c r="Q696" s="118"/>
      <c r="R696" s="119"/>
      <c r="U696" s="118"/>
      <c r="V696" s="119"/>
    </row>
    <row r="697" spans="1:22" x14ac:dyDescent="0.3">
      <c r="A697" s="118"/>
      <c r="B697" s="119"/>
      <c r="E697" s="118"/>
      <c r="F697" s="119"/>
      <c r="I697" s="118"/>
      <c r="J697" s="119"/>
      <c r="M697" s="118"/>
      <c r="N697" s="119"/>
      <c r="Q697" s="118"/>
      <c r="R697" s="119"/>
      <c r="U697" s="118"/>
      <c r="V697" s="119"/>
    </row>
    <row r="698" spans="1:22" x14ac:dyDescent="0.3">
      <c r="A698" s="118"/>
      <c r="B698" s="119"/>
      <c r="E698" s="118"/>
      <c r="F698" s="119"/>
      <c r="I698" s="118"/>
      <c r="J698" s="119"/>
      <c r="M698" s="118"/>
      <c r="N698" s="119"/>
      <c r="Q698" s="118"/>
      <c r="R698" s="119"/>
      <c r="U698" s="118"/>
      <c r="V698" s="119"/>
    </row>
    <row r="699" spans="1:22" x14ac:dyDescent="0.3">
      <c r="A699" s="118"/>
      <c r="B699" s="119"/>
      <c r="E699" s="118"/>
      <c r="F699" s="119"/>
      <c r="I699" s="118"/>
      <c r="J699" s="119"/>
      <c r="M699" s="118"/>
      <c r="N699" s="119"/>
      <c r="Q699" s="118"/>
      <c r="R699" s="119"/>
      <c r="U699" s="118"/>
      <c r="V699" s="119"/>
    </row>
    <row r="700" spans="1:22" x14ac:dyDescent="0.3">
      <c r="A700" s="118"/>
      <c r="B700" s="119"/>
      <c r="E700" s="118"/>
      <c r="F700" s="119"/>
      <c r="I700" s="118"/>
      <c r="J700" s="119"/>
      <c r="M700" s="118"/>
      <c r="N700" s="119"/>
      <c r="Q700" s="118"/>
      <c r="R700" s="119"/>
      <c r="U700" s="118"/>
      <c r="V700" s="119"/>
    </row>
    <row r="701" spans="1:22" x14ac:dyDescent="0.3">
      <c r="A701" s="118"/>
      <c r="B701" s="119"/>
      <c r="E701" s="118"/>
      <c r="F701" s="119"/>
      <c r="I701" s="118"/>
      <c r="J701" s="119"/>
      <c r="M701" s="118"/>
      <c r="N701" s="119"/>
      <c r="Q701" s="118"/>
      <c r="R701" s="119"/>
      <c r="U701" s="118"/>
      <c r="V701" s="119"/>
    </row>
    <row r="702" spans="1:22" x14ac:dyDescent="0.3">
      <c r="A702" s="118"/>
      <c r="B702" s="119"/>
      <c r="E702" s="118"/>
      <c r="F702" s="119"/>
      <c r="I702" s="118"/>
      <c r="J702" s="119"/>
      <c r="M702" s="118"/>
      <c r="N702" s="119"/>
      <c r="Q702" s="118"/>
      <c r="R702" s="119"/>
      <c r="U702" s="118"/>
      <c r="V702" s="119"/>
    </row>
    <row r="703" spans="1:22" x14ac:dyDescent="0.3">
      <c r="A703" s="118"/>
      <c r="B703" s="119"/>
      <c r="E703" s="118"/>
      <c r="F703" s="119"/>
      <c r="I703" s="118"/>
      <c r="J703" s="119"/>
      <c r="M703" s="118"/>
      <c r="N703" s="119"/>
      <c r="Q703" s="118"/>
      <c r="R703" s="119"/>
      <c r="U703" s="118"/>
      <c r="V703" s="119"/>
    </row>
    <row r="704" spans="1:22" x14ac:dyDescent="0.3">
      <c r="A704" s="118"/>
      <c r="B704" s="119"/>
      <c r="E704" s="118"/>
      <c r="F704" s="119"/>
      <c r="I704" s="118"/>
      <c r="J704" s="119"/>
      <c r="M704" s="118"/>
      <c r="N704" s="119"/>
      <c r="Q704" s="118"/>
      <c r="R704" s="119"/>
      <c r="U704" s="118"/>
      <c r="V704" s="119"/>
    </row>
    <row r="705" spans="1:22" x14ac:dyDescent="0.3">
      <c r="A705" s="118"/>
      <c r="B705" s="119"/>
      <c r="E705" s="118"/>
      <c r="F705" s="119"/>
      <c r="I705" s="118"/>
      <c r="J705" s="119"/>
      <c r="M705" s="118"/>
      <c r="N705" s="119"/>
      <c r="Q705" s="118"/>
      <c r="R705" s="119"/>
      <c r="U705" s="118"/>
      <c r="V705" s="119"/>
    </row>
    <row r="706" spans="1:22" x14ac:dyDescent="0.3">
      <c r="A706" s="118"/>
      <c r="B706" s="119"/>
      <c r="E706" s="118"/>
      <c r="F706" s="119"/>
      <c r="I706" s="118"/>
      <c r="J706" s="119"/>
      <c r="M706" s="118"/>
      <c r="N706" s="119"/>
      <c r="Q706" s="118"/>
      <c r="R706" s="119"/>
      <c r="U706" s="118"/>
      <c r="V706" s="119"/>
    </row>
    <row r="707" spans="1:22" x14ac:dyDescent="0.3">
      <c r="A707" s="118"/>
      <c r="B707" s="119"/>
      <c r="E707" s="118"/>
      <c r="F707" s="119"/>
      <c r="I707" s="118"/>
      <c r="J707" s="119"/>
      <c r="M707" s="118"/>
      <c r="N707" s="119"/>
      <c r="Q707" s="118"/>
      <c r="R707" s="119"/>
      <c r="U707" s="118"/>
      <c r="V707" s="119"/>
    </row>
    <row r="708" spans="1:22" x14ac:dyDescent="0.3">
      <c r="A708" s="118"/>
      <c r="B708" s="119"/>
      <c r="E708" s="118"/>
      <c r="F708" s="119"/>
      <c r="I708" s="118"/>
      <c r="J708" s="119"/>
      <c r="M708" s="118"/>
      <c r="N708" s="119"/>
      <c r="Q708" s="118"/>
      <c r="R708" s="119"/>
      <c r="U708" s="118"/>
      <c r="V708" s="119"/>
    </row>
    <row r="709" spans="1:22" x14ac:dyDescent="0.3">
      <c r="A709" s="118"/>
      <c r="B709" s="119"/>
      <c r="E709" s="118"/>
      <c r="F709" s="119"/>
      <c r="I709" s="118"/>
      <c r="J709" s="119"/>
      <c r="M709" s="118"/>
      <c r="N709" s="119"/>
      <c r="Q709" s="118"/>
      <c r="R709" s="119"/>
      <c r="U709" s="118"/>
      <c r="V709" s="119"/>
    </row>
    <row r="710" spans="1:22" x14ac:dyDescent="0.3">
      <c r="A710" s="118"/>
      <c r="B710" s="119"/>
      <c r="E710" s="118"/>
      <c r="F710" s="119"/>
      <c r="I710" s="118"/>
      <c r="J710" s="119"/>
      <c r="M710" s="118"/>
      <c r="N710" s="119"/>
      <c r="Q710" s="118"/>
      <c r="R710" s="119"/>
      <c r="U710" s="118"/>
      <c r="V710" s="119"/>
    </row>
    <row r="711" spans="1:22" x14ac:dyDescent="0.3">
      <c r="A711" s="118"/>
      <c r="B711" s="119"/>
      <c r="E711" s="118"/>
      <c r="F711" s="119"/>
      <c r="I711" s="118"/>
      <c r="J711" s="119"/>
      <c r="M711" s="118"/>
      <c r="N711" s="119"/>
      <c r="Q711" s="118"/>
      <c r="R711" s="119"/>
      <c r="U711" s="118"/>
      <c r="V711" s="119"/>
    </row>
    <row r="712" spans="1:22" x14ac:dyDescent="0.3">
      <c r="A712" s="118"/>
      <c r="B712" s="119"/>
      <c r="E712" s="118"/>
      <c r="F712" s="119"/>
      <c r="I712" s="118"/>
      <c r="J712" s="119"/>
      <c r="M712" s="118"/>
      <c r="N712" s="119"/>
      <c r="Q712" s="118"/>
      <c r="R712" s="119"/>
      <c r="U712" s="118"/>
      <c r="V712" s="119"/>
    </row>
    <row r="713" spans="1:22" x14ac:dyDescent="0.3">
      <c r="A713" s="118"/>
      <c r="B713" s="119"/>
      <c r="E713" s="118"/>
      <c r="F713" s="119"/>
      <c r="I713" s="118"/>
      <c r="J713" s="119"/>
      <c r="M713" s="118"/>
      <c r="N713" s="119"/>
      <c r="Q713" s="118"/>
      <c r="R713" s="119"/>
      <c r="U713" s="118"/>
      <c r="V713" s="119"/>
    </row>
    <row r="714" spans="1:22" x14ac:dyDescent="0.3">
      <c r="A714" s="118"/>
      <c r="B714" s="119"/>
      <c r="E714" s="118"/>
      <c r="F714" s="119"/>
      <c r="I714" s="118"/>
      <c r="J714" s="119"/>
      <c r="M714" s="118"/>
      <c r="N714" s="119"/>
      <c r="Q714" s="118"/>
      <c r="R714" s="119"/>
      <c r="U714" s="118"/>
      <c r="V714" s="119"/>
    </row>
    <row r="715" spans="1:22" x14ac:dyDescent="0.3">
      <c r="A715" s="118"/>
      <c r="B715" s="119"/>
      <c r="E715" s="118"/>
      <c r="F715" s="119"/>
      <c r="I715" s="118"/>
      <c r="J715" s="119"/>
      <c r="M715" s="118"/>
      <c r="N715" s="119"/>
      <c r="Q715" s="118"/>
      <c r="R715" s="119"/>
      <c r="U715" s="118"/>
      <c r="V715" s="119"/>
    </row>
    <row r="716" spans="1:22" x14ac:dyDescent="0.3">
      <c r="A716" s="118"/>
      <c r="B716" s="119"/>
      <c r="E716" s="118"/>
      <c r="F716" s="119"/>
      <c r="I716" s="118"/>
      <c r="J716" s="119"/>
      <c r="M716" s="118"/>
      <c r="N716" s="119"/>
      <c r="Q716" s="118"/>
      <c r="R716" s="119"/>
      <c r="U716" s="118"/>
      <c r="V716" s="119"/>
    </row>
    <row r="717" spans="1:22" x14ac:dyDescent="0.3">
      <c r="A717" s="118"/>
      <c r="B717" s="119"/>
      <c r="E717" s="118"/>
      <c r="F717" s="119"/>
      <c r="I717" s="118"/>
      <c r="J717" s="119"/>
      <c r="M717" s="118"/>
      <c r="N717" s="119"/>
      <c r="Q717" s="118"/>
      <c r="R717" s="119"/>
      <c r="U717" s="118"/>
      <c r="V717" s="119"/>
    </row>
    <row r="718" spans="1:22" x14ac:dyDescent="0.3">
      <c r="A718" s="118"/>
      <c r="B718" s="119"/>
      <c r="E718" s="118"/>
      <c r="F718" s="119"/>
      <c r="I718" s="118"/>
      <c r="J718" s="119"/>
      <c r="M718" s="118"/>
      <c r="N718" s="119"/>
      <c r="Q718" s="118"/>
      <c r="R718" s="119"/>
      <c r="U718" s="118"/>
      <c r="V718" s="119"/>
    </row>
    <row r="719" spans="1:22" x14ac:dyDescent="0.3">
      <c r="A719" s="118"/>
      <c r="B719" s="119"/>
      <c r="E719" s="118"/>
      <c r="F719" s="119"/>
      <c r="I719" s="118"/>
      <c r="J719" s="119"/>
      <c r="M719" s="118"/>
      <c r="N719" s="119"/>
      <c r="Q719" s="118"/>
      <c r="R719" s="119"/>
      <c r="U719" s="118"/>
      <c r="V719" s="119"/>
    </row>
    <row r="720" spans="1:22" x14ac:dyDescent="0.3">
      <c r="A720" s="118"/>
      <c r="B720" s="119"/>
      <c r="E720" s="118"/>
      <c r="F720" s="119"/>
      <c r="I720" s="118"/>
      <c r="J720" s="119"/>
      <c r="M720" s="118"/>
      <c r="N720" s="119"/>
      <c r="Q720" s="118"/>
      <c r="R720" s="119"/>
      <c r="U720" s="118"/>
      <c r="V720" s="119"/>
    </row>
    <row r="721" spans="1:22" x14ac:dyDescent="0.3">
      <c r="A721" s="118"/>
      <c r="B721" s="119"/>
      <c r="E721" s="118"/>
      <c r="F721" s="119"/>
      <c r="I721" s="118"/>
      <c r="J721" s="119"/>
      <c r="M721" s="118"/>
      <c r="N721" s="119"/>
      <c r="Q721" s="118"/>
      <c r="R721" s="119"/>
      <c r="U721" s="118"/>
      <c r="V721" s="119"/>
    </row>
    <row r="722" spans="1:22" x14ac:dyDescent="0.3">
      <c r="A722" s="118"/>
      <c r="B722" s="119"/>
      <c r="E722" s="118"/>
      <c r="F722" s="119"/>
      <c r="I722" s="118"/>
      <c r="J722" s="119"/>
      <c r="M722" s="118"/>
      <c r="N722" s="119"/>
      <c r="Q722" s="118"/>
      <c r="R722" s="119"/>
      <c r="U722" s="118"/>
      <c r="V722" s="119"/>
    </row>
    <row r="723" spans="1:22" x14ac:dyDescent="0.3">
      <c r="A723" s="118"/>
      <c r="B723" s="119"/>
      <c r="E723" s="118"/>
      <c r="F723" s="119"/>
      <c r="I723" s="118"/>
      <c r="J723" s="119"/>
      <c r="M723" s="118"/>
      <c r="N723" s="119"/>
      <c r="Q723" s="118"/>
      <c r="R723" s="119"/>
      <c r="U723" s="118"/>
      <c r="V723" s="119"/>
    </row>
    <row r="724" spans="1:22" x14ac:dyDescent="0.3">
      <c r="A724" s="118"/>
      <c r="B724" s="119"/>
      <c r="E724" s="118"/>
      <c r="F724" s="119"/>
      <c r="I724" s="118"/>
      <c r="J724" s="119"/>
      <c r="M724" s="118"/>
      <c r="N724" s="119"/>
      <c r="Q724" s="118"/>
      <c r="R724" s="119"/>
      <c r="U724" s="118"/>
      <c r="V724" s="119"/>
    </row>
    <row r="725" spans="1:22" x14ac:dyDescent="0.3">
      <c r="A725" s="118"/>
      <c r="B725" s="119"/>
      <c r="E725" s="118"/>
      <c r="F725" s="119"/>
      <c r="I725" s="118"/>
      <c r="J725" s="119"/>
      <c r="M725" s="118"/>
      <c r="N725" s="119"/>
      <c r="Q725" s="118"/>
      <c r="R725" s="119"/>
      <c r="U725" s="118"/>
      <c r="V725" s="119"/>
    </row>
    <row r="726" spans="1:22" x14ac:dyDescent="0.3">
      <c r="A726" s="118"/>
      <c r="B726" s="119"/>
      <c r="E726" s="118"/>
      <c r="F726" s="119"/>
      <c r="I726" s="118"/>
      <c r="J726" s="119"/>
      <c r="M726" s="118"/>
      <c r="N726" s="119"/>
      <c r="Q726" s="118"/>
      <c r="R726" s="119"/>
      <c r="U726" s="118"/>
      <c r="V726" s="119"/>
    </row>
    <row r="727" spans="1:22" x14ac:dyDescent="0.3">
      <c r="A727" s="118"/>
      <c r="B727" s="119"/>
      <c r="E727" s="118"/>
      <c r="F727" s="119"/>
      <c r="I727" s="118"/>
      <c r="J727" s="119"/>
      <c r="M727" s="118"/>
      <c r="N727" s="119"/>
      <c r="Q727" s="118"/>
      <c r="R727" s="119"/>
      <c r="U727" s="118"/>
      <c r="V727" s="119"/>
    </row>
    <row r="728" spans="1:22" x14ac:dyDescent="0.3">
      <c r="A728" s="118"/>
      <c r="B728" s="119"/>
      <c r="E728" s="118"/>
      <c r="F728" s="119"/>
      <c r="I728" s="118"/>
      <c r="J728" s="119"/>
      <c r="M728" s="118"/>
      <c r="N728" s="119"/>
      <c r="Q728" s="118"/>
      <c r="R728" s="119"/>
      <c r="U728" s="118"/>
      <c r="V728" s="119"/>
    </row>
    <row r="729" spans="1:22" x14ac:dyDescent="0.3">
      <c r="A729" s="118"/>
      <c r="B729" s="119"/>
      <c r="E729" s="118"/>
      <c r="F729" s="119"/>
      <c r="I729" s="118"/>
      <c r="J729" s="119"/>
      <c r="M729" s="118"/>
      <c r="N729" s="119"/>
      <c r="Q729" s="118"/>
      <c r="R729" s="119"/>
      <c r="U729" s="118"/>
      <c r="V729" s="119"/>
    </row>
    <row r="730" spans="1:22" x14ac:dyDescent="0.3">
      <c r="A730" s="118"/>
      <c r="B730" s="119"/>
      <c r="E730" s="118"/>
      <c r="F730" s="119"/>
      <c r="I730" s="118"/>
      <c r="J730" s="119"/>
      <c r="M730" s="118"/>
      <c r="N730" s="119"/>
      <c r="Q730" s="118"/>
      <c r="R730" s="119"/>
      <c r="U730" s="118"/>
      <c r="V730" s="119"/>
    </row>
    <row r="731" spans="1:22" x14ac:dyDescent="0.3">
      <c r="A731" s="118"/>
      <c r="B731" s="119"/>
      <c r="E731" s="118"/>
      <c r="F731" s="119"/>
      <c r="I731" s="118"/>
      <c r="J731" s="119"/>
      <c r="M731" s="118"/>
      <c r="N731" s="119"/>
      <c r="Q731" s="118"/>
      <c r="R731" s="119"/>
      <c r="U731" s="118"/>
      <c r="V731" s="119"/>
    </row>
    <row r="732" spans="1:22" x14ac:dyDescent="0.3">
      <c r="A732" s="118"/>
      <c r="B732" s="119"/>
      <c r="E732" s="118"/>
      <c r="F732" s="119"/>
      <c r="I732" s="118"/>
      <c r="J732" s="119"/>
      <c r="M732" s="118"/>
      <c r="N732" s="119"/>
      <c r="Q732" s="118"/>
      <c r="R732" s="119"/>
      <c r="U732" s="118"/>
      <c r="V732" s="119"/>
    </row>
    <row r="733" spans="1:22" x14ac:dyDescent="0.3">
      <c r="A733" s="118"/>
      <c r="B733" s="119"/>
      <c r="E733" s="118"/>
      <c r="F733" s="119"/>
      <c r="I733" s="118"/>
      <c r="J733" s="119"/>
      <c r="M733" s="118"/>
      <c r="N733" s="119"/>
      <c r="Q733" s="118"/>
      <c r="R733" s="119"/>
      <c r="U733" s="118"/>
      <c r="V733" s="119"/>
    </row>
    <row r="734" spans="1:22" x14ac:dyDescent="0.3">
      <c r="A734" s="118"/>
      <c r="B734" s="119"/>
      <c r="E734" s="118"/>
      <c r="F734" s="119"/>
      <c r="I734" s="118"/>
      <c r="J734" s="119"/>
      <c r="M734" s="118"/>
      <c r="N734" s="119"/>
      <c r="Q734" s="118"/>
      <c r="R734" s="119"/>
      <c r="U734" s="118"/>
      <c r="V734" s="119"/>
    </row>
    <row r="735" spans="1:22" x14ac:dyDescent="0.3">
      <c r="A735" s="118"/>
      <c r="B735" s="119"/>
      <c r="E735" s="118"/>
      <c r="F735" s="119"/>
      <c r="I735" s="118"/>
      <c r="J735" s="119"/>
      <c r="M735" s="118"/>
      <c r="N735" s="119"/>
      <c r="Q735" s="118"/>
      <c r="R735" s="119"/>
      <c r="U735" s="118"/>
      <c r="V735" s="119"/>
    </row>
    <row r="736" spans="1:22" x14ac:dyDescent="0.3">
      <c r="A736" s="118"/>
      <c r="B736" s="119"/>
      <c r="E736" s="118"/>
      <c r="F736" s="119"/>
      <c r="I736" s="118"/>
      <c r="J736" s="119"/>
      <c r="M736" s="118"/>
      <c r="N736" s="119"/>
      <c r="Q736" s="118"/>
      <c r="R736" s="119"/>
      <c r="U736" s="118"/>
      <c r="V736" s="119"/>
    </row>
    <row r="737" spans="1:22" x14ac:dyDescent="0.3">
      <c r="A737" s="118"/>
      <c r="B737" s="119"/>
      <c r="E737" s="118"/>
      <c r="F737" s="119"/>
      <c r="I737" s="118"/>
      <c r="J737" s="119"/>
      <c r="M737" s="118"/>
      <c r="N737" s="119"/>
      <c r="Q737" s="118"/>
      <c r="R737" s="119"/>
      <c r="U737" s="118"/>
      <c r="V737" s="119"/>
    </row>
    <row r="738" spans="1:22" x14ac:dyDescent="0.3">
      <c r="A738" s="118"/>
      <c r="B738" s="119"/>
      <c r="E738" s="118"/>
      <c r="F738" s="119"/>
      <c r="I738" s="118"/>
      <c r="J738" s="119"/>
      <c r="M738" s="118"/>
      <c r="N738" s="119"/>
      <c r="Q738" s="118"/>
      <c r="R738" s="119"/>
      <c r="U738" s="118"/>
      <c r="V738" s="119"/>
    </row>
    <row r="739" spans="1:22" x14ac:dyDescent="0.3">
      <c r="A739" s="118"/>
      <c r="B739" s="119"/>
      <c r="E739" s="118"/>
      <c r="F739" s="119"/>
      <c r="I739" s="118"/>
      <c r="J739" s="119"/>
      <c r="M739" s="118"/>
      <c r="N739" s="119"/>
      <c r="Q739" s="118"/>
      <c r="R739" s="119"/>
      <c r="U739" s="118"/>
      <c r="V739" s="119"/>
    </row>
    <row r="740" spans="1:22" x14ac:dyDescent="0.3">
      <c r="A740" s="118"/>
      <c r="B740" s="119"/>
      <c r="E740" s="118"/>
      <c r="F740" s="119"/>
      <c r="I740" s="118"/>
      <c r="J740" s="119"/>
      <c r="M740" s="118"/>
      <c r="N740" s="119"/>
      <c r="Q740" s="118"/>
      <c r="R740" s="119"/>
      <c r="U740" s="118"/>
      <c r="V740" s="119"/>
    </row>
    <row r="741" spans="1:22" x14ac:dyDescent="0.3">
      <c r="A741" s="118"/>
      <c r="B741" s="119"/>
      <c r="E741" s="118"/>
      <c r="F741" s="119"/>
      <c r="I741" s="118"/>
      <c r="J741" s="119"/>
      <c r="M741" s="118"/>
      <c r="N741" s="119"/>
      <c r="Q741" s="118"/>
      <c r="R741" s="119"/>
      <c r="U741" s="118"/>
      <c r="V741" s="119"/>
    </row>
    <row r="742" spans="1:22" x14ac:dyDescent="0.3">
      <c r="A742" s="118"/>
      <c r="B742" s="119"/>
      <c r="E742" s="118"/>
      <c r="F742" s="119"/>
      <c r="I742" s="118"/>
      <c r="J742" s="119"/>
      <c r="M742" s="118"/>
      <c r="N742" s="119"/>
      <c r="Q742" s="118"/>
      <c r="R742" s="119"/>
      <c r="U742" s="118"/>
      <c r="V742" s="119"/>
    </row>
    <row r="743" spans="1:22" x14ac:dyDescent="0.3">
      <c r="A743" s="118"/>
      <c r="B743" s="119"/>
      <c r="E743" s="118"/>
      <c r="F743" s="119"/>
      <c r="I743" s="118"/>
      <c r="J743" s="119"/>
      <c r="M743" s="118"/>
      <c r="N743" s="119"/>
      <c r="Q743" s="118"/>
      <c r="R743" s="119"/>
      <c r="U743" s="118"/>
      <c r="V743" s="119"/>
    </row>
    <row r="744" spans="1:22" x14ac:dyDescent="0.3">
      <c r="A744" s="118"/>
      <c r="B744" s="119"/>
      <c r="E744" s="118"/>
      <c r="F744" s="119"/>
      <c r="I744" s="118"/>
      <c r="J744" s="119"/>
      <c r="M744" s="118"/>
      <c r="N744" s="119"/>
      <c r="Q744" s="118"/>
      <c r="R744" s="119"/>
      <c r="U744" s="118"/>
      <c r="V744" s="119"/>
    </row>
    <row r="745" spans="1:22" x14ac:dyDescent="0.3">
      <c r="A745" s="118"/>
      <c r="B745" s="119"/>
      <c r="E745" s="118"/>
      <c r="F745" s="119"/>
      <c r="I745" s="118"/>
      <c r="J745" s="119"/>
      <c r="M745" s="118"/>
      <c r="N745" s="119"/>
      <c r="Q745" s="118"/>
      <c r="R745" s="119"/>
      <c r="U745" s="118"/>
      <c r="V745" s="119"/>
    </row>
    <row r="746" spans="1:22" x14ac:dyDescent="0.3">
      <c r="A746" s="118"/>
      <c r="B746" s="119"/>
      <c r="E746" s="118"/>
      <c r="F746" s="119"/>
      <c r="I746" s="118"/>
      <c r="J746" s="119"/>
      <c r="M746" s="118"/>
      <c r="N746" s="119"/>
      <c r="Q746" s="118"/>
      <c r="R746" s="119"/>
      <c r="U746" s="118"/>
      <c r="V746" s="119"/>
    </row>
    <row r="747" spans="1:22" x14ac:dyDescent="0.3">
      <c r="A747" s="118"/>
      <c r="B747" s="119"/>
      <c r="E747" s="118"/>
      <c r="F747" s="119"/>
      <c r="I747" s="118"/>
      <c r="J747" s="119"/>
      <c r="M747" s="118"/>
      <c r="N747" s="119"/>
      <c r="Q747" s="118"/>
      <c r="R747" s="119"/>
      <c r="U747" s="118"/>
      <c r="V747" s="119"/>
    </row>
    <row r="748" spans="1:22" x14ac:dyDescent="0.3">
      <c r="A748" s="118"/>
      <c r="B748" s="119"/>
      <c r="E748" s="118"/>
      <c r="F748" s="119"/>
      <c r="I748" s="118"/>
      <c r="J748" s="119"/>
      <c r="M748" s="118"/>
      <c r="N748" s="119"/>
      <c r="Q748" s="118"/>
      <c r="R748" s="119"/>
      <c r="U748" s="118"/>
      <c r="V748" s="119"/>
    </row>
    <row r="749" spans="1:22" x14ac:dyDescent="0.3">
      <c r="A749" s="118"/>
      <c r="B749" s="119"/>
      <c r="E749" s="118"/>
      <c r="F749" s="119"/>
      <c r="I749" s="118"/>
      <c r="J749" s="119"/>
      <c r="M749" s="118"/>
      <c r="N749" s="119"/>
      <c r="Q749" s="118"/>
      <c r="R749" s="119"/>
      <c r="U749" s="118"/>
      <c r="V749" s="119"/>
    </row>
    <row r="750" spans="1:22" x14ac:dyDescent="0.3">
      <c r="A750" s="118"/>
      <c r="B750" s="119"/>
      <c r="E750" s="118"/>
      <c r="F750" s="119"/>
      <c r="I750" s="118"/>
      <c r="J750" s="119"/>
      <c r="M750" s="118"/>
      <c r="N750" s="119"/>
      <c r="Q750" s="118"/>
      <c r="R750" s="119"/>
      <c r="U750" s="118"/>
      <c r="V750" s="119"/>
    </row>
    <row r="751" spans="1:22" x14ac:dyDescent="0.3">
      <c r="A751" s="118"/>
      <c r="B751" s="119"/>
      <c r="E751" s="118"/>
      <c r="F751" s="119"/>
      <c r="I751" s="118"/>
      <c r="J751" s="119"/>
      <c r="M751" s="118"/>
      <c r="N751" s="119"/>
      <c r="Q751" s="118"/>
      <c r="R751" s="119"/>
      <c r="U751" s="118"/>
      <c r="V751" s="119"/>
    </row>
    <row r="752" spans="1:22" x14ac:dyDescent="0.3">
      <c r="A752" s="118"/>
      <c r="B752" s="119"/>
      <c r="E752" s="118"/>
      <c r="F752" s="119"/>
      <c r="I752" s="118"/>
      <c r="J752" s="119"/>
      <c r="M752" s="118"/>
      <c r="N752" s="119"/>
      <c r="Q752" s="118"/>
      <c r="R752" s="119"/>
      <c r="U752" s="118"/>
      <c r="V752" s="119"/>
    </row>
    <row r="753" spans="1:22" x14ac:dyDescent="0.3">
      <c r="A753" s="118"/>
      <c r="B753" s="119"/>
      <c r="E753" s="118"/>
      <c r="F753" s="119"/>
      <c r="I753" s="118"/>
      <c r="J753" s="119"/>
      <c r="M753" s="118"/>
      <c r="N753" s="119"/>
      <c r="Q753" s="118"/>
      <c r="R753" s="119"/>
      <c r="U753" s="118"/>
      <c r="V753" s="119"/>
    </row>
    <row r="754" spans="1:22" x14ac:dyDescent="0.3">
      <c r="A754" s="118"/>
      <c r="B754" s="119"/>
      <c r="E754" s="118"/>
      <c r="F754" s="119"/>
      <c r="I754" s="118"/>
      <c r="J754" s="119"/>
      <c r="M754" s="118"/>
      <c r="N754" s="119"/>
      <c r="Q754" s="118"/>
      <c r="R754" s="119"/>
      <c r="U754" s="118"/>
      <c r="V754" s="119"/>
    </row>
    <row r="755" spans="1:22" x14ac:dyDescent="0.3">
      <c r="A755" s="118"/>
      <c r="B755" s="119"/>
      <c r="E755" s="118"/>
      <c r="F755" s="119"/>
      <c r="I755" s="118"/>
      <c r="J755" s="119"/>
      <c r="M755" s="118"/>
      <c r="N755" s="119"/>
      <c r="Q755" s="118"/>
      <c r="R755" s="119"/>
      <c r="U755" s="118"/>
      <c r="V755" s="119"/>
    </row>
    <row r="756" spans="1:22" x14ac:dyDescent="0.3">
      <c r="A756" s="118"/>
      <c r="B756" s="119"/>
      <c r="E756" s="118"/>
      <c r="F756" s="119"/>
      <c r="I756" s="118"/>
      <c r="J756" s="119"/>
      <c r="M756" s="118"/>
      <c r="N756" s="119"/>
      <c r="Q756" s="118"/>
      <c r="R756" s="119"/>
      <c r="U756" s="118"/>
      <c r="V756" s="119"/>
    </row>
    <row r="757" spans="1:22" x14ac:dyDescent="0.3">
      <c r="A757" s="118"/>
      <c r="B757" s="119"/>
      <c r="E757" s="118"/>
      <c r="F757" s="119"/>
      <c r="I757" s="118"/>
      <c r="J757" s="119"/>
      <c r="M757" s="118"/>
      <c r="N757" s="119"/>
      <c r="Q757" s="118"/>
      <c r="R757" s="119"/>
      <c r="U757" s="118"/>
      <c r="V757" s="119"/>
    </row>
    <row r="758" spans="1:22" x14ac:dyDescent="0.3">
      <c r="A758" s="118"/>
      <c r="B758" s="119"/>
      <c r="E758" s="118"/>
      <c r="F758" s="119"/>
      <c r="I758" s="118"/>
      <c r="J758" s="119"/>
      <c r="M758" s="118"/>
      <c r="N758" s="119"/>
      <c r="Q758" s="118"/>
      <c r="R758" s="119"/>
      <c r="U758" s="118"/>
      <c r="V758" s="119"/>
    </row>
    <row r="759" spans="1:22" x14ac:dyDescent="0.3">
      <c r="A759" s="118"/>
      <c r="B759" s="119"/>
      <c r="E759" s="118"/>
      <c r="F759" s="119"/>
      <c r="I759" s="118"/>
      <c r="J759" s="119"/>
      <c r="M759" s="118"/>
      <c r="N759" s="119"/>
      <c r="Q759" s="118"/>
      <c r="R759" s="119"/>
      <c r="U759" s="118"/>
      <c r="V759" s="119"/>
    </row>
    <row r="760" spans="1:22" x14ac:dyDescent="0.3">
      <c r="A760" s="118"/>
      <c r="B760" s="119"/>
      <c r="E760" s="118"/>
      <c r="F760" s="119"/>
      <c r="I760" s="118"/>
      <c r="J760" s="119"/>
      <c r="M760" s="118"/>
      <c r="N760" s="119"/>
      <c r="Q760" s="118"/>
      <c r="R760" s="119"/>
      <c r="U760" s="118"/>
      <c r="V760" s="119"/>
    </row>
    <row r="761" spans="1:22" x14ac:dyDescent="0.3">
      <c r="A761" s="118"/>
      <c r="B761" s="119"/>
      <c r="E761" s="118"/>
      <c r="F761" s="119"/>
      <c r="I761" s="118"/>
      <c r="J761" s="119"/>
      <c r="M761" s="118"/>
      <c r="N761" s="119"/>
      <c r="Q761" s="118"/>
      <c r="R761" s="119"/>
      <c r="U761" s="118"/>
      <c r="V761" s="119"/>
    </row>
    <row r="762" spans="1:22" x14ac:dyDescent="0.3">
      <c r="A762" s="118"/>
      <c r="B762" s="119"/>
      <c r="E762" s="118"/>
      <c r="F762" s="119"/>
      <c r="I762" s="118"/>
      <c r="J762" s="119"/>
      <c r="M762" s="118"/>
      <c r="N762" s="119"/>
      <c r="Q762" s="118"/>
      <c r="R762" s="119"/>
      <c r="U762" s="118"/>
      <c r="V762" s="119"/>
    </row>
    <row r="763" spans="1:22" x14ac:dyDescent="0.3">
      <c r="A763" s="118"/>
      <c r="B763" s="119"/>
      <c r="E763" s="118"/>
      <c r="F763" s="119"/>
      <c r="I763" s="118"/>
      <c r="J763" s="119"/>
      <c r="M763" s="118"/>
      <c r="N763" s="119"/>
      <c r="Q763" s="118"/>
      <c r="R763" s="119"/>
      <c r="U763" s="118"/>
      <c r="V763" s="119"/>
    </row>
    <row r="764" spans="1:22" x14ac:dyDescent="0.3">
      <c r="A764" s="118"/>
      <c r="B764" s="119"/>
      <c r="E764" s="118"/>
      <c r="F764" s="119"/>
      <c r="I764" s="118"/>
      <c r="J764" s="119"/>
      <c r="M764" s="118"/>
      <c r="N764" s="119"/>
      <c r="Q764" s="118"/>
      <c r="R764" s="119"/>
      <c r="U764" s="118"/>
      <c r="V764" s="119"/>
    </row>
    <row r="765" spans="1:22" x14ac:dyDescent="0.3">
      <c r="A765" s="118"/>
      <c r="B765" s="119"/>
      <c r="E765" s="118"/>
      <c r="F765" s="119"/>
      <c r="I765" s="118"/>
      <c r="J765" s="119"/>
      <c r="M765" s="118"/>
      <c r="N765" s="119"/>
      <c r="Q765" s="118"/>
      <c r="R765" s="119"/>
      <c r="U765" s="118"/>
      <c r="V765" s="119"/>
    </row>
    <row r="766" spans="1:22" x14ac:dyDescent="0.3">
      <c r="A766" s="118"/>
      <c r="B766" s="119"/>
      <c r="E766" s="118"/>
      <c r="F766" s="119"/>
      <c r="I766" s="118"/>
      <c r="J766" s="119"/>
      <c r="M766" s="118"/>
      <c r="N766" s="119"/>
      <c r="Q766" s="118"/>
      <c r="R766" s="119"/>
      <c r="U766" s="118"/>
      <c r="V766" s="119"/>
    </row>
    <row r="767" spans="1:22" x14ac:dyDescent="0.3">
      <c r="A767" s="118"/>
      <c r="B767" s="119"/>
      <c r="E767" s="118"/>
      <c r="F767" s="119"/>
      <c r="I767" s="118"/>
      <c r="J767" s="119"/>
      <c r="M767" s="118"/>
      <c r="N767" s="119"/>
      <c r="Q767" s="118"/>
      <c r="R767" s="119"/>
      <c r="U767" s="118"/>
      <c r="V767" s="119"/>
    </row>
    <row r="768" spans="1:22" x14ac:dyDescent="0.3">
      <c r="A768" s="118"/>
      <c r="B768" s="119"/>
      <c r="E768" s="118"/>
      <c r="F768" s="119"/>
      <c r="I768" s="118"/>
      <c r="J768" s="119"/>
      <c r="M768" s="118"/>
      <c r="N768" s="119"/>
      <c r="Q768" s="118"/>
      <c r="R768" s="119"/>
      <c r="U768" s="118"/>
      <c r="V768" s="119"/>
    </row>
    <row r="769" spans="1:22" x14ac:dyDescent="0.3">
      <c r="A769" s="118"/>
      <c r="B769" s="119"/>
      <c r="E769" s="118"/>
      <c r="F769" s="119"/>
      <c r="I769" s="118"/>
      <c r="J769" s="119"/>
      <c r="M769" s="118"/>
      <c r="N769" s="119"/>
      <c r="Q769" s="118"/>
      <c r="R769" s="119"/>
      <c r="U769" s="118"/>
      <c r="V769" s="119"/>
    </row>
    <row r="770" spans="1:22" x14ac:dyDescent="0.3">
      <c r="A770" s="118"/>
      <c r="B770" s="119"/>
      <c r="E770" s="118"/>
      <c r="F770" s="119"/>
      <c r="I770" s="118"/>
      <c r="J770" s="119"/>
      <c r="M770" s="118"/>
      <c r="N770" s="119"/>
      <c r="Q770" s="118"/>
      <c r="R770" s="119"/>
      <c r="U770" s="118"/>
      <c r="V770" s="119"/>
    </row>
    <row r="771" spans="1:22" x14ac:dyDescent="0.3">
      <c r="A771" s="118"/>
      <c r="B771" s="119"/>
      <c r="E771" s="118"/>
      <c r="F771" s="119"/>
      <c r="I771" s="118"/>
      <c r="J771" s="119"/>
      <c r="M771" s="118"/>
      <c r="N771" s="119"/>
      <c r="Q771" s="118"/>
      <c r="R771" s="119"/>
      <c r="U771" s="118"/>
      <c r="V771" s="119"/>
    </row>
    <row r="772" spans="1:22" x14ac:dyDescent="0.3">
      <c r="A772" s="118"/>
      <c r="B772" s="119"/>
      <c r="E772" s="118"/>
      <c r="F772" s="119"/>
      <c r="I772" s="118"/>
      <c r="J772" s="119"/>
      <c r="M772" s="118"/>
      <c r="N772" s="119"/>
      <c r="Q772" s="118"/>
      <c r="R772" s="119"/>
      <c r="U772" s="118"/>
      <c r="V772" s="119"/>
    </row>
    <row r="773" spans="1:22" x14ac:dyDescent="0.3">
      <c r="A773" s="118"/>
      <c r="B773" s="119"/>
      <c r="E773" s="118"/>
      <c r="F773" s="119"/>
      <c r="I773" s="118"/>
      <c r="J773" s="119"/>
      <c r="M773" s="118"/>
      <c r="N773" s="119"/>
      <c r="Q773" s="118"/>
      <c r="R773" s="119"/>
      <c r="U773" s="118"/>
      <c r="V773" s="119"/>
    </row>
    <row r="774" spans="1:22" x14ac:dyDescent="0.3">
      <c r="A774" s="118"/>
      <c r="B774" s="119"/>
      <c r="E774" s="118"/>
      <c r="F774" s="119"/>
      <c r="I774" s="118"/>
      <c r="J774" s="119"/>
      <c r="M774" s="118"/>
      <c r="N774" s="119"/>
      <c r="Q774" s="118"/>
      <c r="R774" s="119"/>
      <c r="U774" s="118"/>
      <c r="V774" s="119"/>
    </row>
    <row r="775" spans="1:22" x14ac:dyDescent="0.3">
      <c r="A775" s="118"/>
      <c r="B775" s="119"/>
      <c r="E775" s="118"/>
      <c r="F775" s="119"/>
      <c r="I775" s="118"/>
      <c r="J775" s="119"/>
      <c r="M775" s="118"/>
      <c r="N775" s="119"/>
      <c r="Q775" s="118"/>
      <c r="R775" s="119"/>
      <c r="U775" s="118"/>
      <c r="V775" s="119"/>
    </row>
    <row r="776" spans="1:22" x14ac:dyDescent="0.3">
      <c r="A776" s="118"/>
      <c r="B776" s="119"/>
      <c r="E776" s="118"/>
      <c r="F776" s="119"/>
      <c r="I776" s="118"/>
      <c r="J776" s="119"/>
      <c r="M776" s="118"/>
      <c r="N776" s="119"/>
      <c r="Q776" s="118"/>
      <c r="R776" s="119"/>
      <c r="U776" s="118"/>
      <c r="V776" s="119"/>
    </row>
    <row r="777" spans="1:22" x14ac:dyDescent="0.3">
      <c r="A777" s="118"/>
      <c r="B777" s="119"/>
      <c r="E777" s="118"/>
      <c r="F777" s="119"/>
      <c r="I777" s="118"/>
      <c r="J777" s="119"/>
      <c r="M777" s="118"/>
      <c r="N777" s="119"/>
      <c r="Q777" s="118"/>
      <c r="R777" s="119"/>
      <c r="U777" s="118"/>
      <c r="V777" s="119"/>
    </row>
    <row r="778" spans="1:22" x14ac:dyDescent="0.3">
      <c r="A778" s="118"/>
      <c r="B778" s="119"/>
      <c r="E778" s="118"/>
      <c r="F778" s="119"/>
      <c r="I778" s="118"/>
      <c r="J778" s="119"/>
      <c r="M778" s="118"/>
      <c r="N778" s="119"/>
      <c r="Q778" s="118"/>
      <c r="R778" s="119"/>
      <c r="U778" s="118"/>
      <c r="V778" s="119"/>
    </row>
    <row r="779" spans="1:22" x14ac:dyDescent="0.3">
      <c r="A779" s="118"/>
      <c r="B779" s="119"/>
      <c r="E779" s="118"/>
      <c r="F779" s="119"/>
      <c r="I779" s="118"/>
      <c r="J779" s="119"/>
      <c r="M779" s="118"/>
      <c r="N779" s="119"/>
      <c r="Q779" s="118"/>
      <c r="R779" s="119"/>
      <c r="U779" s="118"/>
      <c r="V779" s="119"/>
    </row>
    <row r="780" spans="1:22" x14ac:dyDescent="0.3">
      <c r="A780" s="118"/>
      <c r="B780" s="119"/>
      <c r="E780" s="118"/>
      <c r="F780" s="119"/>
      <c r="I780" s="118"/>
      <c r="J780" s="119"/>
      <c r="M780" s="118"/>
      <c r="N780" s="119"/>
      <c r="Q780" s="118"/>
      <c r="R780" s="119"/>
      <c r="U780" s="118"/>
      <c r="V780" s="119"/>
    </row>
    <row r="781" spans="1:22" x14ac:dyDescent="0.3">
      <c r="A781" s="118"/>
      <c r="B781" s="119"/>
      <c r="E781" s="118"/>
      <c r="F781" s="119"/>
      <c r="I781" s="118"/>
      <c r="J781" s="119"/>
      <c r="M781" s="118"/>
      <c r="N781" s="119"/>
      <c r="Q781" s="118"/>
      <c r="R781" s="119"/>
      <c r="U781" s="118"/>
      <c r="V781" s="119"/>
    </row>
    <row r="782" spans="1:22" x14ac:dyDescent="0.3">
      <c r="A782" s="118"/>
      <c r="B782" s="119"/>
      <c r="E782" s="118"/>
      <c r="F782" s="119"/>
      <c r="I782" s="118"/>
      <c r="J782" s="119"/>
      <c r="M782" s="118"/>
      <c r="N782" s="119"/>
      <c r="Q782" s="118"/>
      <c r="R782" s="119"/>
      <c r="U782" s="118"/>
      <c r="V782" s="119"/>
    </row>
    <row r="783" spans="1:22" x14ac:dyDescent="0.3">
      <c r="A783" s="118"/>
      <c r="B783" s="119"/>
      <c r="E783" s="118"/>
      <c r="F783" s="119"/>
      <c r="I783" s="118"/>
      <c r="J783" s="119"/>
      <c r="M783" s="118"/>
      <c r="N783" s="119"/>
      <c r="Q783" s="118"/>
      <c r="R783" s="119"/>
      <c r="U783" s="118"/>
      <c r="V783" s="119"/>
    </row>
    <row r="784" spans="1:22" x14ac:dyDescent="0.3">
      <c r="A784" s="118"/>
      <c r="B784" s="119"/>
      <c r="E784" s="118"/>
      <c r="F784" s="119"/>
      <c r="I784" s="118"/>
      <c r="J784" s="119"/>
      <c r="M784" s="118"/>
      <c r="N784" s="119"/>
      <c r="Q784" s="118"/>
      <c r="R784" s="119"/>
      <c r="U784" s="118"/>
      <c r="V784" s="119"/>
    </row>
    <row r="785" spans="1:22" x14ac:dyDescent="0.3">
      <c r="A785" s="118"/>
      <c r="B785" s="119"/>
      <c r="E785" s="118"/>
      <c r="F785" s="119"/>
      <c r="I785" s="118"/>
      <c r="J785" s="119"/>
      <c r="M785" s="118"/>
      <c r="N785" s="119"/>
      <c r="Q785" s="118"/>
      <c r="R785" s="119"/>
      <c r="U785" s="118"/>
      <c r="V785" s="119"/>
    </row>
    <row r="786" spans="1:22" x14ac:dyDescent="0.3">
      <c r="A786" s="118"/>
      <c r="B786" s="119"/>
      <c r="E786" s="118"/>
      <c r="F786" s="119"/>
      <c r="I786" s="118"/>
      <c r="J786" s="119"/>
      <c r="M786" s="118"/>
      <c r="N786" s="119"/>
      <c r="Q786" s="118"/>
      <c r="R786" s="119"/>
      <c r="U786" s="118"/>
      <c r="V786" s="119"/>
    </row>
    <row r="787" spans="1:22" x14ac:dyDescent="0.3">
      <c r="A787" s="118"/>
      <c r="B787" s="119"/>
      <c r="E787" s="118"/>
      <c r="F787" s="119"/>
      <c r="I787" s="118"/>
      <c r="J787" s="119"/>
      <c r="M787" s="118"/>
      <c r="N787" s="119"/>
      <c r="Q787" s="118"/>
      <c r="R787" s="119"/>
      <c r="U787" s="118"/>
      <c r="V787" s="119"/>
    </row>
    <row r="788" spans="1:22" x14ac:dyDescent="0.3">
      <c r="A788" s="118"/>
      <c r="B788" s="119"/>
      <c r="E788" s="118"/>
      <c r="F788" s="119"/>
      <c r="I788" s="118"/>
      <c r="J788" s="119"/>
      <c r="M788" s="118"/>
      <c r="N788" s="119"/>
      <c r="Q788" s="118"/>
      <c r="R788" s="119"/>
      <c r="U788" s="118"/>
      <c r="V788" s="119"/>
    </row>
    <row r="789" spans="1:22" x14ac:dyDescent="0.3">
      <c r="A789" s="118"/>
      <c r="B789" s="119"/>
      <c r="E789" s="118"/>
      <c r="F789" s="119"/>
      <c r="I789" s="118"/>
      <c r="J789" s="119"/>
      <c r="M789" s="118"/>
      <c r="N789" s="119"/>
      <c r="Q789" s="118"/>
      <c r="R789" s="119"/>
      <c r="U789" s="118"/>
      <c r="V789" s="119"/>
    </row>
    <row r="790" spans="1:22" x14ac:dyDescent="0.3">
      <c r="A790" s="118"/>
      <c r="B790" s="119"/>
      <c r="E790" s="118"/>
      <c r="F790" s="119"/>
      <c r="I790" s="118"/>
      <c r="J790" s="119"/>
      <c r="M790" s="118"/>
      <c r="N790" s="119"/>
      <c r="Q790" s="118"/>
      <c r="R790" s="119"/>
      <c r="U790" s="118"/>
      <c r="V790" s="119"/>
    </row>
    <row r="791" spans="1:22" x14ac:dyDescent="0.3">
      <c r="A791" s="118"/>
      <c r="B791" s="119"/>
      <c r="E791" s="118"/>
      <c r="F791" s="119"/>
      <c r="I791" s="118"/>
      <c r="J791" s="119"/>
      <c r="M791" s="118"/>
      <c r="N791" s="119"/>
      <c r="Q791" s="118"/>
      <c r="R791" s="119"/>
      <c r="U791" s="118"/>
      <c r="V791" s="119"/>
    </row>
    <row r="792" spans="1:22" x14ac:dyDescent="0.3">
      <c r="A792" s="118"/>
      <c r="B792" s="119"/>
      <c r="E792" s="118"/>
      <c r="F792" s="119"/>
      <c r="I792" s="118"/>
      <c r="J792" s="119"/>
      <c r="M792" s="118"/>
      <c r="N792" s="119"/>
      <c r="Q792" s="118"/>
      <c r="R792" s="119"/>
      <c r="U792" s="118"/>
      <c r="V792" s="119"/>
    </row>
    <row r="793" spans="1:22" x14ac:dyDescent="0.3">
      <c r="A793" s="118"/>
      <c r="B793" s="119"/>
      <c r="E793" s="118"/>
      <c r="F793" s="119"/>
      <c r="I793" s="118"/>
      <c r="J793" s="119"/>
      <c r="M793" s="118"/>
      <c r="N793" s="119"/>
      <c r="Q793" s="118"/>
      <c r="R793" s="119"/>
      <c r="U793" s="118"/>
      <c r="V793" s="119"/>
    </row>
    <row r="794" spans="1:22" x14ac:dyDescent="0.3">
      <c r="A794" s="118"/>
      <c r="B794" s="119"/>
      <c r="E794" s="118"/>
      <c r="F794" s="119"/>
      <c r="I794" s="118"/>
      <c r="J794" s="119"/>
      <c r="M794" s="118"/>
      <c r="N794" s="119"/>
      <c r="Q794" s="118"/>
      <c r="R794" s="119"/>
      <c r="U794" s="118"/>
      <c r="V794" s="119"/>
    </row>
    <row r="795" spans="1:22" x14ac:dyDescent="0.3">
      <c r="A795" s="118"/>
      <c r="B795" s="119"/>
      <c r="E795" s="118"/>
      <c r="F795" s="119"/>
      <c r="I795" s="118"/>
      <c r="J795" s="119"/>
      <c r="M795" s="118"/>
      <c r="N795" s="119"/>
      <c r="Q795" s="118"/>
      <c r="R795" s="119"/>
      <c r="U795" s="118"/>
      <c r="V795" s="119"/>
    </row>
    <row r="796" spans="1:22" x14ac:dyDescent="0.3">
      <c r="A796" s="118"/>
      <c r="B796" s="119"/>
      <c r="E796" s="118"/>
      <c r="F796" s="119"/>
      <c r="I796" s="118"/>
      <c r="J796" s="119"/>
      <c r="M796" s="118"/>
      <c r="N796" s="119"/>
      <c r="Q796" s="118"/>
      <c r="R796" s="119"/>
      <c r="U796" s="118"/>
      <c r="V796" s="119"/>
    </row>
    <row r="797" spans="1:22" x14ac:dyDescent="0.3">
      <c r="A797" s="118"/>
      <c r="B797" s="119"/>
      <c r="E797" s="118"/>
      <c r="F797" s="119"/>
      <c r="I797" s="118"/>
      <c r="J797" s="119"/>
      <c r="M797" s="118"/>
      <c r="N797" s="119"/>
      <c r="Q797" s="118"/>
      <c r="R797" s="119"/>
      <c r="U797" s="118"/>
      <c r="V797" s="119"/>
    </row>
    <row r="798" spans="1:22" x14ac:dyDescent="0.3">
      <c r="A798" s="118"/>
      <c r="B798" s="119"/>
      <c r="E798" s="118"/>
      <c r="F798" s="119"/>
      <c r="I798" s="118"/>
      <c r="J798" s="119"/>
      <c r="M798" s="118"/>
      <c r="N798" s="119"/>
      <c r="Q798" s="118"/>
      <c r="R798" s="119"/>
      <c r="U798" s="118"/>
      <c r="V798" s="119"/>
    </row>
    <row r="799" spans="1:22" x14ac:dyDescent="0.3">
      <c r="A799" s="118"/>
      <c r="B799" s="119"/>
      <c r="E799" s="118"/>
      <c r="F799" s="119"/>
      <c r="I799" s="118"/>
      <c r="J799" s="119"/>
      <c r="M799" s="118"/>
      <c r="N799" s="119"/>
      <c r="Q799" s="118"/>
      <c r="R799" s="119"/>
      <c r="U799" s="118"/>
      <c r="V799" s="119"/>
    </row>
    <row r="800" spans="1:22" x14ac:dyDescent="0.3">
      <c r="A800" s="118"/>
      <c r="B800" s="119"/>
      <c r="E800" s="118"/>
      <c r="F800" s="119"/>
      <c r="I800" s="118"/>
      <c r="J800" s="119"/>
      <c r="M800" s="118"/>
      <c r="N800" s="119"/>
      <c r="Q800" s="118"/>
      <c r="R800" s="119"/>
      <c r="U800" s="118"/>
      <c r="V800" s="119"/>
    </row>
    <row r="801" spans="1:22" x14ac:dyDescent="0.3">
      <c r="A801" s="118"/>
      <c r="B801" s="119"/>
      <c r="E801" s="118"/>
      <c r="F801" s="119"/>
      <c r="I801" s="118"/>
      <c r="J801" s="119"/>
      <c r="M801" s="118"/>
      <c r="N801" s="119"/>
      <c r="Q801" s="118"/>
      <c r="R801" s="119"/>
      <c r="U801" s="118"/>
      <c r="V801" s="119"/>
    </row>
    <row r="802" spans="1:22" x14ac:dyDescent="0.3">
      <c r="A802" s="118"/>
      <c r="B802" s="119"/>
      <c r="E802" s="118"/>
      <c r="F802" s="119"/>
      <c r="I802" s="118"/>
      <c r="J802" s="119"/>
      <c r="M802" s="118"/>
      <c r="N802" s="119"/>
      <c r="Q802" s="118"/>
      <c r="R802" s="119"/>
      <c r="U802" s="118"/>
      <c r="V802" s="119"/>
    </row>
    <row r="803" spans="1:22" x14ac:dyDescent="0.3">
      <c r="A803" s="118"/>
      <c r="B803" s="119"/>
      <c r="E803" s="118"/>
      <c r="F803" s="119"/>
      <c r="I803" s="118"/>
      <c r="J803" s="119"/>
      <c r="M803" s="118"/>
      <c r="N803" s="119"/>
      <c r="Q803" s="118"/>
      <c r="R803" s="119"/>
      <c r="U803" s="118"/>
      <c r="V803" s="119"/>
    </row>
    <row r="804" spans="1:22" x14ac:dyDescent="0.3">
      <c r="A804" s="118"/>
      <c r="B804" s="119"/>
      <c r="E804" s="118"/>
      <c r="F804" s="119"/>
      <c r="I804" s="118"/>
      <c r="J804" s="119"/>
      <c r="M804" s="118"/>
      <c r="N804" s="119"/>
      <c r="Q804" s="118"/>
      <c r="R804" s="119"/>
      <c r="U804" s="118"/>
      <c r="V804" s="119"/>
    </row>
    <row r="805" spans="1:22" x14ac:dyDescent="0.3">
      <c r="A805" s="118"/>
      <c r="B805" s="119"/>
      <c r="E805" s="118"/>
      <c r="F805" s="119"/>
      <c r="I805" s="118"/>
      <c r="J805" s="119"/>
      <c r="M805" s="118"/>
      <c r="N805" s="119"/>
      <c r="Q805" s="118"/>
      <c r="R805" s="119"/>
      <c r="U805" s="118"/>
      <c r="V805" s="119"/>
    </row>
    <row r="806" spans="1:22" x14ac:dyDescent="0.3">
      <c r="A806" s="118"/>
      <c r="B806" s="119"/>
      <c r="E806" s="118"/>
      <c r="F806" s="119"/>
      <c r="I806" s="118"/>
      <c r="J806" s="119"/>
      <c r="M806" s="118"/>
      <c r="N806" s="119"/>
      <c r="Q806" s="118"/>
      <c r="R806" s="119"/>
      <c r="U806" s="118"/>
      <c r="V806" s="119"/>
    </row>
    <row r="807" spans="1:22" x14ac:dyDescent="0.3">
      <c r="A807" s="118"/>
      <c r="B807" s="119"/>
      <c r="E807" s="118"/>
      <c r="F807" s="119"/>
      <c r="I807" s="118"/>
      <c r="J807" s="119"/>
      <c r="M807" s="118"/>
      <c r="N807" s="119"/>
      <c r="Q807" s="118"/>
      <c r="R807" s="119"/>
      <c r="U807" s="118"/>
      <c r="V807" s="119"/>
    </row>
    <row r="808" spans="1:22" x14ac:dyDescent="0.3">
      <c r="A808" s="118"/>
      <c r="B808" s="119"/>
      <c r="E808" s="118"/>
      <c r="F808" s="119"/>
      <c r="I808" s="118"/>
      <c r="J808" s="119"/>
      <c r="M808" s="118"/>
      <c r="N808" s="119"/>
      <c r="Q808" s="118"/>
      <c r="R808" s="119"/>
      <c r="U808" s="118"/>
      <c r="V808" s="119"/>
    </row>
    <row r="809" spans="1:22" x14ac:dyDescent="0.3">
      <c r="A809" s="118"/>
      <c r="B809" s="119"/>
      <c r="E809" s="118"/>
      <c r="F809" s="119"/>
      <c r="I809" s="118"/>
      <c r="J809" s="119"/>
      <c r="M809" s="118"/>
      <c r="N809" s="119"/>
      <c r="Q809" s="118"/>
      <c r="R809" s="119"/>
      <c r="U809" s="118"/>
      <c r="V809" s="119"/>
    </row>
    <row r="810" spans="1:22" x14ac:dyDescent="0.3">
      <c r="A810" s="118"/>
      <c r="B810" s="119"/>
      <c r="E810" s="118"/>
      <c r="F810" s="119"/>
      <c r="I810" s="118"/>
      <c r="J810" s="119"/>
      <c r="M810" s="118"/>
      <c r="N810" s="119"/>
      <c r="Q810" s="118"/>
      <c r="R810" s="119"/>
      <c r="U810" s="118"/>
      <c r="V810" s="119"/>
    </row>
    <row r="811" spans="1:22" x14ac:dyDescent="0.3">
      <c r="A811" s="118"/>
      <c r="B811" s="119"/>
      <c r="E811" s="118"/>
      <c r="F811" s="119"/>
      <c r="I811" s="118"/>
      <c r="J811" s="119"/>
      <c r="M811" s="118"/>
      <c r="N811" s="119"/>
      <c r="Q811" s="118"/>
      <c r="R811" s="119"/>
      <c r="U811" s="118"/>
      <c r="V811" s="119"/>
    </row>
    <row r="812" spans="1:22" x14ac:dyDescent="0.3">
      <c r="A812" s="118"/>
      <c r="B812" s="119"/>
      <c r="E812" s="118"/>
      <c r="F812" s="119"/>
      <c r="I812" s="118"/>
      <c r="J812" s="119"/>
      <c r="M812" s="118"/>
      <c r="N812" s="119"/>
      <c r="Q812" s="118"/>
      <c r="R812" s="119"/>
      <c r="U812" s="118"/>
      <c r="V812" s="119"/>
    </row>
    <row r="813" spans="1:22" x14ac:dyDescent="0.3">
      <c r="A813" s="118"/>
      <c r="B813" s="119"/>
      <c r="E813" s="118"/>
      <c r="F813" s="119"/>
      <c r="I813" s="118"/>
      <c r="J813" s="119"/>
      <c r="M813" s="118"/>
      <c r="N813" s="119"/>
      <c r="Q813" s="118"/>
      <c r="R813" s="119"/>
      <c r="U813" s="118"/>
      <c r="V813" s="119"/>
    </row>
    <row r="814" spans="1:22" x14ac:dyDescent="0.3">
      <c r="A814" s="118"/>
      <c r="B814" s="119"/>
      <c r="E814" s="118"/>
      <c r="F814" s="119"/>
      <c r="I814" s="118"/>
      <c r="J814" s="119"/>
      <c r="M814" s="118"/>
      <c r="N814" s="119"/>
      <c r="Q814" s="118"/>
      <c r="R814" s="119"/>
      <c r="U814" s="118"/>
      <c r="V814" s="119"/>
    </row>
    <row r="815" spans="1:22" x14ac:dyDescent="0.3">
      <c r="A815" s="118"/>
      <c r="B815" s="119"/>
      <c r="E815" s="118"/>
      <c r="F815" s="119"/>
      <c r="I815" s="118"/>
      <c r="J815" s="119"/>
      <c r="M815" s="118"/>
      <c r="N815" s="119"/>
      <c r="Q815" s="118"/>
      <c r="R815" s="119"/>
      <c r="U815" s="118"/>
      <c r="V815" s="119"/>
    </row>
    <row r="816" spans="1:22" x14ac:dyDescent="0.3">
      <c r="A816" s="118"/>
      <c r="B816" s="119"/>
      <c r="E816" s="118"/>
      <c r="F816" s="119"/>
      <c r="I816" s="118"/>
      <c r="J816" s="119"/>
      <c r="M816" s="118"/>
      <c r="N816" s="119"/>
      <c r="Q816" s="118"/>
      <c r="R816" s="119"/>
      <c r="U816" s="118"/>
      <c r="V816" s="119"/>
    </row>
    <row r="817" spans="1:22" x14ac:dyDescent="0.3">
      <c r="A817" s="118"/>
      <c r="B817" s="119"/>
      <c r="E817" s="118"/>
      <c r="F817" s="119"/>
      <c r="I817" s="118"/>
      <c r="J817" s="119"/>
      <c r="M817" s="118"/>
      <c r="N817" s="119"/>
      <c r="Q817" s="118"/>
      <c r="R817" s="119"/>
      <c r="U817" s="118"/>
      <c r="V817" s="119"/>
    </row>
    <row r="818" spans="1:22" x14ac:dyDescent="0.3">
      <c r="A818" s="118"/>
      <c r="B818" s="119"/>
      <c r="E818" s="118"/>
      <c r="F818" s="119"/>
      <c r="I818" s="118"/>
      <c r="J818" s="119"/>
      <c r="M818" s="118"/>
      <c r="N818" s="119"/>
      <c r="Q818" s="118"/>
      <c r="R818" s="119"/>
      <c r="U818" s="118"/>
      <c r="V818" s="119"/>
    </row>
    <row r="819" spans="1:22" x14ac:dyDescent="0.3">
      <c r="A819" s="118"/>
      <c r="B819" s="119"/>
      <c r="E819" s="118"/>
      <c r="F819" s="119"/>
      <c r="I819" s="118"/>
      <c r="J819" s="119"/>
      <c r="M819" s="118"/>
      <c r="N819" s="119"/>
      <c r="Q819" s="118"/>
      <c r="R819" s="119"/>
      <c r="U819" s="118"/>
      <c r="V819" s="119"/>
    </row>
    <row r="820" spans="1:22" x14ac:dyDescent="0.3">
      <c r="A820" s="118"/>
      <c r="B820" s="119"/>
      <c r="E820" s="118"/>
      <c r="F820" s="119"/>
      <c r="I820" s="118"/>
      <c r="J820" s="119"/>
      <c r="M820" s="118"/>
      <c r="N820" s="119"/>
      <c r="Q820" s="118"/>
      <c r="R820" s="119"/>
      <c r="U820" s="118"/>
      <c r="V820" s="119"/>
    </row>
    <row r="821" spans="1:22" x14ac:dyDescent="0.3">
      <c r="A821" s="118"/>
      <c r="B821" s="119"/>
      <c r="E821" s="118"/>
      <c r="F821" s="119"/>
      <c r="I821" s="118"/>
      <c r="J821" s="119"/>
      <c r="M821" s="118"/>
      <c r="N821" s="119"/>
      <c r="Q821" s="118"/>
      <c r="R821" s="119"/>
      <c r="U821" s="118"/>
      <c r="V821" s="119"/>
    </row>
    <row r="822" spans="1:22" x14ac:dyDescent="0.3">
      <c r="A822" s="118"/>
      <c r="B822" s="119"/>
      <c r="E822" s="118"/>
      <c r="F822" s="119"/>
      <c r="I822" s="118"/>
      <c r="J822" s="119"/>
      <c r="M822" s="118"/>
      <c r="N822" s="119"/>
      <c r="Q822" s="118"/>
      <c r="R822" s="119"/>
      <c r="U822" s="118"/>
      <c r="V822" s="119"/>
    </row>
    <row r="823" spans="1:22" x14ac:dyDescent="0.3">
      <c r="A823" s="118"/>
      <c r="B823" s="119"/>
      <c r="E823" s="118"/>
      <c r="F823" s="119"/>
      <c r="I823" s="118"/>
      <c r="J823" s="119"/>
      <c r="M823" s="118"/>
      <c r="N823" s="119"/>
      <c r="Q823" s="118"/>
      <c r="R823" s="119"/>
      <c r="U823" s="118"/>
      <c r="V823" s="119"/>
    </row>
    <row r="824" spans="1:22" x14ac:dyDescent="0.3">
      <c r="A824" s="118"/>
      <c r="B824" s="119"/>
      <c r="E824" s="118"/>
      <c r="F824" s="119"/>
      <c r="I824" s="118"/>
      <c r="J824" s="119"/>
      <c r="M824" s="118"/>
      <c r="N824" s="119"/>
      <c r="Q824" s="118"/>
      <c r="R824" s="119"/>
      <c r="U824" s="118"/>
      <c r="V824" s="119"/>
    </row>
    <row r="825" spans="1:22" x14ac:dyDescent="0.3">
      <c r="A825" s="118"/>
      <c r="B825" s="119"/>
      <c r="E825" s="118"/>
      <c r="F825" s="119"/>
      <c r="I825" s="118"/>
      <c r="J825" s="119"/>
      <c r="M825" s="118"/>
      <c r="N825" s="119"/>
      <c r="Q825" s="118"/>
      <c r="R825" s="119"/>
      <c r="U825" s="118"/>
      <c r="V825" s="119"/>
    </row>
    <row r="826" spans="1:22" x14ac:dyDescent="0.3">
      <c r="A826" s="118"/>
      <c r="B826" s="119"/>
      <c r="E826" s="118"/>
      <c r="F826" s="119"/>
      <c r="I826" s="118"/>
      <c r="J826" s="119"/>
      <c r="M826" s="118"/>
      <c r="N826" s="119"/>
      <c r="Q826" s="118"/>
      <c r="R826" s="119"/>
      <c r="U826" s="118"/>
      <c r="V826" s="119"/>
    </row>
    <row r="827" spans="1:22" x14ac:dyDescent="0.3">
      <c r="A827" s="118"/>
      <c r="B827" s="119"/>
      <c r="E827" s="118"/>
      <c r="F827" s="119"/>
      <c r="I827" s="118"/>
      <c r="J827" s="119"/>
      <c r="M827" s="118"/>
      <c r="N827" s="119"/>
      <c r="Q827" s="118"/>
      <c r="R827" s="119"/>
      <c r="U827" s="118"/>
      <c r="V827" s="119"/>
    </row>
    <row r="828" spans="1:22" x14ac:dyDescent="0.3">
      <c r="A828" s="118"/>
      <c r="B828" s="119"/>
      <c r="E828" s="118"/>
      <c r="F828" s="119"/>
      <c r="I828" s="118"/>
      <c r="J828" s="119"/>
      <c r="M828" s="118"/>
      <c r="N828" s="119"/>
      <c r="Q828" s="118"/>
      <c r="R828" s="119"/>
      <c r="U828" s="118"/>
      <c r="V828" s="119"/>
    </row>
    <row r="829" spans="1:22" x14ac:dyDescent="0.3">
      <c r="A829" s="118"/>
      <c r="B829" s="119"/>
      <c r="E829" s="118"/>
      <c r="F829" s="119"/>
      <c r="I829" s="118"/>
      <c r="J829" s="119"/>
      <c r="M829" s="118"/>
      <c r="N829" s="119"/>
      <c r="Q829" s="118"/>
      <c r="R829" s="119"/>
      <c r="U829" s="118"/>
      <c r="V829" s="119"/>
    </row>
    <row r="830" spans="1:22" x14ac:dyDescent="0.3">
      <c r="A830" s="118"/>
      <c r="B830" s="119"/>
      <c r="E830" s="118"/>
      <c r="F830" s="119"/>
      <c r="I830" s="118"/>
      <c r="J830" s="119"/>
      <c r="M830" s="118"/>
      <c r="N830" s="119"/>
      <c r="Q830" s="118"/>
      <c r="R830" s="119"/>
      <c r="U830" s="118"/>
      <c r="V830" s="119"/>
    </row>
    <row r="831" spans="1:22" x14ac:dyDescent="0.3">
      <c r="A831" s="118"/>
      <c r="B831" s="119"/>
      <c r="E831" s="118"/>
      <c r="F831" s="119"/>
      <c r="I831" s="118"/>
      <c r="J831" s="119"/>
      <c r="M831" s="118"/>
      <c r="N831" s="119"/>
      <c r="Q831" s="118"/>
      <c r="R831" s="119"/>
      <c r="U831" s="118"/>
      <c r="V831" s="119"/>
    </row>
    <row r="832" spans="1:22" x14ac:dyDescent="0.3">
      <c r="A832" s="118"/>
      <c r="B832" s="119"/>
      <c r="E832" s="118"/>
      <c r="F832" s="119"/>
      <c r="I832" s="118"/>
      <c r="J832" s="119"/>
      <c r="M832" s="118"/>
      <c r="N832" s="119"/>
      <c r="Q832" s="118"/>
      <c r="R832" s="119"/>
      <c r="U832" s="118"/>
      <c r="V832" s="119"/>
    </row>
    <row r="833" spans="1:22" x14ac:dyDescent="0.3">
      <c r="A833" s="118"/>
      <c r="B833" s="119"/>
      <c r="E833" s="118"/>
      <c r="F833" s="119"/>
      <c r="I833" s="118"/>
      <c r="J833" s="119"/>
      <c r="M833" s="118"/>
      <c r="N833" s="119"/>
      <c r="Q833" s="118"/>
      <c r="R833" s="119"/>
      <c r="U833" s="118"/>
      <c r="V833" s="119"/>
    </row>
    <row r="834" spans="1:22" x14ac:dyDescent="0.3">
      <c r="A834" s="118"/>
      <c r="B834" s="119"/>
      <c r="E834" s="118"/>
      <c r="F834" s="119"/>
      <c r="I834" s="118"/>
      <c r="J834" s="119"/>
      <c r="M834" s="118"/>
      <c r="N834" s="119"/>
      <c r="Q834" s="118"/>
      <c r="R834" s="119"/>
      <c r="U834" s="118"/>
      <c r="V834" s="119"/>
    </row>
    <row r="835" spans="1:22" x14ac:dyDescent="0.3">
      <c r="A835" s="118"/>
      <c r="B835" s="119"/>
      <c r="E835" s="118"/>
      <c r="F835" s="119"/>
      <c r="I835" s="118"/>
      <c r="J835" s="119"/>
      <c r="M835" s="118"/>
      <c r="N835" s="119"/>
      <c r="Q835" s="118"/>
      <c r="R835" s="119"/>
      <c r="U835" s="118"/>
      <c r="V835" s="119"/>
    </row>
    <row r="836" spans="1:22" x14ac:dyDescent="0.3">
      <c r="A836" s="118"/>
      <c r="B836" s="119"/>
      <c r="E836" s="118"/>
      <c r="F836" s="119"/>
      <c r="I836" s="118"/>
      <c r="J836" s="119"/>
      <c r="M836" s="118"/>
      <c r="N836" s="119"/>
      <c r="Q836" s="118"/>
      <c r="R836" s="119"/>
      <c r="U836" s="118"/>
      <c r="V836" s="119"/>
    </row>
    <row r="837" spans="1:22" x14ac:dyDescent="0.3">
      <c r="A837" s="118"/>
      <c r="B837" s="119"/>
      <c r="E837" s="118"/>
      <c r="F837" s="119"/>
      <c r="I837" s="118"/>
      <c r="J837" s="119"/>
      <c r="M837" s="118"/>
      <c r="N837" s="119"/>
      <c r="Q837" s="118"/>
      <c r="R837" s="119"/>
      <c r="U837" s="118"/>
      <c r="V837" s="119"/>
    </row>
    <row r="838" spans="1:22" x14ac:dyDescent="0.3">
      <c r="A838" s="118"/>
      <c r="B838" s="119"/>
      <c r="E838" s="118"/>
      <c r="F838" s="119"/>
      <c r="I838" s="118"/>
      <c r="J838" s="119"/>
      <c r="M838" s="118"/>
      <c r="N838" s="119"/>
      <c r="Q838" s="118"/>
      <c r="R838" s="119"/>
      <c r="U838" s="118"/>
      <c r="V838" s="119"/>
    </row>
    <row r="839" spans="1:22" x14ac:dyDescent="0.3">
      <c r="A839" s="118"/>
      <c r="B839" s="119"/>
      <c r="E839" s="118"/>
      <c r="F839" s="119"/>
      <c r="I839" s="118"/>
      <c r="J839" s="119"/>
      <c r="M839" s="118"/>
      <c r="N839" s="119"/>
      <c r="Q839" s="118"/>
      <c r="R839" s="119"/>
      <c r="U839" s="118"/>
      <c r="V839" s="119"/>
    </row>
    <row r="840" spans="1:22" x14ac:dyDescent="0.3">
      <c r="A840" s="118"/>
      <c r="B840" s="119"/>
      <c r="E840" s="118"/>
      <c r="F840" s="119"/>
      <c r="I840" s="118"/>
      <c r="J840" s="119"/>
      <c r="M840" s="118"/>
      <c r="N840" s="119"/>
      <c r="Q840" s="118"/>
      <c r="R840" s="119"/>
      <c r="U840" s="118"/>
      <c r="V840" s="119"/>
    </row>
    <row r="841" spans="1:22" x14ac:dyDescent="0.3">
      <c r="A841" s="118"/>
      <c r="B841" s="119"/>
      <c r="E841" s="118"/>
      <c r="F841" s="119"/>
      <c r="I841" s="118"/>
      <c r="J841" s="119"/>
      <c r="M841" s="118"/>
      <c r="N841" s="119"/>
      <c r="Q841" s="118"/>
      <c r="R841" s="119"/>
      <c r="U841" s="118"/>
      <c r="V841" s="119"/>
    </row>
    <row r="842" spans="1:22" x14ac:dyDescent="0.3">
      <c r="A842" s="118"/>
      <c r="B842" s="119"/>
      <c r="E842" s="118"/>
      <c r="F842" s="119"/>
      <c r="I842" s="118"/>
      <c r="J842" s="119"/>
      <c r="M842" s="118"/>
      <c r="N842" s="119"/>
      <c r="Q842" s="118"/>
      <c r="R842" s="119"/>
      <c r="U842" s="118"/>
      <c r="V842" s="119"/>
    </row>
    <row r="843" spans="1:22" x14ac:dyDescent="0.3">
      <c r="A843" s="118"/>
      <c r="B843" s="119"/>
      <c r="E843" s="118"/>
      <c r="F843" s="119"/>
      <c r="I843" s="118"/>
      <c r="J843" s="119"/>
      <c r="M843" s="118"/>
      <c r="N843" s="119"/>
      <c r="Q843" s="118"/>
      <c r="R843" s="119"/>
      <c r="U843" s="118"/>
      <c r="V843" s="119"/>
    </row>
    <row r="844" spans="1:22" x14ac:dyDescent="0.3">
      <c r="A844" s="118"/>
      <c r="B844" s="119"/>
      <c r="E844" s="118"/>
      <c r="F844" s="119"/>
      <c r="I844" s="118"/>
      <c r="J844" s="119"/>
      <c r="M844" s="118"/>
      <c r="N844" s="119"/>
      <c r="Q844" s="118"/>
      <c r="R844" s="119"/>
      <c r="U844" s="118"/>
      <c r="V844" s="119"/>
    </row>
    <row r="845" spans="1:22" x14ac:dyDescent="0.3">
      <c r="A845" s="118"/>
      <c r="B845" s="119"/>
      <c r="E845" s="118"/>
      <c r="F845" s="119"/>
      <c r="I845" s="118"/>
      <c r="J845" s="119"/>
      <c r="M845" s="118"/>
      <c r="N845" s="119"/>
      <c r="Q845" s="118"/>
      <c r="R845" s="119"/>
      <c r="U845" s="118"/>
      <c r="V845" s="119"/>
    </row>
    <row r="846" spans="1:22" x14ac:dyDescent="0.3">
      <c r="A846" s="118"/>
      <c r="B846" s="119"/>
      <c r="E846" s="118"/>
      <c r="F846" s="119"/>
      <c r="I846" s="118"/>
      <c r="J846" s="119"/>
      <c r="M846" s="118"/>
      <c r="N846" s="119"/>
      <c r="Q846" s="118"/>
      <c r="R846" s="119"/>
      <c r="U846" s="118"/>
      <c r="V846" s="119"/>
    </row>
    <row r="847" spans="1:22" x14ac:dyDescent="0.3">
      <c r="A847" s="118"/>
      <c r="B847" s="119"/>
      <c r="E847" s="118"/>
      <c r="F847" s="119"/>
      <c r="I847" s="118"/>
      <c r="J847" s="119"/>
      <c r="M847" s="118"/>
      <c r="N847" s="119"/>
      <c r="Q847" s="118"/>
      <c r="R847" s="119"/>
      <c r="U847" s="118"/>
      <c r="V847" s="119"/>
    </row>
    <row r="848" spans="1:22" x14ac:dyDescent="0.3">
      <c r="A848" s="118"/>
      <c r="B848" s="119"/>
      <c r="E848" s="118"/>
      <c r="F848" s="119"/>
      <c r="I848" s="118"/>
      <c r="J848" s="119"/>
      <c r="M848" s="118"/>
      <c r="N848" s="119"/>
      <c r="Q848" s="118"/>
      <c r="R848" s="119"/>
      <c r="U848" s="118"/>
      <c r="V848" s="119"/>
    </row>
    <row r="849" spans="1:22" x14ac:dyDescent="0.3">
      <c r="A849" s="118"/>
      <c r="B849" s="119"/>
      <c r="E849" s="118"/>
      <c r="F849" s="119"/>
      <c r="I849" s="118"/>
      <c r="J849" s="119"/>
      <c r="M849" s="118"/>
      <c r="N849" s="119"/>
      <c r="Q849" s="118"/>
      <c r="R849" s="119"/>
      <c r="U849" s="118"/>
      <c r="V849" s="119"/>
    </row>
    <row r="850" spans="1:22" x14ac:dyDescent="0.3">
      <c r="A850" s="118"/>
      <c r="B850" s="119"/>
      <c r="E850" s="118"/>
      <c r="F850" s="119"/>
      <c r="I850" s="118"/>
      <c r="J850" s="119"/>
      <c r="M850" s="118"/>
      <c r="N850" s="119"/>
      <c r="Q850" s="118"/>
      <c r="R850" s="119"/>
      <c r="U850" s="118"/>
      <c r="V850" s="119"/>
    </row>
    <row r="851" spans="1:22" x14ac:dyDescent="0.3">
      <c r="A851" s="118"/>
      <c r="B851" s="119"/>
      <c r="E851" s="118"/>
      <c r="F851" s="119"/>
      <c r="I851" s="118"/>
      <c r="J851" s="119"/>
      <c r="M851" s="118"/>
      <c r="N851" s="119"/>
      <c r="Q851" s="118"/>
      <c r="R851" s="119"/>
      <c r="U851" s="118"/>
      <c r="V851" s="119"/>
    </row>
    <row r="852" spans="1:22" x14ac:dyDescent="0.3">
      <c r="A852" s="118"/>
      <c r="B852" s="119"/>
      <c r="E852" s="118"/>
      <c r="F852" s="119"/>
      <c r="I852" s="118"/>
      <c r="J852" s="119"/>
      <c r="M852" s="118"/>
      <c r="N852" s="119"/>
      <c r="Q852" s="118"/>
      <c r="R852" s="119"/>
      <c r="U852" s="118"/>
      <c r="V852" s="119"/>
    </row>
    <row r="853" spans="1:22" x14ac:dyDescent="0.3">
      <c r="A853" s="118"/>
      <c r="B853" s="119"/>
      <c r="E853" s="118"/>
      <c r="F853" s="119"/>
      <c r="I853" s="118"/>
      <c r="J853" s="119"/>
      <c r="M853" s="118"/>
      <c r="N853" s="119"/>
      <c r="Q853" s="118"/>
      <c r="R853" s="119"/>
      <c r="U853" s="118"/>
      <c r="V853" s="119"/>
    </row>
    <row r="854" spans="1:22" x14ac:dyDescent="0.3">
      <c r="A854" s="118"/>
      <c r="B854" s="119"/>
      <c r="E854" s="118"/>
      <c r="F854" s="119"/>
      <c r="I854" s="118"/>
      <c r="J854" s="119"/>
      <c r="M854" s="118"/>
      <c r="N854" s="119"/>
      <c r="Q854" s="118"/>
      <c r="R854" s="119"/>
      <c r="U854" s="118"/>
      <c r="V854" s="119"/>
    </row>
    <row r="855" spans="1:22" x14ac:dyDescent="0.3">
      <c r="A855" s="118"/>
      <c r="B855" s="119"/>
      <c r="E855" s="118"/>
      <c r="F855" s="119"/>
      <c r="I855" s="118"/>
      <c r="J855" s="119"/>
      <c r="M855" s="118"/>
      <c r="N855" s="119"/>
      <c r="Q855" s="118"/>
      <c r="R855" s="119"/>
      <c r="U855" s="118"/>
      <c r="V855" s="119"/>
    </row>
    <row r="856" spans="1:22" x14ac:dyDescent="0.3">
      <c r="A856" s="118"/>
      <c r="B856" s="119"/>
      <c r="E856" s="118"/>
      <c r="F856" s="119"/>
      <c r="I856" s="118"/>
      <c r="J856" s="119"/>
      <c r="M856" s="118"/>
      <c r="N856" s="119"/>
      <c r="Q856" s="118"/>
      <c r="R856" s="119"/>
      <c r="U856" s="118"/>
      <c r="V856" s="119"/>
    </row>
    <row r="857" spans="1:22" x14ac:dyDescent="0.3">
      <c r="A857" s="118"/>
      <c r="B857" s="119"/>
      <c r="E857" s="118"/>
      <c r="F857" s="119"/>
      <c r="I857" s="118"/>
      <c r="J857" s="119"/>
      <c r="M857" s="118"/>
      <c r="N857" s="119"/>
      <c r="Q857" s="118"/>
      <c r="R857" s="119"/>
      <c r="U857" s="118"/>
      <c r="V857" s="119"/>
    </row>
    <row r="858" spans="1:22" x14ac:dyDescent="0.3">
      <c r="A858" s="118"/>
      <c r="B858" s="119"/>
      <c r="E858" s="118"/>
      <c r="F858" s="119"/>
      <c r="I858" s="118"/>
      <c r="J858" s="119"/>
      <c r="M858" s="118"/>
      <c r="N858" s="119"/>
      <c r="Q858" s="118"/>
      <c r="R858" s="119"/>
      <c r="U858" s="118"/>
      <c r="V858" s="119"/>
    </row>
    <row r="859" spans="1:22" x14ac:dyDescent="0.3">
      <c r="A859" s="118"/>
      <c r="B859" s="119"/>
      <c r="E859" s="118"/>
      <c r="F859" s="119"/>
      <c r="I859" s="118"/>
      <c r="J859" s="119"/>
      <c r="M859" s="118"/>
      <c r="N859" s="119"/>
      <c r="Q859" s="118"/>
      <c r="R859" s="119"/>
      <c r="U859" s="118"/>
      <c r="V859" s="119"/>
    </row>
    <row r="860" spans="1:22" x14ac:dyDescent="0.3">
      <c r="A860" s="118"/>
      <c r="B860" s="119"/>
      <c r="E860" s="118"/>
      <c r="F860" s="119"/>
      <c r="I860" s="118"/>
      <c r="J860" s="119"/>
      <c r="M860" s="118"/>
      <c r="N860" s="119"/>
      <c r="Q860" s="118"/>
      <c r="R860" s="119"/>
      <c r="U860" s="118"/>
      <c r="V860" s="119"/>
    </row>
    <row r="861" spans="1:22" x14ac:dyDescent="0.3">
      <c r="A861" s="118"/>
      <c r="B861" s="119"/>
      <c r="E861" s="118"/>
      <c r="F861" s="119"/>
      <c r="I861" s="118"/>
      <c r="J861" s="119"/>
      <c r="M861" s="118"/>
      <c r="N861" s="119"/>
      <c r="Q861" s="118"/>
      <c r="R861" s="119"/>
      <c r="U861" s="118"/>
      <c r="V861" s="119"/>
    </row>
    <row r="862" spans="1:22" x14ac:dyDescent="0.3">
      <c r="A862" s="118"/>
      <c r="B862" s="119"/>
      <c r="E862" s="118"/>
      <c r="F862" s="119"/>
      <c r="I862" s="118"/>
      <c r="J862" s="119"/>
      <c r="M862" s="118"/>
      <c r="N862" s="119"/>
      <c r="Q862" s="118"/>
      <c r="R862" s="119"/>
      <c r="U862" s="118"/>
      <c r="V862" s="119"/>
    </row>
    <row r="863" spans="1:22" x14ac:dyDescent="0.3">
      <c r="A863" s="118"/>
      <c r="B863" s="119"/>
      <c r="E863" s="118"/>
      <c r="F863" s="119"/>
      <c r="I863" s="118"/>
      <c r="J863" s="119"/>
      <c r="M863" s="118"/>
      <c r="N863" s="119"/>
      <c r="Q863" s="118"/>
      <c r="R863" s="119"/>
      <c r="U863" s="118"/>
      <c r="V863" s="119"/>
    </row>
    <row r="864" spans="1:22" x14ac:dyDescent="0.3">
      <c r="A864" s="118"/>
      <c r="B864" s="119"/>
      <c r="E864" s="118"/>
      <c r="F864" s="119"/>
      <c r="I864" s="118"/>
      <c r="J864" s="119"/>
      <c r="M864" s="118"/>
      <c r="N864" s="119"/>
      <c r="Q864" s="118"/>
      <c r="R864" s="119"/>
      <c r="U864" s="118"/>
      <c r="V864" s="119"/>
    </row>
    <row r="865" spans="1:22" x14ac:dyDescent="0.3">
      <c r="A865" s="118"/>
      <c r="B865" s="119"/>
      <c r="E865" s="118"/>
      <c r="F865" s="119"/>
      <c r="I865" s="118"/>
      <c r="J865" s="119"/>
      <c r="M865" s="118"/>
      <c r="N865" s="119"/>
      <c r="Q865" s="118"/>
      <c r="R865" s="119"/>
      <c r="U865" s="118"/>
      <c r="V865" s="119"/>
    </row>
    <row r="866" spans="1:22" x14ac:dyDescent="0.3">
      <c r="A866" s="118"/>
      <c r="B866" s="119"/>
      <c r="E866" s="118"/>
      <c r="F866" s="119"/>
      <c r="I866" s="118"/>
      <c r="J866" s="119"/>
      <c r="M866" s="118"/>
      <c r="N866" s="119"/>
      <c r="Q866" s="118"/>
      <c r="R866" s="119"/>
      <c r="U866" s="118"/>
      <c r="V866" s="119"/>
    </row>
    <row r="867" spans="1:22" x14ac:dyDescent="0.3">
      <c r="A867" s="118"/>
      <c r="B867" s="119"/>
      <c r="E867" s="118"/>
      <c r="F867" s="119"/>
      <c r="I867" s="118"/>
      <c r="J867" s="119"/>
      <c r="M867" s="118"/>
      <c r="N867" s="119"/>
      <c r="Q867" s="118"/>
      <c r="R867" s="119"/>
      <c r="U867" s="118"/>
      <c r="V867" s="119"/>
    </row>
    <row r="868" spans="1:22" x14ac:dyDescent="0.3">
      <c r="A868" s="118"/>
      <c r="B868" s="119"/>
      <c r="E868" s="118"/>
      <c r="F868" s="119"/>
      <c r="I868" s="118"/>
      <c r="J868" s="119"/>
      <c r="M868" s="118"/>
      <c r="N868" s="119"/>
      <c r="Q868" s="118"/>
      <c r="R868" s="119"/>
      <c r="U868" s="118"/>
      <c r="V868" s="119"/>
    </row>
    <row r="869" spans="1:22" x14ac:dyDescent="0.3">
      <c r="A869" s="118"/>
      <c r="B869" s="119"/>
      <c r="E869" s="118"/>
      <c r="F869" s="119"/>
      <c r="I869" s="118"/>
      <c r="J869" s="119"/>
      <c r="M869" s="118"/>
      <c r="N869" s="119"/>
      <c r="Q869" s="118"/>
      <c r="R869" s="119"/>
      <c r="U869" s="118"/>
      <c r="V869" s="119"/>
    </row>
    <row r="870" spans="1:22" x14ac:dyDescent="0.3">
      <c r="A870" s="118"/>
      <c r="B870" s="119"/>
      <c r="E870" s="118"/>
      <c r="F870" s="119"/>
      <c r="I870" s="118"/>
      <c r="J870" s="119"/>
      <c r="M870" s="118"/>
      <c r="N870" s="119"/>
      <c r="Q870" s="118"/>
      <c r="R870" s="119"/>
      <c r="U870" s="118"/>
      <c r="V870" s="119"/>
    </row>
    <row r="871" spans="1:22" x14ac:dyDescent="0.3">
      <c r="A871" s="118"/>
      <c r="B871" s="119"/>
      <c r="E871" s="118"/>
      <c r="F871" s="119"/>
      <c r="I871" s="118"/>
      <c r="J871" s="119"/>
      <c r="M871" s="118"/>
      <c r="N871" s="119"/>
      <c r="Q871" s="118"/>
      <c r="R871" s="119"/>
      <c r="U871" s="118"/>
      <c r="V871" s="119"/>
    </row>
    <row r="872" spans="1:22" x14ac:dyDescent="0.3">
      <c r="A872" s="118"/>
      <c r="B872" s="119"/>
      <c r="E872" s="118"/>
      <c r="F872" s="119"/>
      <c r="I872" s="118"/>
      <c r="J872" s="119"/>
      <c r="M872" s="118"/>
      <c r="N872" s="119"/>
      <c r="Q872" s="118"/>
      <c r="R872" s="119"/>
      <c r="U872" s="118"/>
      <c r="V872" s="119"/>
    </row>
    <row r="873" spans="1:22" x14ac:dyDescent="0.3">
      <c r="A873" s="118"/>
      <c r="B873" s="119"/>
      <c r="E873" s="118"/>
      <c r="F873" s="119"/>
      <c r="I873" s="118"/>
      <c r="J873" s="119"/>
      <c r="M873" s="118"/>
      <c r="N873" s="119"/>
      <c r="Q873" s="118"/>
      <c r="R873" s="119"/>
      <c r="U873" s="118"/>
      <c r="V873" s="119"/>
    </row>
    <row r="874" spans="1:22" x14ac:dyDescent="0.3">
      <c r="A874" s="118"/>
      <c r="B874" s="119"/>
      <c r="E874" s="118"/>
      <c r="F874" s="119"/>
      <c r="I874" s="118"/>
      <c r="J874" s="119"/>
      <c r="M874" s="118"/>
      <c r="N874" s="119"/>
      <c r="Q874" s="118"/>
      <c r="R874" s="119"/>
      <c r="U874" s="118"/>
      <c r="V874" s="119"/>
    </row>
    <row r="875" spans="1:22" x14ac:dyDescent="0.3">
      <c r="A875" s="118"/>
      <c r="B875" s="119"/>
      <c r="E875" s="118"/>
      <c r="F875" s="119"/>
      <c r="I875" s="118"/>
      <c r="J875" s="119"/>
      <c r="M875" s="118"/>
      <c r="N875" s="119"/>
      <c r="Q875" s="118"/>
      <c r="R875" s="119"/>
      <c r="U875" s="118"/>
      <c r="V875" s="119"/>
    </row>
    <row r="876" spans="1:22" x14ac:dyDescent="0.3">
      <c r="A876" s="118"/>
      <c r="B876" s="119"/>
      <c r="E876" s="118"/>
      <c r="F876" s="119"/>
      <c r="I876" s="118"/>
      <c r="J876" s="119"/>
      <c r="M876" s="118"/>
      <c r="N876" s="119"/>
      <c r="Q876" s="118"/>
      <c r="R876" s="119"/>
      <c r="U876" s="118"/>
      <c r="V876" s="119"/>
    </row>
    <row r="877" spans="1:22" x14ac:dyDescent="0.3">
      <c r="A877" s="118"/>
      <c r="B877" s="119"/>
      <c r="E877" s="118"/>
      <c r="F877" s="119"/>
      <c r="I877" s="118"/>
      <c r="J877" s="119"/>
      <c r="M877" s="118"/>
      <c r="N877" s="119"/>
      <c r="Q877" s="118"/>
      <c r="R877" s="119"/>
      <c r="U877" s="118"/>
      <c r="V877" s="119"/>
    </row>
    <row r="878" spans="1:22" x14ac:dyDescent="0.3">
      <c r="A878" s="118"/>
      <c r="B878" s="119"/>
      <c r="E878" s="118"/>
      <c r="F878" s="119"/>
      <c r="I878" s="118"/>
      <c r="J878" s="119"/>
      <c r="M878" s="118"/>
      <c r="N878" s="119"/>
      <c r="Q878" s="118"/>
      <c r="R878" s="119"/>
      <c r="U878" s="118"/>
      <c r="V878" s="119"/>
    </row>
    <row r="879" spans="1:22" x14ac:dyDescent="0.3">
      <c r="A879" s="118"/>
      <c r="B879" s="119"/>
      <c r="E879" s="118"/>
      <c r="F879" s="119"/>
      <c r="I879" s="118"/>
      <c r="J879" s="119"/>
      <c r="M879" s="118"/>
      <c r="N879" s="119"/>
      <c r="Q879" s="118"/>
      <c r="R879" s="119"/>
      <c r="U879" s="118"/>
      <c r="V879" s="119"/>
    </row>
    <row r="880" spans="1:22" x14ac:dyDescent="0.3">
      <c r="A880" s="118"/>
      <c r="B880" s="119"/>
      <c r="E880" s="118"/>
      <c r="F880" s="119"/>
      <c r="I880" s="118"/>
      <c r="J880" s="119"/>
      <c r="M880" s="118"/>
      <c r="N880" s="119"/>
      <c r="Q880" s="118"/>
      <c r="R880" s="119"/>
      <c r="U880" s="118"/>
      <c r="V880" s="119"/>
    </row>
    <row r="881" spans="1:22" x14ac:dyDescent="0.3">
      <c r="A881" s="118"/>
      <c r="B881" s="119"/>
      <c r="E881" s="118"/>
      <c r="F881" s="119"/>
      <c r="I881" s="118"/>
      <c r="J881" s="119"/>
      <c r="M881" s="118"/>
      <c r="N881" s="119"/>
      <c r="Q881" s="118"/>
      <c r="R881" s="119"/>
      <c r="U881" s="118"/>
      <c r="V881" s="119"/>
    </row>
    <row r="882" spans="1:22" x14ac:dyDescent="0.3">
      <c r="A882" s="118"/>
      <c r="B882" s="119"/>
      <c r="E882" s="118"/>
      <c r="F882" s="119"/>
      <c r="I882" s="118"/>
      <c r="J882" s="119"/>
      <c r="M882" s="118"/>
      <c r="N882" s="119"/>
      <c r="Q882" s="118"/>
      <c r="R882" s="119"/>
      <c r="U882" s="118"/>
      <c r="V882" s="119"/>
    </row>
    <row r="883" spans="1:22" x14ac:dyDescent="0.3">
      <c r="A883" s="118"/>
      <c r="B883" s="119"/>
      <c r="E883" s="118"/>
      <c r="F883" s="119"/>
      <c r="I883" s="118"/>
      <c r="J883" s="119"/>
      <c r="M883" s="118"/>
      <c r="N883" s="119"/>
      <c r="Q883" s="118"/>
      <c r="R883" s="119"/>
      <c r="U883" s="118"/>
      <c r="V883" s="119"/>
    </row>
    <row r="884" spans="1:22" x14ac:dyDescent="0.3">
      <c r="A884" s="118"/>
      <c r="B884" s="119"/>
      <c r="E884" s="118"/>
      <c r="F884" s="119"/>
      <c r="I884" s="118"/>
      <c r="J884" s="119"/>
      <c r="M884" s="118"/>
      <c r="N884" s="119"/>
      <c r="Q884" s="118"/>
      <c r="R884" s="119"/>
      <c r="U884" s="118"/>
      <c r="V884" s="119"/>
    </row>
    <row r="885" spans="1:22" x14ac:dyDescent="0.3">
      <c r="A885" s="118"/>
      <c r="B885" s="119"/>
      <c r="E885" s="118"/>
      <c r="F885" s="119"/>
      <c r="I885" s="118"/>
      <c r="J885" s="119"/>
      <c r="M885" s="118"/>
      <c r="N885" s="119"/>
      <c r="Q885" s="118"/>
      <c r="R885" s="119"/>
      <c r="U885" s="118"/>
      <c r="V885" s="119"/>
    </row>
    <row r="886" spans="1:22" x14ac:dyDescent="0.3">
      <c r="A886" s="118"/>
      <c r="B886" s="119"/>
      <c r="E886" s="118"/>
      <c r="F886" s="119"/>
      <c r="I886" s="118"/>
      <c r="J886" s="119"/>
      <c r="M886" s="118"/>
      <c r="N886" s="119"/>
      <c r="Q886" s="118"/>
      <c r="R886" s="119"/>
      <c r="U886" s="118"/>
      <c r="V886" s="119"/>
    </row>
    <row r="887" spans="1:22" x14ac:dyDescent="0.3">
      <c r="A887" s="118"/>
      <c r="B887" s="119"/>
      <c r="E887" s="118"/>
      <c r="F887" s="119"/>
      <c r="I887" s="118"/>
      <c r="J887" s="119"/>
      <c r="M887" s="118"/>
      <c r="N887" s="119"/>
      <c r="Q887" s="118"/>
      <c r="R887" s="119"/>
      <c r="U887" s="118"/>
      <c r="V887" s="119"/>
    </row>
    <row r="888" spans="1:22" x14ac:dyDescent="0.3">
      <c r="A888" s="118"/>
      <c r="B888" s="119"/>
      <c r="E888" s="118"/>
      <c r="F888" s="119"/>
      <c r="I888" s="118"/>
      <c r="J888" s="119"/>
      <c r="M888" s="118"/>
      <c r="N888" s="119"/>
      <c r="Q888" s="118"/>
      <c r="R888" s="119"/>
      <c r="U888" s="118"/>
      <c r="V888" s="119"/>
    </row>
    <row r="889" spans="1:22" x14ac:dyDescent="0.3">
      <c r="A889" s="118"/>
      <c r="B889" s="119"/>
      <c r="E889" s="118"/>
      <c r="F889" s="119"/>
      <c r="I889" s="118"/>
      <c r="J889" s="119"/>
      <c r="M889" s="118"/>
      <c r="N889" s="119"/>
      <c r="Q889" s="118"/>
      <c r="R889" s="119"/>
      <c r="U889" s="118"/>
      <c r="V889" s="119"/>
    </row>
    <row r="890" spans="1:22" x14ac:dyDescent="0.3">
      <c r="A890" s="118"/>
      <c r="B890" s="119"/>
      <c r="E890" s="118"/>
      <c r="F890" s="119"/>
      <c r="I890" s="118"/>
      <c r="J890" s="119"/>
      <c r="M890" s="118"/>
      <c r="N890" s="119"/>
      <c r="Q890" s="118"/>
      <c r="R890" s="119"/>
      <c r="U890" s="118"/>
      <c r="V890" s="119"/>
    </row>
    <row r="891" spans="1:22" x14ac:dyDescent="0.3">
      <c r="A891" s="118"/>
      <c r="B891" s="119"/>
      <c r="E891" s="118"/>
      <c r="F891" s="119"/>
      <c r="I891" s="118"/>
      <c r="J891" s="119"/>
      <c r="M891" s="118"/>
      <c r="N891" s="119"/>
      <c r="Q891" s="118"/>
      <c r="R891" s="119"/>
      <c r="U891" s="118"/>
      <c r="V891" s="119"/>
    </row>
    <row r="892" spans="1:22" x14ac:dyDescent="0.3">
      <c r="A892" s="118"/>
      <c r="B892" s="119"/>
      <c r="E892" s="118"/>
      <c r="F892" s="119"/>
      <c r="I892" s="118"/>
      <c r="J892" s="119"/>
      <c r="M892" s="118"/>
      <c r="N892" s="119"/>
      <c r="Q892" s="118"/>
      <c r="R892" s="119"/>
      <c r="U892" s="118"/>
      <c r="V892" s="119"/>
    </row>
    <row r="893" spans="1:22" x14ac:dyDescent="0.3">
      <c r="A893" s="118"/>
      <c r="B893" s="119"/>
      <c r="E893" s="118"/>
      <c r="F893" s="119"/>
      <c r="I893" s="118"/>
      <c r="J893" s="119"/>
      <c r="M893" s="118"/>
      <c r="N893" s="119"/>
      <c r="Q893" s="118"/>
      <c r="R893" s="119"/>
      <c r="U893" s="118"/>
      <c r="V893" s="119"/>
    </row>
    <row r="894" spans="1:22" x14ac:dyDescent="0.3">
      <c r="A894" s="118"/>
      <c r="B894" s="119"/>
      <c r="E894" s="118"/>
      <c r="F894" s="119"/>
      <c r="I894" s="118"/>
      <c r="J894" s="119"/>
      <c r="M894" s="118"/>
      <c r="N894" s="119"/>
      <c r="Q894" s="118"/>
      <c r="R894" s="119"/>
      <c r="U894" s="118"/>
      <c r="V894" s="119"/>
    </row>
    <row r="895" spans="1:22" x14ac:dyDescent="0.3">
      <c r="A895" s="118"/>
      <c r="B895" s="119"/>
      <c r="E895" s="118"/>
      <c r="F895" s="119"/>
      <c r="I895" s="118"/>
      <c r="J895" s="119"/>
      <c r="M895" s="118"/>
      <c r="N895" s="119"/>
      <c r="Q895" s="118"/>
      <c r="R895" s="119"/>
      <c r="U895" s="118"/>
      <c r="V895" s="119"/>
    </row>
    <row r="896" spans="1:22" x14ac:dyDescent="0.3">
      <c r="A896" s="118"/>
      <c r="B896" s="119"/>
      <c r="E896" s="118"/>
      <c r="F896" s="119"/>
      <c r="I896" s="118"/>
      <c r="J896" s="119"/>
      <c r="M896" s="118"/>
      <c r="N896" s="119"/>
      <c r="Q896" s="118"/>
      <c r="R896" s="119"/>
      <c r="U896" s="118"/>
      <c r="V896" s="119"/>
    </row>
    <row r="897" spans="1:22" x14ac:dyDescent="0.3">
      <c r="A897" s="118"/>
      <c r="B897" s="119"/>
      <c r="E897" s="118"/>
      <c r="F897" s="119"/>
      <c r="I897" s="118"/>
      <c r="J897" s="119"/>
      <c r="M897" s="118"/>
      <c r="N897" s="119"/>
      <c r="Q897" s="118"/>
      <c r="R897" s="119"/>
      <c r="U897" s="118"/>
      <c r="V897" s="119"/>
    </row>
    <row r="898" spans="1:22" x14ac:dyDescent="0.3">
      <c r="A898" s="118"/>
      <c r="B898" s="119"/>
      <c r="E898" s="118"/>
      <c r="F898" s="119"/>
      <c r="I898" s="118"/>
      <c r="J898" s="119"/>
      <c r="M898" s="118"/>
      <c r="N898" s="119"/>
      <c r="Q898" s="118"/>
      <c r="R898" s="119"/>
      <c r="U898" s="118"/>
      <c r="V898" s="119"/>
    </row>
    <row r="899" spans="1:22" x14ac:dyDescent="0.3">
      <c r="A899" s="118"/>
      <c r="B899" s="119"/>
      <c r="E899" s="118"/>
      <c r="F899" s="119"/>
      <c r="I899" s="118"/>
      <c r="J899" s="119"/>
      <c r="M899" s="118"/>
      <c r="N899" s="119"/>
      <c r="Q899" s="118"/>
      <c r="R899" s="119"/>
      <c r="U899" s="118"/>
      <c r="V899" s="119"/>
    </row>
    <row r="900" spans="1:22" x14ac:dyDescent="0.3">
      <c r="A900" s="118"/>
      <c r="B900" s="119"/>
      <c r="E900" s="118"/>
      <c r="F900" s="119"/>
      <c r="I900" s="118"/>
      <c r="J900" s="119"/>
      <c r="M900" s="118"/>
      <c r="N900" s="119"/>
      <c r="Q900" s="118"/>
      <c r="R900" s="119"/>
      <c r="U900" s="118"/>
      <c r="V900" s="119"/>
    </row>
    <row r="901" spans="1:22" x14ac:dyDescent="0.3">
      <c r="A901" s="118"/>
      <c r="B901" s="119"/>
      <c r="E901" s="118"/>
      <c r="F901" s="119"/>
      <c r="I901" s="118"/>
      <c r="J901" s="119"/>
      <c r="M901" s="118"/>
      <c r="N901" s="119"/>
      <c r="Q901" s="118"/>
      <c r="R901" s="119"/>
      <c r="U901" s="118"/>
      <c r="V901" s="119"/>
    </row>
    <row r="902" spans="1:22" x14ac:dyDescent="0.3">
      <c r="A902" s="118"/>
      <c r="B902" s="119"/>
      <c r="E902" s="118"/>
      <c r="F902" s="119"/>
      <c r="I902" s="118"/>
      <c r="J902" s="119"/>
      <c r="M902" s="118"/>
      <c r="N902" s="119"/>
      <c r="Q902" s="118"/>
      <c r="R902" s="119"/>
      <c r="U902" s="118"/>
      <c r="V902" s="119"/>
    </row>
    <row r="903" spans="1:22" x14ac:dyDescent="0.3">
      <c r="A903" s="118"/>
      <c r="B903" s="119"/>
      <c r="E903" s="118"/>
      <c r="F903" s="119"/>
      <c r="I903" s="118"/>
      <c r="J903" s="119"/>
      <c r="M903" s="118"/>
      <c r="N903" s="119"/>
      <c r="Q903" s="118"/>
      <c r="R903" s="119"/>
      <c r="U903" s="118"/>
      <c r="V903" s="119"/>
    </row>
    <row r="904" spans="1:22" x14ac:dyDescent="0.3">
      <c r="A904" s="118"/>
      <c r="B904" s="119"/>
      <c r="E904" s="118"/>
      <c r="F904" s="119"/>
      <c r="I904" s="118"/>
      <c r="J904" s="119"/>
      <c r="M904" s="118"/>
      <c r="N904" s="119"/>
      <c r="Q904" s="118"/>
      <c r="R904" s="119"/>
      <c r="U904" s="118"/>
      <c r="V904" s="119"/>
    </row>
    <row r="905" spans="1:22" x14ac:dyDescent="0.3">
      <c r="A905" s="118"/>
      <c r="B905" s="119"/>
      <c r="E905" s="118"/>
      <c r="F905" s="119"/>
      <c r="I905" s="118"/>
      <c r="J905" s="119"/>
      <c r="M905" s="118"/>
      <c r="N905" s="119"/>
      <c r="Q905" s="118"/>
      <c r="R905" s="119"/>
      <c r="U905" s="118"/>
      <c r="V905" s="119"/>
    </row>
    <row r="906" spans="1:22" x14ac:dyDescent="0.3">
      <c r="A906" s="118"/>
      <c r="B906" s="119"/>
      <c r="E906" s="118"/>
      <c r="F906" s="119"/>
      <c r="I906" s="118"/>
      <c r="J906" s="119"/>
      <c r="M906" s="118"/>
      <c r="N906" s="119"/>
      <c r="Q906" s="118"/>
      <c r="R906" s="119"/>
      <c r="U906" s="118"/>
      <c r="V906" s="119"/>
    </row>
    <row r="907" spans="1:22" x14ac:dyDescent="0.3">
      <c r="A907" s="118"/>
      <c r="B907" s="119"/>
      <c r="E907" s="118"/>
      <c r="F907" s="119"/>
      <c r="I907" s="118"/>
      <c r="J907" s="119"/>
      <c r="M907" s="118"/>
      <c r="N907" s="119"/>
      <c r="Q907" s="118"/>
      <c r="R907" s="119"/>
      <c r="U907" s="118"/>
      <c r="V907" s="119"/>
    </row>
    <row r="908" spans="1:22" x14ac:dyDescent="0.3">
      <c r="A908" s="118"/>
      <c r="B908" s="119"/>
      <c r="E908" s="118"/>
      <c r="F908" s="119"/>
      <c r="I908" s="118"/>
      <c r="J908" s="119"/>
      <c r="M908" s="118"/>
      <c r="N908" s="119"/>
      <c r="Q908" s="118"/>
      <c r="R908" s="119"/>
      <c r="U908" s="118"/>
      <c r="V908" s="119"/>
    </row>
    <row r="909" spans="1:22" x14ac:dyDescent="0.3">
      <c r="A909" s="118"/>
      <c r="B909" s="119"/>
      <c r="E909" s="118"/>
      <c r="F909" s="119"/>
      <c r="I909" s="118"/>
      <c r="J909" s="119"/>
      <c r="M909" s="118"/>
      <c r="N909" s="119"/>
      <c r="Q909" s="118"/>
      <c r="R909" s="119"/>
      <c r="U909" s="118"/>
      <c r="V909" s="119"/>
    </row>
    <row r="910" spans="1:22" x14ac:dyDescent="0.3">
      <c r="A910" s="118"/>
      <c r="B910" s="119"/>
      <c r="E910" s="118"/>
      <c r="F910" s="119"/>
      <c r="I910" s="118"/>
      <c r="J910" s="119"/>
      <c r="M910" s="118"/>
      <c r="N910" s="119"/>
      <c r="Q910" s="118"/>
      <c r="R910" s="119"/>
      <c r="U910" s="118"/>
      <c r="V910" s="119"/>
    </row>
    <row r="911" spans="1:22" x14ac:dyDescent="0.3">
      <c r="A911" s="118"/>
      <c r="B911" s="119"/>
      <c r="E911" s="118"/>
      <c r="F911" s="119"/>
      <c r="I911" s="118"/>
      <c r="J911" s="119"/>
      <c r="M911" s="118"/>
      <c r="N911" s="119"/>
      <c r="Q911" s="118"/>
      <c r="R911" s="119"/>
      <c r="U911" s="118"/>
      <c r="V911" s="119"/>
    </row>
    <row r="912" spans="1:22" x14ac:dyDescent="0.3">
      <c r="A912" s="118"/>
      <c r="B912" s="119"/>
      <c r="E912" s="118"/>
      <c r="F912" s="119"/>
      <c r="I912" s="118"/>
      <c r="J912" s="119"/>
      <c r="M912" s="118"/>
      <c r="N912" s="119"/>
      <c r="Q912" s="118"/>
      <c r="R912" s="119"/>
      <c r="U912" s="118"/>
      <c r="V912" s="119"/>
    </row>
    <row r="913" spans="1:22" x14ac:dyDescent="0.3">
      <c r="A913" s="118"/>
      <c r="B913" s="119"/>
      <c r="E913" s="118"/>
      <c r="F913" s="119"/>
      <c r="I913" s="118"/>
      <c r="J913" s="119"/>
      <c r="M913" s="118"/>
      <c r="N913" s="119"/>
      <c r="Q913" s="118"/>
      <c r="R913" s="119"/>
      <c r="U913" s="118"/>
      <c r="V913" s="119"/>
    </row>
    <row r="914" spans="1:22" x14ac:dyDescent="0.3">
      <c r="A914" s="118"/>
      <c r="B914" s="119"/>
      <c r="E914" s="118"/>
      <c r="F914" s="119"/>
      <c r="I914" s="118"/>
      <c r="J914" s="119"/>
      <c r="M914" s="118"/>
      <c r="N914" s="119"/>
      <c r="Q914" s="118"/>
      <c r="R914" s="119"/>
      <c r="U914" s="118"/>
      <c r="V914" s="119"/>
    </row>
    <row r="915" spans="1:22" x14ac:dyDescent="0.3">
      <c r="A915" s="118"/>
      <c r="B915" s="119"/>
      <c r="E915" s="118"/>
      <c r="F915" s="119"/>
      <c r="I915" s="118"/>
      <c r="J915" s="119"/>
      <c r="M915" s="118"/>
      <c r="N915" s="119"/>
      <c r="Q915" s="118"/>
      <c r="R915" s="119"/>
      <c r="U915" s="118"/>
      <c r="V915" s="119"/>
    </row>
    <row r="916" spans="1:22" x14ac:dyDescent="0.3">
      <c r="A916" s="118"/>
      <c r="B916" s="119"/>
      <c r="E916" s="118"/>
      <c r="F916" s="119"/>
      <c r="I916" s="118"/>
      <c r="J916" s="119"/>
      <c r="M916" s="118"/>
      <c r="N916" s="119"/>
      <c r="Q916" s="118"/>
      <c r="R916" s="119"/>
      <c r="U916" s="118"/>
      <c r="V916" s="119"/>
    </row>
    <row r="917" spans="1:22" x14ac:dyDescent="0.3">
      <c r="A917" s="118"/>
      <c r="B917" s="119"/>
      <c r="E917" s="118"/>
      <c r="F917" s="119"/>
      <c r="I917" s="118"/>
      <c r="J917" s="119"/>
      <c r="M917" s="118"/>
      <c r="N917" s="119"/>
      <c r="Q917" s="118"/>
      <c r="R917" s="119"/>
      <c r="U917" s="118"/>
      <c r="V917" s="119"/>
    </row>
    <row r="918" spans="1:22" x14ac:dyDescent="0.3">
      <c r="A918" s="118"/>
      <c r="B918" s="119"/>
      <c r="E918" s="118"/>
      <c r="F918" s="119"/>
      <c r="I918" s="118"/>
      <c r="J918" s="119"/>
      <c r="M918" s="118"/>
      <c r="N918" s="119"/>
      <c r="Q918" s="118"/>
      <c r="R918" s="119"/>
      <c r="U918" s="118"/>
      <c r="V918" s="119"/>
    </row>
    <row r="919" spans="1:22" x14ac:dyDescent="0.3">
      <c r="A919" s="118"/>
      <c r="B919" s="119"/>
      <c r="E919" s="118"/>
      <c r="F919" s="119"/>
      <c r="I919" s="118"/>
      <c r="J919" s="119"/>
      <c r="M919" s="118"/>
      <c r="N919" s="119"/>
      <c r="Q919" s="118"/>
      <c r="R919" s="119"/>
      <c r="U919" s="118"/>
      <c r="V919" s="119"/>
    </row>
    <row r="920" spans="1:22" x14ac:dyDescent="0.3">
      <c r="A920" s="118"/>
      <c r="B920" s="119"/>
      <c r="E920" s="118"/>
      <c r="F920" s="119"/>
      <c r="I920" s="118"/>
      <c r="J920" s="119"/>
      <c r="M920" s="118"/>
      <c r="N920" s="119"/>
      <c r="Q920" s="118"/>
      <c r="R920" s="119"/>
      <c r="U920" s="118"/>
      <c r="V920" s="119"/>
    </row>
    <row r="921" spans="1:22" x14ac:dyDescent="0.3">
      <c r="A921" s="118"/>
      <c r="B921" s="119"/>
      <c r="E921" s="118"/>
      <c r="F921" s="119"/>
      <c r="I921" s="118"/>
      <c r="J921" s="119"/>
      <c r="M921" s="118"/>
      <c r="N921" s="119"/>
      <c r="Q921" s="118"/>
      <c r="R921" s="119"/>
      <c r="U921" s="118"/>
      <c r="V921" s="119"/>
    </row>
    <row r="922" spans="1:22" x14ac:dyDescent="0.3">
      <c r="A922" s="118"/>
      <c r="B922" s="119"/>
      <c r="E922" s="118"/>
      <c r="F922" s="119"/>
      <c r="I922" s="118"/>
      <c r="J922" s="119"/>
      <c r="M922" s="118"/>
      <c r="N922" s="119"/>
      <c r="Q922" s="118"/>
      <c r="R922" s="119"/>
      <c r="U922" s="118"/>
      <c r="V922" s="119"/>
    </row>
    <row r="923" spans="1:22" x14ac:dyDescent="0.3">
      <c r="A923" s="118"/>
      <c r="B923" s="119"/>
      <c r="E923" s="118"/>
      <c r="F923" s="119"/>
      <c r="I923" s="118"/>
      <c r="J923" s="119"/>
      <c r="M923" s="118"/>
      <c r="N923" s="119"/>
      <c r="Q923" s="118"/>
      <c r="R923" s="119"/>
      <c r="U923" s="118"/>
      <c r="V923" s="119"/>
    </row>
    <row r="924" spans="1:22" x14ac:dyDescent="0.3">
      <c r="A924" s="118"/>
      <c r="B924" s="119"/>
      <c r="E924" s="118"/>
      <c r="F924" s="119"/>
      <c r="I924" s="118"/>
      <c r="J924" s="119"/>
      <c r="M924" s="118"/>
      <c r="N924" s="119"/>
      <c r="Q924" s="118"/>
      <c r="R924" s="119"/>
      <c r="U924" s="118"/>
      <c r="V924" s="119"/>
    </row>
    <row r="925" spans="1:22" x14ac:dyDescent="0.3">
      <c r="A925" s="118"/>
      <c r="B925" s="119"/>
      <c r="E925" s="118"/>
      <c r="F925" s="119"/>
      <c r="I925" s="118"/>
      <c r="J925" s="119"/>
      <c r="M925" s="118"/>
      <c r="N925" s="119"/>
      <c r="Q925" s="118"/>
      <c r="R925" s="119"/>
      <c r="U925" s="118"/>
      <c r="V925" s="119"/>
    </row>
    <row r="926" spans="1:22" x14ac:dyDescent="0.3">
      <c r="A926" s="118"/>
      <c r="B926" s="119"/>
      <c r="E926" s="118"/>
      <c r="F926" s="119"/>
      <c r="I926" s="118"/>
      <c r="J926" s="119"/>
      <c r="M926" s="118"/>
      <c r="N926" s="119"/>
      <c r="Q926" s="118"/>
      <c r="R926" s="119"/>
      <c r="U926" s="118"/>
      <c r="V926" s="119"/>
    </row>
    <row r="927" spans="1:22" x14ac:dyDescent="0.3">
      <c r="A927" s="118"/>
      <c r="B927" s="119"/>
      <c r="E927" s="118"/>
      <c r="F927" s="119"/>
      <c r="I927" s="118"/>
      <c r="J927" s="119"/>
      <c r="M927" s="118"/>
      <c r="N927" s="119"/>
      <c r="Q927" s="118"/>
      <c r="R927" s="119"/>
      <c r="U927" s="118"/>
      <c r="V927" s="119"/>
    </row>
    <row r="928" spans="1:22" x14ac:dyDescent="0.3">
      <c r="A928" s="118"/>
      <c r="B928" s="119"/>
      <c r="E928" s="118"/>
      <c r="F928" s="119"/>
      <c r="I928" s="118"/>
      <c r="J928" s="119"/>
      <c r="M928" s="118"/>
      <c r="N928" s="119"/>
      <c r="Q928" s="118"/>
      <c r="R928" s="119"/>
      <c r="U928" s="118"/>
      <c r="V928" s="119"/>
    </row>
    <row r="929" spans="1:22" x14ac:dyDescent="0.3">
      <c r="A929" s="118"/>
      <c r="B929" s="119"/>
      <c r="E929" s="118"/>
      <c r="F929" s="119"/>
      <c r="I929" s="118"/>
      <c r="J929" s="119"/>
      <c r="M929" s="118"/>
      <c r="N929" s="119"/>
      <c r="Q929" s="118"/>
      <c r="R929" s="119"/>
      <c r="U929" s="118"/>
      <c r="V929" s="119"/>
    </row>
    <row r="930" spans="1:22" x14ac:dyDescent="0.3">
      <c r="A930" s="118"/>
      <c r="B930" s="119"/>
      <c r="E930" s="118"/>
      <c r="F930" s="119"/>
      <c r="I930" s="118"/>
      <c r="J930" s="119"/>
      <c r="M930" s="118"/>
      <c r="N930" s="119"/>
      <c r="Q930" s="118"/>
      <c r="R930" s="119"/>
      <c r="U930" s="118"/>
      <c r="V930" s="119"/>
    </row>
    <row r="931" spans="1:22" x14ac:dyDescent="0.3">
      <c r="A931" s="118"/>
      <c r="B931" s="119"/>
      <c r="E931" s="118"/>
      <c r="F931" s="119"/>
      <c r="I931" s="118"/>
      <c r="J931" s="119"/>
      <c r="M931" s="118"/>
      <c r="N931" s="119"/>
      <c r="Q931" s="118"/>
      <c r="R931" s="119"/>
      <c r="U931" s="118"/>
      <c r="V931" s="119"/>
    </row>
    <row r="932" spans="1:22" x14ac:dyDescent="0.3">
      <c r="A932" s="118"/>
      <c r="B932" s="119"/>
      <c r="E932" s="118"/>
      <c r="F932" s="119"/>
      <c r="I932" s="118"/>
      <c r="J932" s="119"/>
      <c r="M932" s="118"/>
      <c r="N932" s="119"/>
      <c r="Q932" s="118"/>
      <c r="R932" s="119"/>
      <c r="U932" s="118"/>
      <c r="V932" s="119"/>
    </row>
    <row r="933" spans="1:22" x14ac:dyDescent="0.3">
      <c r="A933" s="118"/>
      <c r="B933" s="119"/>
      <c r="E933" s="118"/>
      <c r="F933" s="119"/>
      <c r="I933" s="118"/>
      <c r="J933" s="119"/>
      <c r="M933" s="118"/>
      <c r="N933" s="119"/>
      <c r="Q933" s="118"/>
      <c r="R933" s="119"/>
      <c r="U933" s="118"/>
      <c r="V933" s="119"/>
    </row>
    <row r="934" spans="1:22" x14ac:dyDescent="0.3">
      <c r="A934" s="118"/>
      <c r="B934" s="119"/>
      <c r="E934" s="118"/>
      <c r="F934" s="119"/>
      <c r="I934" s="118"/>
      <c r="J934" s="119"/>
      <c r="M934" s="118"/>
      <c r="N934" s="119"/>
      <c r="Q934" s="118"/>
      <c r="R934" s="119"/>
      <c r="U934" s="118"/>
      <c r="V934" s="119"/>
    </row>
    <row r="935" spans="1:22" x14ac:dyDescent="0.3">
      <c r="A935" s="118"/>
      <c r="B935" s="119"/>
      <c r="E935" s="118"/>
      <c r="F935" s="119"/>
      <c r="I935" s="118"/>
      <c r="J935" s="119"/>
      <c r="M935" s="118"/>
      <c r="N935" s="119"/>
      <c r="Q935" s="118"/>
      <c r="R935" s="119"/>
      <c r="U935" s="118"/>
      <c r="V935" s="119"/>
    </row>
    <row r="936" spans="1:22" x14ac:dyDescent="0.3">
      <c r="A936" s="118"/>
      <c r="B936" s="119"/>
      <c r="E936" s="118"/>
      <c r="F936" s="119"/>
      <c r="I936" s="118"/>
      <c r="J936" s="119"/>
      <c r="M936" s="118"/>
      <c r="N936" s="119"/>
      <c r="Q936" s="118"/>
      <c r="R936" s="119"/>
      <c r="U936" s="118"/>
      <c r="V936" s="119"/>
    </row>
    <row r="937" spans="1:22" x14ac:dyDescent="0.3">
      <c r="A937" s="118"/>
      <c r="B937" s="119"/>
      <c r="E937" s="118"/>
      <c r="F937" s="119"/>
      <c r="I937" s="118"/>
      <c r="J937" s="119"/>
      <c r="M937" s="118"/>
      <c r="N937" s="119"/>
      <c r="Q937" s="118"/>
      <c r="R937" s="119"/>
      <c r="U937" s="118"/>
      <c r="V937" s="119"/>
    </row>
    <row r="938" spans="1:22" x14ac:dyDescent="0.3">
      <c r="A938" s="118"/>
      <c r="B938" s="119"/>
      <c r="E938" s="118"/>
      <c r="F938" s="119"/>
      <c r="I938" s="118"/>
      <c r="J938" s="119"/>
      <c r="M938" s="118"/>
      <c r="N938" s="119"/>
      <c r="Q938" s="118"/>
      <c r="R938" s="119"/>
      <c r="U938" s="118"/>
      <c r="V938" s="119"/>
    </row>
    <row r="939" spans="1:22" x14ac:dyDescent="0.3">
      <c r="A939" s="118"/>
      <c r="B939" s="119"/>
      <c r="E939" s="118"/>
      <c r="F939" s="119"/>
      <c r="I939" s="118"/>
      <c r="J939" s="119"/>
      <c r="M939" s="118"/>
      <c r="N939" s="119"/>
      <c r="Q939" s="118"/>
      <c r="R939" s="119"/>
      <c r="U939" s="118"/>
      <c r="V939" s="119"/>
    </row>
    <row r="940" spans="1:22" x14ac:dyDescent="0.3">
      <c r="A940" s="118"/>
      <c r="B940" s="119"/>
      <c r="E940" s="118"/>
      <c r="F940" s="119"/>
      <c r="I940" s="118"/>
      <c r="J940" s="119"/>
      <c r="M940" s="118"/>
      <c r="N940" s="119"/>
      <c r="Q940" s="118"/>
      <c r="R940" s="119"/>
      <c r="U940" s="118"/>
      <c r="V940" s="119"/>
    </row>
    <row r="941" spans="1:22" x14ac:dyDescent="0.3">
      <c r="A941" s="118"/>
      <c r="B941" s="119"/>
      <c r="E941" s="118"/>
      <c r="F941" s="119"/>
      <c r="I941" s="118"/>
      <c r="J941" s="119"/>
      <c r="M941" s="118"/>
      <c r="N941" s="119"/>
      <c r="Q941" s="118"/>
      <c r="R941" s="119"/>
      <c r="U941" s="118"/>
      <c r="V941" s="119"/>
    </row>
    <row r="942" spans="1:22" x14ac:dyDescent="0.3">
      <c r="A942" s="118"/>
      <c r="B942" s="119"/>
      <c r="E942" s="118"/>
      <c r="F942" s="119"/>
      <c r="I942" s="118"/>
      <c r="J942" s="119"/>
      <c r="M942" s="118"/>
      <c r="N942" s="119"/>
      <c r="Q942" s="118"/>
      <c r="R942" s="119"/>
      <c r="U942" s="118"/>
      <c r="V942" s="119"/>
    </row>
    <row r="943" spans="1:22" x14ac:dyDescent="0.3">
      <c r="A943" s="118"/>
      <c r="B943" s="119"/>
      <c r="E943" s="118"/>
      <c r="F943" s="119"/>
      <c r="I943" s="118"/>
      <c r="J943" s="119"/>
      <c r="M943" s="118"/>
      <c r="N943" s="119"/>
      <c r="Q943" s="118"/>
      <c r="R943" s="119"/>
      <c r="U943" s="118"/>
      <c r="V943" s="119"/>
    </row>
    <row r="944" spans="1:22" x14ac:dyDescent="0.3">
      <c r="A944" s="118"/>
      <c r="B944" s="119"/>
      <c r="E944" s="118"/>
      <c r="F944" s="119"/>
      <c r="I944" s="118"/>
      <c r="J944" s="119"/>
      <c r="M944" s="118"/>
      <c r="N944" s="119"/>
      <c r="Q944" s="118"/>
      <c r="R944" s="119"/>
      <c r="U944" s="118"/>
      <c r="V944" s="119"/>
    </row>
    <row r="945" spans="1:22" x14ac:dyDescent="0.3">
      <c r="A945" s="118"/>
      <c r="B945" s="119"/>
      <c r="E945" s="118"/>
      <c r="F945" s="119"/>
      <c r="I945" s="118"/>
      <c r="J945" s="119"/>
      <c r="M945" s="118"/>
      <c r="N945" s="119"/>
      <c r="Q945" s="118"/>
      <c r="R945" s="119"/>
      <c r="U945" s="118"/>
      <c r="V945" s="119"/>
    </row>
    <row r="946" spans="1:22" x14ac:dyDescent="0.3">
      <c r="A946" s="118"/>
      <c r="B946" s="119"/>
      <c r="E946" s="118"/>
      <c r="F946" s="119"/>
      <c r="I946" s="118"/>
      <c r="J946" s="119"/>
      <c r="M946" s="118"/>
      <c r="N946" s="119"/>
      <c r="Q946" s="118"/>
      <c r="R946" s="119"/>
      <c r="U946" s="118"/>
      <c r="V946" s="119"/>
    </row>
    <row r="947" spans="1:22" x14ac:dyDescent="0.3">
      <c r="A947" s="118"/>
      <c r="B947" s="119"/>
      <c r="E947" s="118"/>
      <c r="F947" s="119"/>
      <c r="I947" s="118"/>
      <c r="J947" s="119"/>
      <c r="M947" s="118"/>
      <c r="N947" s="119"/>
      <c r="Q947" s="118"/>
      <c r="R947" s="119"/>
      <c r="U947" s="118"/>
      <c r="V947" s="119"/>
    </row>
    <row r="948" spans="1:22" x14ac:dyDescent="0.3">
      <c r="A948" s="118"/>
      <c r="B948" s="119"/>
      <c r="E948" s="118"/>
      <c r="F948" s="119"/>
      <c r="I948" s="118"/>
      <c r="J948" s="119"/>
      <c r="M948" s="118"/>
      <c r="N948" s="119"/>
      <c r="Q948" s="118"/>
      <c r="R948" s="119"/>
      <c r="U948" s="118"/>
      <c r="V948" s="119"/>
    </row>
    <row r="949" spans="1:22" x14ac:dyDescent="0.3">
      <c r="A949" s="118"/>
      <c r="B949" s="119"/>
      <c r="E949" s="118"/>
      <c r="F949" s="119"/>
      <c r="I949" s="118"/>
      <c r="J949" s="119"/>
      <c r="M949" s="118"/>
      <c r="N949" s="119"/>
      <c r="Q949" s="118"/>
      <c r="R949" s="119"/>
      <c r="U949" s="118"/>
      <c r="V949" s="119"/>
    </row>
    <row r="950" spans="1:22" x14ac:dyDescent="0.3">
      <c r="A950" s="118"/>
      <c r="B950" s="119"/>
      <c r="E950" s="118"/>
      <c r="F950" s="119"/>
      <c r="I950" s="118"/>
      <c r="J950" s="119"/>
      <c r="M950" s="118"/>
      <c r="N950" s="119"/>
      <c r="Q950" s="118"/>
      <c r="R950" s="119"/>
      <c r="U950" s="118"/>
      <c r="V950" s="119"/>
    </row>
    <row r="951" spans="1:22" x14ac:dyDescent="0.3">
      <c r="A951" s="118"/>
      <c r="B951" s="119"/>
      <c r="E951" s="118"/>
      <c r="F951" s="119"/>
      <c r="I951" s="118"/>
      <c r="J951" s="119"/>
      <c r="M951" s="118"/>
      <c r="N951" s="119"/>
      <c r="Q951" s="118"/>
      <c r="R951" s="119"/>
      <c r="U951" s="118"/>
      <c r="V951" s="119"/>
    </row>
    <row r="952" spans="1:22" x14ac:dyDescent="0.3">
      <c r="A952" s="118"/>
      <c r="B952" s="119"/>
      <c r="E952" s="118"/>
      <c r="F952" s="119"/>
      <c r="I952" s="118"/>
      <c r="J952" s="119"/>
      <c r="M952" s="118"/>
      <c r="N952" s="119"/>
      <c r="Q952" s="118"/>
      <c r="R952" s="119"/>
      <c r="U952" s="118"/>
      <c r="V952" s="119"/>
    </row>
    <row r="953" spans="1:22" x14ac:dyDescent="0.3">
      <c r="A953" s="118"/>
      <c r="B953" s="119"/>
      <c r="E953" s="118"/>
      <c r="F953" s="119"/>
      <c r="I953" s="118"/>
      <c r="J953" s="119"/>
      <c r="M953" s="118"/>
      <c r="N953" s="119"/>
      <c r="Q953" s="118"/>
      <c r="R953" s="119"/>
      <c r="U953" s="118"/>
      <c r="V953" s="119"/>
    </row>
    <row r="954" spans="1:22" x14ac:dyDescent="0.3">
      <c r="A954" s="118"/>
      <c r="B954" s="119"/>
      <c r="E954" s="118"/>
      <c r="F954" s="119"/>
      <c r="I954" s="118"/>
      <c r="J954" s="119"/>
      <c r="M954" s="118"/>
      <c r="N954" s="119"/>
      <c r="Q954" s="118"/>
      <c r="R954" s="119"/>
      <c r="U954" s="118"/>
      <c r="V954" s="119"/>
    </row>
    <row r="955" spans="1:22" x14ac:dyDescent="0.3">
      <c r="A955" s="118"/>
      <c r="B955" s="119"/>
      <c r="E955" s="118"/>
      <c r="F955" s="119"/>
      <c r="I955" s="118"/>
      <c r="J955" s="119"/>
      <c r="M955" s="118"/>
      <c r="N955" s="119"/>
      <c r="Q955" s="118"/>
      <c r="R955" s="119"/>
      <c r="U955" s="118"/>
      <c r="V955" s="119"/>
    </row>
    <row r="956" spans="1:22" x14ac:dyDescent="0.3">
      <c r="A956" s="118"/>
      <c r="B956" s="119"/>
      <c r="E956" s="118"/>
      <c r="F956" s="119"/>
      <c r="I956" s="118"/>
      <c r="J956" s="119"/>
      <c r="M956" s="118"/>
      <c r="N956" s="119"/>
      <c r="Q956" s="118"/>
      <c r="R956" s="119"/>
      <c r="U956" s="118"/>
      <c r="V956" s="119"/>
    </row>
    <row r="957" spans="1:22" x14ac:dyDescent="0.3">
      <c r="A957" s="118"/>
      <c r="B957" s="119"/>
      <c r="E957" s="118"/>
      <c r="F957" s="119"/>
      <c r="I957" s="118"/>
      <c r="J957" s="119"/>
      <c r="M957" s="118"/>
      <c r="N957" s="119"/>
      <c r="Q957" s="118"/>
      <c r="R957" s="119"/>
      <c r="U957" s="118"/>
      <c r="V957" s="119"/>
    </row>
    <row r="958" spans="1:22" x14ac:dyDescent="0.3">
      <c r="A958" s="118"/>
      <c r="B958" s="119"/>
      <c r="E958" s="118"/>
      <c r="F958" s="119"/>
      <c r="I958" s="118"/>
      <c r="J958" s="119"/>
      <c r="M958" s="118"/>
      <c r="N958" s="119"/>
      <c r="Q958" s="118"/>
      <c r="R958" s="119"/>
      <c r="U958" s="118"/>
      <c r="V958" s="119"/>
    </row>
    <row r="959" spans="1:22" x14ac:dyDescent="0.3">
      <c r="A959" s="118"/>
      <c r="B959" s="119"/>
      <c r="E959" s="118"/>
      <c r="F959" s="119"/>
      <c r="I959" s="118"/>
      <c r="J959" s="119"/>
      <c r="M959" s="118"/>
      <c r="N959" s="119"/>
      <c r="Q959" s="118"/>
      <c r="R959" s="119"/>
      <c r="U959" s="118"/>
      <c r="V959" s="119"/>
    </row>
    <row r="960" spans="1:22" x14ac:dyDescent="0.3">
      <c r="A960" s="118"/>
      <c r="B960" s="119"/>
      <c r="E960" s="118"/>
      <c r="F960" s="119"/>
      <c r="I960" s="118"/>
      <c r="J960" s="119"/>
      <c r="M960" s="118"/>
      <c r="N960" s="119"/>
      <c r="Q960" s="118"/>
      <c r="R960" s="119"/>
      <c r="U960" s="118"/>
      <c r="V960" s="119"/>
    </row>
    <row r="961" spans="1:22" x14ac:dyDescent="0.3">
      <c r="A961" s="118"/>
      <c r="B961" s="119"/>
      <c r="E961" s="118"/>
      <c r="F961" s="119"/>
      <c r="I961" s="118"/>
      <c r="J961" s="119"/>
      <c r="M961" s="118"/>
      <c r="N961" s="119"/>
      <c r="Q961" s="118"/>
      <c r="R961" s="119"/>
      <c r="U961" s="118"/>
      <c r="V961" s="119"/>
    </row>
    <row r="962" spans="1:22" x14ac:dyDescent="0.3">
      <c r="A962" s="118"/>
      <c r="B962" s="119"/>
      <c r="E962" s="118"/>
      <c r="F962" s="119"/>
      <c r="I962" s="118"/>
      <c r="J962" s="119"/>
      <c r="M962" s="118"/>
      <c r="N962" s="119"/>
      <c r="Q962" s="118"/>
      <c r="R962" s="119"/>
      <c r="U962" s="118"/>
      <c r="V962" s="119"/>
    </row>
    <row r="963" spans="1:22" x14ac:dyDescent="0.3">
      <c r="A963" s="118"/>
      <c r="B963" s="119"/>
      <c r="E963" s="118"/>
      <c r="F963" s="119"/>
      <c r="I963" s="118"/>
      <c r="J963" s="119"/>
      <c r="M963" s="118"/>
      <c r="N963" s="119"/>
      <c r="Q963" s="118"/>
      <c r="R963" s="119"/>
      <c r="U963" s="118"/>
      <c r="V963" s="119"/>
    </row>
    <row r="964" spans="1:22" x14ac:dyDescent="0.3">
      <c r="A964" s="118"/>
      <c r="B964" s="119"/>
      <c r="E964" s="118"/>
      <c r="F964" s="119"/>
      <c r="I964" s="118"/>
      <c r="J964" s="119"/>
      <c r="M964" s="118"/>
      <c r="N964" s="119"/>
      <c r="Q964" s="118"/>
      <c r="R964" s="119"/>
      <c r="U964" s="118"/>
      <c r="V964" s="119"/>
    </row>
    <row r="965" spans="1:22" x14ac:dyDescent="0.3">
      <c r="A965" s="118"/>
      <c r="B965" s="119"/>
      <c r="E965" s="118"/>
      <c r="F965" s="119"/>
      <c r="I965" s="118"/>
      <c r="J965" s="119"/>
      <c r="M965" s="118"/>
      <c r="N965" s="119"/>
      <c r="Q965" s="118"/>
      <c r="R965" s="119"/>
      <c r="U965" s="118"/>
      <c r="V965" s="119"/>
    </row>
    <row r="966" spans="1:22" x14ac:dyDescent="0.3">
      <c r="A966" s="118"/>
      <c r="B966" s="119"/>
      <c r="E966" s="118"/>
      <c r="F966" s="119"/>
      <c r="I966" s="118"/>
      <c r="J966" s="119"/>
      <c r="M966" s="118"/>
      <c r="N966" s="119"/>
      <c r="Q966" s="118"/>
      <c r="R966" s="119"/>
      <c r="U966" s="118"/>
      <c r="V966" s="119"/>
    </row>
    <row r="967" spans="1:22" x14ac:dyDescent="0.3">
      <c r="A967" s="118"/>
      <c r="B967" s="119"/>
      <c r="E967" s="118"/>
      <c r="F967" s="119"/>
      <c r="I967" s="118"/>
      <c r="J967" s="119"/>
      <c r="M967" s="118"/>
      <c r="N967" s="119"/>
      <c r="Q967" s="118"/>
      <c r="R967" s="119"/>
      <c r="U967" s="118"/>
      <c r="V967" s="119"/>
    </row>
    <row r="968" spans="1:22" x14ac:dyDescent="0.3">
      <c r="A968" s="118"/>
      <c r="B968" s="119"/>
      <c r="E968" s="118"/>
      <c r="F968" s="119"/>
      <c r="I968" s="118"/>
      <c r="J968" s="119"/>
      <c r="M968" s="118"/>
      <c r="N968" s="119"/>
      <c r="Q968" s="118"/>
      <c r="R968" s="119"/>
      <c r="U968" s="118"/>
      <c r="V968" s="119"/>
    </row>
    <row r="969" spans="1:22" x14ac:dyDescent="0.3">
      <c r="A969" s="118"/>
      <c r="B969" s="119"/>
      <c r="E969" s="118"/>
      <c r="F969" s="119"/>
      <c r="I969" s="118"/>
      <c r="J969" s="119"/>
      <c r="M969" s="118"/>
      <c r="N969" s="119"/>
      <c r="Q969" s="118"/>
      <c r="R969" s="119"/>
      <c r="U969" s="118"/>
      <c r="V969" s="119"/>
    </row>
    <row r="970" spans="1:22" x14ac:dyDescent="0.3">
      <c r="A970" s="118"/>
      <c r="B970" s="119"/>
      <c r="E970" s="118"/>
      <c r="F970" s="119"/>
      <c r="I970" s="118"/>
      <c r="J970" s="119"/>
      <c r="M970" s="118"/>
      <c r="N970" s="119"/>
      <c r="Q970" s="118"/>
      <c r="R970" s="119"/>
      <c r="U970" s="118"/>
      <c r="V970" s="119"/>
    </row>
    <row r="971" spans="1:22" x14ac:dyDescent="0.3">
      <c r="A971" s="118"/>
      <c r="B971" s="119"/>
      <c r="E971" s="118"/>
      <c r="F971" s="119"/>
      <c r="I971" s="118"/>
      <c r="J971" s="119"/>
      <c r="M971" s="118"/>
      <c r="N971" s="119"/>
      <c r="Q971" s="118"/>
      <c r="R971" s="119"/>
      <c r="U971" s="118"/>
      <c r="V971" s="119"/>
    </row>
    <row r="972" spans="1:22" x14ac:dyDescent="0.3">
      <c r="A972" s="118"/>
      <c r="B972" s="119"/>
      <c r="E972" s="118"/>
      <c r="F972" s="119"/>
      <c r="I972" s="118"/>
      <c r="J972" s="119"/>
      <c r="M972" s="118"/>
      <c r="N972" s="119"/>
      <c r="Q972" s="118"/>
      <c r="R972" s="119"/>
      <c r="U972" s="118"/>
      <c r="V972" s="119"/>
    </row>
    <row r="973" spans="1:22" x14ac:dyDescent="0.3">
      <c r="A973" s="118"/>
      <c r="B973" s="119"/>
      <c r="E973" s="118"/>
      <c r="F973" s="119"/>
      <c r="I973" s="118"/>
      <c r="J973" s="119"/>
      <c r="M973" s="118"/>
      <c r="N973" s="119"/>
      <c r="Q973" s="118"/>
      <c r="R973" s="119"/>
      <c r="U973" s="118"/>
      <c r="V973" s="119"/>
    </row>
    <row r="974" spans="1:22" x14ac:dyDescent="0.3">
      <c r="A974" s="118"/>
      <c r="B974" s="119"/>
      <c r="E974" s="118"/>
      <c r="F974" s="119"/>
      <c r="I974" s="118"/>
      <c r="J974" s="119"/>
      <c r="M974" s="118"/>
      <c r="N974" s="119"/>
      <c r="Q974" s="118"/>
      <c r="R974" s="119"/>
      <c r="U974" s="118"/>
      <c r="V974" s="119"/>
    </row>
    <row r="975" spans="1:22" x14ac:dyDescent="0.3">
      <c r="A975" s="118"/>
      <c r="B975" s="119"/>
      <c r="E975" s="118"/>
      <c r="F975" s="119"/>
      <c r="I975" s="118"/>
      <c r="J975" s="119"/>
      <c r="M975" s="118"/>
      <c r="N975" s="119"/>
      <c r="Q975" s="118"/>
      <c r="R975" s="119"/>
      <c r="U975" s="118"/>
      <c r="V975" s="119"/>
    </row>
    <row r="976" spans="1:22" x14ac:dyDescent="0.3">
      <c r="A976" s="118"/>
      <c r="B976" s="119"/>
      <c r="E976" s="118"/>
      <c r="F976" s="119"/>
      <c r="I976" s="118"/>
      <c r="J976" s="119"/>
      <c r="M976" s="118"/>
      <c r="N976" s="119"/>
      <c r="Q976" s="118"/>
      <c r="R976" s="119"/>
      <c r="U976" s="118"/>
      <c r="V976" s="119"/>
    </row>
    <row r="977" spans="1:22" x14ac:dyDescent="0.3">
      <c r="A977" s="118"/>
      <c r="B977" s="119"/>
      <c r="E977" s="118"/>
      <c r="F977" s="119"/>
      <c r="I977" s="118"/>
      <c r="J977" s="119"/>
      <c r="M977" s="118"/>
      <c r="N977" s="119"/>
      <c r="Q977" s="118"/>
      <c r="R977" s="119"/>
      <c r="U977" s="118"/>
      <c r="V977" s="119"/>
    </row>
    <row r="978" spans="1:22" x14ac:dyDescent="0.3">
      <c r="A978" s="118"/>
      <c r="B978" s="119"/>
      <c r="E978" s="118"/>
      <c r="F978" s="119"/>
      <c r="I978" s="118"/>
      <c r="J978" s="119"/>
      <c r="M978" s="118"/>
      <c r="N978" s="119"/>
      <c r="Q978" s="118"/>
      <c r="R978" s="119"/>
      <c r="U978" s="118"/>
      <c r="V978" s="119"/>
    </row>
    <row r="979" spans="1:22" x14ac:dyDescent="0.3">
      <c r="A979" s="118"/>
      <c r="B979" s="119"/>
      <c r="E979" s="118"/>
      <c r="F979" s="119"/>
      <c r="I979" s="118"/>
      <c r="J979" s="119"/>
      <c r="M979" s="118"/>
      <c r="N979" s="119"/>
      <c r="Q979" s="118"/>
      <c r="R979" s="119"/>
      <c r="U979" s="118"/>
      <c r="V979" s="119"/>
    </row>
    <row r="980" spans="1:22" x14ac:dyDescent="0.3">
      <c r="A980" s="118"/>
      <c r="B980" s="119"/>
      <c r="E980" s="118"/>
      <c r="F980" s="119"/>
      <c r="I980" s="118"/>
      <c r="J980" s="119"/>
      <c r="M980" s="118"/>
      <c r="N980" s="119"/>
      <c r="Q980" s="118"/>
      <c r="R980" s="119"/>
      <c r="U980" s="118"/>
      <c r="V980" s="119"/>
    </row>
    <row r="981" spans="1:22" x14ac:dyDescent="0.3">
      <c r="A981" s="118"/>
      <c r="B981" s="119"/>
      <c r="E981" s="118"/>
      <c r="F981" s="119"/>
      <c r="I981" s="118"/>
      <c r="J981" s="119"/>
      <c r="M981" s="118"/>
      <c r="N981" s="119"/>
      <c r="Q981" s="118"/>
      <c r="R981" s="119"/>
      <c r="U981" s="118"/>
      <c r="V981" s="119"/>
    </row>
    <row r="982" spans="1:22" x14ac:dyDescent="0.3">
      <c r="A982" s="118"/>
      <c r="B982" s="119"/>
      <c r="E982" s="118"/>
      <c r="F982" s="119"/>
      <c r="I982" s="118"/>
      <c r="J982" s="119"/>
      <c r="M982" s="118"/>
      <c r="N982" s="119"/>
      <c r="Q982" s="118"/>
      <c r="R982" s="119"/>
      <c r="U982" s="118"/>
      <c r="V982" s="119"/>
    </row>
    <row r="983" spans="1:22" x14ac:dyDescent="0.3">
      <c r="A983" s="118"/>
      <c r="B983" s="119"/>
      <c r="E983" s="118"/>
      <c r="F983" s="119"/>
      <c r="I983" s="118"/>
      <c r="J983" s="119"/>
      <c r="M983" s="118"/>
      <c r="N983" s="119"/>
      <c r="Q983" s="118"/>
      <c r="R983" s="119"/>
      <c r="U983" s="118"/>
      <c r="V983" s="119"/>
    </row>
    <row r="984" spans="1:22" x14ac:dyDescent="0.3">
      <c r="A984" s="118"/>
      <c r="B984" s="119"/>
      <c r="E984" s="118"/>
      <c r="F984" s="119"/>
      <c r="I984" s="118"/>
      <c r="J984" s="119"/>
      <c r="M984" s="118"/>
      <c r="N984" s="119"/>
      <c r="Q984" s="118"/>
      <c r="R984" s="119"/>
      <c r="U984" s="118"/>
      <c r="V984" s="119"/>
    </row>
    <row r="985" spans="1:22" x14ac:dyDescent="0.3">
      <c r="A985" s="118"/>
      <c r="B985" s="119"/>
      <c r="E985" s="118"/>
      <c r="F985" s="119"/>
      <c r="I985" s="118"/>
      <c r="J985" s="119"/>
      <c r="M985" s="118"/>
      <c r="N985" s="119"/>
      <c r="Q985" s="118"/>
      <c r="R985" s="119"/>
      <c r="U985" s="118"/>
      <c r="V985" s="119"/>
    </row>
    <row r="986" spans="1:22" x14ac:dyDescent="0.3">
      <c r="A986" s="118"/>
      <c r="B986" s="119"/>
      <c r="E986" s="118"/>
      <c r="F986" s="119"/>
      <c r="I986" s="118"/>
      <c r="J986" s="119"/>
      <c r="M986" s="118"/>
      <c r="N986" s="119"/>
      <c r="Q986" s="118"/>
      <c r="R986" s="119"/>
      <c r="U986" s="118"/>
      <c r="V986" s="119"/>
    </row>
    <row r="987" spans="1:22" x14ac:dyDescent="0.3">
      <c r="A987" s="118"/>
      <c r="B987" s="119"/>
      <c r="E987" s="118"/>
      <c r="F987" s="119"/>
      <c r="I987" s="118"/>
      <c r="J987" s="119"/>
      <c r="M987" s="118"/>
      <c r="N987" s="119"/>
      <c r="Q987" s="118"/>
      <c r="R987" s="119"/>
      <c r="U987" s="118"/>
      <c r="V987" s="119"/>
    </row>
    <row r="988" spans="1:22" x14ac:dyDescent="0.3">
      <c r="A988" s="118"/>
      <c r="B988" s="119"/>
      <c r="E988" s="118"/>
      <c r="F988" s="119"/>
      <c r="I988" s="118"/>
      <c r="J988" s="119"/>
      <c r="M988" s="118"/>
      <c r="N988" s="119"/>
      <c r="Q988" s="118"/>
      <c r="R988" s="119"/>
      <c r="U988" s="118"/>
      <c r="V988" s="119"/>
    </row>
    <row r="989" spans="1:22" x14ac:dyDescent="0.3">
      <c r="A989" s="118"/>
      <c r="B989" s="119"/>
      <c r="E989" s="118"/>
      <c r="F989" s="119"/>
      <c r="I989" s="118"/>
      <c r="J989" s="119"/>
      <c r="M989" s="118"/>
      <c r="N989" s="119"/>
      <c r="Q989" s="118"/>
      <c r="R989" s="119"/>
      <c r="U989" s="118"/>
      <c r="V989" s="119"/>
    </row>
    <row r="990" spans="1:22" x14ac:dyDescent="0.3">
      <c r="A990" s="118"/>
      <c r="B990" s="119"/>
      <c r="E990" s="118"/>
      <c r="F990" s="119"/>
      <c r="I990" s="118"/>
      <c r="J990" s="119"/>
      <c r="M990" s="118"/>
      <c r="N990" s="119"/>
      <c r="Q990" s="118"/>
      <c r="R990" s="119"/>
      <c r="U990" s="118"/>
      <c r="V990" s="119"/>
    </row>
    <row r="991" spans="1:22" x14ac:dyDescent="0.3">
      <c r="A991" s="118"/>
      <c r="B991" s="119"/>
      <c r="E991" s="118"/>
      <c r="F991" s="119"/>
      <c r="I991" s="118"/>
      <c r="J991" s="119"/>
      <c r="M991" s="118"/>
      <c r="N991" s="119"/>
      <c r="Q991" s="118"/>
      <c r="R991" s="119"/>
      <c r="U991" s="118"/>
      <c r="V991" s="119"/>
    </row>
    <row r="992" spans="1:22" x14ac:dyDescent="0.3">
      <c r="A992" s="118"/>
      <c r="B992" s="119"/>
      <c r="E992" s="118"/>
      <c r="F992" s="119"/>
      <c r="I992" s="118"/>
      <c r="J992" s="119"/>
      <c r="M992" s="118"/>
      <c r="N992" s="119"/>
      <c r="Q992" s="118"/>
      <c r="R992" s="119"/>
      <c r="U992" s="118"/>
      <c r="V992" s="119"/>
    </row>
    <row r="993" spans="1:22" x14ac:dyDescent="0.3">
      <c r="A993" s="118"/>
      <c r="B993" s="119"/>
      <c r="E993" s="118"/>
      <c r="F993" s="119"/>
      <c r="I993" s="118"/>
      <c r="J993" s="119"/>
      <c r="M993" s="118"/>
      <c r="N993" s="119"/>
      <c r="Q993" s="118"/>
      <c r="R993" s="119"/>
      <c r="U993" s="118"/>
      <c r="V993" s="119"/>
    </row>
    <row r="994" spans="1:22" x14ac:dyDescent="0.3">
      <c r="A994" s="118"/>
      <c r="B994" s="119"/>
      <c r="E994" s="118"/>
      <c r="F994" s="119"/>
      <c r="I994" s="118"/>
      <c r="J994" s="119"/>
      <c r="M994" s="118"/>
      <c r="N994" s="119"/>
      <c r="Q994" s="118"/>
      <c r="R994" s="119"/>
      <c r="U994" s="118"/>
      <c r="V994" s="119"/>
    </row>
    <row r="995" spans="1:22" x14ac:dyDescent="0.3">
      <c r="A995" s="118"/>
      <c r="B995" s="119"/>
      <c r="E995" s="118"/>
      <c r="F995" s="119"/>
      <c r="I995" s="118"/>
      <c r="J995" s="119"/>
      <c r="M995" s="118"/>
      <c r="N995" s="119"/>
      <c r="Q995" s="118"/>
      <c r="R995" s="119"/>
      <c r="U995" s="118"/>
      <c r="V995" s="119"/>
    </row>
    <row r="996" spans="1:22" x14ac:dyDescent="0.3">
      <c r="A996" s="118"/>
      <c r="B996" s="119"/>
      <c r="E996" s="118"/>
      <c r="F996" s="119"/>
      <c r="I996" s="118"/>
      <c r="J996" s="119"/>
      <c r="M996" s="118"/>
      <c r="N996" s="119"/>
      <c r="Q996" s="118"/>
      <c r="R996" s="119"/>
      <c r="U996" s="118"/>
      <c r="V996" s="119"/>
    </row>
    <row r="997" spans="1:22" x14ac:dyDescent="0.3">
      <c r="A997" s="118"/>
      <c r="B997" s="119"/>
      <c r="E997" s="118"/>
      <c r="F997" s="119"/>
      <c r="I997" s="118"/>
      <c r="J997" s="119"/>
      <c r="M997" s="118"/>
      <c r="N997" s="119"/>
      <c r="Q997" s="118"/>
      <c r="R997" s="119"/>
      <c r="U997" s="118"/>
      <c r="V997" s="119"/>
    </row>
    <row r="998" spans="1:22" x14ac:dyDescent="0.3">
      <c r="A998" s="118"/>
      <c r="B998" s="119"/>
      <c r="E998" s="118"/>
      <c r="F998" s="119"/>
      <c r="I998" s="118"/>
      <c r="J998" s="119"/>
      <c r="M998" s="118"/>
      <c r="N998" s="119"/>
      <c r="Q998" s="118"/>
      <c r="R998" s="119"/>
      <c r="U998" s="118"/>
      <c r="V998" s="119"/>
    </row>
    <row r="999" spans="1:22" x14ac:dyDescent="0.3">
      <c r="A999" s="118"/>
      <c r="B999" s="119"/>
      <c r="E999" s="118"/>
      <c r="F999" s="119"/>
      <c r="I999" s="118"/>
      <c r="J999" s="119"/>
      <c r="M999" s="118"/>
      <c r="N999" s="119"/>
      <c r="Q999" s="118"/>
      <c r="R999" s="119"/>
      <c r="U999" s="118"/>
      <c r="V999" s="119"/>
    </row>
    <row r="1000" spans="1:22" x14ac:dyDescent="0.3">
      <c r="A1000" s="118"/>
      <c r="B1000" s="119"/>
      <c r="E1000" s="118"/>
      <c r="F1000" s="119"/>
      <c r="I1000" s="118"/>
      <c r="J1000" s="119"/>
      <c r="M1000" s="118"/>
      <c r="N1000" s="119"/>
      <c r="Q1000" s="118"/>
      <c r="R1000" s="119"/>
      <c r="U1000" s="118"/>
      <c r="V1000" s="119"/>
    </row>
  </sheetData>
  <mergeCells count="30">
    <mergeCell ref="E1:H1"/>
    <mergeCell ref="E2:F2"/>
    <mergeCell ref="G2:H2"/>
    <mergeCell ref="E3:F3"/>
    <mergeCell ref="G3:H3"/>
    <mergeCell ref="A1:D1"/>
    <mergeCell ref="A2:B2"/>
    <mergeCell ref="C2:D2"/>
    <mergeCell ref="A3:B3"/>
    <mergeCell ref="C3:D3"/>
    <mergeCell ref="M1:P1"/>
    <mergeCell ref="M2:N2"/>
    <mergeCell ref="O2:P2"/>
    <mergeCell ref="M3:N3"/>
    <mergeCell ref="O3:P3"/>
    <mergeCell ref="I1:L1"/>
    <mergeCell ref="I2:J2"/>
    <mergeCell ref="K2:L2"/>
    <mergeCell ref="I3:J3"/>
    <mergeCell ref="K3:L3"/>
    <mergeCell ref="U1:X1"/>
    <mergeCell ref="U2:V2"/>
    <mergeCell ref="W2:X2"/>
    <mergeCell ref="U3:V3"/>
    <mergeCell ref="W3:X3"/>
    <mergeCell ref="Q1:T1"/>
    <mergeCell ref="Q2:R2"/>
    <mergeCell ref="S2:T2"/>
    <mergeCell ref="Q3:R3"/>
    <mergeCell ref="S3:T3"/>
  </mergeCells>
  <pageMargins left="0.511811024" right="0.511811024" top="0.78740157499999996" bottom="0.78740157499999996" header="0.31496062000000002" footer="0.31496062000000002"/>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BAD48-D62A-4FCF-8F89-3F8C777AE3B4}">
  <sheetPr codeName="Plan18"/>
  <dimension ref="A1:X1000"/>
  <sheetViews>
    <sheetView topLeftCell="A94" workbookViewId="0">
      <selection activeCell="B100" sqref="B100"/>
    </sheetView>
  </sheetViews>
  <sheetFormatPr defaultColWidth="9.21875" defaultRowHeight="14.4" x14ac:dyDescent="0.3"/>
  <cols>
    <col min="1" max="1" width="7.6640625" customWidth="1"/>
    <col min="2" max="3" width="18.6640625" customWidth="1"/>
    <col min="4" max="5" width="7.6640625" customWidth="1"/>
    <col min="6" max="7" width="18.6640625" customWidth="1"/>
    <col min="8" max="9" width="7.6640625" customWidth="1"/>
    <col min="10" max="11" width="18.6640625" customWidth="1"/>
    <col min="12" max="13" width="7.6640625" customWidth="1"/>
    <col min="14" max="15" width="18.6640625" customWidth="1"/>
    <col min="16" max="17" width="7.6640625" customWidth="1"/>
    <col min="18" max="19" width="18.6640625" customWidth="1"/>
    <col min="20" max="21" width="7.6640625" customWidth="1"/>
    <col min="22" max="23" width="18.6640625" customWidth="1"/>
    <col min="24" max="24" width="7.6640625" customWidth="1"/>
    <col min="25" max="25" width="10.77734375" bestFit="1" customWidth="1"/>
    <col min="26" max="26" width="19.5546875" bestFit="1" customWidth="1"/>
    <col min="27" max="27" width="10.77734375" bestFit="1" customWidth="1"/>
    <col min="28" max="28" width="19.44140625" bestFit="1" customWidth="1"/>
    <col min="29" max="29" width="18.5546875" bestFit="1" customWidth="1"/>
    <col min="30" max="30" width="8.44140625" bestFit="1" customWidth="1"/>
    <col min="31" max="31" width="18.44140625" bestFit="1" customWidth="1"/>
    <col min="32" max="32" width="8.44140625" bestFit="1" customWidth="1"/>
    <col min="33" max="33" width="10.77734375" bestFit="1" customWidth="1"/>
    <col min="34" max="34" width="19.5546875" bestFit="1" customWidth="1"/>
    <col min="35" max="35" width="10.77734375" bestFit="1" customWidth="1"/>
    <col min="36" max="36" width="19.44140625" bestFit="1" customWidth="1"/>
    <col min="37" max="37" width="18.5546875" bestFit="1" customWidth="1"/>
    <col min="38" max="38" width="8.44140625" bestFit="1" customWidth="1"/>
    <col min="39" max="39" width="18.44140625" bestFit="1" customWidth="1"/>
    <col min="40" max="40" width="8.44140625" bestFit="1" customWidth="1"/>
    <col min="41" max="41" width="10.77734375" bestFit="1" customWidth="1"/>
    <col min="42" max="42" width="19.5546875" bestFit="1" customWidth="1"/>
    <col min="43" max="43" width="10.77734375" bestFit="1" customWidth="1"/>
    <col min="44" max="44" width="19.44140625" bestFit="1" customWidth="1"/>
    <col min="45" max="45" width="18.5546875" bestFit="1" customWidth="1"/>
    <col min="46" max="46" width="8.44140625" bestFit="1" customWidth="1"/>
    <col min="47" max="47" width="18.44140625" bestFit="1" customWidth="1"/>
    <col min="48" max="48" width="8.44140625" bestFit="1" customWidth="1"/>
  </cols>
  <sheetData>
    <row r="1" spans="1:24" x14ac:dyDescent="0.3">
      <c r="A1" s="145" t="s">
        <v>7241</v>
      </c>
      <c r="B1" s="145"/>
      <c r="C1" s="145"/>
      <c r="D1" s="145"/>
      <c r="E1" s="145" t="s">
        <v>7241</v>
      </c>
      <c r="F1" s="145"/>
      <c r="G1" s="145"/>
      <c r="H1" s="145"/>
      <c r="I1" s="145" t="s">
        <v>7241</v>
      </c>
      <c r="J1" s="145"/>
      <c r="K1" s="145"/>
      <c r="L1" s="145"/>
      <c r="M1" s="145" t="s">
        <v>7241</v>
      </c>
      <c r="N1" s="145"/>
      <c r="O1" s="145"/>
      <c r="P1" s="145"/>
      <c r="Q1" s="145" t="s">
        <v>7241</v>
      </c>
      <c r="R1" s="145"/>
      <c r="S1" s="145"/>
      <c r="T1" s="145"/>
      <c r="U1" s="145" t="s">
        <v>7241</v>
      </c>
      <c r="V1" s="145"/>
      <c r="W1" s="145"/>
      <c r="X1" s="145"/>
    </row>
    <row r="2" spans="1:24" x14ac:dyDescent="0.3">
      <c r="A2" s="150" t="s">
        <v>7242</v>
      </c>
      <c r="B2" s="151"/>
      <c r="C2" s="145"/>
      <c r="D2" s="145"/>
      <c r="E2" s="150" t="s">
        <v>7242</v>
      </c>
      <c r="F2" s="151"/>
      <c r="G2" s="145"/>
      <c r="H2" s="145"/>
      <c r="I2" s="150" t="s">
        <v>7242</v>
      </c>
      <c r="J2" s="151"/>
      <c r="K2" s="145"/>
      <c r="L2" s="145"/>
      <c r="M2" s="150" t="s">
        <v>7242</v>
      </c>
      <c r="N2" s="151"/>
      <c r="O2" s="145"/>
      <c r="P2" s="151"/>
      <c r="Q2" s="150" t="s">
        <v>7242</v>
      </c>
      <c r="R2" s="151"/>
      <c r="S2" s="145"/>
      <c r="T2" s="145"/>
      <c r="U2" s="150" t="s">
        <v>7242</v>
      </c>
      <c r="V2" s="151"/>
      <c r="W2" s="145"/>
      <c r="X2" s="145"/>
    </row>
    <row r="3" spans="1:24" x14ac:dyDescent="0.3">
      <c r="A3" s="150" t="s">
        <v>7244</v>
      </c>
      <c r="B3" s="151"/>
      <c r="C3" s="145" t="s">
        <v>7245</v>
      </c>
      <c r="D3" s="145"/>
      <c r="E3" s="150" t="s">
        <v>7282</v>
      </c>
      <c r="F3" s="151"/>
      <c r="G3" s="145" t="s">
        <v>7283</v>
      </c>
      <c r="H3" s="145"/>
      <c r="I3" s="150" t="s">
        <v>7320</v>
      </c>
      <c r="J3" s="151"/>
      <c r="K3" s="145" t="s">
        <v>7321</v>
      </c>
      <c r="L3" s="145"/>
      <c r="M3" s="150" t="s">
        <v>7358</v>
      </c>
      <c r="N3" s="151"/>
      <c r="O3" s="145" t="s">
        <v>7359</v>
      </c>
      <c r="P3" s="151"/>
      <c r="Q3" s="150" t="s">
        <v>7396</v>
      </c>
      <c r="R3" s="151"/>
      <c r="S3" s="145" t="s">
        <v>7397</v>
      </c>
      <c r="T3" s="145"/>
      <c r="U3" s="150" t="s">
        <v>7434</v>
      </c>
      <c r="V3" s="151"/>
      <c r="W3" s="145" t="s">
        <v>7435</v>
      </c>
      <c r="X3" s="145"/>
    </row>
    <row r="4" spans="1:24" x14ac:dyDescent="0.3">
      <c r="A4" s="126" t="s">
        <v>961</v>
      </c>
      <c r="B4" s="127" t="s">
        <v>962</v>
      </c>
      <c r="C4" s="66" t="s">
        <v>961</v>
      </c>
      <c r="D4" s="66" t="s">
        <v>962</v>
      </c>
      <c r="E4" s="126" t="s">
        <v>961</v>
      </c>
      <c r="F4" s="127" t="s">
        <v>962</v>
      </c>
      <c r="G4" s="66" t="s">
        <v>961</v>
      </c>
      <c r="H4" s="66" t="s">
        <v>962</v>
      </c>
      <c r="I4" s="126" t="s">
        <v>961</v>
      </c>
      <c r="J4" s="127" t="s">
        <v>962</v>
      </c>
      <c r="K4" s="66" t="s">
        <v>961</v>
      </c>
      <c r="L4" s="66" t="s">
        <v>962</v>
      </c>
      <c r="M4" s="126" t="s">
        <v>961</v>
      </c>
      <c r="N4" s="127" t="s">
        <v>962</v>
      </c>
      <c r="O4" s="66" t="s">
        <v>961</v>
      </c>
      <c r="P4" s="66" t="s">
        <v>962</v>
      </c>
      <c r="Q4" s="126" t="s">
        <v>961</v>
      </c>
      <c r="R4" s="127" t="s">
        <v>962</v>
      </c>
      <c r="S4" s="66" t="s">
        <v>961</v>
      </c>
      <c r="T4" s="66" t="s">
        <v>962</v>
      </c>
      <c r="U4" s="126" t="s">
        <v>961</v>
      </c>
      <c r="V4" s="127" t="s">
        <v>962</v>
      </c>
      <c r="W4" s="66" t="s">
        <v>961</v>
      </c>
      <c r="X4" s="66" t="s">
        <v>962</v>
      </c>
    </row>
    <row r="5" spans="1:24" x14ac:dyDescent="0.3">
      <c r="A5" s="118"/>
      <c r="B5" s="119" t="s">
        <v>7248</v>
      </c>
      <c r="C5" t="s">
        <v>7254</v>
      </c>
      <c r="E5" s="118"/>
      <c r="F5" s="119" t="s">
        <v>7286</v>
      </c>
      <c r="G5" t="s">
        <v>7292</v>
      </c>
      <c r="I5" s="118"/>
      <c r="J5" s="119" t="s">
        <v>7324</v>
      </c>
      <c r="K5" t="s">
        <v>7330</v>
      </c>
      <c r="M5" s="118"/>
      <c r="N5" s="119" t="s">
        <v>7362</v>
      </c>
      <c r="O5" t="s">
        <v>7368</v>
      </c>
      <c r="Q5" s="118"/>
      <c r="R5" s="119" t="s">
        <v>7400</v>
      </c>
      <c r="S5" t="s">
        <v>7406</v>
      </c>
      <c r="U5" s="118"/>
      <c r="V5" s="119" t="s">
        <v>7438</v>
      </c>
      <c r="W5" t="s">
        <v>7444</v>
      </c>
    </row>
    <row r="6" spans="1:24" x14ac:dyDescent="0.3">
      <c r="A6" s="118"/>
      <c r="B6" s="119" t="s">
        <v>7249</v>
      </c>
      <c r="C6" t="s">
        <v>7255</v>
      </c>
      <c r="E6" s="118"/>
      <c r="F6" s="119" t="s">
        <v>7287</v>
      </c>
      <c r="G6" t="s">
        <v>7293</v>
      </c>
      <c r="I6" s="118"/>
      <c r="J6" s="119" t="s">
        <v>7325</v>
      </c>
      <c r="K6" t="s">
        <v>7331</v>
      </c>
      <c r="M6" s="118"/>
      <c r="N6" s="119" t="s">
        <v>7363</v>
      </c>
      <c r="O6" t="s">
        <v>7369</v>
      </c>
      <c r="Q6" s="118"/>
      <c r="R6" s="119" t="s">
        <v>7401</v>
      </c>
      <c r="S6" t="s">
        <v>7407</v>
      </c>
      <c r="U6" s="118"/>
      <c r="V6" s="119" t="s">
        <v>7439</v>
      </c>
      <c r="W6" t="s">
        <v>7445</v>
      </c>
    </row>
    <row r="7" spans="1:24" x14ac:dyDescent="0.3">
      <c r="A7" s="118"/>
      <c r="B7" s="119" t="s">
        <v>7260</v>
      </c>
      <c r="C7" t="s">
        <v>7266</v>
      </c>
      <c r="E7" s="118"/>
      <c r="F7" s="119" t="s">
        <v>7298</v>
      </c>
      <c r="G7" t="s">
        <v>7304</v>
      </c>
      <c r="I7" s="118"/>
      <c r="J7" s="119" t="s">
        <v>7336</v>
      </c>
      <c r="K7" t="s">
        <v>7342</v>
      </c>
      <c r="M7" s="118"/>
      <c r="N7" s="119" t="s">
        <v>7374</v>
      </c>
      <c r="O7" t="s">
        <v>7380</v>
      </c>
      <c r="Q7" s="118"/>
      <c r="R7" s="119" t="s">
        <v>7412</v>
      </c>
      <c r="S7" t="s">
        <v>7418</v>
      </c>
      <c r="U7" s="118"/>
      <c r="V7" s="119" t="s">
        <v>7450</v>
      </c>
      <c r="W7" t="s">
        <v>7456</v>
      </c>
    </row>
    <row r="8" spans="1:24" x14ac:dyDescent="0.3">
      <c r="A8" s="118"/>
      <c r="B8" s="119" t="s">
        <v>7261</v>
      </c>
      <c r="C8" t="s">
        <v>7267</v>
      </c>
      <c r="E8" s="118"/>
      <c r="F8" s="119" t="s">
        <v>7299</v>
      </c>
      <c r="G8" t="s">
        <v>7305</v>
      </c>
      <c r="I8" s="118"/>
      <c r="J8" s="119" t="s">
        <v>7337</v>
      </c>
      <c r="K8" t="s">
        <v>7343</v>
      </c>
      <c r="M8" s="118"/>
      <c r="N8" s="119" t="s">
        <v>7375</v>
      </c>
      <c r="O8" t="s">
        <v>7381</v>
      </c>
      <c r="Q8" s="118"/>
      <c r="R8" s="119" t="s">
        <v>7413</v>
      </c>
      <c r="S8" t="s">
        <v>7419</v>
      </c>
      <c r="U8" s="118"/>
      <c r="V8" s="119" t="s">
        <v>7451</v>
      </c>
      <c r="W8" t="s">
        <v>7457</v>
      </c>
    </row>
    <row r="9" spans="1:24" x14ac:dyDescent="0.3">
      <c r="A9" s="118"/>
      <c r="B9" s="119" t="s">
        <v>7272</v>
      </c>
      <c r="C9" t="s">
        <v>7278</v>
      </c>
      <c r="E9" s="118"/>
      <c r="F9" s="119" t="s">
        <v>7310</v>
      </c>
      <c r="G9" t="s">
        <v>7316</v>
      </c>
      <c r="I9" s="118"/>
      <c r="J9" s="119" t="s">
        <v>7348</v>
      </c>
      <c r="K9" t="s">
        <v>7354</v>
      </c>
      <c r="M9" s="118"/>
      <c r="N9" s="119" t="s">
        <v>7386</v>
      </c>
      <c r="O9" t="s">
        <v>7392</v>
      </c>
      <c r="Q9" s="118"/>
      <c r="R9" s="119" t="s">
        <v>7424</v>
      </c>
      <c r="S9" t="s">
        <v>7430</v>
      </c>
      <c r="U9" s="118"/>
      <c r="V9" s="119" t="s">
        <v>7462</v>
      </c>
      <c r="W9" t="s">
        <v>7468</v>
      </c>
    </row>
    <row r="10" spans="1:24" x14ac:dyDescent="0.3">
      <c r="A10" s="118"/>
      <c r="B10" s="119" t="s">
        <v>7273</v>
      </c>
      <c r="C10" t="s">
        <v>7279</v>
      </c>
      <c r="E10" s="118"/>
      <c r="F10" s="119" t="s">
        <v>7311</v>
      </c>
      <c r="G10" t="s">
        <v>7317</v>
      </c>
      <c r="I10" s="118"/>
      <c r="J10" s="119" t="s">
        <v>7349</v>
      </c>
      <c r="K10" t="s">
        <v>7355</v>
      </c>
      <c r="M10" s="118"/>
      <c r="N10" s="119" t="s">
        <v>7387</v>
      </c>
      <c r="O10" t="s">
        <v>7393</v>
      </c>
      <c r="Q10" s="118"/>
      <c r="R10" s="119" t="s">
        <v>7425</v>
      </c>
      <c r="S10" t="s">
        <v>7431</v>
      </c>
      <c r="U10" s="118"/>
      <c r="V10" s="119" t="s">
        <v>7463</v>
      </c>
      <c r="W10" t="s">
        <v>7469</v>
      </c>
    </row>
    <row r="11" spans="1:24" x14ac:dyDescent="0.3">
      <c r="A11" s="118"/>
      <c r="B11" s="119" t="s">
        <v>7474</v>
      </c>
      <c r="C11" t="s">
        <v>7480</v>
      </c>
      <c r="E11" s="118"/>
      <c r="F11" s="119" t="s">
        <v>7510</v>
      </c>
      <c r="G11" t="s">
        <v>7516</v>
      </c>
      <c r="I11" s="118"/>
      <c r="J11" s="119" t="s">
        <v>7546</v>
      </c>
      <c r="K11" t="s">
        <v>7552</v>
      </c>
      <c r="M11" s="118"/>
      <c r="N11" s="119" t="s">
        <v>7582</v>
      </c>
      <c r="O11" t="s">
        <v>7588</v>
      </c>
      <c r="Q11" s="118"/>
      <c r="R11" s="119" t="s">
        <v>7618</v>
      </c>
      <c r="S11" t="s">
        <v>7624</v>
      </c>
      <c r="U11" s="118"/>
      <c r="V11" s="119" t="s">
        <v>7654</v>
      </c>
      <c r="W11" t="s">
        <v>7660</v>
      </c>
    </row>
    <row r="12" spans="1:24" x14ac:dyDescent="0.3">
      <c r="A12" s="118"/>
      <c r="B12" s="119" t="s">
        <v>7475</v>
      </c>
      <c r="C12" t="s">
        <v>7481</v>
      </c>
      <c r="E12" s="118"/>
      <c r="F12" s="119" t="s">
        <v>7511</v>
      </c>
      <c r="G12" t="s">
        <v>7517</v>
      </c>
      <c r="I12" s="118"/>
      <c r="J12" s="119" t="s">
        <v>7547</v>
      </c>
      <c r="K12" t="s">
        <v>7553</v>
      </c>
      <c r="M12" s="118"/>
      <c r="N12" s="119" t="s">
        <v>7583</v>
      </c>
      <c r="O12" t="s">
        <v>7589</v>
      </c>
      <c r="Q12" s="118"/>
      <c r="R12" s="119" t="s">
        <v>7619</v>
      </c>
      <c r="S12" t="s">
        <v>7625</v>
      </c>
      <c r="U12" s="118"/>
      <c r="V12" s="119" t="s">
        <v>7655</v>
      </c>
      <c r="W12" t="s">
        <v>7661</v>
      </c>
    </row>
    <row r="13" spans="1:24" x14ac:dyDescent="0.3">
      <c r="A13" s="118"/>
      <c r="B13" s="119" t="s">
        <v>7486</v>
      </c>
      <c r="C13" t="s">
        <v>7492</v>
      </c>
      <c r="E13" s="118"/>
      <c r="F13" s="119" t="s">
        <v>7522</v>
      </c>
      <c r="G13" t="s">
        <v>7528</v>
      </c>
      <c r="I13" s="118"/>
      <c r="J13" s="119" t="s">
        <v>7558</v>
      </c>
      <c r="K13" t="s">
        <v>7564</v>
      </c>
      <c r="M13" s="118"/>
      <c r="N13" s="119" t="s">
        <v>7594</v>
      </c>
      <c r="O13" t="s">
        <v>7600</v>
      </c>
      <c r="Q13" s="118"/>
      <c r="R13" s="119" t="s">
        <v>7630</v>
      </c>
      <c r="S13" t="s">
        <v>7636</v>
      </c>
      <c r="U13" s="118"/>
      <c r="V13" s="119" t="s">
        <v>7666</v>
      </c>
      <c r="W13" t="s">
        <v>7672</v>
      </c>
    </row>
    <row r="14" spans="1:24" x14ac:dyDescent="0.3">
      <c r="A14" s="118"/>
      <c r="B14" s="119" t="s">
        <v>7487</v>
      </c>
      <c r="C14" t="s">
        <v>7493</v>
      </c>
      <c r="E14" s="118"/>
      <c r="F14" s="119" t="s">
        <v>7523</v>
      </c>
      <c r="G14" t="s">
        <v>7529</v>
      </c>
      <c r="I14" s="118"/>
      <c r="J14" s="119" t="s">
        <v>7559</v>
      </c>
      <c r="K14" t="s">
        <v>7565</v>
      </c>
      <c r="M14" s="118"/>
      <c r="N14" s="119" t="s">
        <v>7595</v>
      </c>
      <c r="O14" t="s">
        <v>7601</v>
      </c>
      <c r="Q14" s="118"/>
      <c r="R14" s="119" t="s">
        <v>7631</v>
      </c>
      <c r="S14" t="s">
        <v>7637</v>
      </c>
      <c r="U14" s="118"/>
      <c r="V14" s="119" t="s">
        <v>7667</v>
      </c>
      <c r="W14" t="s">
        <v>7673</v>
      </c>
    </row>
    <row r="15" spans="1:24" x14ac:dyDescent="0.3">
      <c r="A15" s="118"/>
      <c r="B15" s="119" t="s">
        <v>7498</v>
      </c>
      <c r="C15" t="s">
        <v>7504</v>
      </c>
      <c r="E15" s="118"/>
      <c r="F15" s="119" t="s">
        <v>7534</v>
      </c>
      <c r="G15" t="s">
        <v>7540</v>
      </c>
      <c r="I15" s="118"/>
      <c r="J15" s="119" t="s">
        <v>7570</v>
      </c>
      <c r="K15" t="s">
        <v>7576</v>
      </c>
      <c r="M15" s="118"/>
      <c r="N15" s="119" t="s">
        <v>7606</v>
      </c>
      <c r="O15" t="s">
        <v>7612</v>
      </c>
      <c r="Q15" s="118"/>
      <c r="R15" s="119" t="s">
        <v>7642</v>
      </c>
      <c r="S15" t="s">
        <v>7648</v>
      </c>
      <c r="U15" s="118"/>
      <c r="V15" s="119" t="s">
        <v>7678</v>
      </c>
      <c r="W15" t="s">
        <v>7684</v>
      </c>
    </row>
    <row r="16" spans="1:24" x14ac:dyDescent="0.3">
      <c r="A16" s="118"/>
      <c r="B16" s="119" t="s">
        <v>7499</v>
      </c>
      <c r="C16" t="s">
        <v>7505</v>
      </c>
      <c r="E16" s="118"/>
      <c r="F16" s="119" t="s">
        <v>7535</v>
      </c>
      <c r="G16" t="s">
        <v>7541</v>
      </c>
      <c r="I16" s="118"/>
      <c r="J16" s="119" t="s">
        <v>7571</v>
      </c>
      <c r="K16" t="s">
        <v>7577</v>
      </c>
      <c r="M16" s="118"/>
      <c r="N16" s="119" t="s">
        <v>7607</v>
      </c>
      <c r="O16" t="s">
        <v>7613</v>
      </c>
      <c r="Q16" s="118"/>
      <c r="R16" s="119" t="s">
        <v>7643</v>
      </c>
      <c r="S16" t="s">
        <v>7649</v>
      </c>
      <c r="U16" s="118"/>
      <c r="V16" s="119" t="s">
        <v>7679</v>
      </c>
      <c r="W16" t="s">
        <v>7685</v>
      </c>
    </row>
    <row r="17" spans="1:23" x14ac:dyDescent="0.3">
      <c r="A17" s="118"/>
      <c r="B17" s="119" t="s">
        <v>7690</v>
      </c>
      <c r="C17" t="s">
        <v>7696</v>
      </c>
      <c r="E17" s="118"/>
      <c r="F17" s="119" t="s">
        <v>7726</v>
      </c>
      <c r="G17" t="s">
        <v>7732</v>
      </c>
      <c r="I17" s="118"/>
      <c r="J17" s="119" t="s">
        <v>7762</v>
      </c>
      <c r="K17" t="s">
        <v>7768</v>
      </c>
      <c r="M17" s="118"/>
      <c r="N17" s="119" t="s">
        <v>7798</v>
      </c>
      <c r="O17" t="s">
        <v>7804</v>
      </c>
      <c r="Q17" s="118"/>
      <c r="R17" s="119" t="s">
        <v>7834</v>
      </c>
      <c r="S17" t="s">
        <v>7840</v>
      </c>
      <c r="U17" s="118"/>
      <c r="V17" s="119" t="s">
        <v>7870</v>
      </c>
      <c r="W17" t="s">
        <v>7876</v>
      </c>
    </row>
    <row r="18" spans="1:23" x14ac:dyDescent="0.3">
      <c r="A18" s="118"/>
      <c r="B18" s="119" t="s">
        <v>7691</v>
      </c>
      <c r="C18" t="s">
        <v>7697</v>
      </c>
      <c r="E18" s="118"/>
      <c r="F18" s="119" t="s">
        <v>7727</v>
      </c>
      <c r="G18" t="s">
        <v>7733</v>
      </c>
      <c r="I18" s="118"/>
      <c r="J18" s="119" t="s">
        <v>7763</v>
      </c>
      <c r="K18" t="s">
        <v>7769</v>
      </c>
      <c r="M18" s="118"/>
      <c r="N18" s="119" t="s">
        <v>7799</v>
      </c>
      <c r="O18" t="s">
        <v>7805</v>
      </c>
      <c r="Q18" s="118"/>
      <c r="R18" s="119" t="s">
        <v>7835</v>
      </c>
      <c r="S18" t="s">
        <v>7841</v>
      </c>
      <c r="U18" s="118"/>
      <c r="V18" s="119" t="s">
        <v>7871</v>
      </c>
      <c r="W18" t="s">
        <v>7877</v>
      </c>
    </row>
    <row r="19" spans="1:23" x14ac:dyDescent="0.3">
      <c r="A19" s="118"/>
      <c r="B19" s="119" t="s">
        <v>7702</v>
      </c>
      <c r="C19" t="s">
        <v>7708</v>
      </c>
      <c r="E19" s="118"/>
      <c r="F19" s="119" t="s">
        <v>7738</v>
      </c>
      <c r="G19" t="s">
        <v>7744</v>
      </c>
      <c r="I19" s="118"/>
      <c r="J19" s="119" t="s">
        <v>7774</v>
      </c>
      <c r="K19" t="s">
        <v>7780</v>
      </c>
      <c r="M19" s="118"/>
      <c r="N19" s="119" t="s">
        <v>7810</v>
      </c>
      <c r="O19" t="s">
        <v>7816</v>
      </c>
      <c r="Q19" s="118"/>
      <c r="R19" s="119" t="s">
        <v>7846</v>
      </c>
      <c r="S19" t="s">
        <v>7852</v>
      </c>
      <c r="U19" s="118"/>
      <c r="V19" s="119" t="s">
        <v>7882</v>
      </c>
      <c r="W19" t="s">
        <v>7888</v>
      </c>
    </row>
    <row r="20" spans="1:23" x14ac:dyDescent="0.3">
      <c r="A20" s="118"/>
      <c r="B20" s="119" t="s">
        <v>7703</v>
      </c>
      <c r="C20" t="s">
        <v>7709</v>
      </c>
      <c r="E20" s="118"/>
      <c r="F20" s="119" t="s">
        <v>7739</v>
      </c>
      <c r="G20" t="s">
        <v>7745</v>
      </c>
      <c r="I20" s="118"/>
      <c r="J20" s="119" t="s">
        <v>7775</v>
      </c>
      <c r="K20" t="s">
        <v>7781</v>
      </c>
      <c r="M20" s="118"/>
      <c r="N20" s="119" t="s">
        <v>7811</v>
      </c>
      <c r="O20" t="s">
        <v>7817</v>
      </c>
      <c r="Q20" s="118"/>
      <c r="R20" s="119" t="s">
        <v>7847</v>
      </c>
      <c r="S20" t="s">
        <v>7853</v>
      </c>
      <c r="U20" s="118"/>
      <c r="V20" s="119" t="s">
        <v>7883</v>
      </c>
      <c r="W20" t="s">
        <v>7889</v>
      </c>
    </row>
    <row r="21" spans="1:23" x14ac:dyDescent="0.3">
      <c r="A21" s="118"/>
      <c r="B21" s="119" t="s">
        <v>7714</v>
      </c>
      <c r="C21" t="s">
        <v>7720</v>
      </c>
      <c r="E21" s="118"/>
      <c r="F21" s="119" t="s">
        <v>7750</v>
      </c>
      <c r="G21" t="s">
        <v>7756</v>
      </c>
      <c r="I21" s="118"/>
      <c r="J21" s="119" t="s">
        <v>7786</v>
      </c>
      <c r="K21" t="s">
        <v>7792</v>
      </c>
      <c r="M21" s="118"/>
      <c r="N21" s="119" t="s">
        <v>7822</v>
      </c>
      <c r="O21" t="s">
        <v>7828</v>
      </c>
      <c r="Q21" s="118"/>
      <c r="R21" s="119" t="s">
        <v>7858</v>
      </c>
      <c r="S21" t="s">
        <v>7864</v>
      </c>
      <c r="U21" s="118"/>
      <c r="V21" s="119" t="s">
        <v>7894</v>
      </c>
      <c r="W21" t="s">
        <v>7900</v>
      </c>
    </row>
    <row r="22" spans="1:23" x14ac:dyDescent="0.3">
      <c r="A22" s="118"/>
      <c r="B22" s="119" t="s">
        <v>7715</v>
      </c>
      <c r="C22" t="s">
        <v>7721</v>
      </c>
      <c r="E22" s="118"/>
      <c r="F22" s="119" t="s">
        <v>7751</v>
      </c>
      <c r="G22" t="s">
        <v>7757</v>
      </c>
      <c r="I22" s="118"/>
      <c r="J22" s="119" t="s">
        <v>7787</v>
      </c>
      <c r="K22" t="s">
        <v>7793</v>
      </c>
      <c r="M22" s="118"/>
      <c r="N22" s="119" t="s">
        <v>7823</v>
      </c>
      <c r="O22" t="s">
        <v>7829</v>
      </c>
      <c r="Q22" s="118"/>
      <c r="R22" s="119" t="s">
        <v>7859</v>
      </c>
      <c r="S22" t="s">
        <v>7865</v>
      </c>
      <c r="U22" s="118"/>
      <c r="V22" s="119" t="s">
        <v>7895</v>
      </c>
      <c r="W22" t="s">
        <v>7901</v>
      </c>
    </row>
    <row r="23" spans="1:23" x14ac:dyDescent="0.3">
      <c r="A23" s="118"/>
      <c r="B23" s="119" t="s">
        <v>7906</v>
      </c>
      <c r="C23" t="s">
        <v>7912</v>
      </c>
      <c r="E23" s="118"/>
      <c r="F23" s="119" t="s">
        <v>7942</v>
      </c>
      <c r="G23" t="s">
        <v>7948</v>
      </c>
      <c r="I23" s="118"/>
      <c r="J23" s="119" t="s">
        <v>7978</v>
      </c>
      <c r="K23" t="s">
        <v>7984</v>
      </c>
      <c r="M23" s="118"/>
      <c r="N23" s="119" t="s">
        <v>8014</v>
      </c>
      <c r="O23" t="s">
        <v>8020</v>
      </c>
      <c r="Q23" s="118"/>
      <c r="R23" s="119" t="s">
        <v>8050</v>
      </c>
      <c r="S23" t="s">
        <v>8056</v>
      </c>
      <c r="U23" s="118"/>
      <c r="V23" s="119" t="s">
        <v>8086</v>
      </c>
      <c r="W23" t="s">
        <v>8092</v>
      </c>
    </row>
    <row r="24" spans="1:23" x14ac:dyDescent="0.3">
      <c r="A24" s="118"/>
      <c r="B24" s="119" t="s">
        <v>7907</v>
      </c>
      <c r="C24" t="s">
        <v>7913</v>
      </c>
      <c r="E24" s="118"/>
      <c r="F24" s="119" t="s">
        <v>7943</v>
      </c>
      <c r="G24" t="s">
        <v>7949</v>
      </c>
      <c r="I24" s="118"/>
      <c r="J24" s="119" t="s">
        <v>7979</v>
      </c>
      <c r="K24" t="s">
        <v>7985</v>
      </c>
      <c r="M24" s="118"/>
      <c r="N24" s="119" t="s">
        <v>8015</v>
      </c>
      <c r="O24" t="s">
        <v>8021</v>
      </c>
      <c r="Q24" s="118"/>
      <c r="R24" s="119" t="s">
        <v>8051</v>
      </c>
      <c r="S24" t="s">
        <v>8057</v>
      </c>
      <c r="U24" s="118"/>
      <c r="V24" s="119" t="s">
        <v>8087</v>
      </c>
      <c r="W24" t="s">
        <v>8093</v>
      </c>
    </row>
    <row r="25" spans="1:23" x14ac:dyDescent="0.3">
      <c r="A25" s="118"/>
      <c r="B25" s="119" t="s">
        <v>7918</v>
      </c>
      <c r="C25" t="s">
        <v>7924</v>
      </c>
      <c r="E25" s="118"/>
      <c r="F25" s="119" t="s">
        <v>7954</v>
      </c>
      <c r="G25" t="s">
        <v>7960</v>
      </c>
      <c r="I25" s="118"/>
      <c r="J25" s="119" t="s">
        <v>7990</v>
      </c>
      <c r="K25" t="s">
        <v>7996</v>
      </c>
      <c r="M25" s="118"/>
      <c r="N25" s="119" t="s">
        <v>8026</v>
      </c>
      <c r="O25" t="s">
        <v>8032</v>
      </c>
      <c r="Q25" s="118"/>
      <c r="R25" s="119" t="s">
        <v>8062</v>
      </c>
      <c r="S25" t="s">
        <v>8068</v>
      </c>
      <c r="U25" s="118"/>
      <c r="V25" s="119" t="s">
        <v>8098</v>
      </c>
      <c r="W25" t="s">
        <v>8104</v>
      </c>
    </row>
    <row r="26" spans="1:23" x14ac:dyDescent="0.3">
      <c r="A26" s="118"/>
      <c r="B26" s="119" t="s">
        <v>7919</v>
      </c>
      <c r="C26" t="s">
        <v>7925</v>
      </c>
      <c r="E26" s="118"/>
      <c r="F26" s="119" t="s">
        <v>7955</v>
      </c>
      <c r="G26" t="s">
        <v>7961</v>
      </c>
      <c r="I26" s="118"/>
      <c r="J26" s="119" t="s">
        <v>7991</v>
      </c>
      <c r="K26" t="s">
        <v>7997</v>
      </c>
      <c r="M26" s="118"/>
      <c r="N26" s="119" t="s">
        <v>8027</v>
      </c>
      <c r="O26" t="s">
        <v>8033</v>
      </c>
      <c r="Q26" s="118"/>
      <c r="R26" s="119" t="s">
        <v>8063</v>
      </c>
      <c r="S26" t="s">
        <v>8069</v>
      </c>
      <c r="U26" s="118"/>
      <c r="V26" s="119" t="s">
        <v>8099</v>
      </c>
      <c r="W26" t="s">
        <v>8105</v>
      </c>
    </row>
    <row r="27" spans="1:23" x14ac:dyDescent="0.3">
      <c r="A27" s="118"/>
      <c r="B27" s="119" t="s">
        <v>7930</v>
      </c>
      <c r="C27" t="s">
        <v>7936</v>
      </c>
      <c r="E27" s="118"/>
      <c r="F27" s="119" t="s">
        <v>7966</v>
      </c>
      <c r="G27" t="s">
        <v>7972</v>
      </c>
      <c r="I27" s="118"/>
      <c r="J27" s="119" t="s">
        <v>8002</v>
      </c>
      <c r="K27" t="s">
        <v>8008</v>
      </c>
      <c r="M27" s="118"/>
      <c r="N27" s="119" t="s">
        <v>8038</v>
      </c>
      <c r="O27" t="s">
        <v>8044</v>
      </c>
      <c r="Q27" s="118"/>
      <c r="R27" s="119" t="s">
        <v>8074</v>
      </c>
      <c r="S27" t="s">
        <v>8080</v>
      </c>
      <c r="U27" s="118"/>
      <c r="V27" s="119" t="s">
        <v>8110</v>
      </c>
      <c r="W27" t="s">
        <v>8116</v>
      </c>
    </row>
    <row r="28" spans="1:23" x14ac:dyDescent="0.3">
      <c r="A28" s="118"/>
      <c r="B28" s="119" t="s">
        <v>7931</v>
      </c>
      <c r="C28" t="s">
        <v>7937</v>
      </c>
      <c r="E28" s="118"/>
      <c r="F28" s="119" t="s">
        <v>7967</v>
      </c>
      <c r="G28" t="s">
        <v>7973</v>
      </c>
      <c r="I28" s="118"/>
      <c r="J28" s="119" t="s">
        <v>8003</v>
      </c>
      <c r="K28" t="s">
        <v>8009</v>
      </c>
      <c r="M28" s="118"/>
      <c r="N28" s="119" t="s">
        <v>8039</v>
      </c>
      <c r="O28" t="s">
        <v>8045</v>
      </c>
      <c r="Q28" s="118"/>
      <c r="R28" s="119" t="s">
        <v>8075</v>
      </c>
      <c r="S28" t="s">
        <v>8081</v>
      </c>
      <c r="U28" s="118"/>
      <c r="V28" s="119" t="s">
        <v>8111</v>
      </c>
      <c r="W28" t="s">
        <v>8117</v>
      </c>
    </row>
    <row r="29" spans="1:23" x14ac:dyDescent="0.3">
      <c r="A29" s="118"/>
      <c r="B29" s="119" t="s">
        <v>8122</v>
      </c>
      <c r="C29" t="s">
        <v>8128</v>
      </c>
      <c r="E29" s="118"/>
      <c r="F29" s="119" t="s">
        <v>8158</v>
      </c>
      <c r="G29" t="s">
        <v>8164</v>
      </c>
      <c r="I29" s="118"/>
      <c r="J29" s="119" t="s">
        <v>8194</v>
      </c>
      <c r="K29" t="s">
        <v>8200</v>
      </c>
      <c r="M29" s="118"/>
      <c r="N29" s="119" t="s">
        <v>8230</v>
      </c>
      <c r="O29" t="s">
        <v>8236</v>
      </c>
      <c r="Q29" s="118"/>
      <c r="R29" s="119" t="s">
        <v>8266</v>
      </c>
      <c r="S29" t="s">
        <v>8272</v>
      </c>
      <c r="U29" s="118"/>
      <c r="V29" s="119" t="s">
        <v>8302</v>
      </c>
      <c r="W29" t="s">
        <v>8308</v>
      </c>
    </row>
    <row r="30" spans="1:23" x14ac:dyDescent="0.3">
      <c r="A30" s="118"/>
      <c r="B30" s="119" t="s">
        <v>8123</v>
      </c>
      <c r="C30" t="s">
        <v>8129</v>
      </c>
      <c r="E30" s="118"/>
      <c r="F30" s="119" t="s">
        <v>8159</v>
      </c>
      <c r="G30" t="s">
        <v>8165</v>
      </c>
      <c r="I30" s="118"/>
      <c r="J30" s="119" t="s">
        <v>8195</v>
      </c>
      <c r="K30" t="s">
        <v>8201</v>
      </c>
      <c r="M30" s="118"/>
      <c r="N30" s="119" t="s">
        <v>8231</v>
      </c>
      <c r="O30" t="s">
        <v>8237</v>
      </c>
      <c r="Q30" s="118"/>
      <c r="R30" s="119" t="s">
        <v>8267</v>
      </c>
      <c r="S30" t="s">
        <v>8273</v>
      </c>
      <c r="U30" s="118"/>
      <c r="V30" s="119" t="s">
        <v>8303</v>
      </c>
      <c r="W30" t="s">
        <v>8309</v>
      </c>
    </row>
    <row r="31" spans="1:23" x14ac:dyDescent="0.3">
      <c r="A31" s="118"/>
      <c r="B31" s="119" t="s">
        <v>8134</v>
      </c>
      <c r="C31" t="s">
        <v>8140</v>
      </c>
      <c r="E31" s="118"/>
      <c r="F31" s="119" t="s">
        <v>8170</v>
      </c>
      <c r="G31" t="s">
        <v>8176</v>
      </c>
      <c r="I31" s="118"/>
      <c r="J31" s="119" t="s">
        <v>8206</v>
      </c>
      <c r="K31" t="s">
        <v>8212</v>
      </c>
      <c r="M31" s="118"/>
      <c r="N31" s="119" t="s">
        <v>8242</v>
      </c>
      <c r="O31" t="s">
        <v>8248</v>
      </c>
      <c r="Q31" s="118"/>
      <c r="R31" s="119" t="s">
        <v>8278</v>
      </c>
      <c r="S31" t="s">
        <v>8284</v>
      </c>
      <c r="U31" s="118"/>
      <c r="V31" s="119" t="s">
        <v>8314</v>
      </c>
      <c r="W31" t="s">
        <v>8320</v>
      </c>
    </row>
    <row r="32" spans="1:23" x14ac:dyDescent="0.3">
      <c r="A32" s="118"/>
      <c r="B32" s="119" t="s">
        <v>8135</v>
      </c>
      <c r="C32" t="s">
        <v>8141</v>
      </c>
      <c r="E32" s="118"/>
      <c r="F32" s="119" t="s">
        <v>8171</v>
      </c>
      <c r="G32" t="s">
        <v>8177</v>
      </c>
      <c r="I32" s="118"/>
      <c r="J32" s="119" t="s">
        <v>8207</v>
      </c>
      <c r="K32" t="s">
        <v>8213</v>
      </c>
      <c r="M32" s="118"/>
      <c r="N32" s="119" t="s">
        <v>8243</v>
      </c>
      <c r="O32" t="s">
        <v>8249</v>
      </c>
      <c r="Q32" s="118"/>
      <c r="R32" s="119" t="s">
        <v>8279</v>
      </c>
      <c r="S32" t="s">
        <v>8285</v>
      </c>
      <c r="U32" s="118"/>
      <c r="V32" s="119" t="s">
        <v>8315</v>
      </c>
      <c r="W32" t="s">
        <v>8321</v>
      </c>
    </row>
    <row r="33" spans="1:23" x14ac:dyDescent="0.3">
      <c r="A33" s="118"/>
      <c r="B33" s="119" t="s">
        <v>8146</v>
      </c>
      <c r="C33" t="s">
        <v>8152</v>
      </c>
      <c r="E33" s="118"/>
      <c r="F33" s="119" t="s">
        <v>8182</v>
      </c>
      <c r="G33" t="s">
        <v>8188</v>
      </c>
      <c r="I33" s="118"/>
      <c r="J33" s="119" t="s">
        <v>8218</v>
      </c>
      <c r="K33" t="s">
        <v>8224</v>
      </c>
      <c r="M33" s="118"/>
      <c r="N33" s="119" t="s">
        <v>8254</v>
      </c>
      <c r="O33" t="s">
        <v>8260</v>
      </c>
      <c r="Q33" s="118"/>
      <c r="R33" s="119" t="s">
        <v>8290</v>
      </c>
      <c r="S33" t="s">
        <v>8296</v>
      </c>
      <c r="U33" s="118"/>
      <c r="V33" s="119" t="s">
        <v>8326</v>
      </c>
      <c r="W33" t="s">
        <v>8332</v>
      </c>
    </row>
    <row r="34" spans="1:23" x14ac:dyDescent="0.3">
      <c r="A34" s="118"/>
      <c r="B34" s="119" t="s">
        <v>8147</v>
      </c>
      <c r="C34" t="s">
        <v>8153</v>
      </c>
      <c r="E34" s="118"/>
      <c r="F34" s="119" t="s">
        <v>8183</v>
      </c>
      <c r="G34" t="s">
        <v>8189</v>
      </c>
      <c r="I34" s="118"/>
      <c r="J34" s="119" t="s">
        <v>8219</v>
      </c>
      <c r="K34" t="s">
        <v>8225</v>
      </c>
      <c r="M34" s="118"/>
      <c r="N34" s="119" t="s">
        <v>8255</v>
      </c>
      <c r="O34" t="s">
        <v>8261</v>
      </c>
      <c r="Q34" s="118"/>
      <c r="R34" s="119" t="s">
        <v>8291</v>
      </c>
      <c r="S34" t="s">
        <v>8297</v>
      </c>
      <c r="U34" s="118"/>
      <c r="V34" s="119" t="s">
        <v>8327</v>
      </c>
      <c r="W34" t="s">
        <v>8333</v>
      </c>
    </row>
    <row r="35" spans="1:23" x14ac:dyDescent="0.3">
      <c r="A35" s="118"/>
      <c r="B35" s="119" t="s">
        <v>8338</v>
      </c>
      <c r="C35" t="s">
        <v>8344</v>
      </c>
      <c r="E35" s="118"/>
      <c r="F35" s="119" t="s">
        <v>8374</v>
      </c>
      <c r="G35" t="s">
        <v>8380</v>
      </c>
      <c r="I35" s="118"/>
      <c r="J35" s="119" t="s">
        <v>8410</v>
      </c>
      <c r="K35" t="s">
        <v>8416</v>
      </c>
      <c r="M35" s="118"/>
      <c r="N35" s="119" t="s">
        <v>8446</v>
      </c>
      <c r="O35" t="s">
        <v>8452</v>
      </c>
      <c r="Q35" s="118"/>
      <c r="R35" s="119" t="s">
        <v>8482</v>
      </c>
      <c r="S35" t="s">
        <v>8488</v>
      </c>
      <c r="U35" s="118"/>
      <c r="V35" s="119" t="s">
        <v>8518</v>
      </c>
      <c r="W35" t="s">
        <v>8524</v>
      </c>
    </row>
    <row r="36" spans="1:23" x14ac:dyDescent="0.3">
      <c r="A36" s="118"/>
      <c r="B36" s="119" t="s">
        <v>8339</v>
      </c>
      <c r="C36" t="s">
        <v>8345</v>
      </c>
      <c r="E36" s="118"/>
      <c r="F36" s="119" t="s">
        <v>8375</v>
      </c>
      <c r="G36" t="s">
        <v>8381</v>
      </c>
      <c r="I36" s="118"/>
      <c r="J36" s="119" t="s">
        <v>8411</v>
      </c>
      <c r="K36" t="s">
        <v>8417</v>
      </c>
      <c r="M36" s="118"/>
      <c r="N36" s="119" t="s">
        <v>8447</v>
      </c>
      <c r="O36" t="s">
        <v>8453</v>
      </c>
      <c r="Q36" s="118"/>
      <c r="R36" s="119" t="s">
        <v>8483</v>
      </c>
      <c r="S36" t="s">
        <v>8489</v>
      </c>
      <c r="U36" s="118"/>
      <c r="V36" s="119" t="s">
        <v>8519</v>
      </c>
      <c r="W36" t="s">
        <v>8525</v>
      </c>
    </row>
    <row r="37" spans="1:23" x14ac:dyDescent="0.3">
      <c r="A37" s="118"/>
      <c r="B37" s="119" t="s">
        <v>8350</v>
      </c>
      <c r="C37" t="s">
        <v>8356</v>
      </c>
      <c r="E37" s="118"/>
      <c r="F37" s="119" t="s">
        <v>8386</v>
      </c>
      <c r="G37" t="s">
        <v>8392</v>
      </c>
      <c r="I37" s="118"/>
      <c r="J37" s="119" t="s">
        <v>8422</v>
      </c>
      <c r="K37" t="s">
        <v>8428</v>
      </c>
      <c r="M37" s="118"/>
      <c r="N37" s="119" t="s">
        <v>8458</v>
      </c>
      <c r="O37" t="s">
        <v>8464</v>
      </c>
      <c r="Q37" s="118"/>
      <c r="R37" s="119" t="s">
        <v>8494</v>
      </c>
      <c r="S37" t="s">
        <v>8500</v>
      </c>
      <c r="U37" s="118"/>
      <c r="V37" s="119" t="s">
        <v>8530</v>
      </c>
      <c r="W37" t="s">
        <v>8536</v>
      </c>
    </row>
    <row r="38" spans="1:23" x14ac:dyDescent="0.3">
      <c r="A38" s="118"/>
      <c r="B38" s="119" t="s">
        <v>8351</v>
      </c>
      <c r="C38" t="s">
        <v>8357</v>
      </c>
      <c r="E38" s="118"/>
      <c r="F38" s="119" t="s">
        <v>8387</v>
      </c>
      <c r="G38" t="s">
        <v>8393</v>
      </c>
      <c r="I38" s="118"/>
      <c r="J38" s="119" t="s">
        <v>8423</v>
      </c>
      <c r="K38" t="s">
        <v>8429</v>
      </c>
      <c r="M38" s="118"/>
      <c r="N38" s="119" t="s">
        <v>8459</v>
      </c>
      <c r="O38" t="s">
        <v>8465</v>
      </c>
      <c r="Q38" s="118"/>
      <c r="R38" s="119" t="s">
        <v>8495</v>
      </c>
      <c r="S38" t="s">
        <v>8501</v>
      </c>
      <c r="U38" s="118"/>
      <c r="V38" s="119" t="s">
        <v>8531</v>
      </c>
      <c r="W38" t="s">
        <v>8537</v>
      </c>
    </row>
    <row r="39" spans="1:23" x14ac:dyDescent="0.3">
      <c r="A39" s="118"/>
      <c r="B39" s="119" t="s">
        <v>8362</v>
      </c>
      <c r="C39" t="s">
        <v>8368</v>
      </c>
      <c r="E39" s="118"/>
      <c r="F39" s="119" t="s">
        <v>8398</v>
      </c>
      <c r="G39" t="s">
        <v>8404</v>
      </c>
      <c r="I39" s="118"/>
      <c r="J39" s="119" t="s">
        <v>8434</v>
      </c>
      <c r="K39" t="s">
        <v>8440</v>
      </c>
      <c r="M39" s="118"/>
      <c r="N39" s="119" t="s">
        <v>8470</v>
      </c>
      <c r="O39" t="s">
        <v>8476</v>
      </c>
      <c r="Q39" s="118"/>
      <c r="R39" s="119" t="s">
        <v>8506</v>
      </c>
      <c r="S39" t="s">
        <v>8512</v>
      </c>
      <c r="U39" s="118"/>
      <c r="V39" s="119" t="s">
        <v>8542</v>
      </c>
      <c r="W39" t="s">
        <v>8548</v>
      </c>
    </row>
    <row r="40" spans="1:23" x14ac:dyDescent="0.3">
      <c r="A40" s="118"/>
      <c r="B40" s="119" t="s">
        <v>8363</v>
      </c>
      <c r="C40" t="s">
        <v>8369</v>
      </c>
      <c r="E40" s="118"/>
      <c r="F40" s="119" t="s">
        <v>8399</v>
      </c>
      <c r="G40" t="s">
        <v>8405</v>
      </c>
      <c r="I40" s="118"/>
      <c r="J40" s="119" t="s">
        <v>8435</v>
      </c>
      <c r="K40" t="s">
        <v>8441</v>
      </c>
      <c r="M40" s="118"/>
      <c r="N40" s="119" t="s">
        <v>8471</v>
      </c>
      <c r="O40" t="s">
        <v>8477</v>
      </c>
      <c r="Q40" s="118"/>
      <c r="R40" s="119" t="s">
        <v>8507</v>
      </c>
      <c r="S40" t="s">
        <v>8513</v>
      </c>
      <c r="U40" s="118"/>
      <c r="V40" s="119" t="s">
        <v>8543</v>
      </c>
      <c r="W40" t="s">
        <v>8549</v>
      </c>
    </row>
    <row r="41" spans="1:23" x14ac:dyDescent="0.3">
      <c r="A41" s="118"/>
      <c r="B41" s="119" t="s">
        <v>8554</v>
      </c>
      <c r="C41" t="s">
        <v>8560</v>
      </c>
      <c r="E41" s="118"/>
      <c r="F41" s="119" t="s">
        <v>8590</v>
      </c>
      <c r="G41" t="s">
        <v>8596</v>
      </c>
      <c r="I41" s="118"/>
      <c r="J41" s="119" t="s">
        <v>8626</v>
      </c>
      <c r="K41" t="s">
        <v>8632</v>
      </c>
      <c r="M41" s="118"/>
      <c r="N41" s="119" t="s">
        <v>8662</v>
      </c>
      <c r="O41" t="s">
        <v>8668</v>
      </c>
      <c r="Q41" s="118"/>
      <c r="R41" s="119" t="s">
        <v>8698</v>
      </c>
      <c r="S41" t="s">
        <v>8704</v>
      </c>
      <c r="U41" s="118"/>
      <c r="V41" s="119" t="s">
        <v>8734</v>
      </c>
      <c r="W41" t="s">
        <v>8740</v>
      </c>
    </row>
    <row r="42" spans="1:23" x14ac:dyDescent="0.3">
      <c r="A42" s="118"/>
      <c r="B42" s="119" t="s">
        <v>8555</v>
      </c>
      <c r="C42" t="s">
        <v>8561</v>
      </c>
      <c r="E42" s="118"/>
      <c r="F42" s="119" t="s">
        <v>8591</v>
      </c>
      <c r="G42" t="s">
        <v>8597</v>
      </c>
      <c r="I42" s="118"/>
      <c r="J42" s="119" t="s">
        <v>8627</v>
      </c>
      <c r="K42" t="s">
        <v>8633</v>
      </c>
      <c r="M42" s="118"/>
      <c r="N42" s="119" t="s">
        <v>8663</v>
      </c>
      <c r="O42" t="s">
        <v>8669</v>
      </c>
      <c r="Q42" s="118"/>
      <c r="R42" s="119" t="s">
        <v>8699</v>
      </c>
      <c r="S42" t="s">
        <v>8705</v>
      </c>
      <c r="U42" s="118"/>
      <c r="V42" s="119" t="s">
        <v>8735</v>
      </c>
      <c r="W42" t="s">
        <v>8741</v>
      </c>
    </row>
    <row r="43" spans="1:23" x14ac:dyDescent="0.3">
      <c r="A43" s="118"/>
      <c r="B43" s="119" t="s">
        <v>8566</v>
      </c>
      <c r="C43" t="s">
        <v>8572</v>
      </c>
      <c r="E43" s="118"/>
      <c r="F43" s="119" t="s">
        <v>8602</v>
      </c>
      <c r="G43" t="s">
        <v>8608</v>
      </c>
      <c r="I43" s="118"/>
      <c r="J43" s="119" t="s">
        <v>8638</v>
      </c>
      <c r="K43" t="s">
        <v>8644</v>
      </c>
      <c r="M43" s="118"/>
      <c r="N43" s="119" t="s">
        <v>8674</v>
      </c>
      <c r="O43" t="s">
        <v>8680</v>
      </c>
      <c r="Q43" s="118"/>
      <c r="R43" s="119" t="s">
        <v>8710</v>
      </c>
      <c r="S43" t="s">
        <v>8716</v>
      </c>
      <c r="U43" s="118"/>
      <c r="V43" s="119" t="s">
        <v>8746</v>
      </c>
      <c r="W43" t="s">
        <v>8752</v>
      </c>
    </row>
    <row r="44" spans="1:23" x14ac:dyDescent="0.3">
      <c r="A44" s="118"/>
      <c r="B44" s="119" t="s">
        <v>8567</v>
      </c>
      <c r="C44" t="s">
        <v>8573</v>
      </c>
      <c r="E44" s="118"/>
      <c r="F44" s="119" t="s">
        <v>8603</v>
      </c>
      <c r="G44" t="s">
        <v>8609</v>
      </c>
      <c r="I44" s="118"/>
      <c r="J44" s="119" t="s">
        <v>8639</v>
      </c>
      <c r="K44" t="s">
        <v>8645</v>
      </c>
      <c r="M44" s="118"/>
      <c r="N44" s="119" t="s">
        <v>8675</v>
      </c>
      <c r="O44" t="s">
        <v>8681</v>
      </c>
      <c r="Q44" s="118"/>
      <c r="R44" s="119" t="s">
        <v>8711</v>
      </c>
      <c r="S44" t="s">
        <v>8717</v>
      </c>
      <c r="U44" s="118"/>
      <c r="V44" s="119" t="s">
        <v>8747</v>
      </c>
      <c r="W44" t="s">
        <v>8753</v>
      </c>
    </row>
    <row r="45" spans="1:23" x14ac:dyDescent="0.3">
      <c r="A45" s="118"/>
      <c r="B45" s="119" t="s">
        <v>8578</v>
      </c>
      <c r="C45" t="s">
        <v>8584</v>
      </c>
      <c r="E45" s="118"/>
      <c r="F45" s="119" t="s">
        <v>8614</v>
      </c>
      <c r="G45" t="s">
        <v>8620</v>
      </c>
      <c r="I45" s="118"/>
      <c r="J45" s="119" t="s">
        <v>8650</v>
      </c>
      <c r="K45" t="s">
        <v>8656</v>
      </c>
      <c r="M45" s="118"/>
      <c r="N45" s="119" t="s">
        <v>8686</v>
      </c>
      <c r="O45" t="s">
        <v>8692</v>
      </c>
      <c r="Q45" s="118"/>
      <c r="R45" s="119" t="s">
        <v>8722</v>
      </c>
      <c r="S45" t="s">
        <v>8728</v>
      </c>
      <c r="U45" s="118"/>
      <c r="V45" s="119" t="s">
        <v>8758</v>
      </c>
      <c r="W45" t="s">
        <v>8764</v>
      </c>
    </row>
    <row r="46" spans="1:23" x14ac:dyDescent="0.3">
      <c r="A46" s="118"/>
      <c r="B46" s="119" t="s">
        <v>8579</v>
      </c>
      <c r="C46" t="s">
        <v>8585</v>
      </c>
      <c r="E46" s="118"/>
      <c r="F46" s="119" t="s">
        <v>8615</v>
      </c>
      <c r="G46" t="s">
        <v>8621</v>
      </c>
      <c r="I46" s="118"/>
      <c r="J46" s="119" t="s">
        <v>8651</v>
      </c>
      <c r="K46" t="s">
        <v>8657</v>
      </c>
      <c r="M46" s="118"/>
      <c r="N46" s="119" t="s">
        <v>8687</v>
      </c>
      <c r="O46" t="s">
        <v>8693</v>
      </c>
      <c r="Q46" s="118"/>
      <c r="R46" s="119" t="s">
        <v>8723</v>
      </c>
      <c r="S46" t="s">
        <v>8729</v>
      </c>
      <c r="U46" s="118"/>
      <c r="V46" s="119" t="s">
        <v>8759</v>
      </c>
      <c r="W46" t="s">
        <v>8765</v>
      </c>
    </row>
    <row r="47" spans="1:23" x14ac:dyDescent="0.3">
      <c r="A47" s="118"/>
      <c r="B47" s="119" t="s">
        <v>8770</v>
      </c>
      <c r="C47" t="s">
        <v>8776</v>
      </c>
      <c r="E47" s="118"/>
      <c r="F47" s="119" t="s">
        <v>8806</v>
      </c>
      <c r="G47" t="s">
        <v>8812</v>
      </c>
      <c r="I47" s="118"/>
      <c r="J47" s="119" t="s">
        <v>8842</v>
      </c>
      <c r="K47" t="s">
        <v>8848</v>
      </c>
      <c r="M47" s="118"/>
      <c r="N47" s="119" t="s">
        <v>8878</v>
      </c>
      <c r="O47" t="s">
        <v>8884</v>
      </c>
      <c r="Q47" s="118"/>
      <c r="R47" s="119" t="s">
        <v>8914</v>
      </c>
      <c r="S47" t="s">
        <v>8920</v>
      </c>
      <c r="U47" s="118"/>
      <c r="V47" s="119" t="s">
        <v>8950</v>
      </c>
      <c r="W47" t="s">
        <v>8956</v>
      </c>
    </row>
    <row r="48" spans="1:23" x14ac:dyDescent="0.3">
      <c r="A48" s="118"/>
      <c r="B48" s="119" t="s">
        <v>8771</v>
      </c>
      <c r="C48" t="s">
        <v>8777</v>
      </c>
      <c r="E48" s="118"/>
      <c r="F48" s="119" t="s">
        <v>8807</v>
      </c>
      <c r="G48" t="s">
        <v>8813</v>
      </c>
      <c r="I48" s="118"/>
      <c r="J48" s="119" t="s">
        <v>8843</v>
      </c>
      <c r="K48" t="s">
        <v>8849</v>
      </c>
      <c r="M48" s="118"/>
      <c r="N48" s="119" t="s">
        <v>8879</v>
      </c>
      <c r="O48" t="s">
        <v>8885</v>
      </c>
      <c r="Q48" s="118"/>
      <c r="R48" s="119" t="s">
        <v>8915</v>
      </c>
      <c r="S48" t="s">
        <v>8921</v>
      </c>
      <c r="U48" s="118"/>
      <c r="V48" s="119" t="s">
        <v>8951</v>
      </c>
      <c r="W48" t="s">
        <v>8957</v>
      </c>
    </row>
    <row r="49" spans="1:23" x14ac:dyDescent="0.3">
      <c r="A49" s="118"/>
      <c r="B49" s="119" t="s">
        <v>8782</v>
      </c>
      <c r="C49" t="s">
        <v>8788</v>
      </c>
      <c r="E49" s="118"/>
      <c r="F49" s="119" t="s">
        <v>8818</v>
      </c>
      <c r="G49" t="s">
        <v>8824</v>
      </c>
      <c r="I49" s="118"/>
      <c r="J49" s="119" t="s">
        <v>8854</v>
      </c>
      <c r="K49" t="s">
        <v>8860</v>
      </c>
      <c r="M49" s="118"/>
      <c r="N49" s="119" t="s">
        <v>8890</v>
      </c>
      <c r="O49" t="s">
        <v>8896</v>
      </c>
      <c r="Q49" s="118"/>
      <c r="R49" s="119" t="s">
        <v>8926</v>
      </c>
      <c r="S49" t="s">
        <v>8932</v>
      </c>
      <c r="U49" s="118"/>
      <c r="V49" s="119" t="s">
        <v>8962</v>
      </c>
      <c r="W49" t="s">
        <v>8968</v>
      </c>
    </row>
    <row r="50" spans="1:23" x14ac:dyDescent="0.3">
      <c r="A50" s="118"/>
      <c r="B50" s="119" t="s">
        <v>8783</v>
      </c>
      <c r="C50" t="s">
        <v>8789</v>
      </c>
      <c r="E50" s="118"/>
      <c r="F50" s="119" t="s">
        <v>8819</v>
      </c>
      <c r="G50" t="s">
        <v>8825</v>
      </c>
      <c r="I50" s="118"/>
      <c r="J50" s="119" t="s">
        <v>8855</v>
      </c>
      <c r="K50" t="s">
        <v>8861</v>
      </c>
      <c r="M50" s="118"/>
      <c r="N50" s="119" t="s">
        <v>8891</v>
      </c>
      <c r="O50" t="s">
        <v>8897</v>
      </c>
      <c r="Q50" s="118"/>
      <c r="R50" s="119" t="s">
        <v>8927</v>
      </c>
      <c r="S50" t="s">
        <v>8933</v>
      </c>
      <c r="U50" s="118"/>
      <c r="V50" s="119" t="s">
        <v>8963</v>
      </c>
      <c r="W50" t="s">
        <v>8969</v>
      </c>
    </row>
    <row r="51" spans="1:23" x14ac:dyDescent="0.3">
      <c r="A51" s="118"/>
      <c r="B51" s="119" t="s">
        <v>8794</v>
      </c>
      <c r="C51" t="s">
        <v>8800</v>
      </c>
      <c r="E51" s="118"/>
      <c r="F51" s="119" t="s">
        <v>8830</v>
      </c>
      <c r="G51" t="s">
        <v>8836</v>
      </c>
      <c r="I51" s="118"/>
      <c r="J51" s="119" t="s">
        <v>8866</v>
      </c>
      <c r="K51" t="s">
        <v>8872</v>
      </c>
      <c r="M51" s="118"/>
      <c r="N51" s="119" t="s">
        <v>8902</v>
      </c>
      <c r="O51" t="s">
        <v>8908</v>
      </c>
      <c r="Q51" s="118"/>
      <c r="R51" s="119" t="s">
        <v>8938</v>
      </c>
      <c r="S51" t="s">
        <v>8944</v>
      </c>
      <c r="U51" s="118"/>
      <c r="V51" s="119" t="s">
        <v>8974</v>
      </c>
      <c r="W51" t="s">
        <v>8980</v>
      </c>
    </row>
    <row r="52" spans="1:23" x14ac:dyDescent="0.3">
      <c r="A52" s="118"/>
      <c r="B52" s="119" t="s">
        <v>8795</v>
      </c>
      <c r="C52" t="s">
        <v>8801</v>
      </c>
      <c r="E52" s="118"/>
      <c r="F52" s="119" t="s">
        <v>8831</v>
      </c>
      <c r="G52" t="s">
        <v>8837</v>
      </c>
      <c r="I52" s="118"/>
      <c r="J52" s="119" t="s">
        <v>8867</v>
      </c>
      <c r="K52" t="s">
        <v>8873</v>
      </c>
      <c r="M52" s="118"/>
      <c r="N52" s="119" t="s">
        <v>8903</v>
      </c>
      <c r="O52" t="s">
        <v>8909</v>
      </c>
      <c r="Q52" s="118"/>
      <c r="R52" s="119" t="s">
        <v>8939</v>
      </c>
      <c r="S52" t="s">
        <v>8945</v>
      </c>
      <c r="U52" s="118"/>
      <c r="V52" s="119" t="s">
        <v>8975</v>
      </c>
      <c r="W52" t="s">
        <v>8981</v>
      </c>
    </row>
    <row r="53" spans="1:23" x14ac:dyDescent="0.3">
      <c r="A53" s="118"/>
      <c r="B53" s="119" t="s">
        <v>8986</v>
      </c>
      <c r="C53" t="s">
        <v>8992</v>
      </c>
      <c r="E53" s="118"/>
      <c r="F53" s="119" t="s">
        <v>9022</v>
      </c>
      <c r="G53" t="s">
        <v>9028</v>
      </c>
      <c r="I53" s="118"/>
      <c r="J53" s="119" t="s">
        <v>9058</v>
      </c>
      <c r="K53" t="s">
        <v>9064</v>
      </c>
      <c r="M53" s="118"/>
      <c r="N53" s="119" t="s">
        <v>9094</v>
      </c>
      <c r="O53" t="s">
        <v>9100</v>
      </c>
      <c r="Q53" s="118"/>
      <c r="R53" s="119" t="s">
        <v>9130</v>
      </c>
      <c r="S53" t="s">
        <v>9136</v>
      </c>
      <c r="U53" s="118"/>
      <c r="V53" s="119" t="s">
        <v>9166</v>
      </c>
      <c r="W53" t="s">
        <v>9172</v>
      </c>
    </row>
    <row r="54" spans="1:23" x14ac:dyDescent="0.3">
      <c r="A54" s="118"/>
      <c r="B54" s="119" t="s">
        <v>8987</v>
      </c>
      <c r="C54" t="s">
        <v>8993</v>
      </c>
      <c r="E54" s="118"/>
      <c r="F54" s="119" t="s">
        <v>9023</v>
      </c>
      <c r="G54" t="s">
        <v>9029</v>
      </c>
      <c r="I54" s="118"/>
      <c r="J54" s="119" t="s">
        <v>9059</v>
      </c>
      <c r="K54" t="s">
        <v>9065</v>
      </c>
      <c r="M54" s="118"/>
      <c r="N54" s="119" t="s">
        <v>9095</v>
      </c>
      <c r="O54" t="s">
        <v>9101</v>
      </c>
      <c r="Q54" s="118"/>
      <c r="R54" s="119" t="s">
        <v>9131</v>
      </c>
      <c r="S54" t="s">
        <v>9137</v>
      </c>
      <c r="U54" s="118"/>
      <c r="V54" s="119" t="s">
        <v>9167</v>
      </c>
      <c r="W54" t="s">
        <v>9173</v>
      </c>
    </row>
    <row r="55" spans="1:23" x14ac:dyDescent="0.3">
      <c r="A55" s="118"/>
      <c r="B55" s="119" t="s">
        <v>8998</v>
      </c>
      <c r="C55" t="s">
        <v>9004</v>
      </c>
      <c r="E55" s="118"/>
      <c r="F55" s="119" t="s">
        <v>9034</v>
      </c>
      <c r="G55" t="s">
        <v>9040</v>
      </c>
      <c r="I55" s="118"/>
      <c r="J55" s="119" t="s">
        <v>9070</v>
      </c>
      <c r="K55" t="s">
        <v>9076</v>
      </c>
      <c r="M55" s="118"/>
      <c r="N55" s="119" t="s">
        <v>9106</v>
      </c>
      <c r="O55" t="s">
        <v>9112</v>
      </c>
      <c r="Q55" s="118"/>
      <c r="R55" s="119" t="s">
        <v>9142</v>
      </c>
      <c r="S55" t="s">
        <v>9148</v>
      </c>
      <c r="U55" s="118"/>
      <c r="V55" s="119" t="s">
        <v>9178</v>
      </c>
      <c r="W55" t="s">
        <v>9184</v>
      </c>
    </row>
    <row r="56" spans="1:23" x14ac:dyDescent="0.3">
      <c r="A56" s="118"/>
      <c r="B56" s="119" t="s">
        <v>8999</v>
      </c>
      <c r="C56" t="s">
        <v>9005</v>
      </c>
      <c r="E56" s="118"/>
      <c r="F56" s="119" t="s">
        <v>9035</v>
      </c>
      <c r="G56" t="s">
        <v>9041</v>
      </c>
      <c r="I56" s="118"/>
      <c r="J56" s="119" t="s">
        <v>9071</v>
      </c>
      <c r="K56" t="s">
        <v>9077</v>
      </c>
      <c r="M56" s="118"/>
      <c r="N56" s="119" t="s">
        <v>9107</v>
      </c>
      <c r="O56" t="s">
        <v>9113</v>
      </c>
      <c r="Q56" s="118"/>
      <c r="R56" s="119" t="s">
        <v>9143</v>
      </c>
      <c r="S56" t="s">
        <v>9149</v>
      </c>
      <c r="U56" s="118"/>
      <c r="V56" s="119" t="s">
        <v>9179</v>
      </c>
      <c r="W56" t="s">
        <v>9185</v>
      </c>
    </row>
    <row r="57" spans="1:23" x14ac:dyDescent="0.3">
      <c r="A57" s="118"/>
      <c r="B57" s="119" t="s">
        <v>9010</v>
      </c>
      <c r="C57" t="s">
        <v>9016</v>
      </c>
      <c r="E57" s="118"/>
      <c r="F57" s="119" t="s">
        <v>9046</v>
      </c>
      <c r="G57" t="s">
        <v>9052</v>
      </c>
      <c r="I57" s="118"/>
      <c r="J57" s="119" t="s">
        <v>9082</v>
      </c>
      <c r="K57" t="s">
        <v>9088</v>
      </c>
      <c r="M57" s="118"/>
      <c r="N57" s="119" t="s">
        <v>9118</v>
      </c>
      <c r="O57" t="s">
        <v>9124</v>
      </c>
      <c r="Q57" s="118"/>
      <c r="R57" s="119" t="s">
        <v>9154</v>
      </c>
      <c r="S57" t="s">
        <v>9160</v>
      </c>
      <c r="U57" s="118"/>
      <c r="V57" s="119" t="s">
        <v>9190</v>
      </c>
      <c r="W57" t="s">
        <v>9196</v>
      </c>
    </row>
    <row r="58" spans="1:23" x14ac:dyDescent="0.3">
      <c r="A58" s="118"/>
      <c r="B58" s="119" t="s">
        <v>9011</v>
      </c>
      <c r="C58" t="s">
        <v>9017</v>
      </c>
      <c r="E58" s="118"/>
      <c r="F58" s="119" t="s">
        <v>9047</v>
      </c>
      <c r="G58" t="s">
        <v>9053</v>
      </c>
      <c r="I58" s="118"/>
      <c r="J58" s="119" t="s">
        <v>9083</v>
      </c>
      <c r="K58" t="s">
        <v>9089</v>
      </c>
      <c r="M58" s="118"/>
      <c r="N58" s="119" t="s">
        <v>9119</v>
      </c>
      <c r="O58" t="s">
        <v>9125</v>
      </c>
      <c r="Q58" s="118"/>
      <c r="R58" s="119" t="s">
        <v>9155</v>
      </c>
      <c r="S58" t="s">
        <v>9161</v>
      </c>
      <c r="U58" s="118"/>
      <c r="V58" s="119" t="s">
        <v>9191</v>
      </c>
      <c r="W58" t="s">
        <v>9197</v>
      </c>
    </row>
    <row r="59" spans="1:23" x14ac:dyDescent="0.3">
      <c r="A59" s="118"/>
      <c r="B59" s="119" t="s">
        <v>9202</v>
      </c>
      <c r="C59" t="s">
        <v>9208</v>
      </c>
      <c r="E59" s="118"/>
      <c r="F59" s="119" t="s">
        <v>9238</v>
      </c>
      <c r="G59" t="s">
        <v>9244</v>
      </c>
      <c r="I59" s="118"/>
      <c r="J59" s="119" t="s">
        <v>9274</v>
      </c>
      <c r="K59" t="s">
        <v>9280</v>
      </c>
      <c r="M59" s="118"/>
      <c r="N59" s="119" t="s">
        <v>9310</v>
      </c>
      <c r="O59" t="s">
        <v>9316</v>
      </c>
      <c r="Q59" s="118"/>
      <c r="R59" s="119" t="s">
        <v>9346</v>
      </c>
      <c r="S59" t="s">
        <v>9352</v>
      </c>
      <c r="U59" s="118"/>
      <c r="V59" s="119" t="s">
        <v>9382</v>
      </c>
      <c r="W59" t="s">
        <v>9388</v>
      </c>
    </row>
    <row r="60" spans="1:23" x14ac:dyDescent="0.3">
      <c r="A60" s="118"/>
      <c r="B60" s="119" t="s">
        <v>9203</v>
      </c>
      <c r="C60" t="s">
        <v>9209</v>
      </c>
      <c r="E60" s="118"/>
      <c r="F60" s="119" t="s">
        <v>9239</v>
      </c>
      <c r="G60" t="s">
        <v>9245</v>
      </c>
      <c r="I60" s="118"/>
      <c r="J60" s="119" t="s">
        <v>9275</v>
      </c>
      <c r="K60" t="s">
        <v>9281</v>
      </c>
      <c r="M60" s="118"/>
      <c r="N60" s="119" t="s">
        <v>9311</v>
      </c>
      <c r="O60" t="s">
        <v>9317</v>
      </c>
      <c r="Q60" s="118"/>
      <c r="R60" s="119" t="s">
        <v>9347</v>
      </c>
      <c r="S60" t="s">
        <v>9353</v>
      </c>
      <c r="U60" s="118"/>
      <c r="V60" s="119" t="s">
        <v>9383</v>
      </c>
      <c r="W60" t="s">
        <v>9389</v>
      </c>
    </row>
    <row r="61" spans="1:23" x14ac:dyDescent="0.3">
      <c r="A61" s="118"/>
      <c r="B61" s="119" t="s">
        <v>9214</v>
      </c>
      <c r="C61" t="s">
        <v>9220</v>
      </c>
      <c r="E61" s="118"/>
      <c r="F61" s="119" t="s">
        <v>9250</v>
      </c>
      <c r="G61" t="s">
        <v>9256</v>
      </c>
      <c r="I61" s="118"/>
      <c r="J61" s="119" t="s">
        <v>9286</v>
      </c>
      <c r="K61" t="s">
        <v>9292</v>
      </c>
      <c r="M61" s="118"/>
      <c r="N61" s="119" t="s">
        <v>9322</v>
      </c>
      <c r="O61" t="s">
        <v>9328</v>
      </c>
      <c r="Q61" s="118"/>
      <c r="R61" s="119" t="s">
        <v>9358</v>
      </c>
      <c r="S61" t="s">
        <v>9364</v>
      </c>
      <c r="U61" s="118"/>
      <c r="V61" s="119" t="s">
        <v>9394</v>
      </c>
      <c r="W61" t="s">
        <v>9400</v>
      </c>
    </row>
    <row r="62" spans="1:23" x14ac:dyDescent="0.3">
      <c r="A62" s="118"/>
      <c r="B62" s="119" t="s">
        <v>9215</v>
      </c>
      <c r="C62" t="s">
        <v>9221</v>
      </c>
      <c r="E62" s="118"/>
      <c r="F62" s="119" t="s">
        <v>9251</v>
      </c>
      <c r="G62" t="s">
        <v>9257</v>
      </c>
      <c r="I62" s="118"/>
      <c r="J62" s="119" t="s">
        <v>9287</v>
      </c>
      <c r="K62" t="s">
        <v>9293</v>
      </c>
      <c r="M62" s="118"/>
      <c r="N62" s="119" t="s">
        <v>9323</v>
      </c>
      <c r="O62" t="s">
        <v>9329</v>
      </c>
      <c r="Q62" s="118"/>
      <c r="R62" s="119" t="s">
        <v>9359</v>
      </c>
      <c r="S62" t="s">
        <v>9365</v>
      </c>
      <c r="U62" s="118"/>
      <c r="V62" s="119" t="s">
        <v>9395</v>
      </c>
      <c r="W62" t="s">
        <v>9401</v>
      </c>
    </row>
    <row r="63" spans="1:23" x14ac:dyDescent="0.3">
      <c r="A63" s="118"/>
      <c r="B63" s="119" t="s">
        <v>9226</v>
      </c>
      <c r="C63" t="s">
        <v>9232</v>
      </c>
      <c r="E63" s="118"/>
      <c r="F63" s="119" t="s">
        <v>9262</v>
      </c>
      <c r="G63" t="s">
        <v>9268</v>
      </c>
      <c r="I63" s="118"/>
      <c r="J63" s="119" t="s">
        <v>9298</v>
      </c>
      <c r="K63" t="s">
        <v>9304</v>
      </c>
      <c r="M63" s="118"/>
      <c r="N63" s="119" t="s">
        <v>9334</v>
      </c>
      <c r="O63" t="s">
        <v>9340</v>
      </c>
      <c r="Q63" s="118"/>
      <c r="R63" s="119" t="s">
        <v>9370</v>
      </c>
      <c r="S63" t="s">
        <v>9376</v>
      </c>
      <c r="U63" s="118"/>
      <c r="V63" s="119" t="s">
        <v>9406</v>
      </c>
      <c r="W63" t="s">
        <v>9412</v>
      </c>
    </row>
    <row r="64" spans="1:23" x14ac:dyDescent="0.3">
      <c r="A64" s="118"/>
      <c r="B64" s="119" t="s">
        <v>9227</v>
      </c>
      <c r="C64" t="s">
        <v>9233</v>
      </c>
      <c r="E64" s="118"/>
      <c r="F64" s="119" t="s">
        <v>9263</v>
      </c>
      <c r="G64" t="s">
        <v>9269</v>
      </c>
      <c r="I64" s="118"/>
      <c r="J64" s="119" t="s">
        <v>9299</v>
      </c>
      <c r="K64" t="s">
        <v>9305</v>
      </c>
      <c r="M64" s="118"/>
      <c r="N64" s="119" t="s">
        <v>9335</v>
      </c>
      <c r="O64" t="s">
        <v>9341</v>
      </c>
      <c r="Q64" s="118"/>
      <c r="R64" s="119" t="s">
        <v>9371</v>
      </c>
      <c r="S64" t="s">
        <v>9377</v>
      </c>
      <c r="U64" s="118"/>
      <c r="V64" s="119" t="s">
        <v>9407</v>
      </c>
      <c r="W64" t="s">
        <v>9413</v>
      </c>
    </row>
    <row r="65" spans="1:23" x14ac:dyDescent="0.3">
      <c r="A65" s="118"/>
      <c r="B65" s="119" t="s">
        <v>9418</v>
      </c>
      <c r="C65" t="s">
        <v>9424</v>
      </c>
      <c r="E65" s="118"/>
      <c r="F65" s="119" t="s">
        <v>9454</v>
      </c>
      <c r="G65" t="s">
        <v>9460</v>
      </c>
      <c r="I65" s="118"/>
      <c r="J65" s="119" t="s">
        <v>9490</v>
      </c>
      <c r="K65" t="s">
        <v>9496</v>
      </c>
      <c r="M65" s="118"/>
      <c r="N65" s="119" t="s">
        <v>9526</v>
      </c>
      <c r="O65" t="s">
        <v>9532</v>
      </c>
      <c r="Q65" s="118"/>
      <c r="R65" s="119" t="s">
        <v>9562</v>
      </c>
      <c r="S65" t="s">
        <v>9568</v>
      </c>
      <c r="U65" s="118"/>
      <c r="V65" s="119" t="s">
        <v>9598</v>
      </c>
      <c r="W65" t="s">
        <v>9604</v>
      </c>
    </row>
    <row r="66" spans="1:23" x14ac:dyDescent="0.3">
      <c r="A66" s="118"/>
      <c r="B66" s="119" t="s">
        <v>9419</v>
      </c>
      <c r="C66" t="s">
        <v>9425</v>
      </c>
      <c r="E66" s="118"/>
      <c r="F66" s="119" t="s">
        <v>9455</v>
      </c>
      <c r="G66" t="s">
        <v>9461</v>
      </c>
      <c r="I66" s="118"/>
      <c r="J66" s="119" t="s">
        <v>9491</v>
      </c>
      <c r="K66" t="s">
        <v>9497</v>
      </c>
      <c r="M66" s="118"/>
      <c r="N66" s="119" t="s">
        <v>9527</v>
      </c>
      <c r="O66" t="s">
        <v>9533</v>
      </c>
      <c r="Q66" s="118"/>
      <c r="R66" s="119" t="s">
        <v>9563</v>
      </c>
      <c r="S66" t="s">
        <v>9569</v>
      </c>
      <c r="U66" s="118"/>
      <c r="V66" s="119" t="s">
        <v>9599</v>
      </c>
      <c r="W66" t="s">
        <v>9605</v>
      </c>
    </row>
    <row r="67" spans="1:23" x14ac:dyDescent="0.3">
      <c r="A67" s="118"/>
      <c r="B67" s="119" t="s">
        <v>9430</v>
      </c>
      <c r="C67" t="s">
        <v>9436</v>
      </c>
      <c r="E67" s="118"/>
      <c r="F67" s="119" t="s">
        <v>9466</v>
      </c>
      <c r="G67" t="s">
        <v>9472</v>
      </c>
      <c r="I67" s="118"/>
      <c r="J67" s="119" t="s">
        <v>9502</v>
      </c>
      <c r="K67" t="s">
        <v>9508</v>
      </c>
      <c r="M67" s="118"/>
      <c r="N67" s="119" t="s">
        <v>9538</v>
      </c>
      <c r="O67" t="s">
        <v>9544</v>
      </c>
      <c r="Q67" s="118"/>
      <c r="R67" s="119" t="s">
        <v>9574</v>
      </c>
      <c r="S67" t="s">
        <v>9580</v>
      </c>
      <c r="U67" s="118"/>
      <c r="V67" s="119" t="s">
        <v>9610</v>
      </c>
      <c r="W67" t="s">
        <v>9616</v>
      </c>
    </row>
    <row r="68" spans="1:23" x14ac:dyDescent="0.3">
      <c r="A68" s="118"/>
      <c r="B68" s="119" t="s">
        <v>9431</v>
      </c>
      <c r="C68" t="s">
        <v>9437</v>
      </c>
      <c r="E68" s="118"/>
      <c r="F68" s="119" t="s">
        <v>9467</v>
      </c>
      <c r="G68" t="s">
        <v>9473</v>
      </c>
      <c r="I68" s="118"/>
      <c r="J68" s="119" t="s">
        <v>9503</v>
      </c>
      <c r="K68" t="s">
        <v>9509</v>
      </c>
      <c r="M68" s="118"/>
      <c r="N68" s="119" t="s">
        <v>9539</v>
      </c>
      <c r="O68" t="s">
        <v>9545</v>
      </c>
      <c r="Q68" s="118"/>
      <c r="R68" s="119" t="s">
        <v>9575</v>
      </c>
      <c r="S68" t="s">
        <v>9581</v>
      </c>
      <c r="U68" s="118"/>
      <c r="V68" s="119" t="s">
        <v>9611</v>
      </c>
      <c r="W68" t="s">
        <v>9617</v>
      </c>
    </row>
    <row r="69" spans="1:23" x14ac:dyDescent="0.3">
      <c r="A69" s="118"/>
      <c r="B69" s="119" t="s">
        <v>9442</v>
      </c>
      <c r="C69" t="s">
        <v>9448</v>
      </c>
      <c r="E69" s="118"/>
      <c r="F69" s="119" t="s">
        <v>9478</v>
      </c>
      <c r="G69" t="s">
        <v>9484</v>
      </c>
      <c r="I69" s="118"/>
      <c r="J69" s="119" t="s">
        <v>9514</v>
      </c>
      <c r="K69" t="s">
        <v>9520</v>
      </c>
      <c r="M69" s="118"/>
      <c r="N69" s="119" t="s">
        <v>9550</v>
      </c>
      <c r="O69" t="s">
        <v>9556</v>
      </c>
      <c r="Q69" s="118"/>
      <c r="R69" s="119" t="s">
        <v>9586</v>
      </c>
      <c r="S69" t="s">
        <v>9592</v>
      </c>
      <c r="U69" s="118"/>
      <c r="V69" s="119" t="s">
        <v>9622</v>
      </c>
      <c r="W69" t="s">
        <v>9628</v>
      </c>
    </row>
    <row r="70" spans="1:23" x14ac:dyDescent="0.3">
      <c r="A70" s="118"/>
      <c r="B70" s="119" t="s">
        <v>9443</v>
      </c>
      <c r="C70" t="s">
        <v>9449</v>
      </c>
      <c r="E70" s="118"/>
      <c r="F70" s="119" t="s">
        <v>9479</v>
      </c>
      <c r="G70" t="s">
        <v>9485</v>
      </c>
      <c r="I70" s="118"/>
      <c r="J70" s="119" t="s">
        <v>9515</v>
      </c>
      <c r="K70" t="s">
        <v>9521</v>
      </c>
      <c r="M70" s="118"/>
      <c r="N70" s="119" t="s">
        <v>9551</v>
      </c>
      <c r="O70" t="s">
        <v>9557</v>
      </c>
      <c r="Q70" s="118"/>
      <c r="R70" s="119" t="s">
        <v>9587</v>
      </c>
      <c r="S70" t="s">
        <v>9593</v>
      </c>
      <c r="U70" s="118"/>
      <c r="V70" s="119" t="s">
        <v>9623</v>
      </c>
      <c r="W70" t="s">
        <v>9629</v>
      </c>
    </row>
    <row r="71" spans="1:23" x14ac:dyDescent="0.3">
      <c r="A71" s="118"/>
      <c r="B71" s="119" t="s">
        <v>9634</v>
      </c>
      <c r="C71" t="s">
        <v>9640</v>
      </c>
      <c r="E71" s="118"/>
      <c r="F71" s="119" t="s">
        <v>9670</v>
      </c>
      <c r="G71" t="s">
        <v>9676</v>
      </c>
      <c r="I71" s="118"/>
      <c r="J71" s="119" t="s">
        <v>9706</v>
      </c>
      <c r="K71" t="s">
        <v>9712</v>
      </c>
      <c r="M71" s="118"/>
      <c r="N71" s="119" t="s">
        <v>9742</v>
      </c>
      <c r="O71" t="s">
        <v>9748</v>
      </c>
      <c r="Q71" s="118"/>
      <c r="R71" s="119" t="s">
        <v>9778</v>
      </c>
      <c r="S71" t="s">
        <v>9784</v>
      </c>
      <c r="U71" s="118"/>
      <c r="V71" s="119" t="s">
        <v>9814</v>
      </c>
      <c r="W71" t="s">
        <v>9820</v>
      </c>
    </row>
    <row r="72" spans="1:23" x14ac:dyDescent="0.3">
      <c r="A72" s="118"/>
      <c r="B72" s="119" t="s">
        <v>9635</v>
      </c>
      <c r="C72" t="s">
        <v>9641</v>
      </c>
      <c r="E72" s="118"/>
      <c r="F72" s="119" t="s">
        <v>9671</v>
      </c>
      <c r="G72" t="s">
        <v>9677</v>
      </c>
      <c r="I72" s="118"/>
      <c r="J72" s="119" t="s">
        <v>9707</v>
      </c>
      <c r="K72" t="s">
        <v>9713</v>
      </c>
      <c r="M72" s="118"/>
      <c r="N72" s="119" t="s">
        <v>9743</v>
      </c>
      <c r="O72" t="s">
        <v>9749</v>
      </c>
      <c r="Q72" s="118"/>
      <c r="R72" s="119" t="s">
        <v>9779</v>
      </c>
      <c r="S72" t="s">
        <v>9785</v>
      </c>
      <c r="U72" s="118"/>
      <c r="V72" s="119" t="s">
        <v>9815</v>
      </c>
      <c r="W72" t="s">
        <v>9821</v>
      </c>
    </row>
    <row r="73" spans="1:23" x14ac:dyDescent="0.3">
      <c r="A73" s="118"/>
      <c r="B73" s="119" t="s">
        <v>9646</v>
      </c>
      <c r="C73" t="s">
        <v>9652</v>
      </c>
      <c r="E73" s="118"/>
      <c r="F73" s="119" t="s">
        <v>9682</v>
      </c>
      <c r="G73" t="s">
        <v>9688</v>
      </c>
      <c r="I73" s="118"/>
      <c r="J73" s="119" t="s">
        <v>9718</v>
      </c>
      <c r="K73" t="s">
        <v>9724</v>
      </c>
      <c r="M73" s="118"/>
      <c r="N73" s="119" t="s">
        <v>9754</v>
      </c>
      <c r="O73" t="s">
        <v>9760</v>
      </c>
      <c r="Q73" s="118"/>
      <c r="R73" s="119" t="s">
        <v>9790</v>
      </c>
      <c r="S73" t="s">
        <v>9796</v>
      </c>
      <c r="U73" s="118"/>
      <c r="V73" s="119" t="s">
        <v>9826</v>
      </c>
      <c r="W73" t="s">
        <v>9832</v>
      </c>
    </row>
    <row r="74" spans="1:23" x14ac:dyDescent="0.3">
      <c r="A74" s="118"/>
      <c r="B74" s="119" t="s">
        <v>9647</v>
      </c>
      <c r="C74" t="s">
        <v>9653</v>
      </c>
      <c r="E74" s="118"/>
      <c r="F74" s="119" t="s">
        <v>9683</v>
      </c>
      <c r="G74" t="s">
        <v>9689</v>
      </c>
      <c r="I74" s="118"/>
      <c r="J74" s="119" t="s">
        <v>9719</v>
      </c>
      <c r="K74" t="s">
        <v>9725</v>
      </c>
      <c r="M74" s="118"/>
      <c r="N74" s="119" t="s">
        <v>9755</v>
      </c>
      <c r="O74" t="s">
        <v>9761</v>
      </c>
      <c r="Q74" s="118"/>
      <c r="R74" s="119" t="s">
        <v>9791</v>
      </c>
      <c r="S74" t="s">
        <v>9797</v>
      </c>
      <c r="U74" s="118"/>
      <c r="V74" s="119" t="s">
        <v>9827</v>
      </c>
      <c r="W74" t="s">
        <v>9833</v>
      </c>
    </row>
    <row r="75" spans="1:23" x14ac:dyDescent="0.3">
      <c r="A75" s="118"/>
      <c r="B75" s="119" t="s">
        <v>9658</v>
      </c>
      <c r="C75" t="s">
        <v>9664</v>
      </c>
      <c r="E75" s="118"/>
      <c r="F75" s="119" t="s">
        <v>9694</v>
      </c>
      <c r="G75" t="s">
        <v>9700</v>
      </c>
      <c r="I75" s="118"/>
      <c r="J75" s="119" t="s">
        <v>9730</v>
      </c>
      <c r="K75" t="s">
        <v>9736</v>
      </c>
      <c r="M75" s="118"/>
      <c r="N75" s="119" t="s">
        <v>9766</v>
      </c>
      <c r="O75" t="s">
        <v>9772</v>
      </c>
      <c r="Q75" s="118"/>
      <c r="R75" s="119" t="s">
        <v>9802</v>
      </c>
      <c r="S75" t="s">
        <v>9808</v>
      </c>
      <c r="U75" s="118"/>
      <c r="V75" s="119" t="s">
        <v>9838</v>
      </c>
      <c r="W75" t="s">
        <v>9844</v>
      </c>
    </row>
    <row r="76" spans="1:23" x14ac:dyDescent="0.3">
      <c r="A76" s="118"/>
      <c r="B76" s="119" t="s">
        <v>9659</v>
      </c>
      <c r="C76" t="s">
        <v>9665</v>
      </c>
      <c r="E76" s="118"/>
      <c r="F76" s="119" t="s">
        <v>9695</v>
      </c>
      <c r="G76" t="s">
        <v>9701</v>
      </c>
      <c r="I76" s="118"/>
      <c r="J76" s="119" t="s">
        <v>9731</v>
      </c>
      <c r="K76" t="s">
        <v>9737</v>
      </c>
      <c r="M76" s="118"/>
      <c r="N76" s="119" t="s">
        <v>9767</v>
      </c>
      <c r="O76" t="s">
        <v>9773</v>
      </c>
      <c r="Q76" s="118"/>
      <c r="R76" s="119" t="s">
        <v>9803</v>
      </c>
      <c r="S76" t="s">
        <v>9809</v>
      </c>
      <c r="U76" s="118"/>
      <c r="V76" s="119" t="s">
        <v>9839</v>
      </c>
      <c r="W76" t="s">
        <v>9845</v>
      </c>
    </row>
    <row r="77" spans="1:23" x14ac:dyDescent="0.3">
      <c r="A77" s="118"/>
      <c r="B77" s="119" t="s">
        <v>9850</v>
      </c>
      <c r="C77" t="s">
        <v>9856</v>
      </c>
      <c r="E77" s="118"/>
      <c r="F77" s="119" t="s">
        <v>9886</v>
      </c>
      <c r="G77" t="s">
        <v>9892</v>
      </c>
      <c r="I77" s="118"/>
      <c r="J77" s="119" t="s">
        <v>9922</v>
      </c>
      <c r="K77" t="s">
        <v>9928</v>
      </c>
      <c r="M77" s="118"/>
      <c r="N77" s="119" t="s">
        <v>9958</v>
      </c>
      <c r="O77" t="s">
        <v>9964</v>
      </c>
      <c r="Q77" s="118"/>
      <c r="R77" s="119" t="s">
        <v>9994</v>
      </c>
      <c r="S77" t="s">
        <v>10000</v>
      </c>
      <c r="U77" s="118"/>
      <c r="V77" s="119" t="s">
        <v>10030</v>
      </c>
      <c r="W77" t="s">
        <v>10036</v>
      </c>
    </row>
    <row r="78" spans="1:23" x14ac:dyDescent="0.3">
      <c r="A78" s="118"/>
      <c r="B78" s="119" t="s">
        <v>9851</v>
      </c>
      <c r="C78" t="s">
        <v>9857</v>
      </c>
      <c r="E78" s="118"/>
      <c r="F78" s="119" t="s">
        <v>9887</v>
      </c>
      <c r="G78" t="s">
        <v>9893</v>
      </c>
      <c r="I78" s="118"/>
      <c r="J78" s="119" t="s">
        <v>9923</v>
      </c>
      <c r="K78" t="s">
        <v>9929</v>
      </c>
      <c r="M78" s="118"/>
      <c r="N78" s="119" t="s">
        <v>9959</v>
      </c>
      <c r="O78" t="s">
        <v>9965</v>
      </c>
      <c r="Q78" s="118"/>
      <c r="R78" s="119" t="s">
        <v>9995</v>
      </c>
      <c r="S78" t="s">
        <v>10001</v>
      </c>
      <c r="U78" s="118"/>
      <c r="V78" s="119" t="s">
        <v>10031</v>
      </c>
      <c r="W78" t="s">
        <v>10037</v>
      </c>
    </row>
    <row r="79" spans="1:23" x14ac:dyDescent="0.3">
      <c r="A79" s="118"/>
      <c r="B79" s="119" t="s">
        <v>9862</v>
      </c>
      <c r="C79" t="s">
        <v>9868</v>
      </c>
      <c r="E79" s="118"/>
      <c r="F79" s="119" t="s">
        <v>9898</v>
      </c>
      <c r="G79" t="s">
        <v>9904</v>
      </c>
      <c r="I79" s="118"/>
      <c r="J79" s="119" t="s">
        <v>9934</v>
      </c>
      <c r="K79" t="s">
        <v>9940</v>
      </c>
      <c r="M79" s="118"/>
      <c r="N79" s="119" t="s">
        <v>9970</v>
      </c>
      <c r="O79" t="s">
        <v>9976</v>
      </c>
      <c r="Q79" s="118"/>
      <c r="R79" s="119" t="s">
        <v>10006</v>
      </c>
      <c r="S79" t="s">
        <v>10012</v>
      </c>
      <c r="U79" s="118"/>
      <c r="V79" s="119" t="s">
        <v>10042</v>
      </c>
      <c r="W79" t="s">
        <v>10048</v>
      </c>
    </row>
    <row r="80" spans="1:23" x14ac:dyDescent="0.3">
      <c r="A80" s="118"/>
      <c r="B80" s="119" t="s">
        <v>9863</v>
      </c>
      <c r="C80" t="s">
        <v>9869</v>
      </c>
      <c r="E80" s="118"/>
      <c r="F80" s="119" t="s">
        <v>9899</v>
      </c>
      <c r="G80" t="s">
        <v>9905</v>
      </c>
      <c r="I80" s="118"/>
      <c r="J80" s="119" t="s">
        <v>9935</v>
      </c>
      <c r="K80" t="s">
        <v>9941</v>
      </c>
      <c r="M80" s="118"/>
      <c r="N80" s="119" t="s">
        <v>9971</v>
      </c>
      <c r="O80" t="s">
        <v>9977</v>
      </c>
      <c r="Q80" s="118"/>
      <c r="R80" s="119" t="s">
        <v>10007</v>
      </c>
      <c r="S80" t="s">
        <v>10013</v>
      </c>
      <c r="U80" s="118"/>
      <c r="V80" s="119" t="s">
        <v>10043</v>
      </c>
      <c r="W80" t="s">
        <v>10049</v>
      </c>
    </row>
    <row r="81" spans="1:23" x14ac:dyDescent="0.3">
      <c r="A81" s="118"/>
      <c r="B81" s="119" t="s">
        <v>9874</v>
      </c>
      <c r="C81" t="s">
        <v>9880</v>
      </c>
      <c r="E81" s="118"/>
      <c r="F81" s="119" t="s">
        <v>9910</v>
      </c>
      <c r="G81" t="s">
        <v>9916</v>
      </c>
      <c r="I81" s="118"/>
      <c r="J81" s="119" t="s">
        <v>9946</v>
      </c>
      <c r="K81" t="s">
        <v>9952</v>
      </c>
      <c r="M81" s="118"/>
      <c r="N81" s="119" t="s">
        <v>9982</v>
      </c>
      <c r="O81" t="s">
        <v>9988</v>
      </c>
      <c r="Q81" s="118"/>
      <c r="R81" s="119" t="s">
        <v>10018</v>
      </c>
      <c r="S81" t="s">
        <v>10024</v>
      </c>
      <c r="U81" s="118"/>
      <c r="V81" s="119" t="s">
        <v>10054</v>
      </c>
      <c r="W81" t="s">
        <v>10060</v>
      </c>
    </row>
    <row r="82" spans="1:23" x14ac:dyDescent="0.3">
      <c r="A82" s="118"/>
      <c r="B82" s="119" t="s">
        <v>9875</v>
      </c>
      <c r="C82" t="s">
        <v>9881</v>
      </c>
      <c r="E82" s="118"/>
      <c r="F82" s="119" t="s">
        <v>9911</v>
      </c>
      <c r="G82" t="s">
        <v>9917</v>
      </c>
      <c r="I82" s="118"/>
      <c r="J82" s="119" t="s">
        <v>9947</v>
      </c>
      <c r="K82" t="s">
        <v>9953</v>
      </c>
      <c r="M82" s="118"/>
      <c r="N82" s="119" t="s">
        <v>9983</v>
      </c>
      <c r="O82" t="s">
        <v>9989</v>
      </c>
      <c r="Q82" s="118"/>
      <c r="R82" s="119" t="s">
        <v>10019</v>
      </c>
      <c r="S82" t="s">
        <v>10025</v>
      </c>
      <c r="U82" s="118"/>
      <c r="V82" s="119" t="s">
        <v>10055</v>
      </c>
      <c r="W82" t="s">
        <v>10061</v>
      </c>
    </row>
    <row r="83" spans="1:23" x14ac:dyDescent="0.3">
      <c r="A83" s="118"/>
      <c r="B83" s="119" t="s">
        <v>10066</v>
      </c>
      <c r="C83" t="s">
        <v>10072</v>
      </c>
      <c r="E83" s="118"/>
      <c r="F83" s="119" t="s">
        <v>10102</v>
      </c>
      <c r="G83" t="s">
        <v>10108</v>
      </c>
      <c r="I83" s="118"/>
      <c r="J83" s="119" t="s">
        <v>10138</v>
      </c>
      <c r="K83" t="s">
        <v>10144</v>
      </c>
      <c r="M83" s="118"/>
      <c r="N83" s="119" t="s">
        <v>10174</v>
      </c>
      <c r="O83" t="s">
        <v>10180</v>
      </c>
      <c r="Q83" s="118"/>
      <c r="R83" s="119" t="s">
        <v>10210</v>
      </c>
      <c r="S83" t="s">
        <v>10216</v>
      </c>
      <c r="U83" s="118"/>
      <c r="V83" s="119" t="s">
        <v>10246</v>
      </c>
      <c r="W83" t="s">
        <v>10252</v>
      </c>
    </row>
    <row r="84" spans="1:23" x14ac:dyDescent="0.3">
      <c r="A84" s="118"/>
      <c r="B84" s="119" t="s">
        <v>10067</v>
      </c>
      <c r="C84" t="s">
        <v>10073</v>
      </c>
      <c r="E84" s="118"/>
      <c r="F84" s="119" t="s">
        <v>10103</v>
      </c>
      <c r="G84" t="s">
        <v>10109</v>
      </c>
      <c r="I84" s="118"/>
      <c r="J84" s="119" t="s">
        <v>10139</v>
      </c>
      <c r="K84" t="s">
        <v>10145</v>
      </c>
      <c r="M84" s="118"/>
      <c r="N84" s="119" t="s">
        <v>10175</v>
      </c>
      <c r="O84" t="s">
        <v>10181</v>
      </c>
      <c r="Q84" s="118"/>
      <c r="R84" s="119" t="s">
        <v>10211</v>
      </c>
      <c r="S84" t="s">
        <v>10217</v>
      </c>
      <c r="U84" s="118"/>
      <c r="V84" s="119" t="s">
        <v>10247</v>
      </c>
      <c r="W84" t="s">
        <v>10253</v>
      </c>
    </row>
    <row r="85" spans="1:23" x14ac:dyDescent="0.3">
      <c r="A85" s="118"/>
      <c r="B85" s="119" t="s">
        <v>10078</v>
      </c>
      <c r="C85" t="s">
        <v>10084</v>
      </c>
      <c r="E85" s="118"/>
      <c r="F85" s="119" t="s">
        <v>10114</v>
      </c>
      <c r="G85" t="s">
        <v>10120</v>
      </c>
      <c r="I85" s="118"/>
      <c r="J85" s="119" t="s">
        <v>10150</v>
      </c>
      <c r="K85" t="s">
        <v>10156</v>
      </c>
      <c r="M85" s="118"/>
      <c r="N85" s="119" t="s">
        <v>10186</v>
      </c>
      <c r="O85" t="s">
        <v>10192</v>
      </c>
      <c r="Q85" s="118"/>
      <c r="R85" s="119" t="s">
        <v>10222</v>
      </c>
      <c r="S85" t="s">
        <v>10228</v>
      </c>
      <c r="U85" s="118"/>
      <c r="V85" s="119" t="s">
        <v>10258</v>
      </c>
      <c r="W85" t="s">
        <v>10264</v>
      </c>
    </row>
    <row r="86" spans="1:23" x14ac:dyDescent="0.3">
      <c r="A86" s="118"/>
      <c r="B86" s="119" t="s">
        <v>10079</v>
      </c>
      <c r="C86" t="s">
        <v>10085</v>
      </c>
      <c r="E86" s="118"/>
      <c r="F86" s="119" t="s">
        <v>10115</v>
      </c>
      <c r="G86" t="s">
        <v>10121</v>
      </c>
      <c r="I86" s="118"/>
      <c r="J86" s="119" t="s">
        <v>10151</v>
      </c>
      <c r="K86" t="s">
        <v>10157</v>
      </c>
      <c r="M86" s="118"/>
      <c r="N86" s="119" t="s">
        <v>10187</v>
      </c>
      <c r="O86" t="s">
        <v>10193</v>
      </c>
      <c r="Q86" s="118"/>
      <c r="R86" s="119" t="s">
        <v>10223</v>
      </c>
      <c r="S86" t="s">
        <v>10229</v>
      </c>
      <c r="U86" s="118"/>
      <c r="V86" s="119" t="s">
        <v>10259</v>
      </c>
      <c r="W86" t="s">
        <v>10265</v>
      </c>
    </row>
    <row r="87" spans="1:23" x14ac:dyDescent="0.3">
      <c r="A87" s="118"/>
      <c r="B87" s="119" t="s">
        <v>10090</v>
      </c>
      <c r="C87" t="s">
        <v>10096</v>
      </c>
      <c r="E87" s="118"/>
      <c r="F87" s="119" t="s">
        <v>10126</v>
      </c>
      <c r="G87" t="s">
        <v>10132</v>
      </c>
      <c r="I87" s="118"/>
      <c r="J87" s="119" t="s">
        <v>10162</v>
      </c>
      <c r="K87" t="s">
        <v>10168</v>
      </c>
      <c r="M87" s="118"/>
      <c r="N87" s="119" t="s">
        <v>10198</v>
      </c>
      <c r="O87" t="s">
        <v>10204</v>
      </c>
      <c r="Q87" s="118"/>
      <c r="R87" s="119" t="s">
        <v>10234</v>
      </c>
      <c r="S87" t="s">
        <v>10240</v>
      </c>
      <c r="U87" s="118"/>
      <c r="V87" s="119" t="s">
        <v>10270</v>
      </c>
      <c r="W87" t="s">
        <v>10276</v>
      </c>
    </row>
    <row r="88" spans="1:23" x14ac:dyDescent="0.3">
      <c r="A88" s="118"/>
      <c r="B88" s="119" t="s">
        <v>10091</v>
      </c>
      <c r="C88" t="s">
        <v>10097</v>
      </c>
      <c r="E88" s="118"/>
      <c r="F88" s="119" t="s">
        <v>10127</v>
      </c>
      <c r="G88" t="s">
        <v>10133</v>
      </c>
      <c r="I88" s="118"/>
      <c r="J88" s="119" t="s">
        <v>10163</v>
      </c>
      <c r="K88" t="s">
        <v>10169</v>
      </c>
      <c r="M88" s="118"/>
      <c r="N88" s="119" t="s">
        <v>10199</v>
      </c>
      <c r="O88" t="s">
        <v>10205</v>
      </c>
      <c r="Q88" s="118"/>
      <c r="R88" s="119" t="s">
        <v>10235</v>
      </c>
      <c r="S88" t="s">
        <v>10241</v>
      </c>
      <c r="U88" s="118"/>
      <c r="V88" s="119" t="s">
        <v>10271</v>
      </c>
      <c r="W88" t="s">
        <v>10277</v>
      </c>
    </row>
    <row r="89" spans="1:23" x14ac:dyDescent="0.3">
      <c r="A89" s="118"/>
      <c r="B89" s="119" t="s">
        <v>10282</v>
      </c>
      <c r="C89" t="s">
        <v>10288</v>
      </c>
      <c r="E89" s="118"/>
      <c r="F89" s="119" t="s">
        <v>10318</v>
      </c>
      <c r="G89" t="s">
        <v>10324</v>
      </c>
      <c r="I89" s="118"/>
      <c r="J89" s="119" t="s">
        <v>10354</v>
      </c>
      <c r="K89" t="s">
        <v>10360</v>
      </c>
      <c r="M89" s="118"/>
      <c r="N89" s="119" t="s">
        <v>10390</v>
      </c>
      <c r="O89" t="s">
        <v>10396</v>
      </c>
      <c r="Q89" s="118"/>
      <c r="R89" s="119" t="s">
        <v>10426</v>
      </c>
      <c r="S89" t="s">
        <v>10432</v>
      </c>
      <c r="U89" s="118"/>
      <c r="V89" s="119" t="s">
        <v>10462</v>
      </c>
      <c r="W89" t="s">
        <v>10468</v>
      </c>
    </row>
    <row r="90" spans="1:23" x14ac:dyDescent="0.3">
      <c r="A90" s="118"/>
      <c r="B90" s="119" t="s">
        <v>10283</v>
      </c>
      <c r="C90" t="s">
        <v>10289</v>
      </c>
      <c r="E90" s="118"/>
      <c r="F90" s="119" t="s">
        <v>10319</v>
      </c>
      <c r="G90" t="s">
        <v>10325</v>
      </c>
      <c r="I90" s="118"/>
      <c r="J90" s="119" t="s">
        <v>10355</v>
      </c>
      <c r="K90" t="s">
        <v>10361</v>
      </c>
      <c r="M90" s="118"/>
      <c r="N90" s="119" t="s">
        <v>10391</v>
      </c>
      <c r="O90" t="s">
        <v>10397</v>
      </c>
      <c r="Q90" s="118"/>
      <c r="R90" s="119" t="s">
        <v>10427</v>
      </c>
      <c r="S90" t="s">
        <v>10433</v>
      </c>
      <c r="U90" s="118"/>
      <c r="V90" s="119" t="s">
        <v>10463</v>
      </c>
      <c r="W90" t="s">
        <v>10469</v>
      </c>
    </row>
    <row r="91" spans="1:23" x14ac:dyDescent="0.3">
      <c r="A91" s="118"/>
      <c r="B91" s="119" t="s">
        <v>10294</v>
      </c>
      <c r="C91" t="s">
        <v>10300</v>
      </c>
      <c r="E91" s="118"/>
      <c r="F91" s="119" t="s">
        <v>10330</v>
      </c>
      <c r="G91" t="s">
        <v>10336</v>
      </c>
      <c r="I91" s="118"/>
      <c r="J91" s="119" t="s">
        <v>10366</v>
      </c>
      <c r="K91" t="s">
        <v>10372</v>
      </c>
      <c r="M91" s="118"/>
      <c r="N91" s="119" t="s">
        <v>10402</v>
      </c>
      <c r="O91" t="s">
        <v>10408</v>
      </c>
      <c r="Q91" s="118"/>
      <c r="R91" s="119" t="s">
        <v>10438</v>
      </c>
      <c r="S91" t="s">
        <v>10444</v>
      </c>
      <c r="U91" s="118"/>
      <c r="V91" s="119" t="s">
        <v>10474</v>
      </c>
      <c r="W91" t="s">
        <v>10480</v>
      </c>
    </row>
    <row r="92" spans="1:23" x14ac:dyDescent="0.3">
      <c r="A92" s="118"/>
      <c r="B92" s="119" t="s">
        <v>10295</v>
      </c>
      <c r="C92" t="s">
        <v>10301</v>
      </c>
      <c r="E92" s="118"/>
      <c r="F92" s="119" t="s">
        <v>10331</v>
      </c>
      <c r="G92" t="s">
        <v>10337</v>
      </c>
      <c r="I92" s="118"/>
      <c r="J92" s="119" t="s">
        <v>10367</v>
      </c>
      <c r="K92" t="s">
        <v>10373</v>
      </c>
      <c r="M92" s="118"/>
      <c r="N92" s="119" t="s">
        <v>10403</v>
      </c>
      <c r="O92" t="s">
        <v>10409</v>
      </c>
      <c r="Q92" s="118"/>
      <c r="R92" s="119" t="s">
        <v>10439</v>
      </c>
      <c r="S92" t="s">
        <v>10445</v>
      </c>
      <c r="U92" s="118"/>
      <c r="V92" s="119" t="s">
        <v>10475</v>
      </c>
      <c r="W92" t="s">
        <v>10481</v>
      </c>
    </row>
    <row r="93" spans="1:23" x14ac:dyDescent="0.3">
      <c r="A93" s="118"/>
      <c r="B93" s="119" t="s">
        <v>10306</v>
      </c>
      <c r="C93" t="s">
        <v>10312</v>
      </c>
      <c r="E93" s="118"/>
      <c r="F93" s="119" t="s">
        <v>10342</v>
      </c>
      <c r="G93" t="s">
        <v>10348</v>
      </c>
      <c r="I93" s="118"/>
      <c r="J93" s="119" t="s">
        <v>10378</v>
      </c>
      <c r="K93" t="s">
        <v>10384</v>
      </c>
      <c r="M93" s="118"/>
      <c r="N93" s="119" t="s">
        <v>10414</v>
      </c>
      <c r="O93" t="s">
        <v>10420</v>
      </c>
      <c r="Q93" s="118"/>
      <c r="R93" s="119" t="s">
        <v>10450</v>
      </c>
      <c r="S93" t="s">
        <v>10456</v>
      </c>
      <c r="U93" s="118"/>
      <c r="V93" s="119" t="s">
        <v>10486</v>
      </c>
      <c r="W93" t="s">
        <v>10492</v>
      </c>
    </row>
    <row r="94" spans="1:23" x14ac:dyDescent="0.3">
      <c r="A94" s="118"/>
      <c r="B94" s="119" t="s">
        <v>10307</v>
      </c>
      <c r="C94" t="s">
        <v>10313</v>
      </c>
      <c r="E94" s="118"/>
      <c r="F94" s="119" t="s">
        <v>10343</v>
      </c>
      <c r="G94" t="s">
        <v>10349</v>
      </c>
      <c r="I94" s="118"/>
      <c r="J94" s="119" t="s">
        <v>10379</v>
      </c>
      <c r="K94" t="s">
        <v>10385</v>
      </c>
      <c r="M94" s="118"/>
      <c r="N94" s="119" t="s">
        <v>10415</v>
      </c>
      <c r="O94" t="s">
        <v>10421</v>
      </c>
      <c r="Q94" s="118"/>
      <c r="R94" s="119" t="s">
        <v>10451</v>
      </c>
      <c r="S94" t="s">
        <v>10457</v>
      </c>
      <c r="U94" s="118"/>
      <c r="V94" s="119" t="s">
        <v>10487</v>
      </c>
      <c r="W94" t="s">
        <v>10493</v>
      </c>
    </row>
    <row r="95" spans="1:23" x14ac:dyDescent="0.3">
      <c r="A95" s="118"/>
      <c r="B95" s="119" t="s">
        <v>10498</v>
      </c>
      <c r="C95" t="s">
        <v>10504</v>
      </c>
      <c r="E95" s="118"/>
      <c r="F95" s="119" t="s">
        <v>10534</v>
      </c>
      <c r="G95" t="s">
        <v>10540</v>
      </c>
      <c r="I95" s="118"/>
      <c r="J95" s="119" t="s">
        <v>10570</v>
      </c>
      <c r="K95" t="s">
        <v>10576</v>
      </c>
      <c r="M95" s="118"/>
      <c r="N95" s="119" t="s">
        <v>10606</v>
      </c>
      <c r="O95" t="s">
        <v>10612</v>
      </c>
      <c r="Q95" s="118"/>
      <c r="R95" s="119" t="s">
        <v>10642</v>
      </c>
      <c r="S95" t="s">
        <v>10648</v>
      </c>
      <c r="U95" s="118"/>
      <c r="V95" s="119" t="s">
        <v>10678</v>
      </c>
      <c r="W95" t="s">
        <v>10684</v>
      </c>
    </row>
    <row r="96" spans="1:23" x14ac:dyDescent="0.3">
      <c r="A96" s="118"/>
      <c r="B96" s="119" t="s">
        <v>10499</v>
      </c>
      <c r="C96" t="s">
        <v>10505</v>
      </c>
      <c r="E96" s="118"/>
      <c r="F96" s="119" t="s">
        <v>10535</v>
      </c>
      <c r="G96" t="s">
        <v>10541</v>
      </c>
      <c r="I96" s="118"/>
      <c r="J96" s="119" t="s">
        <v>10571</v>
      </c>
      <c r="K96" t="s">
        <v>10577</v>
      </c>
      <c r="M96" s="118"/>
      <c r="N96" s="119" t="s">
        <v>10607</v>
      </c>
      <c r="O96" t="s">
        <v>10613</v>
      </c>
      <c r="Q96" s="118"/>
      <c r="R96" s="119" t="s">
        <v>10643</v>
      </c>
      <c r="S96" t="s">
        <v>10649</v>
      </c>
      <c r="U96" s="118"/>
      <c r="V96" s="119" t="s">
        <v>10679</v>
      </c>
      <c r="W96" t="s">
        <v>10685</v>
      </c>
    </row>
    <row r="97" spans="1:23" x14ac:dyDescent="0.3">
      <c r="A97" s="118"/>
      <c r="B97" s="119" t="s">
        <v>10510</v>
      </c>
      <c r="C97" t="s">
        <v>10516</v>
      </c>
      <c r="E97" s="118"/>
      <c r="F97" s="119" t="s">
        <v>10546</v>
      </c>
      <c r="G97" t="s">
        <v>10552</v>
      </c>
      <c r="I97" s="118"/>
      <c r="J97" s="119" t="s">
        <v>10582</v>
      </c>
      <c r="K97" t="s">
        <v>10588</v>
      </c>
      <c r="M97" s="118"/>
      <c r="N97" s="119" t="s">
        <v>10618</v>
      </c>
      <c r="O97" t="s">
        <v>10624</v>
      </c>
      <c r="Q97" s="118"/>
      <c r="R97" s="119" t="s">
        <v>10654</v>
      </c>
      <c r="S97" t="s">
        <v>10660</v>
      </c>
      <c r="U97" s="118"/>
      <c r="V97" s="119" t="s">
        <v>10690</v>
      </c>
      <c r="W97" t="s">
        <v>10696</v>
      </c>
    </row>
    <row r="98" spans="1:23" x14ac:dyDescent="0.3">
      <c r="A98" s="118"/>
      <c r="B98" s="119" t="s">
        <v>10511</v>
      </c>
      <c r="C98" t="s">
        <v>10517</v>
      </c>
      <c r="E98" s="118"/>
      <c r="F98" s="119" t="s">
        <v>10547</v>
      </c>
      <c r="G98" t="s">
        <v>10553</v>
      </c>
      <c r="I98" s="118"/>
      <c r="J98" s="119" t="s">
        <v>10583</v>
      </c>
      <c r="K98" t="s">
        <v>10589</v>
      </c>
      <c r="M98" s="118"/>
      <c r="N98" s="119" t="s">
        <v>10619</v>
      </c>
      <c r="O98" t="s">
        <v>10625</v>
      </c>
      <c r="Q98" s="118"/>
      <c r="R98" s="119" t="s">
        <v>10655</v>
      </c>
      <c r="S98" t="s">
        <v>10661</v>
      </c>
      <c r="U98" s="118"/>
      <c r="V98" s="119" t="s">
        <v>10691</v>
      </c>
      <c r="W98" t="s">
        <v>10697</v>
      </c>
    </row>
    <row r="99" spans="1:23" x14ac:dyDescent="0.3">
      <c r="A99" s="118"/>
      <c r="B99" s="119" t="s">
        <v>10522</v>
      </c>
      <c r="C99" t="s">
        <v>10528</v>
      </c>
      <c r="E99" s="118"/>
      <c r="F99" s="119" t="s">
        <v>10558</v>
      </c>
      <c r="G99" t="s">
        <v>10564</v>
      </c>
      <c r="I99" s="118"/>
      <c r="J99" s="119" t="s">
        <v>10594</v>
      </c>
      <c r="K99" t="s">
        <v>10600</v>
      </c>
      <c r="M99" s="118"/>
      <c r="N99" s="119" t="s">
        <v>10630</v>
      </c>
      <c r="O99" t="s">
        <v>10636</v>
      </c>
      <c r="Q99" s="118"/>
      <c r="R99" s="119" t="s">
        <v>10666</v>
      </c>
      <c r="S99" t="s">
        <v>10672</v>
      </c>
      <c r="U99" s="118"/>
      <c r="V99" s="119" t="s">
        <v>10702</v>
      </c>
      <c r="W99" t="s">
        <v>10708</v>
      </c>
    </row>
    <row r="100" spans="1:23" x14ac:dyDescent="0.3">
      <c r="A100" s="118"/>
      <c r="B100" s="119" t="s">
        <v>10523</v>
      </c>
      <c r="C100" t="s">
        <v>10529</v>
      </c>
      <c r="E100" s="118"/>
      <c r="F100" s="119" t="s">
        <v>10559</v>
      </c>
      <c r="G100" t="s">
        <v>10565</v>
      </c>
      <c r="I100" s="118"/>
      <c r="J100" s="119" t="s">
        <v>10595</v>
      </c>
      <c r="K100" t="s">
        <v>10601</v>
      </c>
      <c r="M100" s="118"/>
      <c r="N100" s="119" t="s">
        <v>10631</v>
      </c>
      <c r="O100" t="s">
        <v>10637</v>
      </c>
      <c r="Q100" s="118"/>
      <c r="R100" s="119" t="s">
        <v>10667</v>
      </c>
      <c r="S100" t="s">
        <v>10673</v>
      </c>
      <c r="U100" s="118"/>
      <c r="V100" s="119" t="s">
        <v>10703</v>
      </c>
      <c r="W100" t="s">
        <v>10709</v>
      </c>
    </row>
    <row r="101" spans="1:23" x14ac:dyDescent="0.3">
      <c r="A101" s="118"/>
      <c r="B101" s="119" t="s">
        <v>10714</v>
      </c>
      <c r="C101" t="s">
        <v>10720</v>
      </c>
      <c r="E101" s="118"/>
      <c r="F101" s="119" t="s">
        <v>10750</v>
      </c>
      <c r="G101" t="s">
        <v>10756</v>
      </c>
      <c r="I101" s="118"/>
      <c r="J101" s="119" t="s">
        <v>10786</v>
      </c>
      <c r="K101" t="s">
        <v>10792</v>
      </c>
      <c r="M101" s="118"/>
      <c r="N101" s="119" t="s">
        <v>10822</v>
      </c>
      <c r="O101" t="s">
        <v>10828</v>
      </c>
      <c r="Q101" s="118"/>
      <c r="R101" s="119" t="s">
        <v>10858</v>
      </c>
      <c r="S101" t="s">
        <v>10864</v>
      </c>
      <c r="U101" s="118"/>
      <c r="V101" s="119" t="s">
        <v>10894</v>
      </c>
      <c r="W101" t="s">
        <v>10900</v>
      </c>
    </row>
    <row r="102" spans="1:23" x14ac:dyDescent="0.3">
      <c r="A102" s="118"/>
      <c r="B102" s="119" t="s">
        <v>10715</v>
      </c>
      <c r="C102" t="s">
        <v>10721</v>
      </c>
      <c r="E102" s="118"/>
      <c r="F102" s="119" t="s">
        <v>10751</v>
      </c>
      <c r="G102" t="s">
        <v>10757</v>
      </c>
      <c r="I102" s="118"/>
      <c r="J102" s="119" t="s">
        <v>10787</v>
      </c>
      <c r="K102" t="s">
        <v>10793</v>
      </c>
      <c r="M102" s="118"/>
      <c r="N102" s="119" t="s">
        <v>10823</v>
      </c>
      <c r="O102" t="s">
        <v>10829</v>
      </c>
      <c r="Q102" s="118"/>
      <c r="R102" s="119" t="s">
        <v>10859</v>
      </c>
      <c r="S102" t="s">
        <v>10865</v>
      </c>
      <c r="U102" s="118"/>
      <c r="V102" s="119" t="s">
        <v>10895</v>
      </c>
      <c r="W102" t="s">
        <v>10901</v>
      </c>
    </row>
    <row r="103" spans="1:23" x14ac:dyDescent="0.3">
      <c r="A103" s="118"/>
      <c r="B103" s="119" t="s">
        <v>10726</v>
      </c>
      <c r="C103" t="s">
        <v>10732</v>
      </c>
      <c r="E103" s="118"/>
      <c r="F103" s="119" t="s">
        <v>10762</v>
      </c>
      <c r="G103" t="s">
        <v>10768</v>
      </c>
      <c r="I103" s="118"/>
      <c r="J103" s="119" t="s">
        <v>10798</v>
      </c>
      <c r="K103" t="s">
        <v>10804</v>
      </c>
      <c r="M103" s="118"/>
      <c r="N103" s="119" t="s">
        <v>10834</v>
      </c>
      <c r="O103" t="s">
        <v>10840</v>
      </c>
      <c r="Q103" s="118"/>
      <c r="R103" s="119" t="s">
        <v>10870</v>
      </c>
      <c r="S103" t="s">
        <v>10876</v>
      </c>
      <c r="U103" s="118"/>
      <c r="V103" s="119" t="s">
        <v>10906</v>
      </c>
      <c r="W103" t="s">
        <v>10912</v>
      </c>
    </row>
    <row r="104" spans="1:23" x14ac:dyDescent="0.3">
      <c r="A104" s="118"/>
      <c r="B104" s="119" t="s">
        <v>10727</v>
      </c>
      <c r="C104" t="s">
        <v>10733</v>
      </c>
      <c r="E104" s="118"/>
      <c r="F104" s="119" t="s">
        <v>10763</v>
      </c>
      <c r="G104" t="s">
        <v>10769</v>
      </c>
      <c r="I104" s="118"/>
      <c r="J104" s="119" t="s">
        <v>10799</v>
      </c>
      <c r="K104" t="s">
        <v>10805</v>
      </c>
      <c r="M104" s="118"/>
      <c r="N104" s="119" t="s">
        <v>10835</v>
      </c>
      <c r="O104" t="s">
        <v>10841</v>
      </c>
      <c r="Q104" s="118"/>
      <c r="R104" s="119" t="s">
        <v>10871</v>
      </c>
      <c r="S104" t="s">
        <v>10877</v>
      </c>
      <c r="U104" s="118"/>
      <c r="V104" s="119" t="s">
        <v>10907</v>
      </c>
      <c r="W104" t="s">
        <v>10913</v>
      </c>
    </row>
    <row r="105" spans="1:23" x14ac:dyDescent="0.3">
      <c r="A105" s="118"/>
      <c r="B105" s="119" t="s">
        <v>10738</v>
      </c>
      <c r="C105" t="s">
        <v>10744</v>
      </c>
      <c r="E105" s="118"/>
      <c r="F105" s="119" t="s">
        <v>10774</v>
      </c>
      <c r="G105" t="s">
        <v>10780</v>
      </c>
      <c r="I105" s="118"/>
      <c r="J105" s="119" t="s">
        <v>10810</v>
      </c>
      <c r="K105" t="s">
        <v>10816</v>
      </c>
      <c r="M105" s="118"/>
      <c r="N105" s="119" t="s">
        <v>10846</v>
      </c>
      <c r="O105" t="s">
        <v>10852</v>
      </c>
      <c r="Q105" s="118"/>
      <c r="R105" s="119" t="s">
        <v>10882</v>
      </c>
      <c r="S105" t="s">
        <v>10888</v>
      </c>
      <c r="U105" s="118"/>
      <c r="V105" s="119" t="s">
        <v>10918</v>
      </c>
      <c r="W105" t="s">
        <v>10924</v>
      </c>
    </row>
    <row r="106" spans="1:23" x14ac:dyDescent="0.3">
      <c r="A106" s="118"/>
      <c r="B106" s="119" t="s">
        <v>10739</v>
      </c>
      <c r="C106" t="s">
        <v>10745</v>
      </c>
      <c r="E106" s="118"/>
      <c r="F106" s="119" t="s">
        <v>10775</v>
      </c>
      <c r="G106" t="s">
        <v>10781</v>
      </c>
      <c r="I106" s="118"/>
      <c r="J106" s="119" t="s">
        <v>10811</v>
      </c>
      <c r="K106" t="s">
        <v>10817</v>
      </c>
      <c r="M106" s="118"/>
      <c r="N106" s="119" t="s">
        <v>10847</v>
      </c>
      <c r="O106" t="s">
        <v>10853</v>
      </c>
      <c r="Q106" s="118"/>
      <c r="R106" s="119" t="s">
        <v>10883</v>
      </c>
      <c r="S106" t="s">
        <v>10889</v>
      </c>
      <c r="U106" s="118"/>
      <c r="V106" s="119" t="s">
        <v>10919</v>
      </c>
      <c r="W106" t="s">
        <v>10925</v>
      </c>
    </row>
    <row r="107" spans="1:23" x14ac:dyDescent="0.3">
      <c r="A107" s="118"/>
      <c r="B107" s="119" t="s">
        <v>10930</v>
      </c>
      <c r="C107" t="s">
        <v>10936</v>
      </c>
      <c r="E107" s="118"/>
      <c r="F107" s="119" t="s">
        <v>10966</v>
      </c>
      <c r="G107" t="s">
        <v>10972</v>
      </c>
      <c r="I107" s="118"/>
      <c r="J107" s="119" t="s">
        <v>11002</v>
      </c>
      <c r="K107" t="s">
        <v>11008</v>
      </c>
      <c r="M107" s="118"/>
      <c r="N107" s="119" t="s">
        <v>11038</v>
      </c>
      <c r="O107" t="s">
        <v>11044</v>
      </c>
      <c r="Q107" s="118"/>
      <c r="R107" s="119" t="s">
        <v>11074</v>
      </c>
      <c r="S107" t="s">
        <v>11080</v>
      </c>
      <c r="U107" s="118"/>
      <c r="V107" s="119" t="s">
        <v>11110</v>
      </c>
      <c r="W107" t="s">
        <v>11116</v>
      </c>
    </row>
    <row r="108" spans="1:23" x14ac:dyDescent="0.3">
      <c r="A108" s="118"/>
      <c r="B108" s="119" t="s">
        <v>10931</v>
      </c>
      <c r="C108" t="s">
        <v>10937</v>
      </c>
      <c r="E108" s="118"/>
      <c r="F108" s="119" t="s">
        <v>10967</v>
      </c>
      <c r="G108" t="s">
        <v>10973</v>
      </c>
      <c r="I108" s="118"/>
      <c r="J108" s="119" t="s">
        <v>11003</v>
      </c>
      <c r="K108" t="s">
        <v>11009</v>
      </c>
      <c r="M108" s="118"/>
      <c r="N108" s="119" t="s">
        <v>11039</v>
      </c>
      <c r="O108" t="s">
        <v>11045</v>
      </c>
      <c r="Q108" s="118"/>
      <c r="R108" s="119" t="s">
        <v>11075</v>
      </c>
      <c r="S108" t="s">
        <v>11081</v>
      </c>
      <c r="U108" s="118"/>
      <c r="V108" s="119" t="s">
        <v>11111</v>
      </c>
      <c r="W108" t="s">
        <v>11117</v>
      </c>
    </row>
    <row r="109" spans="1:23" x14ac:dyDescent="0.3">
      <c r="A109" s="118"/>
      <c r="B109" s="119" t="s">
        <v>10942</v>
      </c>
      <c r="C109" t="s">
        <v>10948</v>
      </c>
      <c r="E109" s="118"/>
      <c r="F109" s="119" t="s">
        <v>10978</v>
      </c>
      <c r="G109" t="s">
        <v>10984</v>
      </c>
      <c r="I109" s="118"/>
      <c r="J109" s="119" t="s">
        <v>11014</v>
      </c>
      <c r="K109" t="s">
        <v>11020</v>
      </c>
      <c r="M109" s="118"/>
      <c r="N109" s="119" t="s">
        <v>11050</v>
      </c>
      <c r="O109" t="s">
        <v>11056</v>
      </c>
      <c r="Q109" s="118"/>
      <c r="R109" s="119" t="s">
        <v>11086</v>
      </c>
      <c r="S109" t="s">
        <v>11092</v>
      </c>
      <c r="U109" s="118"/>
      <c r="V109" s="119" t="s">
        <v>11122</v>
      </c>
      <c r="W109" t="s">
        <v>11128</v>
      </c>
    </row>
    <row r="110" spans="1:23" x14ac:dyDescent="0.3">
      <c r="A110" s="118"/>
      <c r="B110" s="119" t="s">
        <v>10943</v>
      </c>
      <c r="C110" t="s">
        <v>10949</v>
      </c>
      <c r="E110" s="118"/>
      <c r="F110" s="119" t="s">
        <v>10979</v>
      </c>
      <c r="G110" t="s">
        <v>10985</v>
      </c>
      <c r="I110" s="118"/>
      <c r="J110" s="119" t="s">
        <v>11015</v>
      </c>
      <c r="K110" t="s">
        <v>11021</v>
      </c>
      <c r="M110" s="118"/>
      <c r="N110" s="119" t="s">
        <v>11051</v>
      </c>
      <c r="O110" t="s">
        <v>11057</v>
      </c>
      <c r="Q110" s="118"/>
      <c r="R110" s="119" t="s">
        <v>11087</v>
      </c>
      <c r="S110" t="s">
        <v>11093</v>
      </c>
      <c r="U110" s="118"/>
      <c r="V110" s="119" t="s">
        <v>11123</v>
      </c>
      <c r="W110" t="s">
        <v>11129</v>
      </c>
    </row>
    <row r="111" spans="1:23" x14ac:dyDescent="0.3">
      <c r="A111" s="118"/>
      <c r="B111" s="119" t="s">
        <v>10954</v>
      </c>
      <c r="C111" t="s">
        <v>10960</v>
      </c>
      <c r="E111" s="118"/>
      <c r="F111" s="119" t="s">
        <v>10990</v>
      </c>
      <c r="G111" t="s">
        <v>10996</v>
      </c>
      <c r="I111" s="118"/>
      <c r="J111" s="119" t="s">
        <v>11026</v>
      </c>
      <c r="K111" t="s">
        <v>11032</v>
      </c>
      <c r="M111" s="118"/>
      <c r="N111" s="119" t="s">
        <v>11062</v>
      </c>
      <c r="O111" t="s">
        <v>11068</v>
      </c>
      <c r="Q111" s="118"/>
      <c r="R111" s="119" t="s">
        <v>11098</v>
      </c>
      <c r="S111" t="s">
        <v>11104</v>
      </c>
      <c r="U111" s="118"/>
      <c r="V111" s="119" t="s">
        <v>11134</v>
      </c>
      <c r="W111" t="s">
        <v>11140</v>
      </c>
    </row>
    <row r="112" spans="1:23" x14ac:dyDescent="0.3">
      <c r="A112" s="118"/>
      <c r="B112" s="119" t="s">
        <v>10955</v>
      </c>
      <c r="C112" t="s">
        <v>10961</v>
      </c>
      <c r="E112" s="118"/>
      <c r="F112" s="119" t="s">
        <v>10991</v>
      </c>
      <c r="G112" t="s">
        <v>10997</v>
      </c>
      <c r="I112" s="118"/>
      <c r="J112" s="119" t="s">
        <v>11027</v>
      </c>
      <c r="K112" t="s">
        <v>11033</v>
      </c>
      <c r="M112" s="118"/>
      <c r="N112" s="119" t="s">
        <v>11063</v>
      </c>
      <c r="O112" t="s">
        <v>11069</v>
      </c>
      <c r="Q112" s="118"/>
      <c r="R112" s="119" t="s">
        <v>11099</v>
      </c>
      <c r="S112" t="s">
        <v>11105</v>
      </c>
      <c r="U112" s="118"/>
      <c r="V112" s="119" t="s">
        <v>11135</v>
      </c>
      <c r="W112" t="s">
        <v>11141</v>
      </c>
    </row>
    <row r="113" spans="1:23" x14ac:dyDescent="0.3">
      <c r="A113" s="118"/>
      <c r="B113" s="119" t="s">
        <v>11146</v>
      </c>
      <c r="C113" t="s">
        <v>11152</v>
      </c>
      <c r="E113" s="118"/>
      <c r="F113" s="119" t="s">
        <v>11182</v>
      </c>
      <c r="G113" t="s">
        <v>11188</v>
      </c>
      <c r="I113" s="118"/>
      <c r="J113" s="119" t="s">
        <v>11218</v>
      </c>
      <c r="K113" t="s">
        <v>11224</v>
      </c>
      <c r="M113" s="118"/>
      <c r="N113" s="119" t="s">
        <v>11254</v>
      </c>
      <c r="O113" t="s">
        <v>11260</v>
      </c>
      <c r="Q113" s="118"/>
      <c r="R113" s="119" t="s">
        <v>11290</v>
      </c>
      <c r="S113" t="s">
        <v>11296</v>
      </c>
      <c r="U113" s="118"/>
      <c r="V113" s="119" t="s">
        <v>11326</v>
      </c>
      <c r="W113" t="s">
        <v>11332</v>
      </c>
    </row>
    <row r="114" spans="1:23" x14ac:dyDescent="0.3">
      <c r="A114" s="118"/>
      <c r="B114" s="119" t="s">
        <v>11147</v>
      </c>
      <c r="C114" t="s">
        <v>11153</v>
      </c>
      <c r="E114" s="118"/>
      <c r="F114" s="119" t="s">
        <v>11183</v>
      </c>
      <c r="G114" t="s">
        <v>11189</v>
      </c>
      <c r="I114" s="118"/>
      <c r="J114" s="119" t="s">
        <v>11219</v>
      </c>
      <c r="K114" t="s">
        <v>11225</v>
      </c>
      <c r="M114" s="118"/>
      <c r="N114" s="119" t="s">
        <v>11255</v>
      </c>
      <c r="O114" t="s">
        <v>11261</v>
      </c>
      <c r="Q114" s="118"/>
      <c r="R114" s="119" t="s">
        <v>11291</v>
      </c>
      <c r="S114" t="s">
        <v>11297</v>
      </c>
      <c r="U114" s="118"/>
      <c r="V114" s="119" t="s">
        <v>11327</v>
      </c>
      <c r="W114" t="s">
        <v>11333</v>
      </c>
    </row>
    <row r="115" spans="1:23" x14ac:dyDescent="0.3">
      <c r="A115" s="118"/>
      <c r="B115" s="119" t="s">
        <v>11158</v>
      </c>
      <c r="C115" t="s">
        <v>11164</v>
      </c>
      <c r="E115" s="118"/>
      <c r="F115" s="119" t="s">
        <v>11194</v>
      </c>
      <c r="G115" t="s">
        <v>11200</v>
      </c>
      <c r="I115" s="118"/>
      <c r="J115" s="119" t="s">
        <v>11230</v>
      </c>
      <c r="K115" t="s">
        <v>11236</v>
      </c>
      <c r="M115" s="118"/>
      <c r="N115" s="119" t="s">
        <v>11266</v>
      </c>
      <c r="O115" t="s">
        <v>11272</v>
      </c>
      <c r="Q115" s="118"/>
      <c r="R115" s="119" t="s">
        <v>11302</v>
      </c>
      <c r="S115" t="s">
        <v>11308</v>
      </c>
      <c r="U115" s="118"/>
      <c r="V115" s="119" t="s">
        <v>11338</v>
      </c>
      <c r="W115" t="s">
        <v>11344</v>
      </c>
    </row>
    <row r="116" spans="1:23" x14ac:dyDescent="0.3">
      <c r="A116" s="118"/>
      <c r="B116" s="119" t="s">
        <v>11159</v>
      </c>
      <c r="C116" t="s">
        <v>11165</v>
      </c>
      <c r="E116" s="118"/>
      <c r="F116" s="119" t="s">
        <v>11195</v>
      </c>
      <c r="G116" t="s">
        <v>11201</v>
      </c>
      <c r="I116" s="118"/>
      <c r="J116" s="119" t="s">
        <v>11231</v>
      </c>
      <c r="K116" t="s">
        <v>11237</v>
      </c>
      <c r="M116" s="118"/>
      <c r="N116" s="119" t="s">
        <v>11267</v>
      </c>
      <c r="O116" t="s">
        <v>11273</v>
      </c>
      <c r="Q116" s="118"/>
      <c r="R116" s="119" t="s">
        <v>11303</v>
      </c>
      <c r="S116" t="s">
        <v>11309</v>
      </c>
      <c r="U116" s="118"/>
      <c r="V116" s="119" t="s">
        <v>11339</v>
      </c>
      <c r="W116" t="s">
        <v>11345</v>
      </c>
    </row>
    <row r="117" spans="1:23" x14ac:dyDescent="0.3">
      <c r="A117" s="118"/>
      <c r="B117" s="119" t="s">
        <v>11170</v>
      </c>
      <c r="C117" t="s">
        <v>11176</v>
      </c>
      <c r="E117" s="118"/>
      <c r="F117" s="119" t="s">
        <v>11206</v>
      </c>
      <c r="G117" t="s">
        <v>11212</v>
      </c>
      <c r="I117" s="118"/>
      <c r="J117" s="119" t="s">
        <v>11242</v>
      </c>
      <c r="K117" t="s">
        <v>11248</v>
      </c>
      <c r="M117" s="118"/>
      <c r="N117" s="119" t="s">
        <v>11278</v>
      </c>
      <c r="O117" t="s">
        <v>11284</v>
      </c>
      <c r="Q117" s="118"/>
      <c r="R117" s="119" t="s">
        <v>11314</v>
      </c>
      <c r="S117" t="s">
        <v>11320</v>
      </c>
      <c r="U117" s="118"/>
      <c r="V117" s="119" t="s">
        <v>11350</v>
      </c>
      <c r="W117" t="s">
        <v>11356</v>
      </c>
    </row>
    <row r="118" spans="1:23" x14ac:dyDescent="0.3">
      <c r="A118" s="118"/>
      <c r="B118" s="119" t="s">
        <v>11171</v>
      </c>
      <c r="C118" t="s">
        <v>11177</v>
      </c>
      <c r="E118" s="118"/>
      <c r="F118" s="119" t="s">
        <v>11207</v>
      </c>
      <c r="G118" t="s">
        <v>11213</v>
      </c>
      <c r="I118" s="118"/>
      <c r="J118" s="119" t="s">
        <v>11243</v>
      </c>
      <c r="K118" t="s">
        <v>11249</v>
      </c>
      <c r="M118" s="118"/>
      <c r="N118" s="119" t="s">
        <v>11279</v>
      </c>
      <c r="O118" t="s">
        <v>11285</v>
      </c>
      <c r="Q118" s="118"/>
      <c r="R118" s="119" t="s">
        <v>11315</v>
      </c>
      <c r="S118" t="s">
        <v>11321</v>
      </c>
      <c r="U118" s="118"/>
      <c r="V118" s="119" t="s">
        <v>11351</v>
      </c>
      <c r="W118" t="s">
        <v>11357</v>
      </c>
    </row>
    <row r="119" spans="1:23" x14ac:dyDescent="0.3">
      <c r="A119" s="118"/>
      <c r="B119" s="119" t="s">
        <v>11362</v>
      </c>
      <c r="C119" t="s">
        <v>11368</v>
      </c>
      <c r="E119" s="118"/>
      <c r="F119" s="119" t="s">
        <v>11398</v>
      </c>
      <c r="G119" t="s">
        <v>11404</v>
      </c>
      <c r="I119" s="118"/>
      <c r="J119" s="119" t="s">
        <v>11434</v>
      </c>
      <c r="K119" t="s">
        <v>11440</v>
      </c>
      <c r="M119" s="118"/>
      <c r="N119" s="119" t="s">
        <v>11470</v>
      </c>
      <c r="O119" t="s">
        <v>11476</v>
      </c>
      <c r="Q119" s="118"/>
      <c r="R119" s="119" t="s">
        <v>11506</v>
      </c>
      <c r="S119" t="s">
        <v>11512</v>
      </c>
      <c r="U119" s="118"/>
      <c r="V119" s="119" t="s">
        <v>11542</v>
      </c>
      <c r="W119" t="s">
        <v>11548</v>
      </c>
    </row>
    <row r="120" spans="1:23" x14ac:dyDescent="0.3">
      <c r="A120" s="118"/>
      <c r="B120" s="119" t="s">
        <v>11363</v>
      </c>
      <c r="C120" t="s">
        <v>11369</v>
      </c>
      <c r="E120" s="118"/>
      <c r="F120" s="119" t="s">
        <v>11399</v>
      </c>
      <c r="G120" t="s">
        <v>11405</v>
      </c>
      <c r="I120" s="118"/>
      <c r="J120" s="119" t="s">
        <v>11435</v>
      </c>
      <c r="K120" t="s">
        <v>11441</v>
      </c>
      <c r="M120" s="118"/>
      <c r="N120" s="119" t="s">
        <v>11471</v>
      </c>
      <c r="O120" t="s">
        <v>11477</v>
      </c>
      <c r="Q120" s="118"/>
      <c r="R120" s="119" t="s">
        <v>11507</v>
      </c>
      <c r="S120" t="s">
        <v>11513</v>
      </c>
      <c r="U120" s="118"/>
      <c r="V120" s="119" t="s">
        <v>11543</v>
      </c>
      <c r="W120" t="s">
        <v>11549</v>
      </c>
    </row>
    <row r="121" spans="1:23" x14ac:dyDescent="0.3">
      <c r="A121" s="118"/>
      <c r="B121" s="119" t="s">
        <v>11374</v>
      </c>
      <c r="C121" t="s">
        <v>11380</v>
      </c>
      <c r="E121" s="118"/>
      <c r="F121" s="119" t="s">
        <v>11410</v>
      </c>
      <c r="G121" t="s">
        <v>11416</v>
      </c>
      <c r="I121" s="118"/>
      <c r="J121" s="119" t="s">
        <v>11446</v>
      </c>
      <c r="K121" t="s">
        <v>11452</v>
      </c>
      <c r="M121" s="118"/>
      <c r="N121" s="119" t="s">
        <v>11482</v>
      </c>
      <c r="O121" t="s">
        <v>11488</v>
      </c>
      <c r="Q121" s="118"/>
      <c r="R121" s="119" t="s">
        <v>11518</v>
      </c>
      <c r="S121" t="s">
        <v>11524</v>
      </c>
      <c r="U121" s="118"/>
      <c r="V121" s="119" t="s">
        <v>11554</v>
      </c>
      <c r="W121" t="s">
        <v>11560</v>
      </c>
    </row>
    <row r="122" spans="1:23" x14ac:dyDescent="0.3">
      <c r="A122" s="118"/>
      <c r="B122" s="119" t="s">
        <v>11375</v>
      </c>
      <c r="C122" t="s">
        <v>11381</v>
      </c>
      <c r="E122" s="118"/>
      <c r="F122" s="119" t="s">
        <v>11411</v>
      </c>
      <c r="G122" t="s">
        <v>11417</v>
      </c>
      <c r="I122" s="118"/>
      <c r="J122" s="119" t="s">
        <v>11447</v>
      </c>
      <c r="K122" t="s">
        <v>11453</v>
      </c>
      <c r="M122" s="118"/>
      <c r="N122" s="119" t="s">
        <v>11483</v>
      </c>
      <c r="O122" t="s">
        <v>11489</v>
      </c>
      <c r="Q122" s="118"/>
      <c r="R122" s="119" t="s">
        <v>11519</v>
      </c>
      <c r="S122" t="s">
        <v>11525</v>
      </c>
      <c r="U122" s="118"/>
      <c r="V122" s="119" t="s">
        <v>11555</v>
      </c>
      <c r="W122" t="s">
        <v>11561</v>
      </c>
    </row>
    <row r="123" spans="1:23" x14ac:dyDescent="0.3">
      <c r="A123" s="118"/>
      <c r="B123" s="119" t="s">
        <v>11386</v>
      </c>
      <c r="C123" t="s">
        <v>11392</v>
      </c>
      <c r="E123" s="118"/>
      <c r="F123" s="119" t="s">
        <v>11422</v>
      </c>
      <c r="G123" t="s">
        <v>11428</v>
      </c>
      <c r="I123" s="118"/>
      <c r="J123" s="119" t="s">
        <v>11458</v>
      </c>
      <c r="K123" t="s">
        <v>11464</v>
      </c>
      <c r="M123" s="118"/>
      <c r="N123" s="119" t="s">
        <v>11494</v>
      </c>
      <c r="O123" t="s">
        <v>11500</v>
      </c>
      <c r="Q123" s="118"/>
      <c r="R123" s="119" t="s">
        <v>11530</v>
      </c>
      <c r="S123" t="s">
        <v>11536</v>
      </c>
      <c r="U123" s="118"/>
      <c r="V123" s="119" t="s">
        <v>11566</v>
      </c>
      <c r="W123" t="s">
        <v>11572</v>
      </c>
    </row>
    <row r="124" spans="1:23" x14ac:dyDescent="0.3">
      <c r="A124" s="118"/>
      <c r="B124" s="119" t="s">
        <v>11387</v>
      </c>
      <c r="C124" t="s">
        <v>11393</v>
      </c>
      <c r="E124" s="118"/>
      <c r="F124" s="119" t="s">
        <v>11423</v>
      </c>
      <c r="G124" t="s">
        <v>11429</v>
      </c>
      <c r="I124" s="118"/>
      <c r="J124" s="119" t="s">
        <v>11459</v>
      </c>
      <c r="K124" t="s">
        <v>11465</v>
      </c>
      <c r="M124" s="118"/>
      <c r="N124" s="119" t="s">
        <v>11495</v>
      </c>
      <c r="O124" t="s">
        <v>11501</v>
      </c>
      <c r="Q124" s="118"/>
      <c r="R124" s="119" t="s">
        <v>11531</v>
      </c>
      <c r="S124" t="s">
        <v>11537</v>
      </c>
      <c r="U124" s="118"/>
      <c r="V124" s="119" t="s">
        <v>11567</v>
      </c>
      <c r="W124" t="s">
        <v>11573</v>
      </c>
    </row>
    <row r="125" spans="1:23" x14ac:dyDescent="0.3">
      <c r="A125" s="118"/>
      <c r="B125" s="119" t="s">
        <v>11578</v>
      </c>
      <c r="C125" t="s">
        <v>11584</v>
      </c>
      <c r="E125" s="118"/>
      <c r="F125" s="119" t="s">
        <v>11614</v>
      </c>
      <c r="G125" t="s">
        <v>11620</v>
      </c>
      <c r="I125" s="118"/>
      <c r="J125" s="119" t="s">
        <v>11650</v>
      </c>
      <c r="K125" t="s">
        <v>11656</v>
      </c>
      <c r="M125" s="118"/>
      <c r="N125" s="119" t="s">
        <v>11686</v>
      </c>
      <c r="O125" t="s">
        <v>11692</v>
      </c>
      <c r="Q125" s="118"/>
      <c r="R125" s="119" t="s">
        <v>11722</v>
      </c>
      <c r="S125" t="s">
        <v>11728</v>
      </c>
      <c r="U125" s="118"/>
      <c r="V125" s="119" t="s">
        <v>11758</v>
      </c>
      <c r="W125" t="s">
        <v>11764</v>
      </c>
    </row>
    <row r="126" spans="1:23" x14ac:dyDescent="0.3">
      <c r="A126" s="118"/>
      <c r="B126" s="119" t="s">
        <v>11579</v>
      </c>
      <c r="C126" t="s">
        <v>11585</v>
      </c>
      <c r="E126" s="118"/>
      <c r="F126" s="119" t="s">
        <v>11615</v>
      </c>
      <c r="G126" t="s">
        <v>11621</v>
      </c>
      <c r="I126" s="118"/>
      <c r="J126" s="119" t="s">
        <v>11651</v>
      </c>
      <c r="K126" t="s">
        <v>11657</v>
      </c>
      <c r="M126" s="118"/>
      <c r="N126" s="119" t="s">
        <v>11687</v>
      </c>
      <c r="O126" t="s">
        <v>11693</v>
      </c>
      <c r="Q126" s="118"/>
      <c r="R126" s="119" t="s">
        <v>11723</v>
      </c>
      <c r="S126" t="s">
        <v>11729</v>
      </c>
      <c r="U126" s="118"/>
      <c r="V126" s="119" t="s">
        <v>11759</v>
      </c>
      <c r="W126" t="s">
        <v>11765</v>
      </c>
    </row>
    <row r="127" spans="1:23" x14ac:dyDescent="0.3">
      <c r="A127" s="118"/>
      <c r="B127" s="119" t="s">
        <v>11590</v>
      </c>
      <c r="C127" t="s">
        <v>11596</v>
      </c>
      <c r="E127" s="118"/>
      <c r="F127" s="119" t="s">
        <v>11626</v>
      </c>
      <c r="G127" t="s">
        <v>11632</v>
      </c>
      <c r="I127" s="118"/>
      <c r="J127" s="119" t="s">
        <v>11662</v>
      </c>
      <c r="K127" t="s">
        <v>11668</v>
      </c>
      <c r="M127" s="118"/>
      <c r="N127" s="119" t="s">
        <v>11698</v>
      </c>
      <c r="O127" t="s">
        <v>11704</v>
      </c>
      <c r="Q127" s="118"/>
      <c r="R127" s="119" t="s">
        <v>11734</v>
      </c>
      <c r="S127" t="s">
        <v>11740</v>
      </c>
      <c r="U127" s="118"/>
      <c r="V127" s="119" t="s">
        <v>11770</v>
      </c>
      <c r="W127" t="s">
        <v>11776</v>
      </c>
    </row>
    <row r="128" spans="1:23" x14ac:dyDescent="0.3">
      <c r="A128" s="118"/>
      <c r="B128" s="119" t="s">
        <v>11591</v>
      </c>
      <c r="C128" t="s">
        <v>11597</v>
      </c>
      <c r="E128" s="118"/>
      <c r="F128" s="119" t="s">
        <v>11627</v>
      </c>
      <c r="G128" t="s">
        <v>11633</v>
      </c>
      <c r="I128" s="118"/>
      <c r="J128" s="119" t="s">
        <v>11663</v>
      </c>
      <c r="K128" t="s">
        <v>11669</v>
      </c>
      <c r="M128" s="118"/>
      <c r="N128" s="119" t="s">
        <v>11699</v>
      </c>
      <c r="O128" t="s">
        <v>11705</v>
      </c>
      <c r="Q128" s="118"/>
      <c r="R128" s="119" t="s">
        <v>11735</v>
      </c>
      <c r="S128" t="s">
        <v>11741</v>
      </c>
      <c r="U128" s="118"/>
      <c r="V128" s="119" t="s">
        <v>11771</v>
      </c>
      <c r="W128" t="s">
        <v>11777</v>
      </c>
    </row>
    <row r="129" spans="1:23" x14ac:dyDescent="0.3">
      <c r="A129" s="118"/>
      <c r="B129" s="119" t="s">
        <v>11602</v>
      </c>
      <c r="C129" t="s">
        <v>11608</v>
      </c>
      <c r="E129" s="118"/>
      <c r="F129" s="119" t="s">
        <v>11638</v>
      </c>
      <c r="G129" t="s">
        <v>11644</v>
      </c>
      <c r="I129" s="118"/>
      <c r="J129" s="119" t="s">
        <v>11674</v>
      </c>
      <c r="K129" t="s">
        <v>11680</v>
      </c>
      <c r="M129" s="118"/>
      <c r="N129" s="119" t="s">
        <v>11710</v>
      </c>
      <c r="O129" t="s">
        <v>11716</v>
      </c>
      <c r="Q129" s="118"/>
      <c r="R129" s="119" t="s">
        <v>11746</v>
      </c>
      <c r="S129" t="s">
        <v>11752</v>
      </c>
      <c r="U129" s="118"/>
      <c r="V129" s="119" t="s">
        <v>11782</v>
      </c>
      <c r="W129" t="s">
        <v>11788</v>
      </c>
    </row>
    <row r="130" spans="1:23" x14ac:dyDescent="0.3">
      <c r="A130" s="118"/>
      <c r="B130" s="119" t="s">
        <v>11603</v>
      </c>
      <c r="C130" t="s">
        <v>11609</v>
      </c>
      <c r="E130" s="118"/>
      <c r="F130" s="119" t="s">
        <v>11639</v>
      </c>
      <c r="G130" t="s">
        <v>11645</v>
      </c>
      <c r="I130" s="118"/>
      <c r="J130" s="119" t="s">
        <v>11675</v>
      </c>
      <c r="K130" t="s">
        <v>11681</v>
      </c>
      <c r="M130" s="118"/>
      <c r="N130" s="119" t="s">
        <v>11711</v>
      </c>
      <c r="O130" t="s">
        <v>11717</v>
      </c>
      <c r="Q130" s="118"/>
      <c r="R130" s="119" t="s">
        <v>11747</v>
      </c>
      <c r="S130" t="s">
        <v>11753</v>
      </c>
      <c r="U130" s="118"/>
      <c r="V130" s="119" t="s">
        <v>11783</v>
      </c>
      <c r="W130" t="s">
        <v>11789</v>
      </c>
    </row>
    <row r="131" spans="1:23" x14ac:dyDescent="0.3">
      <c r="A131" s="118"/>
      <c r="B131" s="119" t="s">
        <v>11794</v>
      </c>
      <c r="C131" t="s">
        <v>11800</v>
      </c>
      <c r="E131" s="118"/>
      <c r="F131" s="119" t="s">
        <v>11830</v>
      </c>
      <c r="G131" t="s">
        <v>11836</v>
      </c>
      <c r="I131" s="118"/>
      <c r="J131" s="119" t="s">
        <v>11866</v>
      </c>
      <c r="K131" t="s">
        <v>11872</v>
      </c>
      <c r="M131" s="118"/>
      <c r="N131" s="119" t="s">
        <v>11902</v>
      </c>
      <c r="O131" t="s">
        <v>11908</v>
      </c>
      <c r="Q131" s="118"/>
      <c r="R131" s="119" t="s">
        <v>11938</v>
      </c>
      <c r="S131" t="s">
        <v>11944</v>
      </c>
      <c r="U131" s="118"/>
      <c r="V131" s="119" t="s">
        <v>11974</v>
      </c>
      <c r="W131" t="s">
        <v>11980</v>
      </c>
    </row>
    <row r="132" spans="1:23" x14ac:dyDescent="0.3">
      <c r="A132" s="118"/>
      <c r="B132" s="119" t="s">
        <v>11795</v>
      </c>
      <c r="C132" t="s">
        <v>11801</v>
      </c>
      <c r="E132" s="118"/>
      <c r="F132" s="119" t="s">
        <v>11831</v>
      </c>
      <c r="G132" t="s">
        <v>11837</v>
      </c>
      <c r="I132" s="118"/>
      <c r="J132" s="119" t="s">
        <v>11867</v>
      </c>
      <c r="K132" t="s">
        <v>11873</v>
      </c>
      <c r="M132" s="118"/>
      <c r="N132" s="119" t="s">
        <v>11903</v>
      </c>
      <c r="O132" t="s">
        <v>11909</v>
      </c>
      <c r="Q132" s="118"/>
      <c r="R132" s="119" t="s">
        <v>11939</v>
      </c>
      <c r="S132" t="s">
        <v>11945</v>
      </c>
      <c r="U132" s="118"/>
      <c r="V132" s="119" t="s">
        <v>11975</v>
      </c>
      <c r="W132" t="s">
        <v>11981</v>
      </c>
    </row>
    <row r="133" spans="1:23" x14ac:dyDescent="0.3">
      <c r="A133" s="118"/>
      <c r="B133" s="119" t="s">
        <v>11806</v>
      </c>
      <c r="C133" t="s">
        <v>11812</v>
      </c>
      <c r="E133" s="118"/>
      <c r="F133" s="119" t="s">
        <v>11842</v>
      </c>
      <c r="G133" t="s">
        <v>11848</v>
      </c>
      <c r="I133" s="118"/>
      <c r="J133" s="119" t="s">
        <v>11878</v>
      </c>
      <c r="K133" t="s">
        <v>11884</v>
      </c>
      <c r="M133" s="118"/>
      <c r="N133" s="119" t="s">
        <v>11914</v>
      </c>
      <c r="O133" t="s">
        <v>11920</v>
      </c>
      <c r="Q133" s="118"/>
      <c r="R133" s="119" t="s">
        <v>11950</v>
      </c>
      <c r="S133" t="s">
        <v>11956</v>
      </c>
      <c r="U133" s="118"/>
      <c r="V133" s="119" t="s">
        <v>11986</v>
      </c>
      <c r="W133" t="s">
        <v>11992</v>
      </c>
    </row>
    <row r="134" spans="1:23" x14ac:dyDescent="0.3">
      <c r="A134" s="118"/>
      <c r="B134" s="119" t="s">
        <v>11807</v>
      </c>
      <c r="C134" t="s">
        <v>11813</v>
      </c>
      <c r="E134" s="118"/>
      <c r="F134" s="119" t="s">
        <v>11843</v>
      </c>
      <c r="G134" t="s">
        <v>11849</v>
      </c>
      <c r="I134" s="118"/>
      <c r="J134" s="119" t="s">
        <v>11879</v>
      </c>
      <c r="K134" t="s">
        <v>11885</v>
      </c>
      <c r="M134" s="118"/>
      <c r="N134" s="119" t="s">
        <v>11915</v>
      </c>
      <c r="O134" t="s">
        <v>11921</v>
      </c>
      <c r="Q134" s="118"/>
      <c r="R134" s="119" t="s">
        <v>11951</v>
      </c>
      <c r="S134" t="s">
        <v>11957</v>
      </c>
      <c r="U134" s="118"/>
      <c r="V134" s="119" t="s">
        <v>11987</v>
      </c>
      <c r="W134" t="s">
        <v>11993</v>
      </c>
    </row>
    <row r="135" spans="1:23" x14ac:dyDescent="0.3">
      <c r="A135" s="118"/>
      <c r="B135" s="119" t="s">
        <v>11818</v>
      </c>
      <c r="C135" t="s">
        <v>11824</v>
      </c>
      <c r="E135" s="118"/>
      <c r="F135" s="119" t="s">
        <v>11854</v>
      </c>
      <c r="G135" t="s">
        <v>11860</v>
      </c>
      <c r="I135" s="118"/>
      <c r="J135" s="119" t="s">
        <v>11890</v>
      </c>
      <c r="K135" t="s">
        <v>11896</v>
      </c>
      <c r="M135" s="118"/>
      <c r="N135" s="119" t="s">
        <v>11926</v>
      </c>
      <c r="O135" t="s">
        <v>11932</v>
      </c>
      <c r="Q135" s="118"/>
      <c r="R135" s="119" t="s">
        <v>11962</v>
      </c>
      <c r="S135" t="s">
        <v>11968</v>
      </c>
      <c r="U135" s="118"/>
      <c r="V135" s="119" t="s">
        <v>11998</v>
      </c>
      <c r="W135" t="s">
        <v>12004</v>
      </c>
    </row>
    <row r="136" spans="1:23" x14ac:dyDescent="0.3">
      <c r="A136" s="118"/>
      <c r="B136" s="119" t="s">
        <v>11819</v>
      </c>
      <c r="C136" t="s">
        <v>11825</v>
      </c>
      <c r="E136" s="118"/>
      <c r="F136" s="119" t="s">
        <v>11855</v>
      </c>
      <c r="G136" t="s">
        <v>11861</v>
      </c>
      <c r="I136" s="118"/>
      <c r="J136" s="119" t="s">
        <v>11891</v>
      </c>
      <c r="K136" t="s">
        <v>11897</v>
      </c>
      <c r="M136" s="118"/>
      <c r="N136" s="119" t="s">
        <v>11927</v>
      </c>
      <c r="O136" t="s">
        <v>11933</v>
      </c>
      <c r="Q136" s="118"/>
      <c r="R136" s="119" t="s">
        <v>11963</v>
      </c>
      <c r="S136" t="s">
        <v>11969</v>
      </c>
      <c r="U136" s="118"/>
      <c r="V136" s="119" t="s">
        <v>11999</v>
      </c>
      <c r="W136" t="s">
        <v>12005</v>
      </c>
    </row>
    <row r="137" spans="1:23" x14ac:dyDescent="0.3">
      <c r="A137" s="118"/>
      <c r="B137" s="119" t="s">
        <v>12010</v>
      </c>
      <c r="C137" t="s">
        <v>12016</v>
      </c>
      <c r="E137" s="118"/>
      <c r="F137" s="119" t="s">
        <v>12046</v>
      </c>
      <c r="G137" t="s">
        <v>12052</v>
      </c>
      <c r="I137" s="118"/>
      <c r="J137" s="119" t="s">
        <v>12082</v>
      </c>
      <c r="K137" t="s">
        <v>12088</v>
      </c>
      <c r="M137" s="118"/>
      <c r="N137" s="119" t="s">
        <v>12118</v>
      </c>
      <c r="O137" t="s">
        <v>12124</v>
      </c>
      <c r="Q137" s="118"/>
      <c r="R137" s="119" t="s">
        <v>12154</v>
      </c>
      <c r="S137" t="s">
        <v>12160</v>
      </c>
      <c r="U137" s="118"/>
      <c r="V137" s="119" t="s">
        <v>12190</v>
      </c>
      <c r="W137" t="s">
        <v>12196</v>
      </c>
    </row>
    <row r="138" spans="1:23" x14ac:dyDescent="0.3">
      <c r="A138" s="118"/>
      <c r="B138" s="119" t="s">
        <v>12011</v>
      </c>
      <c r="C138" t="s">
        <v>12017</v>
      </c>
      <c r="E138" s="118"/>
      <c r="F138" s="119" t="s">
        <v>12047</v>
      </c>
      <c r="G138" t="s">
        <v>12053</v>
      </c>
      <c r="I138" s="118"/>
      <c r="J138" s="119" t="s">
        <v>12083</v>
      </c>
      <c r="K138" t="s">
        <v>12089</v>
      </c>
      <c r="M138" s="118"/>
      <c r="N138" s="119" t="s">
        <v>12119</v>
      </c>
      <c r="O138" t="s">
        <v>12125</v>
      </c>
      <c r="Q138" s="118"/>
      <c r="R138" s="119" t="s">
        <v>12155</v>
      </c>
      <c r="S138" t="s">
        <v>12161</v>
      </c>
      <c r="U138" s="118"/>
      <c r="V138" s="119" t="s">
        <v>12191</v>
      </c>
      <c r="W138" t="s">
        <v>12197</v>
      </c>
    </row>
    <row r="139" spans="1:23" x14ac:dyDescent="0.3">
      <c r="A139" s="118"/>
      <c r="B139" s="119" t="s">
        <v>12022</v>
      </c>
      <c r="C139" t="s">
        <v>12028</v>
      </c>
      <c r="E139" s="118"/>
      <c r="F139" s="119" t="s">
        <v>12058</v>
      </c>
      <c r="G139" t="s">
        <v>12064</v>
      </c>
      <c r="I139" s="118"/>
      <c r="J139" s="119" t="s">
        <v>12094</v>
      </c>
      <c r="K139" t="s">
        <v>12100</v>
      </c>
      <c r="M139" s="118"/>
      <c r="N139" s="119" t="s">
        <v>12130</v>
      </c>
      <c r="O139" t="s">
        <v>12136</v>
      </c>
      <c r="Q139" s="118"/>
      <c r="R139" s="119" t="s">
        <v>12166</v>
      </c>
      <c r="S139" t="s">
        <v>12172</v>
      </c>
      <c r="U139" s="118"/>
      <c r="V139" s="119" t="s">
        <v>12202</v>
      </c>
      <c r="W139" t="s">
        <v>12208</v>
      </c>
    </row>
    <row r="140" spans="1:23" x14ac:dyDescent="0.3">
      <c r="A140" s="118"/>
      <c r="B140" s="119" t="s">
        <v>12023</v>
      </c>
      <c r="C140" t="s">
        <v>12029</v>
      </c>
      <c r="E140" s="118"/>
      <c r="F140" s="119" t="s">
        <v>12059</v>
      </c>
      <c r="G140" t="s">
        <v>12065</v>
      </c>
      <c r="I140" s="118"/>
      <c r="J140" s="119" t="s">
        <v>12095</v>
      </c>
      <c r="K140" t="s">
        <v>12101</v>
      </c>
      <c r="M140" s="118"/>
      <c r="N140" s="119" t="s">
        <v>12131</v>
      </c>
      <c r="O140" t="s">
        <v>12137</v>
      </c>
      <c r="Q140" s="118"/>
      <c r="R140" s="119" t="s">
        <v>12167</v>
      </c>
      <c r="S140" t="s">
        <v>12173</v>
      </c>
      <c r="U140" s="118"/>
      <c r="V140" s="119" t="s">
        <v>12203</v>
      </c>
      <c r="W140" t="s">
        <v>12209</v>
      </c>
    </row>
    <row r="141" spans="1:23" x14ac:dyDescent="0.3">
      <c r="A141" s="118"/>
      <c r="B141" s="119" t="s">
        <v>12034</v>
      </c>
      <c r="C141" t="s">
        <v>12040</v>
      </c>
      <c r="E141" s="118"/>
      <c r="F141" s="119" t="s">
        <v>12070</v>
      </c>
      <c r="G141" t="s">
        <v>12076</v>
      </c>
      <c r="I141" s="118"/>
      <c r="J141" s="119" t="s">
        <v>12106</v>
      </c>
      <c r="K141" t="s">
        <v>12112</v>
      </c>
      <c r="M141" s="118"/>
      <c r="N141" s="119" t="s">
        <v>12142</v>
      </c>
      <c r="O141" t="s">
        <v>12148</v>
      </c>
      <c r="Q141" s="118"/>
      <c r="R141" s="119" t="s">
        <v>12178</v>
      </c>
      <c r="S141" t="s">
        <v>12184</v>
      </c>
      <c r="U141" s="118"/>
      <c r="V141" s="119" t="s">
        <v>12214</v>
      </c>
      <c r="W141" t="s">
        <v>12220</v>
      </c>
    </row>
    <row r="142" spans="1:23" x14ac:dyDescent="0.3">
      <c r="A142" s="118"/>
      <c r="B142" s="119" t="s">
        <v>12035</v>
      </c>
      <c r="C142" t="s">
        <v>12041</v>
      </c>
      <c r="E142" s="118"/>
      <c r="F142" s="119" t="s">
        <v>12071</v>
      </c>
      <c r="G142" t="s">
        <v>12077</v>
      </c>
      <c r="I142" s="118"/>
      <c r="J142" s="119" t="s">
        <v>12107</v>
      </c>
      <c r="K142" t="s">
        <v>12113</v>
      </c>
      <c r="M142" s="118"/>
      <c r="N142" s="119" t="s">
        <v>12143</v>
      </c>
      <c r="O142" t="s">
        <v>12149</v>
      </c>
      <c r="Q142" s="118"/>
      <c r="R142" s="119" t="s">
        <v>12179</v>
      </c>
      <c r="S142" t="s">
        <v>12185</v>
      </c>
      <c r="U142" s="118"/>
      <c r="V142" s="119" t="s">
        <v>12215</v>
      </c>
      <c r="W142" t="s">
        <v>12221</v>
      </c>
    </row>
    <row r="143" spans="1:23" x14ac:dyDescent="0.3">
      <c r="A143" s="118"/>
      <c r="B143" s="119" t="s">
        <v>12226</v>
      </c>
      <c r="C143" t="s">
        <v>12232</v>
      </c>
      <c r="E143" s="118"/>
      <c r="F143" s="119" t="s">
        <v>12262</v>
      </c>
      <c r="G143" t="s">
        <v>12268</v>
      </c>
      <c r="I143" s="118"/>
      <c r="J143" s="119" t="s">
        <v>12298</v>
      </c>
      <c r="K143" t="s">
        <v>12304</v>
      </c>
      <c r="M143" s="118"/>
      <c r="N143" s="119" t="s">
        <v>12334</v>
      </c>
      <c r="O143" t="s">
        <v>12340</v>
      </c>
      <c r="Q143" s="118"/>
      <c r="R143" s="119" t="s">
        <v>12370</v>
      </c>
      <c r="S143" t="s">
        <v>12376</v>
      </c>
      <c r="U143" s="118"/>
      <c r="V143" s="119" t="s">
        <v>12406</v>
      </c>
      <c r="W143" t="s">
        <v>12412</v>
      </c>
    </row>
    <row r="144" spans="1:23" x14ac:dyDescent="0.3">
      <c r="A144" s="118"/>
      <c r="B144" s="119" t="s">
        <v>12227</v>
      </c>
      <c r="C144" t="s">
        <v>12233</v>
      </c>
      <c r="E144" s="118"/>
      <c r="F144" s="119" t="s">
        <v>12263</v>
      </c>
      <c r="G144" t="s">
        <v>12269</v>
      </c>
      <c r="I144" s="118"/>
      <c r="J144" s="119" t="s">
        <v>12299</v>
      </c>
      <c r="K144" t="s">
        <v>12305</v>
      </c>
      <c r="M144" s="118"/>
      <c r="N144" s="119" t="s">
        <v>12335</v>
      </c>
      <c r="O144" t="s">
        <v>12341</v>
      </c>
      <c r="Q144" s="118"/>
      <c r="R144" s="119" t="s">
        <v>12371</v>
      </c>
      <c r="S144" t="s">
        <v>12377</v>
      </c>
      <c r="U144" s="118"/>
      <c r="V144" s="119" t="s">
        <v>12407</v>
      </c>
      <c r="W144" t="s">
        <v>12413</v>
      </c>
    </row>
    <row r="145" spans="1:23" x14ac:dyDescent="0.3">
      <c r="A145" s="118"/>
      <c r="B145" s="119" t="s">
        <v>12238</v>
      </c>
      <c r="C145" t="s">
        <v>12244</v>
      </c>
      <c r="E145" s="118"/>
      <c r="F145" s="119" t="s">
        <v>12274</v>
      </c>
      <c r="G145" t="s">
        <v>12280</v>
      </c>
      <c r="I145" s="118"/>
      <c r="J145" s="119" t="s">
        <v>12310</v>
      </c>
      <c r="K145" t="s">
        <v>12316</v>
      </c>
      <c r="M145" s="118"/>
      <c r="N145" s="119" t="s">
        <v>12346</v>
      </c>
      <c r="O145" t="s">
        <v>12352</v>
      </c>
      <c r="Q145" s="118"/>
      <c r="R145" s="119" t="s">
        <v>12382</v>
      </c>
      <c r="S145" t="s">
        <v>12388</v>
      </c>
      <c r="U145" s="118"/>
      <c r="V145" s="119" t="s">
        <v>12418</v>
      </c>
      <c r="W145" t="s">
        <v>12424</v>
      </c>
    </row>
    <row r="146" spans="1:23" x14ac:dyDescent="0.3">
      <c r="A146" s="118"/>
      <c r="B146" s="119" t="s">
        <v>12239</v>
      </c>
      <c r="C146" t="s">
        <v>12245</v>
      </c>
      <c r="E146" s="118"/>
      <c r="F146" s="119" t="s">
        <v>12275</v>
      </c>
      <c r="G146" t="s">
        <v>12281</v>
      </c>
      <c r="I146" s="118"/>
      <c r="J146" s="119" t="s">
        <v>12311</v>
      </c>
      <c r="K146" t="s">
        <v>12317</v>
      </c>
      <c r="M146" s="118"/>
      <c r="N146" s="119" t="s">
        <v>12347</v>
      </c>
      <c r="O146" t="s">
        <v>12353</v>
      </c>
      <c r="Q146" s="118"/>
      <c r="R146" s="119" t="s">
        <v>12383</v>
      </c>
      <c r="S146" t="s">
        <v>12389</v>
      </c>
      <c r="U146" s="118"/>
      <c r="V146" s="119" t="s">
        <v>12419</v>
      </c>
      <c r="W146" t="s">
        <v>12425</v>
      </c>
    </row>
    <row r="147" spans="1:23" x14ac:dyDescent="0.3">
      <c r="A147" s="118"/>
      <c r="B147" s="119" t="s">
        <v>12250</v>
      </c>
      <c r="C147" t="s">
        <v>12256</v>
      </c>
      <c r="E147" s="118"/>
      <c r="F147" s="119" t="s">
        <v>12286</v>
      </c>
      <c r="G147" t="s">
        <v>12292</v>
      </c>
      <c r="I147" s="118"/>
      <c r="J147" s="119" t="s">
        <v>12322</v>
      </c>
      <c r="K147" t="s">
        <v>12328</v>
      </c>
      <c r="M147" s="118"/>
      <c r="N147" s="119" t="s">
        <v>12358</v>
      </c>
      <c r="O147" t="s">
        <v>12364</v>
      </c>
      <c r="Q147" s="118"/>
      <c r="R147" s="119" t="s">
        <v>12394</v>
      </c>
      <c r="S147" t="s">
        <v>12400</v>
      </c>
      <c r="U147" s="118"/>
      <c r="V147" s="119" t="s">
        <v>12430</v>
      </c>
      <c r="W147" t="s">
        <v>12436</v>
      </c>
    </row>
    <row r="148" spans="1:23" x14ac:dyDescent="0.3">
      <c r="A148" s="118"/>
      <c r="B148" s="119" t="s">
        <v>12251</v>
      </c>
      <c r="C148" t="s">
        <v>12257</v>
      </c>
      <c r="E148" s="118"/>
      <c r="F148" s="119" t="s">
        <v>12287</v>
      </c>
      <c r="G148" t="s">
        <v>12293</v>
      </c>
      <c r="I148" s="118"/>
      <c r="J148" s="119" t="s">
        <v>12323</v>
      </c>
      <c r="K148" t="s">
        <v>12329</v>
      </c>
      <c r="M148" s="118"/>
      <c r="N148" s="119" t="s">
        <v>12359</v>
      </c>
      <c r="O148" t="s">
        <v>12365</v>
      </c>
      <c r="Q148" s="118"/>
      <c r="R148" s="119" t="s">
        <v>12395</v>
      </c>
      <c r="S148" t="s">
        <v>12401</v>
      </c>
      <c r="U148" s="118"/>
      <c r="V148" s="119" t="s">
        <v>12431</v>
      </c>
      <c r="W148" t="s">
        <v>12437</v>
      </c>
    </row>
    <row r="149" spans="1:23" x14ac:dyDescent="0.3">
      <c r="A149" s="118"/>
      <c r="B149" s="119" t="s">
        <v>12442</v>
      </c>
      <c r="C149" t="s">
        <v>12448</v>
      </c>
      <c r="E149" s="118"/>
      <c r="F149" s="119" t="s">
        <v>12478</v>
      </c>
      <c r="G149" t="s">
        <v>12484</v>
      </c>
      <c r="I149" s="118"/>
      <c r="J149" s="119" t="s">
        <v>12514</v>
      </c>
      <c r="K149" t="s">
        <v>12520</v>
      </c>
      <c r="M149" s="118"/>
      <c r="N149" s="119" t="s">
        <v>12550</v>
      </c>
      <c r="O149" t="s">
        <v>12556</v>
      </c>
      <c r="Q149" s="118"/>
      <c r="R149" s="119" t="s">
        <v>12586</v>
      </c>
      <c r="S149" t="s">
        <v>12592</v>
      </c>
      <c r="U149" s="118"/>
      <c r="V149" s="119" t="s">
        <v>12622</v>
      </c>
      <c r="W149" t="s">
        <v>12628</v>
      </c>
    </row>
    <row r="150" spans="1:23" x14ac:dyDescent="0.3">
      <c r="A150" s="118"/>
      <c r="B150" s="119" t="s">
        <v>12443</v>
      </c>
      <c r="C150" t="s">
        <v>12449</v>
      </c>
      <c r="E150" s="118"/>
      <c r="F150" s="119" t="s">
        <v>12479</v>
      </c>
      <c r="G150" t="s">
        <v>12485</v>
      </c>
      <c r="I150" s="118"/>
      <c r="J150" s="119" t="s">
        <v>12515</v>
      </c>
      <c r="K150" t="s">
        <v>12521</v>
      </c>
      <c r="M150" s="118"/>
      <c r="N150" s="119" t="s">
        <v>12551</v>
      </c>
      <c r="O150" t="s">
        <v>12557</v>
      </c>
      <c r="Q150" s="118"/>
      <c r="R150" s="119" t="s">
        <v>12587</v>
      </c>
      <c r="S150" t="s">
        <v>12593</v>
      </c>
      <c r="U150" s="118"/>
      <c r="V150" s="119" t="s">
        <v>12623</v>
      </c>
      <c r="W150" t="s">
        <v>12629</v>
      </c>
    </row>
    <row r="151" spans="1:23" x14ac:dyDescent="0.3">
      <c r="A151" s="118"/>
      <c r="B151" s="119" t="s">
        <v>12454</v>
      </c>
      <c r="C151" t="s">
        <v>12460</v>
      </c>
      <c r="E151" s="118"/>
      <c r="F151" s="119" t="s">
        <v>12490</v>
      </c>
      <c r="G151" t="s">
        <v>12496</v>
      </c>
      <c r="I151" s="118"/>
      <c r="J151" s="119" t="s">
        <v>12526</v>
      </c>
      <c r="K151" t="s">
        <v>12532</v>
      </c>
      <c r="M151" s="118"/>
      <c r="N151" s="119" t="s">
        <v>12562</v>
      </c>
      <c r="O151" t="s">
        <v>12568</v>
      </c>
      <c r="Q151" s="118"/>
      <c r="R151" s="119" t="s">
        <v>12598</v>
      </c>
      <c r="S151" t="s">
        <v>12604</v>
      </c>
      <c r="U151" s="118"/>
      <c r="V151" s="119" t="s">
        <v>12634</v>
      </c>
      <c r="W151" t="s">
        <v>12640</v>
      </c>
    </row>
    <row r="152" spans="1:23" x14ac:dyDescent="0.3">
      <c r="A152" s="118"/>
      <c r="B152" s="119" t="s">
        <v>12455</v>
      </c>
      <c r="C152" t="s">
        <v>12461</v>
      </c>
      <c r="E152" s="118"/>
      <c r="F152" s="119" t="s">
        <v>12491</v>
      </c>
      <c r="G152" t="s">
        <v>12497</v>
      </c>
      <c r="I152" s="118"/>
      <c r="J152" s="119" t="s">
        <v>12527</v>
      </c>
      <c r="K152" t="s">
        <v>12533</v>
      </c>
      <c r="M152" s="118"/>
      <c r="N152" s="119" t="s">
        <v>12563</v>
      </c>
      <c r="O152" t="s">
        <v>12569</v>
      </c>
      <c r="Q152" s="118"/>
      <c r="R152" s="119" t="s">
        <v>12599</v>
      </c>
      <c r="S152" t="s">
        <v>12605</v>
      </c>
      <c r="U152" s="118"/>
      <c r="V152" s="119" t="s">
        <v>12635</v>
      </c>
      <c r="W152" t="s">
        <v>12641</v>
      </c>
    </row>
    <row r="153" spans="1:23" x14ac:dyDescent="0.3">
      <c r="A153" s="118"/>
      <c r="B153" s="119" t="s">
        <v>12466</v>
      </c>
      <c r="C153" t="s">
        <v>12472</v>
      </c>
      <c r="E153" s="118"/>
      <c r="F153" s="119" t="s">
        <v>12502</v>
      </c>
      <c r="G153" t="s">
        <v>12508</v>
      </c>
      <c r="I153" s="118"/>
      <c r="J153" s="119" t="s">
        <v>12538</v>
      </c>
      <c r="K153" t="s">
        <v>12544</v>
      </c>
      <c r="M153" s="118"/>
      <c r="N153" s="119" t="s">
        <v>12574</v>
      </c>
      <c r="O153" t="s">
        <v>12580</v>
      </c>
      <c r="Q153" s="118"/>
      <c r="R153" s="119" t="s">
        <v>12610</v>
      </c>
      <c r="S153" t="s">
        <v>12616</v>
      </c>
      <c r="U153" s="118"/>
      <c r="V153" s="119" t="s">
        <v>12646</v>
      </c>
      <c r="W153" t="s">
        <v>12652</v>
      </c>
    </row>
    <row r="154" spans="1:23" x14ac:dyDescent="0.3">
      <c r="A154" s="118"/>
      <c r="B154" s="119" t="s">
        <v>12467</v>
      </c>
      <c r="C154" t="s">
        <v>12473</v>
      </c>
      <c r="E154" s="118"/>
      <c r="F154" s="119" t="s">
        <v>12503</v>
      </c>
      <c r="G154" t="s">
        <v>12509</v>
      </c>
      <c r="I154" s="118"/>
      <c r="J154" s="119" t="s">
        <v>12539</v>
      </c>
      <c r="K154" t="s">
        <v>12545</v>
      </c>
      <c r="M154" s="118"/>
      <c r="N154" s="119" t="s">
        <v>12575</v>
      </c>
      <c r="O154" t="s">
        <v>12581</v>
      </c>
      <c r="Q154" s="118"/>
      <c r="R154" s="119" t="s">
        <v>12611</v>
      </c>
      <c r="S154" t="s">
        <v>12617</v>
      </c>
      <c r="U154" s="118"/>
      <c r="V154" s="119" t="s">
        <v>12647</v>
      </c>
      <c r="W154" t="s">
        <v>12653</v>
      </c>
    </row>
    <row r="155" spans="1:23" x14ac:dyDescent="0.3">
      <c r="A155" s="118"/>
      <c r="B155" s="119" t="s">
        <v>12658</v>
      </c>
      <c r="C155" t="s">
        <v>12664</v>
      </c>
      <c r="E155" s="118"/>
      <c r="F155" s="119" t="s">
        <v>12694</v>
      </c>
      <c r="G155" t="s">
        <v>12700</v>
      </c>
      <c r="I155" s="118"/>
      <c r="J155" s="119" t="s">
        <v>12730</v>
      </c>
      <c r="K155" t="s">
        <v>12736</v>
      </c>
      <c r="M155" s="118"/>
      <c r="N155" s="119" t="s">
        <v>12766</v>
      </c>
      <c r="O155" t="s">
        <v>12772</v>
      </c>
      <c r="Q155" s="118"/>
      <c r="R155" s="119" t="s">
        <v>12802</v>
      </c>
      <c r="S155" t="s">
        <v>12808</v>
      </c>
      <c r="U155" s="118"/>
      <c r="V155" s="119" t="s">
        <v>12838</v>
      </c>
      <c r="W155" t="s">
        <v>12844</v>
      </c>
    </row>
    <row r="156" spans="1:23" x14ac:dyDescent="0.3">
      <c r="A156" s="118"/>
      <c r="B156" s="119" t="s">
        <v>12659</v>
      </c>
      <c r="C156" t="s">
        <v>12665</v>
      </c>
      <c r="E156" s="118"/>
      <c r="F156" s="119" t="s">
        <v>12695</v>
      </c>
      <c r="G156" t="s">
        <v>12701</v>
      </c>
      <c r="I156" s="118"/>
      <c r="J156" s="119" t="s">
        <v>12731</v>
      </c>
      <c r="K156" t="s">
        <v>12737</v>
      </c>
      <c r="M156" s="118"/>
      <c r="N156" s="119" t="s">
        <v>12767</v>
      </c>
      <c r="O156" t="s">
        <v>12773</v>
      </c>
      <c r="Q156" s="118"/>
      <c r="R156" s="119" t="s">
        <v>12803</v>
      </c>
      <c r="S156" t="s">
        <v>12809</v>
      </c>
      <c r="U156" s="118"/>
      <c r="V156" s="119" t="s">
        <v>12839</v>
      </c>
      <c r="W156" t="s">
        <v>12845</v>
      </c>
    </row>
    <row r="157" spans="1:23" x14ac:dyDescent="0.3">
      <c r="A157" s="118"/>
      <c r="B157" s="119" t="s">
        <v>12670</v>
      </c>
      <c r="C157" t="s">
        <v>12676</v>
      </c>
      <c r="E157" s="118"/>
      <c r="F157" s="119" t="s">
        <v>12706</v>
      </c>
      <c r="G157" t="s">
        <v>12712</v>
      </c>
      <c r="I157" s="118"/>
      <c r="J157" s="119" t="s">
        <v>12742</v>
      </c>
      <c r="K157" t="s">
        <v>12748</v>
      </c>
      <c r="M157" s="118"/>
      <c r="N157" s="119" t="s">
        <v>12778</v>
      </c>
      <c r="O157" t="s">
        <v>12784</v>
      </c>
      <c r="Q157" s="118"/>
      <c r="R157" s="119" t="s">
        <v>12814</v>
      </c>
      <c r="S157" t="s">
        <v>12820</v>
      </c>
      <c r="U157" s="118"/>
      <c r="V157" s="119" t="s">
        <v>12850</v>
      </c>
      <c r="W157" t="s">
        <v>12856</v>
      </c>
    </row>
    <row r="158" spans="1:23" x14ac:dyDescent="0.3">
      <c r="A158" s="118"/>
      <c r="B158" s="119" t="s">
        <v>12671</v>
      </c>
      <c r="C158" t="s">
        <v>12677</v>
      </c>
      <c r="E158" s="118"/>
      <c r="F158" s="119" t="s">
        <v>12707</v>
      </c>
      <c r="G158" t="s">
        <v>12713</v>
      </c>
      <c r="I158" s="118"/>
      <c r="J158" s="119" t="s">
        <v>12743</v>
      </c>
      <c r="K158" t="s">
        <v>12749</v>
      </c>
      <c r="M158" s="118"/>
      <c r="N158" s="119" t="s">
        <v>12779</v>
      </c>
      <c r="O158" t="s">
        <v>12785</v>
      </c>
      <c r="Q158" s="118"/>
      <c r="R158" s="119" t="s">
        <v>12815</v>
      </c>
      <c r="S158" t="s">
        <v>12821</v>
      </c>
      <c r="U158" s="118"/>
      <c r="V158" s="119" t="s">
        <v>12851</v>
      </c>
      <c r="W158" t="s">
        <v>12857</v>
      </c>
    </row>
    <row r="159" spans="1:23" x14ac:dyDescent="0.3">
      <c r="A159" s="118"/>
      <c r="B159" s="119" t="s">
        <v>12682</v>
      </c>
      <c r="C159" t="s">
        <v>12688</v>
      </c>
      <c r="E159" s="118"/>
      <c r="F159" s="119" t="s">
        <v>12718</v>
      </c>
      <c r="G159" t="s">
        <v>12724</v>
      </c>
      <c r="I159" s="118"/>
      <c r="J159" s="119" t="s">
        <v>12754</v>
      </c>
      <c r="K159" t="s">
        <v>12760</v>
      </c>
      <c r="M159" s="118"/>
      <c r="N159" s="119" t="s">
        <v>12790</v>
      </c>
      <c r="O159" t="s">
        <v>12796</v>
      </c>
      <c r="Q159" s="118"/>
      <c r="R159" s="119" t="s">
        <v>12826</v>
      </c>
      <c r="S159" t="s">
        <v>12832</v>
      </c>
      <c r="U159" s="118"/>
      <c r="V159" s="119" t="s">
        <v>12862</v>
      </c>
      <c r="W159" t="s">
        <v>12868</v>
      </c>
    </row>
    <row r="160" spans="1:23" x14ac:dyDescent="0.3">
      <c r="A160" s="118"/>
      <c r="B160" s="119" t="s">
        <v>12683</v>
      </c>
      <c r="C160" t="s">
        <v>12689</v>
      </c>
      <c r="E160" s="118"/>
      <c r="F160" s="119" t="s">
        <v>12719</v>
      </c>
      <c r="G160" t="s">
        <v>12725</v>
      </c>
      <c r="I160" s="118"/>
      <c r="J160" s="119" t="s">
        <v>12755</v>
      </c>
      <c r="K160" t="s">
        <v>12761</v>
      </c>
      <c r="M160" s="118"/>
      <c r="N160" s="119" t="s">
        <v>12791</v>
      </c>
      <c r="O160" t="s">
        <v>12797</v>
      </c>
      <c r="Q160" s="118"/>
      <c r="R160" s="119" t="s">
        <v>12827</v>
      </c>
      <c r="S160" t="s">
        <v>12833</v>
      </c>
      <c r="U160" s="118"/>
      <c r="V160" s="119" t="s">
        <v>12863</v>
      </c>
      <c r="W160" t="s">
        <v>12869</v>
      </c>
    </row>
    <row r="161" spans="1:23" x14ac:dyDescent="0.3">
      <c r="A161" s="118"/>
      <c r="B161" s="119" t="s">
        <v>12874</v>
      </c>
      <c r="C161" t="s">
        <v>12880</v>
      </c>
      <c r="E161" s="118"/>
      <c r="F161" s="119" t="s">
        <v>12910</v>
      </c>
      <c r="G161" t="s">
        <v>12916</v>
      </c>
      <c r="I161" s="118"/>
      <c r="J161" s="119" t="s">
        <v>12946</v>
      </c>
      <c r="K161" t="s">
        <v>12952</v>
      </c>
      <c r="M161" s="118"/>
      <c r="N161" s="119" t="s">
        <v>12982</v>
      </c>
      <c r="O161" t="s">
        <v>12988</v>
      </c>
      <c r="Q161" s="118"/>
      <c r="R161" s="119" t="s">
        <v>13018</v>
      </c>
      <c r="S161" t="s">
        <v>13024</v>
      </c>
      <c r="U161" s="118"/>
      <c r="V161" s="119" t="s">
        <v>13054</v>
      </c>
      <c r="W161" t="s">
        <v>13060</v>
      </c>
    </row>
    <row r="162" spans="1:23" x14ac:dyDescent="0.3">
      <c r="A162" s="118"/>
      <c r="B162" s="119" t="s">
        <v>12875</v>
      </c>
      <c r="C162" t="s">
        <v>12881</v>
      </c>
      <c r="E162" s="118"/>
      <c r="F162" s="119" t="s">
        <v>12911</v>
      </c>
      <c r="G162" t="s">
        <v>12917</v>
      </c>
      <c r="I162" s="118"/>
      <c r="J162" s="119" t="s">
        <v>12947</v>
      </c>
      <c r="K162" t="s">
        <v>12953</v>
      </c>
      <c r="M162" s="118"/>
      <c r="N162" s="119" t="s">
        <v>12983</v>
      </c>
      <c r="O162" t="s">
        <v>12989</v>
      </c>
      <c r="Q162" s="118"/>
      <c r="R162" s="119" t="s">
        <v>13019</v>
      </c>
      <c r="S162" t="s">
        <v>13025</v>
      </c>
      <c r="U162" s="118"/>
      <c r="V162" s="119" t="s">
        <v>13055</v>
      </c>
      <c r="W162" t="s">
        <v>13061</v>
      </c>
    </row>
    <row r="163" spans="1:23" x14ac:dyDescent="0.3">
      <c r="A163" s="118"/>
      <c r="B163" s="119" t="s">
        <v>12886</v>
      </c>
      <c r="C163" t="s">
        <v>12892</v>
      </c>
      <c r="E163" s="118"/>
      <c r="F163" s="119" t="s">
        <v>12922</v>
      </c>
      <c r="G163" t="s">
        <v>12928</v>
      </c>
      <c r="I163" s="118"/>
      <c r="J163" s="119" t="s">
        <v>12958</v>
      </c>
      <c r="K163" t="s">
        <v>12964</v>
      </c>
      <c r="M163" s="118"/>
      <c r="N163" s="119" t="s">
        <v>12994</v>
      </c>
      <c r="O163" t="s">
        <v>13000</v>
      </c>
      <c r="Q163" s="118"/>
      <c r="R163" s="119" t="s">
        <v>13030</v>
      </c>
      <c r="S163" t="s">
        <v>13036</v>
      </c>
      <c r="U163" s="118"/>
      <c r="V163" s="119" t="s">
        <v>13066</v>
      </c>
      <c r="W163" t="s">
        <v>13072</v>
      </c>
    </row>
    <row r="164" spans="1:23" x14ac:dyDescent="0.3">
      <c r="A164" s="118"/>
      <c r="B164" s="119" t="s">
        <v>12887</v>
      </c>
      <c r="C164" t="s">
        <v>12893</v>
      </c>
      <c r="E164" s="118"/>
      <c r="F164" s="119" t="s">
        <v>12923</v>
      </c>
      <c r="G164" t="s">
        <v>12929</v>
      </c>
      <c r="I164" s="118"/>
      <c r="J164" s="119" t="s">
        <v>12959</v>
      </c>
      <c r="K164" t="s">
        <v>12965</v>
      </c>
      <c r="M164" s="118"/>
      <c r="N164" s="119" t="s">
        <v>12995</v>
      </c>
      <c r="O164" t="s">
        <v>13001</v>
      </c>
      <c r="Q164" s="118"/>
      <c r="R164" s="119" t="s">
        <v>13031</v>
      </c>
      <c r="S164" t="s">
        <v>13037</v>
      </c>
      <c r="U164" s="118"/>
      <c r="V164" s="119" t="s">
        <v>13067</v>
      </c>
      <c r="W164" t="s">
        <v>13073</v>
      </c>
    </row>
    <row r="165" spans="1:23" x14ac:dyDescent="0.3">
      <c r="A165" s="118"/>
      <c r="B165" s="119" t="s">
        <v>12898</v>
      </c>
      <c r="C165" t="s">
        <v>12904</v>
      </c>
      <c r="E165" s="118"/>
      <c r="F165" s="119" t="s">
        <v>12934</v>
      </c>
      <c r="G165" t="s">
        <v>12940</v>
      </c>
      <c r="I165" s="118"/>
      <c r="J165" s="119" t="s">
        <v>12970</v>
      </c>
      <c r="K165" t="s">
        <v>12976</v>
      </c>
      <c r="M165" s="118"/>
      <c r="N165" s="119" t="s">
        <v>13006</v>
      </c>
      <c r="O165" t="s">
        <v>13012</v>
      </c>
      <c r="Q165" s="118"/>
      <c r="R165" s="119" t="s">
        <v>13042</v>
      </c>
      <c r="S165" t="s">
        <v>13048</v>
      </c>
      <c r="U165" s="118"/>
      <c r="V165" s="119" t="s">
        <v>13078</v>
      </c>
      <c r="W165" t="s">
        <v>13084</v>
      </c>
    </row>
    <row r="166" spans="1:23" x14ac:dyDescent="0.3">
      <c r="A166" s="118"/>
      <c r="B166" s="119" t="s">
        <v>12899</v>
      </c>
      <c r="C166" t="s">
        <v>12905</v>
      </c>
      <c r="E166" s="118"/>
      <c r="F166" s="119" t="s">
        <v>12935</v>
      </c>
      <c r="G166" t="s">
        <v>12941</v>
      </c>
      <c r="I166" s="118"/>
      <c r="J166" s="119" t="s">
        <v>12971</v>
      </c>
      <c r="K166" t="s">
        <v>12977</v>
      </c>
      <c r="M166" s="118"/>
      <c r="N166" s="119" t="s">
        <v>13007</v>
      </c>
      <c r="O166" t="s">
        <v>13013</v>
      </c>
      <c r="Q166" s="118"/>
      <c r="R166" s="119" t="s">
        <v>13043</v>
      </c>
      <c r="S166" t="s">
        <v>13049</v>
      </c>
      <c r="U166" s="118"/>
      <c r="V166" s="119" t="s">
        <v>13079</v>
      </c>
      <c r="W166" t="s">
        <v>13085</v>
      </c>
    </row>
    <row r="167" spans="1:23" x14ac:dyDescent="0.3">
      <c r="A167" s="118"/>
      <c r="B167" s="119" t="s">
        <v>13090</v>
      </c>
      <c r="C167" t="s">
        <v>13096</v>
      </c>
      <c r="E167" s="118"/>
      <c r="F167" s="119" t="s">
        <v>13126</v>
      </c>
      <c r="G167" t="s">
        <v>13132</v>
      </c>
      <c r="I167" s="118"/>
      <c r="J167" s="119" t="s">
        <v>13162</v>
      </c>
      <c r="K167" t="s">
        <v>13168</v>
      </c>
      <c r="M167" s="118"/>
      <c r="N167" s="119" t="s">
        <v>13198</v>
      </c>
      <c r="O167" t="s">
        <v>13204</v>
      </c>
      <c r="Q167" s="118"/>
      <c r="R167" s="119" t="s">
        <v>13234</v>
      </c>
      <c r="S167" t="s">
        <v>13240</v>
      </c>
      <c r="U167" s="118"/>
      <c r="V167" s="119" t="s">
        <v>13270</v>
      </c>
      <c r="W167" t="s">
        <v>13276</v>
      </c>
    </row>
    <row r="168" spans="1:23" x14ac:dyDescent="0.3">
      <c r="A168" s="118"/>
      <c r="B168" s="119" t="s">
        <v>13091</v>
      </c>
      <c r="C168" t="s">
        <v>13097</v>
      </c>
      <c r="E168" s="118"/>
      <c r="F168" s="119" t="s">
        <v>13127</v>
      </c>
      <c r="G168" t="s">
        <v>13133</v>
      </c>
      <c r="I168" s="118"/>
      <c r="J168" s="119" t="s">
        <v>13163</v>
      </c>
      <c r="K168" t="s">
        <v>13169</v>
      </c>
      <c r="M168" s="118"/>
      <c r="N168" s="119" t="s">
        <v>13199</v>
      </c>
      <c r="O168" t="s">
        <v>13205</v>
      </c>
      <c r="Q168" s="118"/>
      <c r="R168" s="119" t="s">
        <v>13235</v>
      </c>
      <c r="S168" t="s">
        <v>13241</v>
      </c>
      <c r="U168" s="118"/>
      <c r="V168" s="119" t="s">
        <v>13271</v>
      </c>
      <c r="W168" t="s">
        <v>13277</v>
      </c>
    </row>
    <row r="169" spans="1:23" x14ac:dyDescent="0.3">
      <c r="A169" s="118"/>
      <c r="B169" s="119" t="s">
        <v>13102</v>
      </c>
      <c r="C169" t="s">
        <v>13108</v>
      </c>
      <c r="E169" s="118"/>
      <c r="F169" s="119" t="s">
        <v>13138</v>
      </c>
      <c r="G169" t="s">
        <v>13144</v>
      </c>
      <c r="I169" s="118"/>
      <c r="J169" s="119" t="s">
        <v>13174</v>
      </c>
      <c r="K169" t="s">
        <v>13180</v>
      </c>
      <c r="M169" s="118"/>
      <c r="N169" s="119" t="s">
        <v>13210</v>
      </c>
      <c r="O169" t="s">
        <v>13216</v>
      </c>
      <c r="Q169" s="118"/>
      <c r="R169" s="119" t="s">
        <v>13246</v>
      </c>
      <c r="S169" t="s">
        <v>13252</v>
      </c>
      <c r="U169" s="118"/>
      <c r="V169" s="119" t="s">
        <v>13282</v>
      </c>
      <c r="W169" t="s">
        <v>13288</v>
      </c>
    </row>
    <row r="170" spans="1:23" x14ac:dyDescent="0.3">
      <c r="A170" s="118"/>
      <c r="B170" s="119" t="s">
        <v>13103</v>
      </c>
      <c r="C170" t="s">
        <v>13109</v>
      </c>
      <c r="E170" s="118"/>
      <c r="F170" s="119" t="s">
        <v>13139</v>
      </c>
      <c r="G170" t="s">
        <v>13145</v>
      </c>
      <c r="I170" s="118"/>
      <c r="J170" s="119" t="s">
        <v>13175</v>
      </c>
      <c r="K170" t="s">
        <v>13181</v>
      </c>
      <c r="M170" s="118"/>
      <c r="N170" s="119" t="s">
        <v>13211</v>
      </c>
      <c r="O170" t="s">
        <v>13217</v>
      </c>
      <c r="Q170" s="118"/>
      <c r="R170" s="119" t="s">
        <v>13247</v>
      </c>
      <c r="S170" t="s">
        <v>13253</v>
      </c>
      <c r="U170" s="118"/>
      <c r="V170" s="119" t="s">
        <v>13283</v>
      </c>
      <c r="W170" t="s">
        <v>13289</v>
      </c>
    </row>
    <row r="171" spans="1:23" x14ac:dyDescent="0.3">
      <c r="A171" s="118"/>
      <c r="B171" s="119" t="s">
        <v>13114</v>
      </c>
      <c r="C171" t="s">
        <v>13120</v>
      </c>
      <c r="E171" s="118"/>
      <c r="F171" s="119" t="s">
        <v>13150</v>
      </c>
      <c r="G171" t="s">
        <v>13156</v>
      </c>
      <c r="I171" s="118"/>
      <c r="J171" s="119" t="s">
        <v>13186</v>
      </c>
      <c r="K171" t="s">
        <v>13192</v>
      </c>
      <c r="M171" s="118"/>
      <c r="N171" s="119" t="s">
        <v>13222</v>
      </c>
      <c r="O171" t="s">
        <v>13228</v>
      </c>
      <c r="Q171" s="118"/>
      <c r="R171" s="119" t="s">
        <v>13258</v>
      </c>
      <c r="S171" t="s">
        <v>13264</v>
      </c>
      <c r="U171" s="118"/>
      <c r="V171" s="119" t="s">
        <v>13294</v>
      </c>
      <c r="W171" t="s">
        <v>13300</v>
      </c>
    </row>
    <row r="172" spans="1:23" x14ac:dyDescent="0.3">
      <c r="A172" s="118"/>
      <c r="B172" s="119" t="s">
        <v>13115</v>
      </c>
      <c r="C172" t="s">
        <v>13121</v>
      </c>
      <c r="E172" s="118"/>
      <c r="F172" s="119" t="s">
        <v>13151</v>
      </c>
      <c r="G172" t="s">
        <v>13157</v>
      </c>
      <c r="I172" s="118"/>
      <c r="J172" s="119" t="s">
        <v>13187</v>
      </c>
      <c r="K172" t="s">
        <v>13193</v>
      </c>
      <c r="M172" s="118"/>
      <c r="N172" s="119" t="s">
        <v>13223</v>
      </c>
      <c r="O172" t="s">
        <v>13229</v>
      </c>
      <c r="Q172" s="118"/>
      <c r="R172" s="119" t="s">
        <v>13259</v>
      </c>
      <c r="S172" t="s">
        <v>13265</v>
      </c>
      <c r="U172" s="118"/>
      <c r="V172" s="119" t="s">
        <v>13295</v>
      </c>
      <c r="W172" t="s">
        <v>13301</v>
      </c>
    </row>
    <row r="173" spans="1:23" x14ac:dyDescent="0.3">
      <c r="A173" s="118"/>
      <c r="B173" s="119" t="s">
        <v>13306</v>
      </c>
      <c r="C173" t="s">
        <v>13312</v>
      </c>
      <c r="E173" s="118"/>
      <c r="F173" s="119" t="s">
        <v>13342</v>
      </c>
      <c r="G173" t="s">
        <v>13348</v>
      </c>
      <c r="I173" s="118"/>
      <c r="J173" s="119" t="s">
        <v>13378</v>
      </c>
      <c r="K173" t="s">
        <v>13384</v>
      </c>
      <c r="M173" s="118"/>
      <c r="N173" s="119" t="s">
        <v>13414</v>
      </c>
      <c r="O173" t="s">
        <v>13420</v>
      </c>
      <c r="Q173" s="118"/>
      <c r="R173" s="119" t="s">
        <v>13450</v>
      </c>
      <c r="S173" t="s">
        <v>13456</v>
      </c>
      <c r="U173" s="118"/>
      <c r="V173" s="119" t="s">
        <v>13486</v>
      </c>
      <c r="W173" t="s">
        <v>13492</v>
      </c>
    </row>
    <row r="174" spans="1:23" x14ac:dyDescent="0.3">
      <c r="A174" s="118"/>
      <c r="B174" s="119" t="s">
        <v>13307</v>
      </c>
      <c r="C174" t="s">
        <v>13313</v>
      </c>
      <c r="E174" s="118"/>
      <c r="F174" s="119" t="s">
        <v>13343</v>
      </c>
      <c r="G174" t="s">
        <v>13349</v>
      </c>
      <c r="I174" s="118"/>
      <c r="J174" s="119" t="s">
        <v>13379</v>
      </c>
      <c r="K174" t="s">
        <v>13385</v>
      </c>
      <c r="M174" s="118"/>
      <c r="N174" s="119" t="s">
        <v>13415</v>
      </c>
      <c r="O174" t="s">
        <v>13421</v>
      </c>
      <c r="Q174" s="118"/>
      <c r="R174" s="119" t="s">
        <v>13451</v>
      </c>
      <c r="S174" t="s">
        <v>13457</v>
      </c>
      <c r="U174" s="118"/>
      <c r="V174" s="119" t="s">
        <v>13487</v>
      </c>
      <c r="W174" t="s">
        <v>13493</v>
      </c>
    </row>
    <row r="175" spans="1:23" x14ac:dyDescent="0.3">
      <c r="A175" s="118"/>
      <c r="B175" s="119" t="s">
        <v>13318</v>
      </c>
      <c r="C175" t="s">
        <v>13324</v>
      </c>
      <c r="E175" s="118"/>
      <c r="F175" s="119" t="s">
        <v>13354</v>
      </c>
      <c r="G175" t="s">
        <v>13360</v>
      </c>
      <c r="I175" s="118"/>
      <c r="J175" s="119" t="s">
        <v>13390</v>
      </c>
      <c r="K175" t="s">
        <v>13396</v>
      </c>
      <c r="M175" s="118"/>
      <c r="N175" s="119" t="s">
        <v>13426</v>
      </c>
      <c r="O175" t="s">
        <v>13432</v>
      </c>
      <c r="Q175" s="118"/>
      <c r="R175" s="119" t="s">
        <v>13462</v>
      </c>
      <c r="S175" t="s">
        <v>13468</v>
      </c>
      <c r="U175" s="118"/>
      <c r="V175" s="119" t="s">
        <v>13498</v>
      </c>
      <c r="W175" t="s">
        <v>13504</v>
      </c>
    </row>
    <row r="176" spans="1:23" x14ac:dyDescent="0.3">
      <c r="A176" s="118"/>
      <c r="B176" s="119" t="s">
        <v>13319</v>
      </c>
      <c r="C176" t="s">
        <v>13325</v>
      </c>
      <c r="E176" s="118"/>
      <c r="F176" s="119" t="s">
        <v>13355</v>
      </c>
      <c r="G176" t="s">
        <v>13361</v>
      </c>
      <c r="I176" s="118"/>
      <c r="J176" s="119" t="s">
        <v>13391</v>
      </c>
      <c r="K176" t="s">
        <v>13397</v>
      </c>
      <c r="M176" s="118"/>
      <c r="N176" s="119" t="s">
        <v>13427</v>
      </c>
      <c r="O176" t="s">
        <v>13433</v>
      </c>
      <c r="Q176" s="118"/>
      <c r="R176" s="119" t="s">
        <v>13463</v>
      </c>
      <c r="S176" t="s">
        <v>13469</v>
      </c>
      <c r="U176" s="118"/>
      <c r="V176" s="119" t="s">
        <v>13499</v>
      </c>
      <c r="W176" t="s">
        <v>13505</v>
      </c>
    </row>
    <row r="177" spans="1:23" x14ac:dyDescent="0.3">
      <c r="A177" s="118"/>
      <c r="B177" s="119" t="s">
        <v>13330</v>
      </c>
      <c r="C177" t="s">
        <v>13336</v>
      </c>
      <c r="E177" s="118"/>
      <c r="F177" s="119" t="s">
        <v>13366</v>
      </c>
      <c r="G177" t="s">
        <v>13372</v>
      </c>
      <c r="I177" s="118"/>
      <c r="J177" s="119" t="s">
        <v>13402</v>
      </c>
      <c r="K177" t="s">
        <v>13408</v>
      </c>
      <c r="M177" s="118"/>
      <c r="N177" s="119" t="s">
        <v>13438</v>
      </c>
      <c r="O177" t="s">
        <v>13444</v>
      </c>
      <c r="Q177" s="118"/>
      <c r="R177" s="119" t="s">
        <v>13474</v>
      </c>
      <c r="S177" t="s">
        <v>13480</v>
      </c>
      <c r="U177" s="118"/>
      <c r="V177" s="119" t="s">
        <v>13510</v>
      </c>
      <c r="W177" t="s">
        <v>13516</v>
      </c>
    </row>
    <row r="178" spans="1:23" x14ac:dyDescent="0.3">
      <c r="A178" s="118"/>
      <c r="B178" s="119" t="s">
        <v>13331</v>
      </c>
      <c r="C178" t="s">
        <v>13337</v>
      </c>
      <c r="E178" s="118"/>
      <c r="F178" s="119" t="s">
        <v>13367</v>
      </c>
      <c r="G178" t="s">
        <v>13373</v>
      </c>
      <c r="I178" s="118"/>
      <c r="J178" s="119" t="s">
        <v>13403</v>
      </c>
      <c r="K178" t="s">
        <v>13409</v>
      </c>
      <c r="M178" s="118"/>
      <c r="N178" s="119" t="s">
        <v>13439</v>
      </c>
      <c r="O178" t="s">
        <v>13445</v>
      </c>
      <c r="Q178" s="118"/>
      <c r="R178" s="119" t="s">
        <v>13475</v>
      </c>
      <c r="S178" t="s">
        <v>13481</v>
      </c>
      <c r="U178" s="118"/>
      <c r="V178" s="119" t="s">
        <v>13511</v>
      </c>
      <c r="W178" t="s">
        <v>13517</v>
      </c>
    </row>
    <row r="179" spans="1:23" x14ac:dyDescent="0.3">
      <c r="A179" s="118"/>
      <c r="B179" s="119" t="s">
        <v>13522</v>
      </c>
      <c r="C179" t="s">
        <v>13528</v>
      </c>
      <c r="E179" s="118"/>
      <c r="F179" s="119" t="s">
        <v>13558</v>
      </c>
      <c r="G179" t="s">
        <v>13564</v>
      </c>
      <c r="I179" s="118"/>
      <c r="J179" s="119" t="s">
        <v>13594</v>
      </c>
      <c r="K179" t="s">
        <v>13600</v>
      </c>
      <c r="M179" s="118"/>
      <c r="N179" s="119" t="s">
        <v>13630</v>
      </c>
      <c r="O179" t="s">
        <v>13636</v>
      </c>
      <c r="Q179" s="118"/>
      <c r="R179" s="119" t="s">
        <v>13666</v>
      </c>
      <c r="S179" t="s">
        <v>13672</v>
      </c>
      <c r="U179" s="118"/>
      <c r="V179" s="119" t="s">
        <v>13702</v>
      </c>
      <c r="W179" t="s">
        <v>13708</v>
      </c>
    </row>
    <row r="180" spans="1:23" x14ac:dyDescent="0.3">
      <c r="A180" s="118"/>
      <c r="B180" s="119" t="s">
        <v>13523</v>
      </c>
      <c r="C180" t="s">
        <v>13529</v>
      </c>
      <c r="E180" s="118"/>
      <c r="F180" s="119" t="s">
        <v>13559</v>
      </c>
      <c r="G180" t="s">
        <v>13565</v>
      </c>
      <c r="I180" s="118"/>
      <c r="J180" s="119" t="s">
        <v>13595</v>
      </c>
      <c r="K180" t="s">
        <v>13601</v>
      </c>
      <c r="M180" s="118"/>
      <c r="N180" s="119" t="s">
        <v>13631</v>
      </c>
      <c r="O180" t="s">
        <v>13637</v>
      </c>
      <c r="Q180" s="118"/>
      <c r="R180" s="119" t="s">
        <v>13667</v>
      </c>
      <c r="S180" t="s">
        <v>13673</v>
      </c>
      <c r="U180" s="118"/>
      <c r="V180" s="119" t="s">
        <v>13703</v>
      </c>
      <c r="W180" t="s">
        <v>13709</v>
      </c>
    </row>
    <row r="181" spans="1:23" x14ac:dyDescent="0.3">
      <c r="A181" s="118"/>
      <c r="B181" s="119" t="s">
        <v>13534</v>
      </c>
      <c r="C181" t="s">
        <v>13540</v>
      </c>
      <c r="E181" s="118"/>
      <c r="F181" s="119" t="s">
        <v>13570</v>
      </c>
      <c r="G181" t="s">
        <v>13576</v>
      </c>
      <c r="I181" s="118"/>
      <c r="J181" s="119" t="s">
        <v>13606</v>
      </c>
      <c r="K181" t="s">
        <v>13612</v>
      </c>
      <c r="M181" s="118"/>
      <c r="N181" s="119" t="s">
        <v>13642</v>
      </c>
      <c r="O181" t="s">
        <v>13648</v>
      </c>
      <c r="Q181" s="118"/>
      <c r="R181" s="119" t="s">
        <v>13678</v>
      </c>
      <c r="S181" t="s">
        <v>13684</v>
      </c>
      <c r="U181" s="118"/>
      <c r="V181" s="119" t="s">
        <v>13714</v>
      </c>
      <c r="W181" t="s">
        <v>13720</v>
      </c>
    </row>
    <row r="182" spans="1:23" x14ac:dyDescent="0.3">
      <c r="A182" s="118"/>
      <c r="B182" s="119" t="s">
        <v>13535</v>
      </c>
      <c r="C182" t="s">
        <v>13541</v>
      </c>
      <c r="E182" s="118"/>
      <c r="F182" s="119" t="s">
        <v>13571</v>
      </c>
      <c r="G182" t="s">
        <v>13577</v>
      </c>
      <c r="I182" s="118"/>
      <c r="J182" s="119" t="s">
        <v>13607</v>
      </c>
      <c r="K182" t="s">
        <v>13613</v>
      </c>
      <c r="M182" s="118"/>
      <c r="N182" s="119" t="s">
        <v>13643</v>
      </c>
      <c r="O182" t="s">
        <v>13649</v>
      </c>
      <c r="Q182" s="118"/>
      <c r="R182" s="119" t="s">
        <v>13679</v>
      </c>
      <c r="S182" t="s">
        <v>13685</v>
      </c>
      <c r="U182" s="118"/>
      <c r="V182" s="119" t="s">
        <v>13715</v>
      </c>
      <c r="W182" t="s">
        <v>13721</v>
      </c>
    </row>
    <row r="183" spans="1:23" x14ac:dyDescent="0.3">
      <c r="A183" s="118"/>
      <c r="B183" s="119" t="s">
        <v>13546</v>
      </c>
      <c r="C183" t="s">
        <v>13552</v>
      </c>
      <c r="E183" s="118"/>
      <c r="F183" s="119" t="s">
        <v>13582</v>
      </c>
      <c r="G183" t="s">
        <v>13588</v>
      </c>
      <c r="I183" s="118"/>
      <c r="J183" s="119" t="s">
        <v>13618</v>
      </c>
      <c r="K183" t="s">
        <v>13624</v>
      </c>
      <c r="M183" s="118"/>
      <c r="N183" s="119" t="s">
        <v>13654</v>
      </c>
      <c r="O183" t="s">
        <v>13660</v>
      </c>
      <c r="Q183" s="118"/>
      <c r="R183" s="119" t="s">
        <v>13690</v>
      </c>
      <c r="S183" t="s">
        <v>13696</v>
      </c>
      <c r="U183" s="118"/>
      <c r="V183" s="119" t="s">
        <v>13726</v>
      </c>
      <c r="W183" t="s">
        <v>13732</v>
      </c>
    </row>
    <row r="184" spans="1:23" x14ac:dyDescent="0.3">
      <c r="A184" s="118"/>
      <c r="B184" s="119" t="s">
        <v>13547</v>
      </c>
      <c r="C184" t="s">
        <v>13553</v>
      </c>
      <c r="E184" s="118"/>
      <c r="F184" s="119" t="s">
        <v>13583</v>
      </c>
      <c r="G184" t="s">
        <v>13589</v>
      </c>
      <c r="I184" s="118"/>
      <c r="J184" s="119" t="s">
        <v>13619</v>
      </c>
      <c r="K184" t="s">
        <v>13625</v>
      </c>
      <c r="M184" s="118"/>
      <c r="N184" s="119" t="s">
        <v>13655</v>
      </c>
      <c r="O184" t="s">
        <v>13661</v>
      </c>
      <c r="Q184" s="118"/>
      <c r="R184" s="119" t="s">
        <v>13691</v>
      </c>
      <c r="S184" t="s">
        <v>13697</v>
      </c>
      <c r="U184" s="118"/>
      <c r="V184" s="119" t="s">
        <v>13727</v>
      </c>
      <c r="W184" t="s">
        <v>13733</v>
      </c>
    </row>
    <row r="185" spans="1:23" x14ac:dyDescent="0.3">
      <c r="A185" s="118"/>
      <c r="B185" s="119" t="s">
        <v>13738</v>
      </c>
      <c r="C185" t="s">
        <v>13744</v>
      </c>
      <c r="E185" s="118"/>
      <c r="F185" s="119" t="s">
        <v>13774</v>
      </c>
      <c r="G185" t="s">
        <v>13780</v>
      </c>
      <c r="I185" s="118"/>
      <c r="J185" s="119" t="s">
        <v>13810</v>
      </c>
      <c r="K185" t="s">
        <v>13816</v>
      </c>
      <c r="M185" s="118"/>
      <c r="N185" s="119" t="s">
        <v>13846</v>
      </c>
      <c r="O185" t="s">
        <v>13852</v>
      </c>
      <c r="Q185" s="118"/>
      <c r="R185" s="119" t="s">
        <v>13882</v>
      </c>
      <c r="S185" t="s">
        <v>13888</v>
      </c>
      <c r="U185" s="118"/>
      <c r="V185" s="119" t="s">
        <v>13918</v>
      </c>
      <c r="W185" t="s">
        <v>13924</v>
      </c>
    </row>
    <row r="186" spans="1:23" x14ac:dyDescent="0.3">
      <c r="A186" s="118"/>
      <c r="B186" s="119" t="s">
        <v>13739</v>
      </c>
      <c r="C186" t="s">
        <v>13745</v>
      </c>
      <c r="E186" s="118"/>
      <c r="F186" s="119" t="s">
        <v>13775</v>
      </c>
      <c r="G186" t="s">
        <v>13781</v>
      </c>
      <c r="I186" s="118"/>
      <c r="J186" s="119" t="s">
        <v>13811</v>
      </c>
      <c r="K186" t="s">
        <v>13817</v>
      </c>
      <c r="M186" s="118"/>
      <c r="N186" s="119" t="s">
        <v>13847</v>
      </c>
      <c r="O186" t="s">
        <v>13853</v>
      </c>
      <c r="Q186" s="118"/>
      <c r="R186" s="119" t="s">
        <v>13883</v>
      </c>
      <c r="S186" t="s">
        <v>13889</v>
      </c>
      <c r="U186" s="118"/>
      <c r="V186" s="119" t="s">
        <v>13919</v>
      </c>
      <c r="W186" t="s">
        <v>13925</v>
      </c>
    </row>
    <row r="187" spans="1:23" x14ac:dyDescent="0.3">
      <c r="A187" s="118"/>
      <c r="B187" s="119" t="s">
        <v>13750</v>
      </c>
      <c r="C187" t="s">
        <v>13756</v>
      </c>
      <c r="E187" s="118"/>
      <c r="F187" s="119" t="s">
        <v>13786</v>
      </c>
      <c r="G187" t="s">
        <v>13792</v>
      </c>
      <c r="I187" s="118"/>
      <c r="J187" s="119" t="s">
        <v>13822</v>
      </c>
      <c r="K187" t="s">
        <v>13828</v>
      </c>
      <c r="M187" s="118"/>
      <c r="N187" s="119" t="s">
        <v>13858</v>
      </c>
      <c r="O187" t="s">
        <v>13864</v>
      </c>
      <c r="Q187" s="118"/>
      <c r="R187" s="119" t="s">
        <v>13894</v>
      </c>
      <c r="S187" t="s">
        <v>13900</v>
      </c>
      <c r="U187" s="118"/>
      <c r="V187" s="119" t="s">
        <v>13930</v>
      </c>
      <c r="W187" t="s">
        <v>13936</v>
      </c>
    </row>
    <row r="188" spans="1:23" x14ac:dyDescent="0.3">
      <c r="A188" s="118"/>
      <c r="B188" s="119" t="s">
        <v>13751</v>
      </c>
      <c r="C188" t="s">
        <v>13757</v>
      </c>
      <c r="E188" s="118"/>
      <c r="F188" s="119" t="s">
        <v>13787</v>
      </c>
      <c r="G188" t="s">
        <v>13793</v>
      </c>
      <c r="I188" s="118"/>
      <c r="J188" s="119" t="s">
        <v>13823</v>
      </c>
      <c r="K188" t="s">
        <v>13829</v>
      </c>
      <c r="M188" s="118"/>
      <c r="N188" s="119" t="s">
        <v>13859</v>
      </c>
      <c r="O188" t="s">
        <v>13865</v>
      </c>
      <c r="Q188" s="118"/>
      <c r="R188" s="119" t="s">
        <v>13895</v>
      </c>
      <c r="S188" t="s">
        <v>13901</v>
      </c>
      <c r="U188" s="118"/>
      <c r="V188" s="119" t="s">
        <v>13931</v>
      </c>
      <c r="W188" t="s">
        <v>13937</v>
      </c>
    </row>
    <row r="189" spans="1:23" x14ac:dyDescent="0.3">
      <c r="A189" s="118"/>
      <c r="B189" s="119" t="s">
        <v>13762</v>
      </c>
      <c r="C189" t="s">
        <v>13768</v>
      </c>
      <c r="E189" s="118"/>
      <c r="F189" s="119" t="s">
        <v>13798</v>
      </c>
      <c r="G189" t="s">
        <v>13804</v>
      </c>
      <c r="I189" s="118"/>
      <c r="J189" s="119" t="s">
        <v>13834</v>
      </c>
      <c r="K189" t="s">
        <v>13840</v>
      </c>
      <c r="M189" s="118"/>
      <c r="N189" s="119" t="s">
        <v>13870</v>
      </c>
      <c r="O189" t="s">
        <v>13876</v>
      </c>
      <c r="Q189" s="118"/>
      <c r="R189" s="119" t="s">
        <v>13906</v>
      </c>
      <c r="S189" t="s">
        <v>13912</v>
      </c>
      <c r="U189" s="118"/>
      <c r="V189" s="119" t="s">
        <v>13942</v>
      </c>
      <c r="W189" t="s">
        <v>13948</v>
      </c>
    </row>
    <row r="190" spans="1:23" x14ac:dyDescent="0.3">
      <c r="A190" s="118"/>
      <c r="B190" s="119" t="s">
        <v>13763</v>
      </c>
      <c r="C190" t="s">
        <v>13769</v>
      </c>
      <c r="E190" s="118"/>
      <c r="F190" s="119" t="s">
        <v>13799</v>
      </c>
      <c r="G190" t="s">
        <v>13805</v>
      </c>
      <c r="I190" s="118"/>
      <c r="J190" s="119" t="s">
        <v>13835</v>
      </c>
      <c r="K190" t="s">
        <v>13841</v>
      </c>
      <c r="M190" s="118"/>
      <c r="N190" s="119" t="s">
        <v>13871</v>
      </c>
      <c r="O190" t="s">
        <v>13877</v>
      </c>
      <c r="Q190" s="118"/>
      <c r="R190" s="119" t="s">
        <v>13907</v>
      </c>
      <c r="S190" t="s">
        <v>13913</v>
      </c>
      <c r="U190" s="118"/>
      <c r="V190" s="119" t="s">
        <v>13943</v>
      </c>
      <c r="W190" t="s">
        <v>13949</v>
      </c>
    </row>
    <row r="191" spans="1:23" x14ac:dyDescent="0.3">
      <c r="A191" s="118"/>
      <c r="B191" s="119" t="s">
        <v>13954</v>
      </c>
      <c r="C191" t="s">
        <v>13960</v>
      </c>
      <c r="E191" s="118"/>
      <c r="F191" s="119" t="s">
        <v>13990</v>
      </c>
      <c r="G191" t="s">
        <v>13996</v>
      </c>
      <c r="I191" s="118"/>
      <c r="J191" s="119" t="s">
        <v>14026</v>
      </c>
      <c r="K191" t="s">
        <v>14032</v>
      </c>
      <c r="M191" s="118"/>
      <c r="N191" s="119" t="s">
        <v>14062</v>
      </c>
      <c r="O191" t="s">
        <v>14068</v>
      </c>
      <c r="Q191" s="118"/>
      <c r="R191" s="119" t="s">
        <v>14098</v>
      </c>
      <c r="S191" t="s">
        <v>14104</v>
      </c>
      <c r="U191" s="118"/>
      <c r="V191" s="119" t="s">
        <v>14134</v>
      </c>
      <c r="W191" t="s">
        <v>14140</v>
      </c>
    </row>
    <row r="192" spans="1:23" x14ac:dyDescent="0.3">
      <c r="A192" s="118"/>
      <c r="B192" s="119" t="s">
        <v>13955</v>
      </c>
      <c r="C192" t="s">
        <v>13961</v>
      </c>
      <c r="E192" s="118"/>
      <c r="F192" s="119" t="s">
        <v>13991</v>
      </c>
      <c r="G192" t="s">
        <v>13997</v>
      </c>
      <c r="I192" s="118"/>
      <c r="J192" s="119" t="s">
        <v>14027</v>
      </c>
      <c r="K192" t="s">
        <v>14033</v>
      </c>
      <c r="M192" s="118"/>
      <c r="N192" s="119" t="s">
        <v>14063</v>
      </c>
      <c r="O192" t="s">
        <v>14069</v>
      </c>
      <c r="Q192" s="118"/>
      <c r="R192" s="119" t="s">
        <v>14099</v>
      </c>
      <c r="S192" t="s">
        <v>14105</v>
      </c>
      <c r="U192" s="118"/>
      <c r="V192" s="119" t="s">
        <v>14135</v>
      </c>
      <c r="W192" t="s">
        <v>14141</v>
      </c>
    </row>
    <row r="193" spans="1:23" x14ac:dyDescent="0.3">
      <c r="A193" s="118"/>
      <c r="B193" s="119" t="s">
        <v>13966</v>
      </c>
      <c r="C193" t="s">
        <v>13972</v>
      </c>
      <c r="E193" s="118"/>
      <c r="F193" s="119" t="s">
        <v>14002</v>
      </c>
      <c r="G193" t="s">
        <v>14008</v>
      </c>
      <c r="I193" s="118"/>
      <c r="J193" s="119" t="s">
        <v>14038</v>
      </c>
      <c r="K193" t="s">
        <v>14044</v>
      </c>
      <c r="M193" s="118"/>
      <c r="N193" s="119" t="s">
        <v>14074</v>
      </c>
      <c r="O193" t="s">
        <v>14080</v>
      </c>
      <c r="Q193" s="118"/>
      <c r="R193" s="119" t="s">
        <v>14110</v>
      </c>
      <c r="S193" t="s">
        <v>14116</v>
      </c>
      <c r="U193" s="118"/>
      <c r="V193" s="119" t="s">
        <v>14146</v>
      </c>
      <c r="W193" t="s">
        <v>14152</v>
      </c>
    </row>
    <row r="194" spans="1:23" x14ac:dyDescent="0.3">
      <c r="A194" s="118"/>
      <c r="B194" s="119" t="s">
        <v>13967</v>
      </c>
      <c r="C194" t="s">
        <v>13973</v>
      </c>
      <c r="E194" s="118"/>
      <c r="F194" s="119" t="s">
        <v>14003</v>
      </c>
      <c r="G194" t="s">
        <v>14009</v>
      </c>
      <c r="I194" s="118"/>
      <c r="J194" s="119" t="s">
        <v>14039</v>
      </c>
      <c r="K194" t="s">
        <v>14045</v>
      </c>
      <c r="M194" s="118"/>
      <c r="N194" s="119" t="s">
        <v>14075</v>
      </c>
      <c r="O194" t="s">
        <v>14081</v>
      </c>
      <c r="Q194" s="118"/>
      <c r="R194" s="119" t="s">
        <v>14111</v>
      </c>
      <c r="S194" t="s">
        <v>14117</v>
      </c>
      <c r="U194" s="118"/>
      <c r="V194" s="119" t="s">
        <v>14147</v>
      </c>
      <c r="W194" t="s">
        <v>14153</v>
      </c>
    </row>
    <row r="195" spans="1:23" x14ac:dyDescent="0.3">
      <c r="A195" s="118"/>
      <c r="B195" s="119" t="s">
        <v>13978</v>
      </c>
      <c r="C195" t="s">
        <v>13984</v>
      </c>
      <c r="E195" s="118"/>
      <c r="F195" s="119" t="s">
        <v>14014</v>
      </c>
      <c r="G195" t="s">
        <v>14020</v>
      </c>
      <c r="I195" s="118"/>
      <c r="J195" s="119" t="s">
        <v>14050</v>
      </c>
      <c r="K195" t="s">
        <v>14056</v>
      </c>
      <c r="M195" s="118"/>
      <c r="N195" s="119" t="s">
        <v>14086</v>
      </c>
      <c r="O195" t="s">
        <v>14092</v>
      </c>
      <c r="Q195" s="118"/>
      <c r="R195" s="119" t="s">
        <v>14122</v>
      </c>
      <c r="S195" t="s">
        <v>14128</v>
      </c>
      <c r="U195" s="118"/>
      <c r="V195" s="119" t="s">
        <v>14158</v>
      </c>
      <c r="W195" t="s">
        <v>14164</v>
      </c>
    </row>
    <row r="196" spans="1:23" x14ac:dyDescent="0.3">
      <c r="A196" s="118"/>
      <c r="B196" s="119" t="s">
        <v>13979</v>
      </c>
      <c r="C196" t="s">
        <v>13985</v>
      </c>
      <c r="E196" s="118"/>
      <c r="F196" s="119" t="s">
        <v>14015</v>
      </c>
      <c r="G196" t="s">
        <v>14021</v>
      </c>
      <c r="I196" s="118"/>
      <c r="J196" s="119" t="s">
        <v>14051</v>
      </c>
      <c r="K196" t="s">
        <v>14057</v>
      </c>
      <c r="M196" s="118"/>
      <c r="N196" s="119" t="s">
        <v>14087</v>
      </c>
      <c r="O196" t="s">
        <v>14093</v>
      </c>
      <c r="Q196" s="118"/>
      <c r="R196" s="119" t="s">
        <v>14123</v>
      </c>
      <c r="S196" t="s">
        <v>14129</v>
      </c>
      <c r="U196" s="118"/>
      <c r="V196" s="119" t="s">
        <v>14159</v>
      </c>
      <c r="W196" t="s">
        <v>14165</v>
      </c>
    </row>
    <row r="197" spans="1:23" x14ac:dyDescent="0.3">
      <c r="A197" s="118"/>
      <c r="B197" s="119" t="s">
        <v>14170</v>
      </c>
      <c r="C197" t="s">
        <v>14176</v>
      </c>
      <c r="E197" s="118"/>
      <c r="F197" s="119" t="s">
        <v>14206</v>
      </c>
      <c r="G197" t="s">
        <v>14212</v>
      </c>
      <c r="I197" s="118"/>
      <c r="J197" s="119" t="s">
        <v>14242</v>
      </c>
      <c r="K197" t="s">
        <v>14248</v>
      </c>
      <c r="M197" s="118"/>
      <c r="N197" s="119" t="s">
        <v>14278</v>
      </c>
      <c r="O197" t="s">
        <v>14284</v>
      </c>
      <c r="Q197" s="118"/>
      <c r="R197" s="119" t="s">
        <v>14314</v>
      </c>
      <c r="S197" t="s">
        <v>14320</v>
      </c>
      <c r="U197" s="118"/>
      <c r="V197" s="119" t="s">
        <v>14350</v>
      </c>
      <c r="W197" t="s">
        <v>14356</v>
      </c>
    </row>
    <row r="198" spans="1:23" x14ac:dyDescent="0.3">
      <c r="A198" s="118"/>
      <c r="B198" s="119" t="s">
        <v>14171</v>
      </c>
      <c r="C198" t="s">
        <v>14177</v>
      </c>
      <c r="E198" s="118"/>
      <c r="F198" s="119" t="s">
        <v>14207</v>
      </c>
      <c r="G198" t="s">
        <v>14213</v>
      </c>
      <c r="I198" s="118"/>
      <c r="J198" s="119" t="s">
        <v>14243</v>
      </c>
      <c r="K198" t="s">
        <v>14249</v>
      </c>
      <c r="M198" s="118"/>
      <c r="N198" s="119" t="s">
        <v>14279</v>
      </c>
      <c r="O198" t="s">
        <v>14285</v>
      </c>
      <c r="Q198" s="118"/>
      <c r="R198" s="119" t="s">
        <v>14315</v>
      </c>
      <c r="S198" t="s">
        <v>14321</v>
      </c>
      <c r="U198" s="118"/>
      <c r="V198" s="119" t="s">
        <v>14351</v>
      </c>
      <c r="W198" t="s">
        <v>14357</v>
      </c>
    </row>
    <row r="199" spans="1:23" x14ac:dyDescent="0.3">
      <c r="A199" s="118"/>
      <c r="B199" s="119" t="s">
        <v>14182</v>
      </c>
      <c r="C199" t="s">
        <v>14188</v>
      </c>
      <c r="E199" s="118"/>
      <c r="F199" s="119" t="s">
        <v>14218</v>
      </c>
      <c r="G199" t="s">
        <v>14224</v>
      </c>
      <c r="I199" s="118"/>
      <c r="J199" s="119" t="s">
        <v>14254</v>
      </c>
      <c r="K199" t="s">
        <v>14260</v>
      </c>
      <c r="M199" s="118"/>
      <c r="N199" s="119" t="s">
        <v>14290</v>
      </c>
      <c r="O199" t="s">
        <v>14296</v>
      </c>
      <c r="Q199" s="118"/>
      <c r="R199" s="119" t="s">
        <v>14326</v>
      </c>
      <c r="S199" t="s">
        <v>14332</v>
      </c>
      <c r="U199" s="118"/>
      <c r="V199" s="119" t="s">
        <v>14362</v>
      </c>
      <c r="W199" t="s">
        <v>14368</v>
      </c>
    </row>
    <row r="200" spans="1:23" x14ac:dyDescent="0.3">
      <c r="A200" s="118"/>
      <c r="B200" s="119" t="s">
        <v>14183</v>
      </c>
      <c r="C200" t="s">
        <v>14189</v>
      </c>
      <c r="E200" s="118"/>
      <c r="F200" s="119" t="s">
        <v>14219</v>
      </c>
      <c r="G200" t="s">
        <v>14225</v>
      </c>
      <c r="I200" s="118"/>
      <c r="J200" s="119" t="s">
        <v>14255</v>
      </c>
      <c r="K200" t="s">
        <v>14261</v>
      </c>
      <c r="M200" s="118"/>
      <c r="N200" s="119" t="s">
        <v>14291</v>
      </c>
      <c r="O200" t="s">
        <v>14297</v>
      </c>
      <c r="Q200" s="118"/>
      <c r="R200" s="119" t="s">
        <v>14327</v>
      </c>
      <c r="S200" t="s">
        <v>14333</v>
      </c>
      <c r="U200" s="118"/>
      <c r="V200" s="119" t="s">
        <v>14363</v>
      </c>
      <c r="W200" t="s">
        <v>14369</v>
      </c>
    </row>
    <row r="201" spans="1:23" x14ac:dyDescent="0.3">
      <c r="A201" s="118"/>
      <c r="B201" s="119" t="s">
        <v>14194</v>
      </c>
      <c r="C201" t="s">
        <v>14200</v>
      </c>
      <c r="E201" s="118"/>
      <c r="F201" s="119" t="s">
        <v>14230</v>
      </c>
      <c r="G201" t="s">
        <v>14236</v>
      </c>
      <c r="I201" s="118"/>
      <c r="J201" s="119" t="s">
        <v>14266</v>
      </c>
      <c r="K201" t="s">
        <v>14272</v>
      </c>
      <c r="M201" s="118"/>
      <c r="N201" s="119" t="s">
        <v>14302</v>
      </c>
      <c r="O201" t="s">
        <v>14308</v>
      </c>
      <c r="Q201" s="118"/>
      <c r="R201" s="119" t="s">
        <v>14338</v>
      </c>
      <c r="S201" t="s">
        <v>14344</v>
      </c>
      <c r="U201" s="118"/>
      <c r="V201" s="119" t="s">
        <v>14374</v>
      </c>
      <c r="W201" t="s">
        <v>14380</v>
      </c>
    </row>
    <row r="202" spans="1:23" x14ac:dyDescent="0.3">
      <c r="A202" s="118"/>
      <c r="B202" s="119" t="s">
        <v>14195</v>
      </c>
      <c r="C202" t="s">
        <v>14201</v>
      </c>
      <c r="E202" s="118"/>
      <c r="F202" s="119" t="s">
        <v>14231</v>
      </c>
      <c r="G202" t="s">
        <v>14237</v>
      </c>
      <c r="I202" s="118"/>
      <c r="J202" s="119" t="s">
        <v>14267</v>
      </c>
      <c r="K202" t="s">
        <v>14273</v>
      </c>
      <c r="M202" s="118"/>
      <c r="N202" s="119" t="s">
        <v>14303</v>
      </c>
      <c r="O202" t="s">
        <v>14309</v>
      </c>
      <c r="Q202" s="118"/>
      <c r="R202" s="119" t="s">
        <v>14339</v>
      </c>
      <c r="S202" t="s">
        <v>14345</v>
      </c>
      <c r="U202" s="118"/>
      <c r="V202" s="119" t="s">
        <v>14375</v>
      </c>
      <c r="W202" t="s">
        <v>14381</v>
      </c>
    </row>
    <row r="203" spans="1:23" x14ac:dyDescent="0.3">
      <c r="A203" s="118"/>
      <c r="B203" s="119" t="s">
        <v>14386</v>
      </c>
      <c r="C203" t="s">
        <v>14392</v>
      </c>
      <c r="E203" s="118"/>
      <c r="F203" s="119" t="s">
        <v>14422</v>
      </c>
      <c r="G203" t="s">
        <v>14428</v>
      </c>
      <c r="I203" s="118"/>
      <c r="J203" s="119" t="s">
        <v>14458</v>
      </c>
      <c r="K203" t="s">
        <v>14464</v>
      </c>
      <c r="M203" s="118"/>
      <c r="N203" s="119" t="s">
        <v>14494</v>
      </c>
      <c r="O203" t="s">
        <v>14500</v>
      </c>
      <c r="Q203" s="118"/>
      <c r="R203" s="119" t="s">
        <v>14530</v>
      </c>
      <c r="S203" t="s">
        <v>14536</v>
      </c>
      <c r="U203" s="118"/>
      <c r="V203" s="119" t="s">
        <v>14566</v>
      </c>
      <c r="W203" t="s">
        <v>14572</v>
      </c>
    </row>
    <row r="204" spans="1:23" x14ac:dyDescent="0.3">
      <c r="A204" s="118"/>
      <c r="B204" s="119" t="s">
        <v>14387</v>
      </c>
      <c r="C204" t="s">
        <v>14393</v>
      </c>
      <c r="E204" s="118"/>
      <c r="F204" s="119" t="s">
        <v>14423</v>
      </c>
      <c r="G204" t="s">
        <v>14429</v>
      </c>
      <c r="I204" s="118"/>
      <c r="J204" s="119" t="s">
        <v>14459</v>
      </c>
      <c r="K204" t="s">
        <v>14465</v>
      </c>
      <c r="M204" s="118"/>
      <c r="N204" s="119" t="s">
        <v>14495</v>
      </c>
      <c r="O204" t="s">
        <v>14501</v>
      </c>
      <c r="Q204" s="118"/>
      <c r="R204" s="119" t="s">
        <v>14531</v>
      </c>
      <c r="S204" t="s">
        <v>14537</v>
      </c>
      <c r="U204" s="118"/>
      <c r="V204" s="119" t="s">
        <v>14567</v>
      </c>
      <c r="W204" t="s">
        <v>14573</v>
      </c>
    </row>
    <row r="205" spans="1:23" x14ac:dyDescent="0.3">
      <c r="A205" s="118"/>
      <c r="B205" s="119" t="s">
        <v>14398</v>
      </c>
      <c r="C205" t="s">
        <v>14404</v>
      </c>
      <c r="E205" s="118"/>
      <c r="F205" s="119" t="s">
        <v>14434</v>
      </c>
      <c r="G205" t="s">
        <v>14440</v>
      </c>
      <c r="I205" s="118"/>
      <c r="J205" s="119" t="s">
        <v>14470</v>
      </c>
      <c r="K205" t="s">
        <v>14476</v>
      </c>
      <c r="M205" s="118"/>
      <c r="N205" s="119" t="s">
        <v>14506</v>
      </c>
      <c r="O205" t="s">
        <v>14512</v>
      </c>
      <c r="Q205" s="118"/>
      <c r="R205" s="119" t="s">
        <v>14542</v>
      </c>
      <c r="S205" t="s">
        <v>14548</v>
      </c>
      <c r="U205" s="118"/>
      <c r="V205" s="119" t="s">
        <v>14578</v>
      </c>
      <c r="W205" t="s">
        <v>14584</v>
      </c>
    </row>
    <row r="206" spans="1:23" x14ac:dyDescent="0.3">
      <c r="A206" s="118"/>
      <c r="B206" s="119" t="s">
        <v>14399</v>
      </c>
      <c r="C206" t="s">
        <v>14405</v>
      </c>
      <c r="E206" s="118"/>
      <c r="F206" s="119" t="s">
        <v>14435</v>
      </c>
      <c r="G206" t="s">
        <v>14441</v>
      </c>
      <c r="I206" s="118"/>
      <c r="J206" s="119" t="s">
        <v>14471</v>
      </c>
      <c r="K206" t="s">
        <v>14477</v>
      </c>
      <c r="M206" s="118"/>
      <c r="N206" s="119" t="s">
        <v>14507</v>
      </c>
      <c r="O206" t="s">
        <v>14513</v>
      </c>
      <c r="Q206" s="118"/>
      <c r="R206" s="119" t="s">
        <v>14543</v>
      </c>
      <c r="S206" t="s">
        <v>14549</v>
      </c>
      <c r="U206" s="118"/>
      <c r="V206" s="119" t="s">
        <v>14579</v>
      </c>
      <c r="W206" t="s">
        <v>14585</v>
      </c>
    </row>
    <row r="207" spans="1:23" x14ac:dyDescent="0.3">
      <c r="A207" s="118"/>
      <c r="B207" s="119" t="s">
        <v>14410</v>
      </c>
      <c r="C207" t="s">
        <v>14416</v>
      </c>
      <c r="E207" s="118"/>
      <c r="F207" s="119" t="s">
        <v>14446</v>
      </c>
      <c r="G207" t="s">
        <v>14452</v>
      </c>
      <c r="I207" s="118"/>
      <c r="J207" s="119" t="s">
        <v>14482</v>
      </c>
      <c r="K207" t="s">
        <v>14488</v>
      </c>
      <c r="M207" s="118"/>
      <c r="N207" s="119" t="s">
        <v>14518</v>
      </c>
      <c r="O207" t="s">
        <v>14524</v>
      </c>
      <c r="Q207" s="118"/>
      <c r="R207" s="119" t="s">
        <v>14554</v>
      </c>
      <c r="S207" t="s">
        <v>14560</v>
      </c>
      <c r="U207" s="118"/>
      <c r="V207" s="119" t="s">
        <v>14590</v>
      </c>
      <c r="W207" t="s">
        <v>14596</v>
      </c>
    </row>
    <row r="208" spans="1:23" x14ac:dyDescent="0.3">
      <c r="A208" s="118"/>
      <c r="B208" s="119" t="s">
        <v>14411</v>
      </c>
      <c r="C208" t="s">
        <v>14417</v>
      </c>
      <c r="E208" s="118"/>
      <c r="F208" s="119" t="s">
        <v>14447</v>
      </c>
      <c r="G208" t="s">
        <v>14453</v>
      </c>
      <c r="I208" s="118"/>
      <c r="J208" s="119" t="s">
        <v>14483</v>
      </c>
      <c r="K208" t="s">
        <v>14489</v>
      </c>
      <c r="M208" s="118"/>
      <c r="N208" s="119" t="s">
        <v>14519</v>
      </c>
      <c r="O208" t="s">
        <v>14525</v>
      </c>
      <c r="Q208" s="118"/>
      <c r="R208" s="119" t="s">
        <v>14555</v>
      </c>
      <c r="S208" t="s">
        <v>14561</v>
      </c>
      <c r="U208" s="118"/>
      <c r="V208" s="119" t="s">
        <v>14591</v>
      </c>
      <c r="W208" t="s">
        <v>14597</v>
      </c>
    </row>
    <row r="209" spans="1:23" x14ac:dyDescent="0.3">
      <c r="A209" s="118"/>
      <c r="B209" s="119" t="s">
        <v>14602</v>
      </c>
      <c r="C209" t="s">
        <v>14608</v>
      </c>
      <c r="E209" s="118"/>
      <c r="F209" s="119" t="s">
        <v>14638</v>
      </c>
      <c r="G209" t="s">
        <v>14644</v>
      </c>
      <c r="I209" s="118"/>
      <c r="J209" s="119" t="s">
        <v>14674</v>
      </c>
      <c r="K209" t="s">
        <v>14680</v>
      </c>
      <c r="M209" s="118"/>
      <c r="N209" s="119" t="s">
        <v>14710</v>
      </c>
      <c r="O209" t="s">
        <v>14716</v>
      </c>
      <c r="Q209" s="118"/>
      <c r="R209" s="119" t="s">
        <v>14746</v>
      </c>
      <c r="S209" t="s">
        <v>14752</v>
      </c>
      <c r="U209" s="118"/>
      <c r="V209" s="119" t="s">
        <v>14782</v>
      </c>
      <c r="W209" t="s">
        <v>14788</v>
      </c>
    </row>
    <row r="210" spans="1:23" x14ac:dyDescent="0.3">
      <c r="A210" s="118"/>
      <c r="B210" s="119" t="s">
        <v>14603</v>
      </c>
      <c r="C210" t="s">
        <v>14609</v>
      </c>
      <c r="E210" s="118"/>
      <c r="F210" s="119" t="s">
        <v>14639</v>
      </c>
      <c r="G210" t="s">
        <v>14645</v>
      </c>
      <c r="I210" s="118"/>
      <c r="J210" s="119" t="s">
        <v>14675</v>
      </c>
      <c r="K210" t="s">
        <v>14681</v>
      </c>
      <c r="M210" s="118"/>
      <c r="N210" s="119" t="s">
        <v>14711</v>
      </c>
      <c r="O210" t="s">
        <v>14717</v>
      </c>
      <c r="Q210" s="118"/>
      <c r="R210" s="119" t="s">
        <v>14747</v>
      </c>
      <c r="S210" t="s">
        <v>14753</v>
      </c>
      <c r="U210" s="118"/>
      <c r="V210" s="119" t="s">
        <v>14783</v>
      </c>
      <c r="W210" t="s">
        <v>14789</v>
      </c>
    </row>
    <row r="211" spans="1:23" x14ac:dyDescent="0.3">
      <c r="A211" s="118"/>
      <c r="B211" s="119" t="s">
        <v>14614</v>
      </c>
      <c r="C211" t="s">
        <v>14620</v>
      </c>
      <c r="E211" s="118"/>
      <c r="F211" s="119" t="s">
        <v>14650</v>
      </c>
      <c r="G211" t="s">
        <v>14656</v>
      </c>
      <c r="I211" s="118"/>
      <c r="J211" s="119" t="s">
        <v>14686</v>
      </c>
      <c r="K211" t="s">
        <v>14692</v>
      </c>
      <c r="M211" s="118"/>
      <c r="N211" s="119" t="s">
        <v>14722</v>
      </c>
      <c r="O211" t="s">
        <v>14728</v>
      </c>
      <c r="Q211" s="118"/>
      <c r="R211" s="119" t="s">
        <v>14758</v>
      </c>
      <c r="S211" t="s">
        <v>14764</v>
      </c>
      <c r="U211" s="118"/>
      <c r="V211" s="119" t="s">
        <v>14794</v>
      </c>
      <c r="W211" t="s">
        <v>14800</v>
      </c>
    </row>
    <row r="212" spans="1:23" x14ac:dyDescent="0.3">
      <c r="A212" s="118"/>
      <c r="B212" s="119" t="s">
        <v>14615</v>
      </c>
      <c r="C212" t="s">
        <v>14621</v>
      </c>
      <c r="E212" s="118"/>
      <c r="F212" s="119" t="s">
        <v>14651</v>
      </c>
      <c r="G212" t="s">
        <v>14657</v>
      </c>
      <c r="I212" s="118"/>
      <c r="J212" s="119" t="s">
        <v>14687</v>
      </c>
      <c r="K212" t="s">
        <v>14693</v>
      </c>
      <c r="M212" s="118"/>
      <c r="N212" s="119" t="s">
        <v>14723</v>
      </c>
      <c r="O212" t="s">
        <v>14729</v>
      </c>
      <c r="Q212" s="118"/>
      <c r="R212" s="119" t="s">
        <v>14759</v>
      </c>
      <c r="S212" t="s">
        <v>14765</v>
      </c>
      <c r="U212" s="118"/>
      <c r="V212" s="119" t="s">
        <v>14795</v>
      </c>
      <c r="W212" t="s">
        <v>14801</v>
      </c>
    </row>
    <row r="213" spans="1:23" x14ac:dyDescent="0.3">
      <c r="A213" s="118"/>
      <c r="B213" s="119" t="s">
        <v>14626</v>
      </c>
      <c r="C213" t="s">
        <v>14632</v>
      </c>
      <c r="E213" s="118"/>
      <c r="F213" s="119" t="s">
        <v>14662</v>
      </c>
      <c r="G213" t="s">
        <v>14668</v>
      </c>
      <c r="I213" s="118"/>
      <c r="J213" s="119" t="s">
        <v>14698</v>
      </c>
      <c r="K213" t="s">
        <v>14704</v>
      </c>
      <c r="M213" s="118"/>
      <c r="N213" s="119" t="s">
        <v>14734</v>
      </c>
      <c r="O213" t="s">
        <v>14740</v>
      </c>
      <c r="Q213" s="118"/>
      <c r="R213" s="119" t="s">
        <v>14770</v>
      </c>
      <c r="S213" t="s">
        <v>14776</v>
      </c>
      <c r="U213" s="118"/>
      <c r="V213" s="119" t="s">
        <v>14806</v>
      </c>
      <c r="W213" t="s">
        <v>14812</v>
      </c>
    </row>
    <row r="214" spans="1:23" x14ac:dyDescent="0.3">
      <c r="A214" s="118"/>
      <c r="B214" s="119" t="s">
        <v>14627</v>
      </c>
      <c r="C214" t="s">
        <v>14633</v>
      </c>
      <c r="E214" s="118"/>
      <c r="F214" s="119" t="s">
        <v>14663</v>
      </c>
      <c r="G214" t="s">
        <v>14669</v>
      </c>
      <c r="I214" s="118"/>
      <c r="J214" s="119" t="s">
        <v>14699</v>
      </c>
      <c r="K214" t="s">
        <v>14705</v>
      </c>
      <c r="M214" s="118"/>
      <c r="N214" s="119" t="s">
        <v>14735</v>
      </c>
      <c r="O214" t="s">
        <v>14741</v>
      </c>
      <c r="Q214" s="118"/>
      <c r="R214" s="119" t="s">
        <v>14771</v>
      </c>
      <c r="S214" t="s">
        <v>14777</v>
      </c>
      <c r="U214" s="118"/>
      <c r="V214" s="119" t="s">
        <v>14807</v>
      </c>
      <c r="W214" t="s">
        <v>14813</v>
      </c>
    </row>
    <row r="215" spans="1:23" x14ac:dyDescent="0.3">
      <c r="A215" s="118"/>
      <c r="B215" s="119" t="s">
        <v>14818</v>
      </c>
      <c r="C215" t="s">
        <v>14824</v>
      </c>
      <c r="E215" s="118"/>
      <c r="F215" s="119" t="s">
        <v>14854</v>
      </c>
      <c r="G215" t="s">
        <v>14860</v>
      </c>
      <c r="I215" s="118"/>
      <c r="J215" s="119" t="s">
        <v>14890</v>
      </c>
      <c r="K215" t="s">
        <v>14896</v>
      </c>
      <c r="M215" s="118"/>
      <c r="N215" s="119" t="s">
        <v>14926</v>
      </c>
      <c r="O215" t="s">
        <v>14932</v>
      </c>
      <c r="Q215" s="118"/>
      <c r="R215" s="119" t="s">
        <v>14962</v>
      </c>
      <c r="S215" t="s">
        <v>14968</v>
      </c>
      <c r="U215" s="118"/>
      <c r="V215" s="119" t="s">
        <v>14998</v>
      </c>
      <c r="W215" t="s">
        <v>15004</v>
      </c>
    </row>
    <row r="216" spans="1:23" x14ac:dyDescent="0.3">
      <c r="A216" s="118"/>
      <c r="B216" s="119" t="s">
        <v>14819</v>
      </c>
      <c r="C216" t="s">
        <v>14825</v>
      </c>
      <c r="E216" s="118"/>
      <c r="F216" s="119" t="s">
        <v>14855</v>
      </c>
      <c r="G216" t="s">
        <v>14861</v>
      </c>
      <c r="I216" s="118"/>
      <c r="J216" s="119" t="s">
        <v>14891</v>
      </c>
      <c r="K216" t="s">
        <v>14897</v>
      </c>
      <c r="M216" s="118"/>
      <c r="N216" s="119" t="s">
        <v>14927</v>
      </c>
      <c r="O216" t="s">
        <v>14933</v>
      </c>
      <c r="Q216" s="118"/>
      <c r="R216" s="119" t="s">
        <v>14963</v>
      </c>
      <c r="S216" t="s">
        <v>14969</v>
      </c>
      <c r="U216" s="118"/>
      <c r="V216" s="119" t="s">
        <v>14999</v>
      </c>
      <c r="W216" t="s">
        <v>15005</v>
      </c>
    </row>
    <row r="217" spans="1:23" x14ac:dyDescent="0.3">
      <c r="A217" s="118"/>
      <c r="B217" s="119" t="s">
        <v>14830</v>
      </c>
      <c r="C217" t="s">
        <v>14836</v>
      </c>
      <c r="E217" s="118"/>
      <c r="F217" s="119" t="s">
        <v>14866</v>
      </c>
      <c r="G217" t="s">
        <v>14872</v>
      </c>
      <c r="I217" s="118"/>
      <c r="J217" s="119" t="s">
        <v>14902</v>
      </c>
      <c r="K217" t="s">
        <v>14908</v>
      </c>
      <c r="M217" s="118"/>
      <c r="N217" s="119" t="s">
        <v>14938</v>
      </c>
      <c r="O217" t="s">
        <v>14944</v>
      </c>
      <c r="Q217" s="118"/>
      <c r="R217" s="119" t="s">
        <v>14974</v>
      </c>
      <c r="S217" t="s">
        <v>14980</v>
      </c>
      <c r="U217" s="118"/>
      <c r="V217" s="119" t="s">
        <v>15010</v>
      </c>
      <c r="W217" t="s">
        <v>15016</v>
      </c>
    </row>
    <row r="218" spans="1:23" x14ac:dyDescent="0.3">
      <c r="A218" s="118"/>
      <c r="B218" s="119" t="s">
        <v>14831</v>
      </c>
      <c r="C218" t="s">
        <v>14837</v>
      </c>
      <c r="E218" s="118"/>
      <c r="F218" s="119" t="s">
        <v>14867</v>
      </c>
      <c r="G218" t="s">
        <v>14873</v>
      </c>
      <c r="I218" s="118"/>
      <c r="J218" s="119" t="s">
        <v>14903</v>
      </c>
      <c r="K218" t="s">
        <v>14909</v>
      </c>
      <c r="M218" s="118"/>
      <c r="N218" s="119" t="s">
        <v>14939</v>
      </c>
      <c r="O218" t="s">
        <v>14945</v>
      </c>
      <c r="Q218" s="118"/>
      <c r="R218" s="119" t="s">
        <v>14975</v>
      </c>
      <c r="S218" t="s">
        <v>14981</v>
      </c>
      <c r="U218" s="118"/>
      <c r="V218" s="119" t="s">
        <v>15011</v>
      </c>
      <c r="W218" t="s">
        <v>15017</v>
      </c>
    </row>
    <row r="219" spans="1:23" x14ac:dyDescent="0.3">
      <c r="A219" s="118"/>
      <c r="B219" s="119" t="s">
        <v>14842</v>
      </c>
      <c r="C219" t="s">
        <v>14848</v>
      </c>
      <c r="E219" s="118"/>
      <c r="F219" s="119" t="s">
        <v>14878</v>
      </c>
      <c r="G219" t="s">
        <v>14884</v>
      </c>
      <c r="I219" s="118"/>
      <c r="J219" s="119" t="s">
        <v>14914</v>
      </c>
      <c r="K219" t="s">
        <v>14920</v>
      </c>
      <c r="M219" s="118"/>
      <c r="N219" s="119" t="s">
        <v>14950</v>
      </c>
      <c r="O219" t="s">
        <v>14956</v>
      </c>
      <c r="Q219" s="118"/>
      <c r="R219" s="119" t="s">
        <v>14986</v>
      </c>
      <c r="S219" t="s">
        <v>14992</v>
      </c>
      <c r="U219" s="118"/>
      <c r="V219" s="119" t="s">
        <v>15022</v>
      </c>
      <c r="W219" t="s">
        <v>15028</v>
      </c>
    </row>
    <row r="220" spans="1:23" x14ac:dyDescent="0.3">
      <c r="A220" s="118"/>
      <c r="B220" s="119" t="s">
        <v>14843</v>
      </c>
      <c r="C220" t="s">
        <v>14849</v>
      </c>
      <c r="E220" s="118"/>
      <c r="F220" s="119" t="s">
        <v>14879</v>
      </c>
      <c r="G220" t="s">
        <v>14885</v>
      </c>
      <c r="I220" s="118"/>
      <c r="J220" s="119" t="s">
        <v>14915</v>
      </c>
      <c r="K220" t="s">
        <v>14921</v>
      </c>
      <c r="M220" s="118"/>
      <c r="N220" s="119" t="s">
        <v>14951</v>
      </c>
      <c r="O220" t="s">
        <v>14957</v>
      </c>
      <c r="Q220" s="118"/>
      <c r="R220" s="119" t="s">
        <v>14987</v>
      </c>
      <c r="S220" t="s">
        <v>14993</v>
      </c>
      <c r="U220" s="118"/>
      <c r="V220" s="119" t="s">
        <v>15023</v>
      </c>
      <c r="W220" t="s">
        <v>15029</v>
      </c>
    </row>
    <row r="221" spans="1:23" x14ac:dyDescent="0.3">
      <c r="A221" s="118"/>
      <c r="B221" s="119" t="s">
        <v>15034</v>
      </c>
      <c r="C221" t="s">
        <v>15040</v>
      </c>
      <c r="E221" s="118"/>
      <c r="F221" s="119" t="s">
        <v>15070</v>
      </c>
      <c r="G221" t="s">
        <v>15076</v>
      </c>
      <c r="I221" s="118"/>
      <c r="J221" s="119" t="s">
        <v>15106</v>
      </c>
      <c r="K221" t="s">
        <v>15112</v>
      </c>
      <c r="M221" s="118"/>
      <c r="N221" s="119" t="s">
        <v>15142</v>
      </c>
      <c r="O221" t="s">
        <v>15148</v>
      </c>
      <c r="Q221" s="118"/>
      <c r="R221" s="119" t="s">
        <v>15178</v>
      </c>
      <c r="S221" t="s">
        <v>15184</v>
      </c>
      <c r="U221" s="118"/>
      <c r="V221" s="119" t="s">
        <v>15214</v>
      </c>
      <c r="W221" t="s">
        <v>15220</v>
      </c>
    </row>
    <row r="222" spans="1:23" x14ac:dyDescent="0.3">
      <c r="A222" s="118"/>
      <c r="B222" s="119" t="s">
        <v>15035</v>
      </c>
      <c r="C222" t="s">
        <v>15041</v>
      </c>
      <c r="E222" s="118"/>
      <c r="F222" s="119" t="s">
        <v>15071</v>
      </c>
      <c r="G222" t="s">
        <v>15077</v>
      </c>
      <c r="I222" s="118"/>
      <c r="J222" s="119" t="s">
        <v>15107</v>
      </c>
      <c r="K222" t="s">
        <v>15113</v>
      </c>
      <c r="M222" s="118"/>
      <c r="N222" s="119" t="s">
        <v>15143</v>
      </c>
      <c r="O222" t="s">
        <v>15149</v>
      </c>
      <c r="Q222" s="118"/>
      <c r="R222" s="119" t="s">
        <v>15179</v>
      </c>
      <c r="S222" t="s">
        <v>15185</v>
      </c>
      <c r="U222" s="118"/>
      <c r="V222" s="119" t="s">
        <v>15215</v>
      </c>
      <c r="W222" t="s">
        <v>15221</v>
      </c>
    </row>
    <row r="223" spans="1:23" x14ac:dyDescent="0.3">
      <c r="A223" s="118"/>
      <c r="B223" s="119" t="s">
        <v>15046</v>
      </c>
      <c r="C223" t="s">
        <v>15052</v>
      </c>
      <c r="E223" s="118"/>
      <c r="F223" s="119" t="s">
        <v>15082</v>
      </c>
      <c r="G223" t="s">
        <v>15088</v>
      </c>
      <c r="I223" s="118"/>
      <c r="J223" s="119" t="s">
        <v>15118</v>
      </c>
      <c r="K223" t="s">
        <v>15124</v>
      </c>
      <c r="M223" s="118"/>
      <c r="N223" s="119" t="s">
        <v>15154</v>
      </c>
      <c r="O223" t="s">
        <v>15160</v>
      </c>
      <c r="Q223" s="118"/>
      <c r="R223" s="119" t="s">
        <v>15190</v>
      </c>
      <c r="S223" t="s">
        <v>15196</v>
      </c>
      <c r="U223" s="118"/>
      <c r="V223" s="119" t="s">
        <v>15226</v>
      </c>
      <c r="W223" t="s">
        <v>15232</v>
      </c>
    </row>
    <row r="224" spans="1:23" x14ac:dyDescent="0.3">
      <c r="A224" s="118"/>
      <c r="B224" s="119" t="s">
        <v>15047</v>
      </c>
      <c r="C224" t="s">
        <v>15053</v>
      </c>
      <c r="E224" s="118"/>
      <c r="F224" s="119" t="s">
        <v>15083</v>
      </c>
      <c r="G224" t="s">
        <v>15089</v>
      </c>
      <c r="I224" s="118"/>
      <c r="J224" s="119" t="s">
        <v>15119</v>
      </c>
      <c r="K224" t="s">
        <v>15125</v>
      </c>
      <c r="M224" s="118"/>
      <c r="N224" s="119" t="s">
        <v>15155</v>
      </c>
      <c r="O224" t="s">
        <v>15161</v>
      </c>
      <c r="Q224" s="118"/>
      <c r="R224" s="119" t="s">
        <v>15191</v>
      </c>
      <c r="S224" t="s">
        <v>15197</v>
      </c>
      <c r="U224" s="118"/>
      <c r="V224" s="119" t="s">
        <v>15227</v>
      </c>
      <c r="W224" t="s">
        <v>15233</v>
      </c>
    </row>
    <row r="225" spans="1:23" x14ac:dyDescent="0.3">
      <c r="A225" s="118"/>
      <c r="B225" s="119" t="s">
        <v>15058</v>
      </c>
      <c r="C225" t="s">
        <v>15064</v>
      </c>
      <c r="E225" s="118"/>
      <c r="F225" s="119" t="s">
        <v>15094</v>
      </c>
      <c r="G225" t="s">
        <v>15100</v>
      </c>
      <c r="I225" s="118"/>
      <c r="J225" s="119" t="s">
        <v>15130</v>
      </c>
      <c r="K225" t="s">
        <v>15136</v>
      </c>
      <c r="M225" s="118"/>
      <c r="N225" s="119" t="s">
        <v>15166</v>
      </c>
      <c r="O225" t="s">
        <v>15172</v>
      </c>
      <c r="Q225" s="118"/>
      <c r="R225" s="119" t="s">
        <v>15202</v>
      </c>
      <c r="S225" t="s">
        <v>15208</v>
      </c>
      <c r="U225" s="118"/>
      <c r="V225" s="119" t="s">
        <v>15238</v>
      </c>
      <c r="W225" t="s">
        <v>15244</v>
      </c>
    </row>
    <row r="226" spans="1:23" x14ac:dyDescent="0.3">
      <c r="A226" s="118"/>
      <c r="B226" s="119" t="s">
        <v>15059</v>
      </c>
      <c r="C226" t="s">
        <v>15065</v>
      </c>
      <c r="E226" s="118"/>
      <c r="F226" s="119" t="s">
        <v>15095</v>
      </c>
      <c r="G226" t="s">
        <v>15101</v>
      </c>
      <c r="I226" s="118"/>
      <c r="J226" s="119" t="s">
        <v>15131</v>
      </c>
      <c r="K226" t="s">
        <v>15137</v>
      </c>
      <c r="M226" s="118"/>
      <c r="N226" s="119" t="s">
        <v>15167</v>
      </c>
      <c r="O226" t="s">
        <v>15173</v>
      </c>
      <c r="Q226" s="118"/>
      <c r="R226" s="119" t="s">
        <v>15203</v>
      </c>
      <c r="S226" t="s">
        <v>15209</v>
      </c>
      <c r="U226" s="118"/>
      <c r="V226" s="119" t="s">
        <v>15239</v>
      </c>
      <c r="W226" t="s">
        <v>15245</v>
      </c>
    </row>
    <row r="227" spans="1:23" x14ac:dyDescent="0.3">
      <c r="A227" s="118"/>
      <c r="B227" s="119" t="s">
        <v>15250</v>
      </c>
      <c r="C227" t="s">
        <v>15256</v>
      </c>
      <c r="E227" s="118"/>
      <c r="F227" s="119" t="s">
        <v>15286</v>
      </c>
      <c r="G227" t="s">
        <v>15292</v>
      </c>
      <c r="I227" s="118"/>
      <c r="J227" s="119" t="s">
        <v>15322</v>
      </c>
      <c r="K227" t="s">
        <v>15328</v>
      </c>
      <c r="M227" s="118"/>
      <c r="N227" s="119" t="s">
        <v>15358</v>
      </c>
      <c r="O227" t="s">
        <v>15364</v>
      </c>
      <c r="Q227" s="118"/>
      <c r="R227" s="119" t="s">
        <v>15394</v>
      </c>
      <c r="S227" t="s">
        <v>15400</v>
      </c>
      <c r="U227" s="118"/>
      <c r="V227" s="119" t="s">
        <v>15430</v>
      </c>
      <c r="W227" t="s">
        <v>15436</v>
      </c>
    </row>
    <row r="228" spans="1:23" x14ac:dyDescent="0.3">
      <c r="A228" s="118"/>
      <c r="B228" s="119" t="s">
        <v>15251</v>
      </c>
      <c r="C228" t="s">
        <v>15257</v>
      </c>
      <c r="E228" s="118"/>
      <c r="F228" s="119" t="s">
        <v>15287</v>
      </c>
      <c r="G228" t="s">
        <v>15293</v>
      </c>
      <c r="I228" s="118"/>
      <c r="J228" s="119" t="s">
        <v>15323</v>
      </c>
      <c r="K228" t="s">
        <v>15329</v>
      </c>
      <c r="M228" s="118"/>
      <c r="N228" s="119" t="s">
        <v>15359</v>
      </c>
      <c r="O228" t="s">
        <v>15365</v>
      </c>
      <c r="Q228" s="118"/>
      <c r="R228" s="119" t="s">
        <v>15395</v>
      </c>
      <c r="S228" t="s">
        <v>15401</v>
      </c>
      <c r="U228" s="118"/>
      <c r="V228" s="119" t="s">
        <v>15431</v>
      </c>
      <c r="W228" t="s">
        <v>15437</v>
      </c>
    </row>
    <row r="229" spans="1:23" x14ac:dyDescent="0.3">
      <c r="A229" s="118"/>
      <c r="B229" s="119" t="s">
        <v>15262</v>
      </c>
      <c r="C229" t="s">
        <v>15268</v>
      </c>
      <c r="E229" s="118"/>
      <c r="F229" s="119" t="s">
        <v>15298</v>
      </c>
      <c r="G229" t="s">
        <v>15304</v>
      </c>
      <c r="I229" s="118"/>
      <c r="J229" s="119" t="s">
        <v>15334</v>
      </c>
      <c r="K229" t="s">
        <v>15340</v>
      </c>
      <c r="M229" s="118"/>
      <c r="N229" s="119" t="s">
        <v>15370</v>
      </c>
      <c r="O229" t="s">
        <v>15376</v>
      </c>
      <c r="Q229" s="118"/>
      <c r="R229" s="119" t="s">
        <v>15406</v>
      </c>
      <c r="S229" t="s">
        <v>15412</v>
      </c>
      <c r="U229" s="118"/>
      <c r="V229" s="119" t="s">
        <v>15442</v>
      </c>
      <c r="W229" t="s">
        <v>15448</v>
      </c>
    </row>
    <row r="230" spans="1:23" x14ac:dyDescent="0.3">
      <c r="A230" s="118"/>
      <c r="B230" s="119" t="s">
        <v>15263</v>
      </c>
      <c r="C230" t="s">
        <v>15269</v>
      </c>
      <c r="E230" s="118"/>
      <c r="F230" s="119" t="s">
        <v>15299</v>
      </c>
      <c r="G230" t="s">
        <v>15305</v>
      </c>
      <c r="I230" s="118"/>
      <c r="J230" s="119" t="s">
        <v>15335</v>
      </c>
      <c r="K230" t="s">
        <v>15341</v>
      </c>
      <c r="M230" s="118"/>
      <c r="N230" s="119" t="s">
        <v>15371</v>
      </c>
      <c r="O230" t="s">
        <v>15377</v>
      </c>
      <c r="Q230" s="118"/>
      <c r="R230" s="119" t="s">
        <v>15407</v>
      </c>
      <c r="S230" t="s">
        <v>15413</v>
      </c>
      <c r="U230" s="118"/>
      <c r="V230" s="119" t="s">
        <v>15443</v>
      </c>
      <c r="W230" t="s">
        <v>15449</v>
      </c>
    </row>
    <row r="231" spans="1:23" x14ac:dyDescent="0.3">
      <c r="A231" s="118"/>
      <c r="B231" s="119" t="s">
        <v>15274</v>
      </c>
      <c r="C231" t="s">
        <v>15280</v>
      </c>
      <c r="E231" s="118"/>
      <c r="F231" s="119" t="s">
        <v>15310</v>
      </c>
      <c r="G231" t="s">
        <v>15316</v>
      </c>
      <c r="I231" s="118"/>
      <c r="J231" s="119" t="s">
        <v>15346</v>
      </c>
      <c r="K231" t="s">
        <v>15352</v>
      </c>
      <c r="M231" s="118"/>
      <c r="N231" s="119" t="s">
        <v>15382</v>
      </c>
      <c r="O231" t="s">
        <v>15388</v>
      </c>
      <c r="Q231" s="118"/>
      <c r="R231" s="119" t="s">
        <v>15418</v>
      </c>
      <c r="S231" t="s">
        <v>15424</v>
      </c>
      <c r="U231" s="118"/>
      <c r="V231" s="119" t="s">
        <v>15454</v>
      </c>
      <c r="W231" t="s">
        <v>15460</v>
      </c>
    </row>
    <row r="232" spans="1:23" x14ac:dyDescent="0.3">
      <c r="A232" s="118"/>
      <c r="B232" s="119" t="s">
        <v>15275</v>
      </c>
      <c r="C232" t="s">
        <v>15281</v>
      </c>
      <c r="E232" s="118"/>
      <c r="F232" s="119" t="s">
        <v>15311</v>
      </c>
      <c r="G232" t="s">
        <v>15317</v>
      </c>
      <c r="I232" s="118"/>
      <c r="J232" s="119" t="s">
        <v>15347</v>
      </c>
      <c r="K232" t="s">
        <v>15353</v>
      </c>
      <c r="M232" s="118"/>
      <c r="N232" s="119" t="s">
        <v>15383</v>
      </c>
      <c r="O232" t="s">
        <v>15389</v>
      </c>
      <c r="Q232" s="118"/>
      <c r="R232" s="119" t="s">
        <v>15419</v>
      </c>
      <c r="S232" t="s">
        <v>15425</v>
      </c>
      <c r="U232" s="118"/>
      <c r="V232" s="119" t="s">
        <v>15455</v>
      </c>
      <c r="W232" t="s">
        <v>15461</v>
      </c>
    </row>
    <row r="233" spans="1:23" x14ac:dyDescent="0.3">
      <c r="A233" s="118"/>
      <c r="B233" s="119" t="s">
        <v>15466</v>
      </c>
      <c r="C233" t="s">
        <v>15472</v>
      </c>
      <c r="E233" s="118"/>
      <c r="F233" s="119" t="s">
        <v>15502</v>
      </c>
      <c r="G233" t="s">
        <v>15508</v>
      </c>
      <c r="I233" s="118"/>
      <c r="J233" s="119" t="s">
        <v>15538</v>
      </c>
      <c r="K233" t="s">
        <v>15544</v>
      </c>
      <c r="M233" s="118"/>
      <c r="N233" s="119" t="s">
        <v>15574</v>
      </c>
      <c r="O233" t="s">
        <v>15580</v>
      </c>
      <c r="Q233" s="118"/>
      <c r="R233" s="119" t="s">
        <v>15610</v>
      </c>
      <c r="S233" t="s">
        <v>15616</v>
      </c>
      <c r="U233" s="118"/>
      <c r="V233" s="119" t="s">
        <v>15646</v>
      </c>
      <c r="W233" t="s">
        <v>15652</v>
      </c>
    </row>
    <row r="234" spans="1:23" x14ac:dyDescent="0.3">
      <c r="A234" s="118"/>
      <c r="B234" s="119" t="s">
        <v>15467</v>
      </c>
      <c r="C234" t="s">
        <v>15473</v>
      </c>
      <c r="E234" s="118"/>
      <c r="F234" s="119" t="s">
        <v>15503</v>
      </c>
      <c r="G234" t="s">
        <v>15509</v>
      </c>
      <c r="I234" s="118"/>
      <c r="J234" s="119" t="s">
        <v>15539</v>
      </c>
      <c r="K234" t="s">
        <v>15545</v>
      </c>
      <c r="M234" s="118"/>
      <c r="N234" s="119" t="s">
        <v>15575</v>
      </c>
      <c r="O234" t="s">
        <v>15581</v>
      </c>
      <c r="Q234" s="118"/>
      <c r="R234" s="119" t="s">
        <v>15611</v>
      </c>
      <c r="S234" t="s">
        <v>15617</v>
      </c>
      <c r="U234" s="118"/>
      <c r="V234" s="119" t="s">
        <v>15647</v>
      </c>
      <c r="W234" t="s">
        <v>15653</v>
      </c>
    </row>
    <row r="235" spans="1:23" x14ac:dyDescent="0.3">
      <c r="A235" s="118"/>
      <c r="B235" s="119" t="s">
        <v>15478</v>
      </c>
      <c r="C235" t="s">
        <v>15484</v>
      </c>
      <c r="E235" s="118"/>
      <c r="F235" s="119" t="s">
        <v>15514</v>
      </c>
      <c r="G235" t="s">
        <v>15520</v>
      </c>
      <c r="I235" s="118"/>
      <c r="J235" s="119" t="s">
        <v>15550</v>
      </c>
      <c r="K235" t="s">
        <v>15556</v>
      </c>
      <c r="M235" s="118"/>
      <c r="N235" s="119" t="s">
        <v>15586</v>
      </c>
      <c r="O235" t="s">
        <v>15592</v>
      </c>
      <c r="Q235" s="118"/>
      <c r="R235" s="119" t="s">
        <v>15622</v>
      </c>
      <c r="S235" t="s">
        <v>15628</v>
      </c>
      <c r="U235" s="118"/>
      <c r="V235" s="119" t="s">
        <v>15658</v>
      </c>
      <c r="W235" t="s">
        <v>15664</v>
      </c>
    </row>
    <row r="236" spans="1:23" x14ac:dyDescent="0.3">
      <c r="A236" s="118"/>
      <c r="B236" s="119" t="s">
        <v>15479</v>
      </c>
      <c r="C236" t="s">
        <v>15485</v>
      </c>
      <c r="E236" s="118"/>
      <c r="F236" s="119" t="s">
        <v>15515</v>
      </c>
      <c r="G236" t="s">
        <v>15521</v>
      </c>
      <c r="I236" s="118"/>
      <c r="J236" s="119" t="s">
        <v>15551</v>
      </c>
      <c r="K236" t="s">
        <v>15557</v>
      </c>
      <c r="M236" s="118"/>
      <c r="N236" s="119" t="s">
        <v>15587</v>
      </c>
      <c r="O236" t="s">
        <v>15593</v>
      </c>
      <c r="Q236" s="118"/>
      <c r="R236" s="119" t="s">
        <v>15623</v>
      </c>
      <c r="S236" t="s">
        <v>15629</v>
      </c>
      <c r="U236" s="118"/>
      <c r="V236" s="119" t="s">
        <v>15659</v>
      </c>
      <c r="W236" t="s">
        <v>15665</v>
      </c>
    </row>
    <row r="237" spans="1:23" x14ac:dyDescent="0.3">
      <c r="A237" s="118"/>
      <c r="B237" s="119" t="s">
        <v>15490</v>
      </c>
      <c r="C237" t="s">
        <v>15496</v>
      </c>
      <c r="E237" s="118"/>
      <c r="F237" s="119" t="s">
        <v>15526</v>
      </c>
      <c r="G237" t="s">
        <v>15532</v>
      </c>
      <c r="I237" s="118"/>
      <c r="J237" s="119" t="s">
        <v>15562</v>
      </c>
      <c r="K237" t="s">
        <v>15568</v>
      </c>
      <c r="M237" s="118"/>
      <c r="N237" s="119" t="s">
        <v>15598</v>
      </c>
      <c r="O237" t="s">
        <v>15604</v>
      </c>
      <c r="Q237" s="118"/>
      <c r="R237" s="119" t="s">
        <v>15634</v>
      </c>
      <c r="S237" t="s">
        <v>15640</v>
      </c>
      <c r="U237" s="118"/>
      <c r="V237" s="119" t="s">
        <v>15670</v>
      </c>
      <c r="W237" t="s">
        <v>15676</v>
      </c>
    </row>
    <row r="238" spans="1:23" x14ac:dyDescent="0.3">
      <c r="A238" s="118"/>
      <c r="B238" s="119" t="s">
        <v>15491</v>
      </c>
      <c r="C238" t="s">
        <v>15497</v>
      </c>
      <c r="E238" s="118"/>
      <c r="F238" s="119" t="s">
        <v>15527</v>
      </c>
      <c r="G238" t="s">
        <v>15533</v>
      </c>
      <c r="I238" s="118"/>
      <c r="J238" s="119" t="s">
        <v>15563</v>
      </c>
      <c r="K238" t="s">
        <v>15569</v>
      </c>
      <c r="M238" s="118"/>
      <c r="N238" s="119" t="s">
        <v>15599</v>
      </c>
      <c r="O238" t="s">
        <v>15605</v>
      </c>
      <c r="Q238" s="118"/>
      <c r="R238" s="119" t="s">
        <v>15635</v>
      </c>
      <c r="S238" t="s">
        <v>15641</v>
      </c>
      <c r="U238" s="118"/>
      <c r="V238" s="119" t="s">
        <v>15671</v>
      </c>
      <c r="W238" t="s">
        <v>15677</v>
      </c>
    </row>
    <row r="239" spans="1:23" x14ac:dyDescent="0.3">
      <c r="A239" s="118"/>
      <c r="B239" s="119" t="s">
        <v>15682</v>
      </c>
      <c r="C239" t="s">
        <v>15688</v>
      </c>
      <c r="E239" s="118"/>
      <c r="F239" s="119" t="s">
        <v>15718</v>
      </c>
      <c r="G239" t="s">
        <v>15724</v>
      </c>
      <c r="I239" s="118"/>
      <c r="J239" s="119" t="s">
        <v>15754</v>
      </c>
      <c r="K239" t="s">
        <v>15760</v>
      </c>
      <c r="M239" s="118"/>
      <c r="N239" s="119" t="s">
        <v>15790</v>
      </c>
      <c r="O239" t="s">
        <v>15796</v>
      </c>
      <c r="Q239" s="118"/>
      <c r="R239" s="119" t="s">
        <v>15826</v>
      </c>
      <c r="S239" t="s">
        <v>15832</v>
      </c>
      <c r="U239" s="118"/>
      <c r="V239" s="119" t="s">
        <v>15862</v>
      </c>
      <c r="W239" t="s">
        <v>15868</v>
      </c>
    </row>
    <row r="240" spans="1:23" x14ac:dyDescent="0.3">
      <c r="A240" s="118"/>
      <c r="B240" s="119" t="s">
        <v>15683</v>
      </c>
      <c r="C240" t="s">
        <v>15689</v>
      </c>
      <c r="E240" s="118"/>
      <c r="F240" s="119" t="s">
        <v>15719</v>
      </c>
      <c r="G240" t="s">
        <v>15725</v>
      </c>
      <c r="I240" s="118"/>
      <c r="J240" s="119" t="s">
        <v>15755</v>
      </c>
      <c r="K240" t="s">
        <v>15761</v>
      </c>
      <c r="M240" s="118"/>
      <c r="N240" s="119" t="s">
        <v>15791</v>
      </c>
      <c r="O240" t="s">
        <v>15797</v>
      </c>
      <c r="Q240" s="118"/>
      <c r="R240" s="119" t="s">
        <v>15827</v>
      </c>
      <c r="S240" t="s">
        <v>15833</v>
      </c>
      <c r="U240" s="118"/>
      <c r="V240" s="119" t="s">
        <v>15863</v>
      </c>
      <c r="W240" t="s">
        <v>15869</v>
      </c>
    </row>
    <row r="241" spans="1:23" x14ac:dyDescent="0.3">
      <c r="A241" s="118"/>
      <c r="B241" s="119" t="s">
        <v>15694</v>
      </c>
      <c r="C241" t="s">
        <v>15700</v>
      </c>
      <c r="E241" s="118"/>
      <c r="F241" s="119" t="s">
        <v>15730</v>
      </c>
      <c r="G241" t="s">
        <v>15736</v>
      </c>
      <c r="I241" s="118"/>
      <c r="J241" s="119" t="s">
        <v>15766</v>
      </c>
      <c r="K241" t="s">
        <v>15772</v>
      </c>
      <c r="M241" s="118"/>
      <c r="N241" s="119" t="s">
        <v>15802</v>
      </c>
      <c r="O241" t="s">
        <v>15808</v>
      </c>
      <c r="Q241" s="118"/>
      <c r="R241" s="119" t="s">
        <v>15838</v>
      </c>
      <c r="S241" t="s">
        <v>15844</v>
      </c>
      <c r="U241" s="118"/>
      <c r="V241" s="119" t="s">
        <v>15874</v>
      </c>
      <c r="W241" t="s">
        <v>15880</v>
      </c>
    </row>
    <row r="242" spans="1:23" x14ac:dyDescent="0.3">
      <c r="A242" s="118"/>
      <c r="B242" s="119" t="s">
        <v>15695</v>
      </c>
      <c r="C242" t="s">
        <v>15701</v>
      </c>
      <c r="E242" s="118"/>
      <c r="F242" s="119" t="s">
        <v>15731</v>
      </c>
      <c r="G242" t="s">
        <v>15737</v>
      </c>
      <c r="I242" s="118"/>
      <c r="J242" s="119" t="s">
        <v>15767</v>
      </c>
      <c r="K242" t="s">
        <v>15773</v>
      </c>
      <c r="M242" s="118"/>
      <c r="N242" s="119" t="s">
        <v>15803</v>
      </c>
      <c r="O242" t="s">
        <v>15809</v>
      </c>
      <c r="Q242" s="118"/>
      <c r="R242" s="119" t="s">
        <v>15839</v>
      </c>
      <c r="S242" t="s">
        <v>15845</v>
      </c>
      <c r="U242" s="118"/>
      <c r="V242" s="119" t="s">
        <v>15875</v>
      </c>
      <c r="W242" t="s">
        <v>15881</v>
      </c>
    </row>
    <row r="243" spans="1:23" x14ac:dyDescent="0.3">
      <c r="A243" s="118"/>
      <c r="B243" s="119" t="s">
        <v>15706</v>
      </c>
      <c r="C243" t="s">
        <v>15712</v>
      </c>
      <c r="E243" s="118"/>
      <c r="F243" s="119" t="s">
        <v>15742</v>
      </c>
      <c r="G243" t="s">
        <v>15748</v>
      </c>
      <c r="I243" s="118"/>
      <c r="J243" s="119" t="s">
        <v>15778</v>
      </c>
      <c r="K243" t="s">
        <v>15784</v>
      </c>
      <c r="M243" s="118"/>
      <c r="N243" s="119" t="s">
        <v>15814</v>
      </c>
      <c r="O243" t="s">
        <v>15820</v>
      </c>
      <c r="Q243" s="118"/>
      <c r="R243" s="119" t="s">
        <v>15850</v>
      </c>
      <c r="S243" t="s">
        <v>15856</v>
      </c>
      <c r="U243" s="118"/>
      <c r="V243" s="119" t="s">
        <v>15886</v>
      </c>
      <c r="W243" t="s">
        <v>15892</v>
      </c>
    </row>
    <row r="244" spans="1:23" x14ac:dyDescent="0.3">
      <c r="A244" s="118"/>
      <c r="B244" s="119" t="s">
        <v>15707</v>
      </c>
      <c r="C244" t="s">
        <v>15713</v>
      </c>
      <c r="E244" s="118"/>
      <c r="F244" s="119" t="s">
        <v>15743</v>
      </c>
      <c r="G244" t="s">
        <v>15749</v>
      </c>
      <c r="I244" s="118"/>
      <c r="J244" s="119" t="s">
        <v>15779</v>
      </c>
      <c r="K244" t="s">
        <v>15785</v>
      </c>
      <c r="M244" s="118"/>
      <c r="N244" s="119" t="s">
        <v>15815</v>
      </c>
      <c r="O244" t="s">
        <v>15821</v>
      </c>
      <c r="Q244" s="118"/>
      <c r="R244" s="119" t="s">
        <v>15851</v>
      </c>
      <c r="S244" t="s">
        <v>15857</v>
      </c>
      <c r="U244" s="118"/>
      <c r="V244" s="119" t="s">
        <v>15887</v>
      </c>
      <c r="W244" t="s">
        <v>15893</v>
      </c>
    </row>
    <row r="245" spans="1:23" x14ac:dyDescent="0.3">
      <c r="A245" s="118"/>
      <c r="B245" s="119" t="s">
        <v>15898</v>
      </c>
      <c r="C245" t="s">
        <v>15904</v>
      </c>
      <c r="E245" s="118"/>
      <c r="F245" s="119" t="s">
        <v>15934</v>
      </c>
      <c r="G245" t="s">
        <v>15940</v>
      </c>
      <c r="I245" s="118"/>
      <c r="J245" s="119" t="s">
        <v>15970</v>
      </c>
      <c r="K245" t="s">
        <v>15976</v>
      </c>
      <c r="M245" s="118"/>
      <c r="N245" s="119" t="s">
        <v>16006</v>
      </c>
      <c r="O245" t="s">
        <v>16012</v>
      </c>
      <c r="Q245" s="118"/>
      <c r="R245" s="119" t="s">
        <v>16042</v>
      </c>
      <c r="S245" t="s">
        <v>16048</v>
      </c>
      <c r="U245" s="118"/>
      <c r="V245" s="119" t="s">
        <v>16078</v>
      </c>
      <c r="W245" t="s">
        <v>16084</v>
      </c>
    </row>
    <row r="246" spans="1:23" x14ac:dyDescent="0.3">
      <c r="A246" s="118"/>
      <c r="B246" s="119" t="s">
        <v>15899</v>
      </c>
      <c r="C246" t="s">
        <v>15905</v>
      </c>
      <c r="E246" s="118"/>
      <c r="F246" s="119" t="s">
        <v>15935</v>
      </c>
      <c r="G246" t="s">
        <v>15941</v>
      </c>
      <c r="I246" s="118"/>
      <c r="J246" s="119" t="s">
        <v>15971</v>
      </c>
      <c r="K246" t="s">
        <v>15977</v>
      </c>
      <c r="M246" s="118"/>
      <c r="N246" s="119" t="s">
        <v>16007</v>
      </c>
      <c r="O246" t="s">
        <v>16013</v>
      </c>
      <c r="Q246" s="118"/>
      <c r="R246" s="119" t="s">
        <v>16043</v>
      </c>
      <c r="S246" t="s">
        <v>16049</v>
      </c>
      <c r="U246" s="118"/>
      <c r="V246" s="119" t="s">
        <v>16079</v>
      </c>
      <c r="W246" t="s">
        <v>16085</v>
      </c>
    </row>
    <row r="247" spans="1:23" x14ac:dyDescent="0.3">
      <c r="A247" s="118"/>
      <c r="B247" s="119" t="s">
        <v>15910</v>
      </c>
      <c r="C247" t="s">
        <v>15916</v>
      </c>
      <c r="E247" s="118"/>
      <c r="F247" s="119" t="s">
        <v>15946</v>
      </c>
      <c r="G247" t="s">
        <v>15952</v>
      </c>
      <c r="I247" s="118"/>
      <c r="J247" s="119" t="s">
        <v>15982</v>
      </c>
      <c r="K247" t="s">
        <v>15988</v>
      </c>
      <c r="M247" s="118"/>
      <c r="N247" s="119" t="s">
        <v>16018</v>
      </c>
      <c r="O247" t="s">
        <v>16024</v>
      </c>
      <c r="Q247" s="118"/>
      <c r="R247" s="119" t="s">
        <v>16054</v>
      </c>
      <c r="S247" t="s">
        <v>16060</v>
      </c>
      <c r="U247" s="118"/>
      <c r="V247" s="119" t="s">
        <v>16090</v>
      </c>
      <c r="W247" t="s">
        <v>16096</v>
      </c>
    </row>
    <row r="248" spans="1:23" x14ac:dyDescent="0.3">
      <c r="A248" s="118"/>
      <c r="B248" s="119" t="s">
        <v>15911</v>
      </c>
      <c r="C248" t="s">
        <v>15917</v>
      </c>
      <c r="E248" s="118"/>
      <c r="F248" s="119" t="s">
        <v>15947</v>
      </c>
      <c r="G248" t="s">
        <v>15953</v>
      </c>
      <c r="I248" s="118"/>
      <c r="J248" s="119" t="s">
        <v>15983</v>
      </c>
      <c r="K248" t="s">
        <v>15989</v>
      </c>
      <c r="M248" s="118"/>
      <c r="N248" s="119" t="s">
        <v>16019</v>
      </c>
      <c r="O248" t="s">
        <v>16025</v>
      </c>
      <c r="Q248" s="118"/>
      <c r="R248" s="119" t="s">
        <v>16055</v>
      </c>
      <c r="S248" t="s">
        <v>16061</v>
      </c>
      <c r="U248" s="118"/>
      <c r="V248" s="119" t="s">
        <v>16091</v>
      </c>
      <c r="W248" t="s">
        <v>16097</v>
      </c>
    </row>
    <row r="249" spans="1:23" x14ac:dyDescent="0.3">
      <c r="A249" s="118"/>
      <c r="B249" s="119" t="s">
        <v>15922</v>
      </c>
      <c r="C249" t="s">
        <v>15928</v>
      </c>
      <c r="E249" s="118"/>
      <c r="F249" s="119" t="s">
        <v>15958</v>
      </c>
      <c r="G249" t="s">
        <v>15964</v>
      </c>
      <c r="I249" s="118"/>
      <c r="J249" s="119" t="s">
        <v>15994</v>
      </c>
      <c r="K249" t="s">
        <v>16000</v>
      </c>
      <c r="M249" s="118"/>
      <c r="N249" s="119" t="s">
        <v>16030</v>
      </c>
      <c r="O249" t="s">
        <v>16036</v>
      </c>
      <c r="Q249" s="118"/>
      <c r="R249" s="119" t="s">
        <v>16066</v>
      </c>
      <c r="S249" t="s">
        <v>16072</v>
      </c>
      <c r="U249" s="118"/>
      <c r="V249" s="119" t="s">
        <v>16102</v>
      </c>
      <c r="W249" t="s">
        <v>16108</v>
      </c>
    </row>
    <row r="250" spans="1:23" x14ac:dyDescent="0.3">
      <c r="A250" s="118"/>
      <c r="B250" s="119" t="s">
        <v>15923</v>
      </c>
      <c r="C250" t="s">
        <v>15929</v>
      </c>
      <c r="E250" s="118"/>
      <c r="F250" s="119" t="s">
        <v>15959</v>
      </c>
      <c r="G250" t="s">
        <v>15965</v>
      </c>
      <c r="I250" s="118"/>
      <c r="J250" s="119" t="s">
        <v>15995</v>
      </c>
      <c r="K250" t="s">
        <v>16001</v>
      </c>
      <c r="M250" s="118"/>
      <c r="N250" s="119" t="s">
        <v>16031</v>
      </c>
      <c r="O250" t="s">
        <v>16037</v>
      </c>
      <c r="Q250" s="118"/>
      <c r="R250" s="119" t="s">
        <v>16067</v>
      </c>
      <c r="S250" t="s">
        <v>16073</v>
      </c>
      <c r="U250" s="118"/>
      <c r="V250" s="119" t="s">
        <v>16103</v>
      </c>
      <c r="W250" t="s">
        <v>16109</v>
      </c>
    </row>
    <row r="251" spans="1:23" x14ac:dyDescent="0.3">
      <c r="A251" s="118"/>
      <c r="B251" s="119" t="s">
        <v>16114</v>
      </c>
      <c r="C251" t="s">
        <v>16120</v>
      </c>
      <c r="E251" s="118"/>
      <c r="F251" s="119" t="s">
        <v>16150</v>
      </c>
      <c r="G251" t="s">
        <v>16156</v>
      </c>
      <c r="I251" s="118"/>
      <c r="J251" s="119" t="s">
        <v>16186</v>
      </c>
      <c r="K251" t="s">
        <v>16192</v>
      </c>
      <c r="M251" s="118"/>
      <c r="N251" s="119" t="s">
        <v>16222</v>
      </c>
      <c r="O251" t="s">
        <v>16228</v>
      </c>
      <c r="Q251" s="118"/>
      <c r="R251" s="119" t="s">
        <v>16258</v>
      </c>
      <c r="S251" t="s">
        <v>16264</v>
      </c>
      <c r="U251" s="118"/>
      <c r="V251" s="119" t="s">
        <v>16294</v>
      </c>
      <c r="W251" t="s">
        <v>16300</v>
      </c>
    </row>
    <row r="252" spans="1:23" x14ac:dyDescent="0.3">
      <c r="A252" s="118"/>
      <c r="B252" s="119" t="s">
        <v>16115</v>
      </c>
      <c r="C252" t="s">
        <v>16121</v>
      </c>
      <c r="E252" s="118"/>
      <c r="F252" s="119" t="s">
        <v>16151</v>
      </c>
      <c r="G252" t="s">
        <v>16157</v>
      </c>
      <c r="I252" s="118"/>
      <c r="J252" s="119" t="s">
        <v>16187</v>
      </c>
      <c r="K252" t="s">
        <v>16193</v>
      </c>
      <c r="M252" s="118"/>
      <c r="N252" s="119" t="s">
        <v>16223</v>
      </c>
      <c r="O252" t="s">
        <v>16229</v>
      </c>
      <c r="Q252" s="118"/>
      <c r="R252" s="119" t="s">
        <v>16259</v>
      </c>
      <c r="S252" t="s">
        <v>16265</v>
      </c>
      <c r="U252" s="118"/>
      <c r="V252" s="119" t="s">
        <v>16295</v>
      </c>
      <c r="W252" t="s">
        <v>16301</v>
      </c>
    </row>
    <row r="253" spans="1:23" x14ac:dyDescent="0.3">
      <c r="A253" s="118"/>
      <c r="B253" s="119" t="s">
        <v>16126</v>
      </c>
      <c r="C253" t="s">
        <v>16132</v>
      </c>
      <c r="E253" s="118"/>
      <c r="F253" s="119" t="s">
        <v>16162</v>
      </c>
      <c r="G253" t="s">
        <v>16168</v>
      </c>
      <c r="I253" s="118"/>
      <c r="J253" s="119" t="s">
        <v>16198</v>
      </c>
      <c r="K253" t="s">
        <v>16204</v>
      </c>
      <c r="M253" s="118"/>
      <c r="N253" s="119" t="s">
        <v>16234</v>
      </c>
      <c r="O253" t="s">
        <v>16240</v>
      </c>
      <c r="Q253" s="118"/>
      <c r="R253" s="119" t="s">
        <v>16270</v>
      </c>
      <c r="S253" t="s">
        <v>16276</v>
      </c>
      <c r="U253" s="118"/>
      <c r="V253" s="119" t="s">
        <v>16306</v>
      </c>
      <c r="W253" t="s">
        <v>16312</v>
      </c>
    </row>
    <row r="254" spans="1:23" x14ac:dyDescent="0.3">
      <c r="A254" s="118"/>
      <c r="B254" s="119" t="s">
        <v>16127</v>
      </c>
      <c r="C254" t="s">
        <v>16133</v>
      </c>
      <c r="E254" s="118"/>
      <c r="F254" s="119" t="s">
        <v>16163</v>
      </c>
      <c r="G254" t="s">
        <v>16169</v>
      </c>
      <c r="I254" s="118"/>
      <c r="J254" s="119" t="s">
        <v>16199</v>
      </c>
      <c r="K254" t="s">
        <v>16205</v>
      </c>
      <c r="M254" s="118"/>
      <c r="N254" s="119" t="s">
        <v>16235</v>
      </c>
      <c r="O254" t="s">
        <v>16241</v>
      </c>
      <c r="Q254" s="118"/>
      <c r="R254" s="119" t="s">
        <v>16271</v>
      </c>
      <c r="S254" t="s">
        <v>16277</v>
      </c>
      <c r="U254" s="118"/>
      <c r="V254" s="119" t="s">
        <v>16307</v>
      </c>
      <c r="W254" t="s">
        <v>16313</v>
      </c>
    </row>
    <row r="255" spans="1:23" x14ac:dyDescent="0.3">
      <c r="A255" s="118"/>
      <c r="B255" s="119" t="s">
        <v>16138</v>
      </c>
      <c r="C255" t="s">
        <v>16144</v>
      </c>
      <c r="E255" s="118"/>
      <c r="F255" s="119" t="s">
        <v>16174</v>
      </c>
      <c r="G255" t="s">
        <v>16180</v>
      </c>
      <c r="I255" s="118"/>
      <c r="J255" s="119" t="s">
        <v>16210</v>
      </c>
      <c r="K255" t="s">
        <v>16216</v>
      </c>
      <c r="M255" s="118"/>
      <c r="N255" s="119" t="s">
        <v>16246</v>
      </c>
      <c r="O255" t="s">
        <v>16252</v>
      </c>
      <c r="Q255" s="118"/>
      <c r="R255" s="119" t="s">
        <v>16282</v>
      </c>
      <c r="S255" t="s">
        <v>16288</v>
      </c>
      <c r="U255" s="118"/>
      <c r="V255" s="119" t="s">
        <v>16318</v>
      </c>
      <c r="W255" t="s">
        <v>16324</v>
      </c>
    </row>
    <row r="256" spans="1:23" x14ac:dyDescent="0.3">
      <c r="A256" s="118"/>
      <c r="B256" s="119" t="s">
        <v>16139</v>
      </c>
      <c r="C256" t="s">
        <v>16145</v>
      </c>
      <c r="E256" s="118"/>
      <c r="F256" s="119" t="s">
        <v>16175</v>
      </c>
      <c r="G256" t="s">
        <v>16181</v>
      </c>
      <c r="I256" s="118"/>
      <c r="J256" s="119" t="s">
        <v>16211</v>
      </c>
      <c r="K256" t="s">
        <v>16217</v>
      </c>
      <c r="M256" s="118"/>
      <c r="N256" s="119" t="s">
        <v>16247</v>
      </c>
      <c r="O256" t="s">
        <v>16253</v>
      </c>
      <c r="Q256" s="118"/>
      <c r="R256" s="119" t="s">
        <v>16283</v>
      </c>
      <c r="S256" t="s">
        <v>16289</v>
      </c>
      <c r="U256" s="118"/>
      <c r="V256" s="119" t="s">
        <v>16319</v>
      </c>
      <c r="W256" t="s">
        <v>16325</v>
      </c>
    </row>
    <row r="257" spans="1:23" x14ac:dyDescent="0.3">
      <c r="A257" s="118"/>
      <c r="B257" s="119" t="s">
        <v>16330</v>
      </c>
      <c r="C257" t="s">
        <v>16336</v>
      </c>
      <c r="E257" s="118"/>
      <c r="F257" s="119" t="s">
        <v>16366</v>
      </c>
      <c r="G257" t="s">
        <v>16372</v>
      </c>
      <c r="I257" s="118"/>
      <c r="J257" s="119" t="s">
        <v>16402</v>
      </c>
      <c r="K257" t="s">
        <v>16408</v>
      </c>
      <c r="M257" s="118"/>
      <c r="N257" s="119" t="s">
        <v>16438</v>
      </c>
      <c r="O257" t="s">
        <v>16444</v>
      </c>
      <c r="Q257" s="118"/>
      <c r="R257" s="119" t="s">
        <v>16474</v>
      </c>
      <c r="S257" t="s">
        <v>16480</v>
      </c>
      <c r="U257" s="118"/>
      <c r="V257" s="119" t="s">
        <v>16510</v>
      </c>
      <c r="W257" t="s">
        <v>16516</v>
      </c>
    </row>
    <row r="258" spans="1:23" x14ac:dyDescent="0.3">
      <c r="A258" s="118"/>
      <c r="B258" s="119" t="s">
        <v>16331</v>
      </c>
      <c r="C258" t="s">
        <v>16337</v>
      </c>
      <c r="E258" s="118"/>
      <c r="F258" s="119" t="s">
        <v>16367</v>
      </c>
      <c r="G258" t="s">
        <v>16373</v>
      </c>
      <c r="I258" s="118"/>
      <c r="J258" s="119" t="s">
        <v>16403</v>
      </c>
      <c r="K258" t="s">
        <v>16409</v>
      </c>
      <c r="M258" s="118"/>
      <c r="N258" s="119" t="s">
        <v>16439</v>
      </c>
      <c r="O258" t="s">
        <v>16445</v>
      </c>
      <c r="Q258" s="118"/>
      <c r="R258" s="119" t="s">
        <v>16475</v>
      </c>
      <c r="S258" t="s">
        <v>16481</v>
      </c>
      <c r="U258" s="118"/>
      <c r="V258" s="119" t="s">
        <v>16511</v>
      </c>
      <c r="W258" t="s">
        <v>16517</v>
      </c>
    </row>
    <row r="259" spans="1:23" x14ac:dyDescent="0.3">
      <c r="A259" s="118"/>
      <c r="B259" s="119" t="s">
        <v>16342</v>
      </c>
      <c r="C259" t="s">
        <v>16348</v>
      </c>
      <c r="E259" s="118"/>
      <c r="F259" s="119" t="s">
        <v>16378</v>
      </c>
      <c r="G259" t="s">
        <v>16384</v>
      </c>
      <c r="I259" s="118"/>
      <c r="J259" s="119" t="s">
        <v>16414</v>
      </c>
      <c r="K259" t="s">
        <v>16420</v>
      </c>
      <c r="M259" s="118"/>
      <c r="N259" s="119" t="s">
        <v>16450</v>
      </c>
      <c r="O259" t="s">
        <v>16456</v>
      </c>
      <c r="Q259" s="118"/>
      <c r="R259" s="119" t="s">
        <v>16486</v>
      </c>
      <c r="S259" t="s">
        <v>16492</v>
      </c>
      <c r="U259" s="118"/>
      <c r="V259" s="119" t="s">
        <v>16522</v>
      </c>
      <c r="W259" t="s">
        <v>16528</v>
      </c>
    </row>
    <row r="260" spans="1:23" x14ac:dyDescent="0.3">
      <c r="A260" s="118"/>
      <c r="B260" s="119" t="s">
        <v>16343</v>
      </c>
      <c r="C260" t="s">
        <v>16349</v>
      </c>
      <c r="E260" s="118"/>
      <c r="F260" s="119" t="s">
        <v>16379</v>
      </c>
      <c r="G260" t="s">
        <v>16385</v>
      </c>
      <c r="I260" s="118"/>
      <c r="J260" s="119" t="s">
        <v>16415</v>
      </c>
      <c r="K260" t="s">
        <v>16421</v>
      </c>
      <c r="M260" s="118"/>
      <c r="N260" s="119" t="s">
        <v>16451</v>
      </c>
      <c r="O260" t="s">
        <v>16457</v>
      </c>
      <c r="Q260" s="118"/>
      <c r="R260" s="119" t="s">
        <v>16487</v>
      </c>
      <c r="S260" t="s">
        <v>16493</v>
      </c>
      <c r="U260" s="118"/>
      <c r="V260" s="119" t="s">
        <v>16523</v>
      </c>
      <c r="W260" t="s">
        <v>16529</v>
      </c>
    </row>
    <row r="261" spans="1:23" x14ac:dyDescent="0.3">
      <c r="A261" s="118"/>
      <c r="B261" s="119" t="s">
        <v>16354</v>
      </c>
      <c r="C261" t="s">
        <v>16360</v>
      </c>
      <c r="E261" s="118"/>
      <c r="F261" s="119" t="s">
        <v>16390</v>
      </c>
      <c r="G261" t="s">
        <v>16396</v>
      </c>
      <c r="I261" s="118"/>
      <c r="J261" s="119" t="s">
        <v>16426</v>
      </c>
      <c r="K261" t="s">
        <v>16432</v>
      </c>
      <c r="M261" s="118"/>
      <c r="N261" s="119" t="s">
        <v>16462</v>
      </c>
      <c r="O261" t="s">
        <v>16468</v>
      </c>
      <c r="Q261" s="118"/>
      <c r="R261" s="119" t="s">
        <v>16498</v>
      </c>
      <c r="S261" t="s">
        <v>16504</v>
      </c>
      <c r="U261" s="118"/>
      <c r="V261" s="119" t="s">
        <v>16534</v>
      </c>
      <c r="W261" t="s">
        <v>16540</v>
      </c>
    </row>
    <row r="262" spans="1:23" x14ac:dyDescent="0.3">
      <c r="A262" s="118"/>
      <c r="B262" s="119" t="s">
        <v>16355</v>
      </c>
      <c r="C262" t="s">
        <v>16361</v>
      </c>
      <c r="E262" s="118"/>
      <c r="F262" s="119" t="s">
        <v>16391</v>
      </c>
      <c r="G262" t="s">
        <v>16397</v>
      </c>
      <c r="I262" s="118"/>
      <c r="J262" s="119" t="s">
        <v>16427</v>
      </c>
      <c r="K262" t="s">
        <v>16433</v>
      </c>
      <c r="M262" s="118"/>
      <c r="N262" s="119" t="s">
        <v>16463</v>
      </c>
      <c r="O262" t="s">
        <v>16469</v>
      </c>
      <c r="Q262" s="118"/>
      <c r="R262" s="119" t="s">
        <v>16499</v>
      </c>
      <c r="S262" t="s">
        <v>16505</v>
      </c>
      <c r="U262" s="118"/>
      <c r="V262" s="119" t="s">
        <v>16535</v>
      </c>
      <c r="W262" t="s">
        <v>16541</v>
      </c>
    </row>
    <row r="263" spans="1:23" x14ac:dyDescent="0.3">
      <c r="A263" s="118"/>
      <c r="B263" s="119" t="s">
        <v>16546</v>
      </c>
      <c r="C263" t="s">
        <v>16552</v>
      </c>
      <c r="E263" s="118"/>
      <c r="F263" s="119" t="s">
        <v>16582</v>
      </c>
      <c r="G263" t="s">
        <v>16588</v>
      </c>
      <c r="I263" s="118"/>
      <c r="J263" s="119" t="s">
        <v>16618</v>
      </c>
      <c r="K263" t="s">
        <v>16624</v>
      </c>
      <c r="M263" s="118"/>
      <c r="N263" s="119" t="s">
        <v>16654</v>
      </c>
      <c r="O263" t="s">
        <v>16660</v>
      </c>
      <c r="Q263" s="118"/>
      <c r="R263" s="119" t="s">
        <v>16690</v>
      </c>
      <c r="S263" t="s">
        <v>16696</v>
      </c>
      <c r="U263" s="118"/>
      <c r="V263" s="119" t="s">
        <v>16726</v>
      </c>
      <c r="W263" t="s">
        <v>16732</v>
      </c>
    </row>
    <row r="264" spans="1:23" x14ac:dyDescent="0.3">
      <c r="A264" s="118"/>
      <c r="B264" s="119" t="s">
        <v>16547</v>
      </c>
      <c r="C264" t="s">
        <v>16553</v>
      </c>
      <c r="E264" s="118"/>
      <c r="F264" s="119" t="s">
        <v>16583</v>
      </c>
      <c r="G264" t="s">
        <v>16589</v>
      </c>
      <c r="I264" s="118"/>
      <c r="J264" s="119" t="s">
        <v>16619</v>
      </c>
      <c r="K264" t="s">
        <v>16625</v>
      </c>
      <c r="M264" s="118"/>
      <c r="N264" s="119" t="s">
        <v>16655</v>
      </c>
      <c r="O264" t="s">
        <v>16661</v>
      </c>
      <c r="Q264" s="118"/>
      <c r="R264" s="119" t="s">
        <v>16691</v>
      </c>
      <c r="S264" t="s">
        <v>16697</v>
      </c>
      <c r="U264" s="118"/>
      <c r="V264" s="119" t="s">
        <v>16727</v>
      </c>
      <c r="W264" t="s">
        <v>16733</v>
      </c>
    </row>
    <row r="265" spans="1:23" x14ac:dyDescent="0.3">
      <c r="A265" s="118"/>
      <c r="B265" s="119" t="s">
        <v>16558</v>
      </c>
      <c r="C265" t="s">
        <v>16564</v>
      </c>
      <c r="E265" s="118"/>
      <c r="F265" s="119" t="s">
        <v>16594</v>
      </c>
      <c r="G265" t="s">
        <v>16600</v>
      </c>
      <c r="I265" s="118"/>
      <c r="J265" s="119" t="s">
        <v>16630</v>
      </c>
      <c r="K265" t="s">
        <v>16636</v>
      </c>
      <c r="M265" s="118"/>
      <c r="N265" s="119" t="s">
        <v>16666</v>
      </c>
      <c r="O265" t="s">
        <v>16672</v>
      </c>
      <c r="Q265" s="118"/>
      <c r="R265" s="119" t="s">
        <v>16702</v>
      </c>
      <c r="S265" t="s">
        <v>16708</v>
      </c>
      <c r="U265" s="118"/>
      <c r="V265" s="119" t="s">
        <v>16738</v>
      </c>
      <c r="W265" t="s">
        <v>16744</v>
      </c>
    </row>
    <row r="266" spans="1:23" x14ac:dyDescent="0.3">
      <c r="A266" s="118"/>
      <c r="B266" s="119" t="s">
        <v>16559</v>
      </c>
      <c r="C266" t="s">
        <v>16565</v>
      </c>
      <c r="E266" s="118"/>
      <c r="F266" s="119" t="s">
        <v>16595</v>
      </c>
      <c r="G266" t="s">
        <v>16601</v>
      </c>
      <c r="I266" s="118"/>
      <c r="J266" s="119" t="s">
        <v>16631</v>
      </c>
      <c r="K266" t="s">
        <v>16637</v>
      </c>
      <c r="M266" s="118"/>
      <c r="N266" s="119" t="s">
        <v>16667</v>
      </c>
      <c r="O266" t="s">
        <v>16673</v>
      </c>
      <c r="Q266" s="118"/>
      <c r="R266" s="119" t="s">
        <v>16703</v>
      </c>
      <c r="S266" t="s">
        <v>16709</v>
      </c>
      <c r="U266" s="118"/>
      <c r="V266" s="119" t="s">
        <v>16739</v>
      </c>
      <c r="W266" t="s">
        <v>16745</v>
      </c>
    </row>
    <row r="267" spans="1:23" x14ac:dyDescent="0.3">
      <c r="A267" s="118"/>
      <c r="B267" s="119" t="s">
        <v>16570</v>
      </c>
      <c r="C267" t="s">
        <v>16576</v>
      </c>
      <c r="E267" s="118"/>
      <c r="F267" s="119" t="s">
        <v>16606</v>
      </c>
      <c r="G267" t="s">
        <v>16612</v>
      </c>
      <c r="I267" s="118"/>
      <c r="J267" s="119" t="s">
        <v>16642</v>
      </c>
      <c r="K267" t="s">
        <v>16648</v>
      </c>
      <c r="M267" s="118"/>
      <c r="N267" s="119" t="s">
        <v>16678</v>
      </c>
      <c r="O267" t="s">
        <v>16684</v>
      </c>
      <c r="Q267" s="118"/>
      <c r="R267" s="119" t="s">
        <v>16714</v>
      </c>
      <c r="S267" t="s">
        <v>16720</v>
      </c>
      <c r="U267" s="118"/>
      <c r="V267" s="119" t="s">
        <v>16750</v>
      </c>
      <c r="W267" t="s">
        <v>16756</v>
      </c>
    </row>
    <row r="268" spans="1:23" x14ac:dyDescent="0.3">
      <c r="A268" s="118"/>
      <c r="B268" s="119" t="s">
        <v>16571</v>
      </c>
      <c r="C268" t="s">
        <v>16577</v>
      </c>
      <c r="E268" s="118"/>
      <c r="F268" s="119" t="s">
        <v>16607</v>
      </c>
      <c r="G268" t="s">
        <v>16613</v>
      </c>
      <c r="I268" s="118"/>
      <c r="J268" s="119" t="s">
        <v>16643</v>
      </c>
      <c r="K268" t="s">
        <v>16649</v>
      </c>
      <c r="M268" s="118"/>
      <c r="N268" s="119" t="s">
        <v>16679</v>
      </c>
      <c r="O268" t="s">
        <v>16685</v>
      </c>
      <c r="Q268" s="118"/>
      <c r="R268" s="119" t="s">
        <v>16715</v>
      </c>
      <c r="S268" t="s">
        <v>16721</v>
      </c>
      <c r="U268" s="118"/>
      <c r="V268" s="119" t="s">
        <v>16751</v>
      </c>
      <c r="W268" t="s">
        <v>16757</v>
      </c>
    </row>
    <row r="269" spans="1:23" x14ac:dyDescent="0.3">
      <c r="A269" s="118"/>
      <c r="B269" s="119" t="s">
        <v>16762</v>
      </c>
      <c r="C269" t="s">
        <v>16768</v>
      </c>
      <c r="E269" s="118"/>
      <c r="F269" s="119" t="s">
        <v>16798</v>
      </c>
      <c r="G269" t="s">
        <v>16804</v>
      </c>
      <c r="I269" s="118"/>
      <c r="J269" s="119" t="s">
        <v>16834</v>
      </c>
      <c r="K269" t="s">
        <v>16840</v>
      </c>
      <c r="M269" s="118"/>
      <c r="N269" s="119" t="s">
        <v>16870</v>
      </c>
      <c r="O269" t="s">
        <v>16876</v>
      </c>
      <c r="Q269" s="118"/>
      <c r="R269" s="119" t="s">
        <v>16906</v>
      </c>
      <c r="S269" t="s">
        <v>16912</v>
      </c>
      <c r="U269" s="118"/>
      <c r="V269" s="119" t="s">
        <v>16942</v>
      </c>
      <c r="W269" t="s">
        <v>16948</v>
      </c>
    </row>
    <row r="270" spans="1:23" x14ac:dyDescent="0.3">
      <c r="A270" s="118"/>
      <c r="B270" s="119" t="s">
        <v>16763</v>
      </c>
      <c r="C270" t="s">
        <v>16769</v>
      </c>
      <c r="E270" s="118"/>
      <c r="F270" s="119" t="s">
        <v>16799</v>
      </c>
      <c r="G270" t="s">
        <v>16805</v>
      </c>
      <c r="I270" s="118"/>
      <c r="J270" s="119" t="s">
        <v>16835</v>
      </c>
      <c r="K270" t="s">
        <v>16841</v>
      </c>
      <c r="M270" s="118"/>
      <c r="N270" s="119" t="s">
        <v>16871</v>
      </c>
      <c r="O270" t="s">
        <v>16877</v>
      </c>
      <c r="Q270" s="118"/>
      <c r="R270" s="119" t="s">
        <v>16907</v>
      </c>
      <c r="S270" t="s">
        <v>16913</v>
      </c>
      <c r="U270" s="118"/>
      <c r="V270" s="119" t="s">
        <v>16943</v>
      </c>
      <c r="W270" t="s">
        <v>16949</v>
      </c>
    </row>
    <row r="271" spans="1:23" x14ac:dyDescent="0.3">
      <c r="A271" s="118"/>
      <c r="B271" s="119" t="s">
        <v>16774</v>
      </c>
      <c r="C271" t="s">
        <v>16780</v>
      </c>
      <c r="E271" s="118"/>
      <c r="F271" s="119" t="s">
        <v>16810</v>
      </c>
      <c r="G271" t="s">
        <v>16816</v>
      </c>
      <c r="I271" s="118"/>
      <c r="J271" s="119" t="s">
        <v>16846</v>
      </c>
      <c r="K271" t="s">
        <v>16852</v>
      </c>
      <c r="M271" s="118"/>
      <c r="N271" s="119" t="s">
        <v>16882</v>
      </c>
      <c r="O271" t="s">
        <v>16888</v>
      </c>
      <c r="Q271" s="118"/>
      <c r="R271" s="119" t="s">
        <v>16918</v>
      </c>
      <c r="S271" t="s">
        <v>16924</v>
      </c>
      <c r="U271" s="118"/>
      <c r="V271" s="119" t="s">
        <v>16954</v>
      </c>
      <c r="W271" t="s">
        <v>16960</v>
      </c>
    </row>
    <row r="272" spans="1:23" x14ac:dyDescent="0.3">
      <c r="A272" s="118"/>
      <c r="B272" s="119" t="s">
        <v>16775</v>
      </c>
      <c r="C272" t="s">
        <v>16781</v>
      </c>
      <c r="E272" s="118"/>
      <c r="F272" s="119" t="s">
        <v>16811</v>
      </c>
      <c r="G272" t="s">
        <v>16817</v>
      </c>
      <c r="I272" s="118"/>
      <c r="J272" s="119" t="s">
        <v>16847</v>
      </c>
      <c r="K272" t="s">
        <v>16853</v>
      </c>
      <c r="M272" s="118"/>
      <c r="N272" s="119" t="s">
        <v>16883</v>
      </c>
      <c r="O272" t="s">
        <v>16889</v>
      </c>
      <c r="Q272" s="118"/>
      <c r="R272" s="119" t="s">
        <v>16919</v>
      </c>
      <c r="S272" t="s">
        <v>16925</v>
      </c>
      <c r="U272" s="118"/>
      <c r="V272" s="119" t="s">
        <v>16955</v>
      </c>
      <c r="W272" t="s">
        <v>16961</v>
      </c>
    </row>
    <row r="273" spans="1:23" x14ac:dyDescent="0.3">
      <c r="A273" s="118"/>
      <c r="B273" s="119" t="s">
        <v>16786</v>
      </c>
      <c r="C273" t="s">
        <v>16792</v>
      </c>
      <c r="E273" s="118"/>
      <c r="F273" s="119" t="s">
        <v>16822</v>
      </c>
      <c r="G273" t="s">
        <v>16828</v>
      </c>
      <c r="I273" s="118"/>
      <c r="J273" s="119" t="s">
        <v>16858</v>
      </c>
      <c r="K273" t="s">
        <v>16864</v>
      </c>
      <c r="M273" s="118"/>
      <c r="N273" s="119" t="s">
        <v>16894</v>
      </c>
      <c r="O273" t="s">
        <v>16900</v>
      </c>
      <c r="Q273" s="118"/>
      <c r="R273" s="119" t="s">
        <v>16930</v>
      </c>
      <c r="S273" t="s">
        <v>16936</v>
      </c>
      <c r="U273" s="118"/>
      <c r="V273" s="119" t="s">
        <v>16966</v>
      </c>
      <c r="W273" t="s">
        <v>16972</v>
      </c>
    </row>
    <row r="274" spans="1:23" x14ac:dyDescent="0.3">
      <c r="A274" s="118"/>
      <c r="B274" s="119" t="s">
        <v>16787</v>
      </c>
      <c r="C274" t="s">
        <v>16793</v>
      </c>
      <c r="E274" s="118"/>
      <c r="F274" s="119" t="s">
        <v>16823</v>
      </c>
      <c r="G274" t="s">
        <v>16829</v>
      </c>
      <c r="I274" s="118"/>
      <c r="J274" s="119" t="s">
        <v>16859</v>
      </c>
      <c r="K274" t="s">
        <v>16865</v>
      </c>
      <c r="M274" s="118"/>
      <c r="N274" s="119" t="s">
        <v>16895</v>
      </c>
      <c r="O274" t="s">
        <v>16901</v>
      </c>
      <c r="Q274" s="118"/>
      <c r="R274" s="119" t="s">
        <v>16931</v>
      </c>
      <c r="S274" t="s">
        <v>16937</v>
      </c>
      <c r="U274" s="118"/>
      <c r="V274" s="119" t="s">
        <v>16967</v>
      </c>
      <c r="W274" t="s">
        <v>16973</v>
      </c>
    </row>
    <row r="275" spans="1:23" x14ac:dyDescent="0.3">
      <c r="A275" s="118"/>
      <c r="B275" s="119" t="s">
        <v>16978</v>
      </c>
      <c r="C275" t="s">
        <v>16984</v>
      </c>
      <c r="E275" s="118"/>
      <c r="F275" s="119" t="s">
        <v>17014</v>
      </c>
      <c r="G275" t="s">
        <v>17020</v>
      </c>
      <c r="I275" s="118"/>
      <c r="J275" s="119" t="s">
        <v>17050</v>
      </c>
      <c r="K275" t="s">
        <v>17056</v>
      </c>
      <c r="M275" s="118"/>
      <c r="N275" s="119" t="s">
        <v>17086</v>
      </c>
      <c r="O275" t="s">
        <v>17092</v>
      </c>
      <c r="Q275" s="118"/>
      <c r="R275" s="119" t="s">
        <v>17122</v>
      </c>
      <c r="S275" t="s">
        <v>17128</v>
      </c>
      <c r="U275" s="118"/>
      <c r="V275" s="119" t="s">
        <v>17158</v>
      </c>
      <c r="W275" t="s">
        <v>17164</v>
      </c>
    </row>
    <row r="276" spans="1:23" x14ac:dyDescent="0.3">
      <c r="A276" s="118"/>
      <c r="B276" s="119" t="s">
        <v>16979</v>
      </c>
      <c r="C276" t="s">
        <v>16985</v>
      </c>
      <c r="E276" s="118"/>
      <c r="F276" s="119" t="s">
        <v>17015</v>
      </c>
      <c r="G276" t="s">
        <v>17021</v>
      </c>
      <c r="I276" s="118"/>
      <c r="J276" s="119" t="s">
        <v>17051</v>
      </c>
      <c r="K276" t="s">
        <v>17057</v>
      </c>
      <c r="M276" s="118"/>
      <c r="N276" s="119" t="s">
        <v>17087</v>
      </c>
      <c r="O276" t="s">
        <v>17093</v>
      </c>
      <c r="Q276" s="118"/>
      <c r="R276" s="119" t="s">
        <v>17123</v>
      </c>
      <c r="S276" t="s">
        <v>17129</v>
      </c>
      <c r="U276" s="118"/>
      <c r="V276" s="119" t="s">
        <v>17159</v>
      </c>
      <c r="W276" t="s">
        <v>17165</v>
      </c>
    </row>
    <row r="277" spans="1:23" x14ac:dyDescent="0.3">
      <c r="A277" s="118"/>
      <c r="B277" s="119" t="s">
        <v>16990</v>
      </c>
      <c r="C277" t="s">
        <v>16996</v>
      </c>
      <c r="E277" s="118"/>
      <c r="F277" s="119" t="s">
        <v>17026</v>
      </c>
      <c r="G277" t="s">
        <v>17032</v>
      </c>
      <c r="I277" s="118"/>
      <c r="J277" s="119" t="s">
        <v>17062</v>
      </c>
      <c r="K277" t="s">
        <v>17068</v>
      </c>
      <c r="M277" s="118"/>
      <c r="N277" s="119" t="s">
        <v>17098</v>
      </c>
      <c r="O277" t="s">
        <v>17104</v>
      </c>
      <c r="Q277" s="118"/>
      <c r="R277" s="119" t="s">
        <v>17134</v>
      </c>
      <c r="S277" t="s">
        <v>17140</v>
      </c>
      <c r="U277" s="118"/>
      <c r="V277" s="119" t="s">
        <v>17170</v>
      </c>
      <c r="W277" t="s">
        <v>17176</v>
      </c>
    </row>
    <row r="278" spans="1:23" x14ac:dyDescent="0.3">
      <c r="A278" s="118"/>
      <c r="B278" s="119" t="s">
        <v>16991</v>
      </c>
      <c r="C278" t="s">
        <v>16997</v>
      </c>
      <c r="E278" s="118"/>
      <c r="F278" s="119" t="s">
        <v>17027</v>
      </c>
      <c r="G278" t="s">
        <v>17033</v>
      </c>
      <c r="I278" s="118"/>
      <c r="J278" s="119" t="s">
        <v>17063</v>
      </c>
      <c r="K278" t="s">
        <v>17069</v>
      </c>
      <c r="M278" s="118"/>
      <c r="N278" s="119" t="s">
        <v>17099</v>
      </c>
      <c r="O278" t="s">
        <v>17105</v>
      </c>
      <c r="Q278" s="118"/>
      <c r="R278" s="119" t="s">
        <v>17135</v>
      </c>
      <c r="S278" t="s">
        <v>17141</v>
      </c>
      <c r="U278" s="118"/>
      <c r="V278" s="119" t="s">
        <v>17171</v>
      </c>
      <c r="W278" t="s">
        <v>17177</v>
      </c>
    </row>
    <row r="279" spans="1:23" x14ac:dyDescent="0.3">
      <c r="A279" s="118"/>
      <c r="B279" s="119" t="s">
        <v>17002</v>
      </c>
      <c r="C279" t="s">
        <v>17008</v>
      </c>
      <c r="E279" s="118"/>
      <c r="F279" s="119" t="s">
        <v>17038</v>
      </c>
      <c r="G279" t="s">
        <v>17044</v>
      </c>
      <c r="I279" s="118"/>
      <c r="J279" s="119" t="s">
        <v>17074</v>
      </c>
      <c r="K279" t="s">
        <v>17080</v>
      </c>
      <c r="M279" s="118"/>
      <c r="N279" s="119" t="s">
        <v>17110</v>
      </c>
      <c r="O279" t="s">
        <v>17116</v>
      </c>
      <c r="Q279" s="118"/>
      <c r="R279" s="119" t="s">
        <v>17146</v>
      </c>
      <c r="S279" t="s">
        <v>17152</v>
      </c>
      <c r="U279" s="118"/>
      <c r="V279" s="119" t="s">
        <v>17182</v>
      </c>
      <c r="W279" t="s">
        <v>17188</v>
      </c>
    </row>
    <row r="280" spans="1:23" x14ac:dyDescent="0.3">
      <c r="A280" s="118"/>
      <c r="B280" s="119" t="s">
        <v>17003</v>
      </c>
      <c r="C280" t="s">
        <v>17009</v>
      </c>
      <c r="E280" s="118"/>
      <c r="F280" s="119" t="s">
        <v>17039</v>
      </c>
      <c r="G280" t="s">
        <v>17045</v>
      </c>
      <c r="I280" s="118"/>
      <c r="J280" s="119" t="s">
        <v>17075</v>
      </c>
      <c r="K280" t="s">
        <v>17081</v>
      </c>
      <c r="M280" s="118"/>
      <c r="N280" s="119" t="s">
        <v>17111</v>
      </c>
      <c r="O280" t="s">
        <v>17117</v>
      </c>
      <c r="Q280" s="118"/>
      <c r="R280" s="119" t="s">
        <v>17147</v>
      </c>
      <c r="S280" t="s">
        <v>17153</v>
      </c>
      <c r="U280" s="118"/>
      <c r="V280" s="119" t="s">
        <v>17183</v>
      </c>
      <c r="W280" t="s">
        <v>17189</v>
      </c>
    </row>
    <row r="281" spans="1:23" x14ac:dyDescent="0.3">
      <c r="A281" s="118"/>
      <c r="B281" s="119" t="s">
        <v>17194</v>
      </c>
      <c r="C281" t="s">
        <v>17200</v>
      </c>
      <c r="E281" s="118"/>
      <c r="F281" s="119" t="s">
        <v>17230</v>
      </c>
      <c r="G281" t="s">
        <v>17236</v>
      </c>
      <c r="I281" s="118"/>
      <c r="J281" s="119" t="s">
        <v>17266</v>
      </c>
      <c r="K281" t="s">
        <v>17272</v>
      </c>
      <c r="M281" s="118"/>
      <c r="N281" s="119" t="s">
        <v>17302</v>
      </c>
      <c r="O281" t="s">
        <v>17308</v>
      </c>
      <c r="Q281" s="118"/>
      <c r="R281" s="119" t="s">
        <v>17338</v>
      </c>
      <c r="S281" t="s">
        <v>17344</v>
      </c>
      <c r="U281" s="118"/>
      <c r="V281" s="119" t="s">
        <v>17374</v>
      </c>
      <c r="W281" t="s">
        <v>17380</v>
      </c>
    </row>
    <row r="282" spans="1:23" x14ac:dyDescent="0.3">
      <c r="A282" s="118"/>
      <c r="B282" s="119" t="s">
        <v>17195</v>
      </c>
      <c r="C282" t="s">
        <v>17201</v>
      </c>
      <c r="E282" s="118"/>
      <c r="F282" s="119" t="s">
        <v>17231</v>
      </c>
      <c r="G282" t="s">
        <v>17237</v>
      </c>
      <c r="I282" s="118"/>
      <c r="J282" s="119" t="s">
        <v>17267</v>
      </c>
      <c r="K282" t="s">
        <v>17273</v>
      </c>
      <c r="M282" s="118"/>
      <c r="N282" s="119" t="s">
        <v>17303</v>
      </c>
      <c r="O282" t="s">
        <v>17309</v>
      </c>
      <c r="Q282" s="118"/>
      <c r="R282" s="119" t="s">
        <v>17339</v>
      </c>
      <c r="S282" t="s">
        <v>17345</v>
      </c>
      <c r="U282" s="118"/>
      <c r="V282" s="119" t="s">
        <v>17375</v>
      </c>
      <c r="W282" t="s">
        <v>17381</v>
      </c>
    </row>
    <row r="283" spans="1:23" x14ac:dyDescent="0.3">
      <c r="A283" s="118"/>
      <c r="B283" s="119" t="s">
        <v>17206</v>
      </c>
      <c r="C283" t="s">
        <v>17212</v>
      </c>
      <c r="E283" s="118"/>
      <c r="F283" s="119" t="s">
        <v>17242</v>
      </c>
      <c r="G283" t="s">
        <v>17248</v>
      </c>
      <c r="I283" s="118"/>
      <c r="J283" s="119" t="s">
        <v>17278</v>
      </c>
      <c r="K283" t="s">
        <v>17284</v>
      </c>
      <c r="M283" s="118"/>
      <c r="N283" s="119" t="s">
        <v>17314</v>
      </c>
      <c r="O283" t="s">
        <v>17320</v>
      </c>
      <c r="Q283" s="118"/>
      <c r="R283" s="119" t="s">
        <v>17350</v>
      </c>
      <c r="S283" t="s">
        <v>17356</v>
      </c>
      <c r="U283" s="118"/>
      <c r="V283" s="119" t="s">
        <v>17386</v>
      </c>
      <c r="W283" t="s">
        <v>17392</v>
      </c>
    </row>
    <row r="284" spans="1:23" x14ac:dyDescent="0.3">
      <c r="A284" s="118"/>
      <c r="B284" s="119" t="s">
        <v>17207</v>
      </c>
      <c r="C284" t="s">
        <v>17213</v>
      </c>
      <c r="E284" s="118"/>
      <c r="F284" s="119" t="s">
        <v>17243</v>
      </c>
      <c r="G284" t="s">
        <v>17249</v>
      </c>
      <c r="I284" s="118"/>
      <c r="J284" s="119" t="s">
        <v>17279</v>
      </c>
      <c r="K284" t="s">
        <v>17285</v>
      </c>
      <c r="M284" s="118"/>
      <c r="N284" s="119" t="s">
        <v>17315</v>
      </c>
      <c r="O284" t="s">
        <v>17321</v>
      </c>
      <c r="Q284" s="118"/>
      <c r="R284" s="119" t="s">
        <v>17351</v>
      </c>
      <c r="S284" t="s">
        <v>17357</v>
      </c>
      <c r="U284" s="118"/>
      <c r="V284" s="119" t="s">
        <v>17387</v>
      </c>
      <c r="W284" t="s">
        <v>17393</v>
      </c>
    </row>
    <row r="285" spans="1:23" x14ac:dyDescent="0.3">
      <c r="A285" s="118"/>
      <c r="B285" s="119" t="s">
        <v>17218</v>
      </c>
      <c r="C285" t="s">
        <v>17224</v>
      </c>
      <c r="E285" s="118"/>
      <c r="F285" s="119" t="s">
        <v>17254</v>
      </c>
      <c r="G285" t="s">
        <v>17260</v>
      </c>
      <c r="I285" s="118"/>
      <c r="J285" s="119" t="s">
        <v>17290</v>
      </c>
      <c r="K285" t="s">
        <v>17296</v>
      </c>
      <c r="M285" s="118"/>
      <c r="N285" s="119" t="s">
        <v>17326</v>
      </c>
      <c r="O285" t="s">
        <v>17332</v>
      </c>
      <c r="Q285" s="118"/>
      <c r="R285" s="119" t="s">
        <v>17362</v>
      </c>
      <c r="S285" t="s">
        <v>17368</v>
      </c>
      <c r="U285" s="118"/>
      <c r="V285" s="119" t="s">
        <v>17398</v>
      </c>
      <c r="W285" t="s">
        <v>17404</v>
      </c>
    </row>
    <row r="286" spans="1:23" x14ac:dyDescent="0.3">
      <c r="A286" s="118"/>
      <c r="B286" s="119" t="s">
        <v>17219</v>
      </c>
      <c r="C286" t="s">
        <v>17225</v>
      </c>
      <c r="E286" s="118"/>
      <c r="F286" s="119" t="s">
        <v>17255</v>
      </c>
      <c r="G286" t="s">
        <v>17261</v>
      </c>
      <c r="I286" s="118"/>
      <c r="J286" s="119" t="s">
        <v>17291</v>
      </c>
      <c r="K286" t="s">
        <v>17297</v>
      </c>
      <c r="M286" s="118"/>
      <c r="N286" s="119" t="s">
        <v>17327</v>
      </c>
      <c r="O286" t="s">
        <v>17333</v>
      </c>
      <c r="Q286" s="118"/>
      <c r="R286" s="119" t="s">
        <v>17363</v>
      </c>
      <c r="S286" t="s">
        <v>17369</v>
      </c>
      <c r="U286" s="118"/>
      <c r="V286" s="119" t="s">
        <v>17399</v>
      </c>
      <c r="W286" t="s">
        <v>17405</v>
      </c>
    </row>
    <row r="287" spans="1:23" x14ac:dyDescent="0.3">
      <c r="A287" s="118"/>
      <c r="B287" s="119" t="s">
        <v>17410</v>
      </c>
      <c r="C287" t="s">
        <v>17416</v>
      </c>
      <c r="E287" s="118"/>
      <c r="F287" s="119" t="s">
        <v>17446</v>
      </c>
      <c r="G287" t="s">
        <v>17452</v>
      </c>
      <c r="I287" s="118"/>
      <c r="J287" s="119" t="s">
        <v>17482</v>
      </c>
      <c r="K287" t="s">
        <v>17488</v>
      </c>
      <c r="M287" s="118"/>
      <c r="N287" s="119" t="s">
        <v>17518</v>
      </c>
      <c r="O287" t="s">
        <v>17524</v>
      </c>
      <c r="Q287" s="118"/>
      <c r="R287" s="119" t="s">
        <v>17554</v>
      </c>
      <c r="S287" t="s">
        <v>17560</v>
      </c>
      <c r="U287" s="118"/>
      <c r="V287" s="119" t="s">
        <v>17590</v>
      </c>
      <c r="W287" t="s">
        <v>17596</v>
      </c>
    </row>
    <row r="288" spans="1:23" x14ac:dyDescent="0.3">
      <c r="A288" s="118"/>
      <c r="B288" s="119" t="s">
        <v>17411</v>
      </c>
      <c r="C288" t="s">
        <v>17417</v>
      </c>
      <c r="E288" s="118"/>
      <c r="F288" s="119" t="s">
        <v>17447</v>
      </c>
      <c r="G288" t="s">
        <v>17453</v>
      </c>
      <c r="I288" s="118"/>
      <c r="J288" s="119" t="s">
        <v>17483</v>
      </c>
      <c r="K288" t="s">
        <v>17489</v>
      </c>
      <c r="M288" s="118"/>
      <c r="N288" s="119" t="s">
        <v>17519</v>
      </c>
      <c r="O288" t="s">
        <v>17525</v>
      </c>
      <c r="Q288" s="118"/>
      <c r="R288" s="119" t="s">
        <v>17555</v>
      </c>
      <c r="S288" t="s">
        <v>17561</v>
      </c>
      <c r="U288" s="118"/>
      <c r="V288" s="119" t="s">
        <v>17591</v>
      </c>
      <c r="W288" t="s">
        <v>17597</v>
      </c>
    </row>
    <row r="289" spans="1:23" x14ac:dyDescent="0.3">
      <c r="A289" s="118"/>
      <c r="B289" s="119" t="s">
        <v>17422</v>
      </c>
      <c r="C289" t="s">
        <v>17428</v>
      </c>
      <c r="E289" s="118"/>
      <c r="F289" s="119" t="s">
        <v>17458</v>
      </c>
      <c r="G289" t="s">
        <v>17464</v>
      </c>
      <c r="I289" s="118"/>
      <c r="J289" s="119" t="s">
        <v>17494</v>
      </c>
      <c r="K289" t="s">
        <v>17500</v>
      </c>
      <c r="M289" s="118"/>
      <c r="N289" s="119" t="s">
        <v>17530</v>
      </c>
      <c r="O289" t="s">
        <v>17536</v>
      </c>
      <c r="Q289" s="118"/>
      <c r="R289" s="119" t="s">
        <v>17566</v>
      </c>
      <c r="S289" t="s">
        <v>17572</v>
      </c>
      <c r="U289" s="118"/>
      <c r="V289" s="119" t="s">
        <v>17602</v>
      </c>
      <c r="W289" t="s">
        <v>17608</v>
      </c>
    </row>
    <row r="290" spans="1:23" x14ac:dyDescent="0.3">
      <c r="A290" s="118"/>
      <c r="B290" s="119" t="s">
        <v>17423</v>
      </c>
      <c r="C290" t="s">
        <v>17429</v>
      </c>
      <c r="E290" s="118"/>
      <c r="F290" s="119" t="s">
        <v>17459</v>
      </c>
      <c r="G290" t="s">
        <v>17465</v>
      </c>
      <c r="I290" s="118"/>
      <c r="J290" s="119" t="s">
        <v>17495</v>
      </c>
      <c r="K290" t="s">
        <v>17501</v>
      </c>
      <c r="M290" s="118"/>
      <c r="N290" s="119" t="s">
        <v>17531</v>
      </c>
      <c r="O290" t="s">
        <v>17537</v>
      </c>
      <c r="Q290" s="118"/>
      <c r="R290" s="119" t="s">
        <v>17567</v>
      </c>
      <c r="S290" t="s">
        <v>17573</v>
      </c>
      <c r="U290" s="118"/>
      <c r="V290" s="119" t="s">
        <v>17603</v>
      </c>
      <c r="W290" t="s">
        <v>17609</v>
      </c>
    </row>
    <row r="291" spans="1:23" x14ac:dyDescent="0.3">
      <c r="A291" s="118"/>
      <c r="B291" s="119" t="s">
        <v>17434</v>
      </c>
      <c r="C291" t="s">
        <v>17440</v>
      </c>
      <c r="E291" s="118"/>
      <c r="F291" s="119" t="s">
        <v>17470</v>
      </c>
      <c r="G291" t="s">
        <v>17476</v>
      </c>
      <c r="I291" s="118"/>
      <c r="J291" s="119" t="s">
        <v>17506</v>
      </c>
      <c r="K291" t="s">
        <v>17512</v>
      </c>
      <c r="M291" s="118"/>
      <c r="N291" s="119" t="s">
        <v>17542</v>
      </c>
      <c r="O291" t="s">
        <v>17548</v>
      </c>
      <c r="Q291" s="118"/>
      <c r="R291" s="119" t="s">
        <v>17578</v>
      </c>
      <c r="S291" t="s">
        <v>17584</v>
      </c>
      <c r="U291" s="118"/>
      <c r="V291" s="119" t="s">
        <v>17614</v>
      </c>
      <c r="W291" t="s">
        <v>17620</v>
      </c>
    </row>
    <row r="292" spans="1:23" x14ac:dyDescent="0.3">
      <c r="A292" s="118"/>
      <c r="B292" s="119" t="s">
        <v>17435</v>
      </c>
      <c r="C292" t="s">
        <v>17441</v>
      </c>
      <c r="E292" s="118"/>
      <c r="F292" s="119" t="s">
        <v>17471</v>
      </c>
      <c r="G292" t="s">
        <v>17477</v>
      </c>
      <c r="I292" s="118"/>
      <c r="J292" s="119" t="s">
        <v>17507</v>
      </c>
      <c r="K292" t="s">
        <v>17513</v>
      </c>
      <c r="M292" s="118"/>
      <c r="N292" s="119" t="s">
        <v>17543</v>
      </c>
      <c r="O292" t="s">
        <v>17549</v>
      </c>
      <c r="Q292" s="118"/>
      <c r="R292" s="119" t="s">
        <v>17579</v>
      </c>
      <c r="S292" t="s">
        <v>17585</v>
      </c>
      <c r="U292" s="118"/>
      <c r="V292" s="119" t="s">
        <v>17615</v>
      </c>
      <c r="W292" t="s">
        <v>17621</v>
      </c>
    </row>
    <row r="293" spans="1:23" x14ac:dyDescent="0.3">
      <c r="A293" s="118"/>
      <c r="B293" s="119" t="s">
        <v>17626</v>
      </c>
      <c r="C293" t="s">
        <v>17632</v>
      </c>
      <c r="E293" s="118"/>
      <c r="F293" s="119" t="s">
        <v>17662</v>
      </c>
      <c r="G293" t="s">
        <v>17668</v>
      </c>
      <c r="I293" s="118"/>
      <c r="J293" s="119" t="s">
        <v>17698</v>
      </c>
      <c r="K293" t="s">
        <v>17704</v>
      </c>
      <c r="M293" s="118"/>
      <c r="N293" s="119" t="s">
        <v>17734</v>
      </c>
      <c r="O293" t="s">
        <v>17740</v>
      </c>
      <c r="Q293" s="118"/>
      <c r="R293" s="119" t="s">
        <v>17770</v>
      </c>
      <c r="S293" t="s">
        <v>17776</v>
      </c>
      <c r="U293" s="118"/>
      <c r="V293" s="119" t="s">
        <v>17806</v>
      </c>
      <c r="W293" t="s">
        <v>17812</v>
      </c>
    </row>
    <row r="294" spans="1:23" x14ac:dyDescent="0.3">
      <c r="A294" s="118"/>
      <c r="B294" s="119" t="s">
        <v>17627</v>
      </c>
      <c r="C294" t="s">
        <v>17633</v>
      </c>
      <c r="E294" s="118"/>
      <c r="F294" s="119" t="s">
        <v>17663</v>
      </c>
      <c r="G294" t="s">
        <v>17669</v>
      </c>
      <c r="I294" s="118"/>
      <c r="J294" s="119" t="s">
        <v>17699</v>
      </c>
      <c r="K294" t="s">
        <v>17705</v>
      </c>
      <c r="M294" s="118"/>
      <c r="N294" s="119" t="s">
        <v>17735</v>
      </c>
      <c r="O294" t="s">
        <v>17741</v>
      </c>
      <c r="Q294" s="118"/>
      <c r="R294" s="119" t="s">
        <v>17771</v>
      </c>
      <c r="S294" t="s">
        <v>17777</v>
      </c>
      <c r="U294" s="118"/>
      <c r="V294" s="119" t="s">
        <v>17807</v>
      </c>
      <c r="W294" t="s">
        <v>17813</v>
      </c>
    </row>
    <row r="295" spans="1:23" x14ac:dyDescent="0.3">
      <c r="A295" s="118"/>
      <c r="B295" s="119" t="s">
        <v>17638</v>
      </c>
      <c r="C295" t="s">
        <v>17644</v>
      </c>
      <c r="E295" s="118"/>
      <c r="F295" s="119" t="s">
        <v>17674</v>
      </c>
      <c r="G295" t="s">
        <v>17680</v>
      </c>
      <c r="I295" s="118"/>
      <c r="J295" s="119" t="s">
        <v>17710</v>
      </c>
      <c r="K295" t="s">
        <v>17716</v>
      </c>
      <c r="M295" s="118"/>
      <c r="N295" s="119" t="s">
        <v>17746</v>
      </c>
      <c r="O295" t="s">
        <v>17752</v>
      </c>
      <c r="Q295" s="118"/>
      <c r="R295" s="119" t="s">
        <v>17782</v>
      </c>
      <c r="S295" t="s">
        <v>17788</v>
      </c>
      <c r="U295" s="118"/>
      <c r="V295" s="119" t="s">
        <v>17818</v>
      </c>
      <c r="W295" t="s">
        <v>17824</v>
      </c>
    </row>
    <row r="296" spans="1:23" x14ac:dyDescent="0.3">
      <c r="A296" s="118"/>
      <c r="B296" s="119" t="s">
        <v>17639</v>
      </c>
      <c r="C296" t="s">
        <v>17645</v>
      </c>
      <c r="E296" s="118"/>
      <c r="F296" s="119" t="s">
        <v>17675</v>
      </c>
      <c r="G296" t="s">
        <v>17681</v>
      </c>
      <c r="I296" s="118"/>
      <c r="J296" s="119" t="s">
        <v>17711</v>
      </c>
      <c r="K296" t="s">
        <v>17717</v>
      </c>
      <c r="M296" s="118"/>
      <c r="N296" s="119" t="s">
        <v>17747</v>
      </c>
      <c r="O296" t="s">
        <v>17753</v>
      </c>
      <c r="Q296" s="118"/>
      <c r="R296" s="119" t="s">
        <v>17783</v>
      </c>
      <c r="S296" t="s">
        <v>17789</v>
      </c>
      <c r="U296" s="118"/>
      <c r="V296" s="119" t="s">
        <v>17819</v>
      </c>
      <c r="W296" t="s">
        <v>17825</v>
      </c>
    </row>
    <row r="297" spans="1:23" x14ac:dyDescent="0.3">
      <c r="A297" s="118"/>
      <c r="B297" s="119" t="s">
        <v>17650</v>
      </c>
      <c r="C297" t="s">
        <v>17656</v>
      </c>
      <c r="E297" s="118"/>
      <c r="F297" s="119" t="s">
        <v>17686</v>
      </c>
      <c r="G297" t="s">
        <v>17692</v>
      </c>
      <c r="I297" s="118"/>
      <c r="J297" s="119" t="s">
        <v>17722</v>
      </c>
      <c r="K297" t="s">
        <v>17728</v>
      </c>
      <c r="M297" s="118"/>
      <c r="N297" s="119" t="s">
        <v>17758</v>
      </c>
      <c r="O297" t="s">
        <v>17764</v>
      </c>
      <c r="Q297" s="118"/>
      <c r="R297" s="119" t="s">
        <v>17794</v>
      </c>
      <c r="S297" t="s">
        <v>17800</v>
      </c>
      <c r="U297" s="118"/>
      <c r="V297" s="119" t="s">
        <v>17830</v>
      </c>
      <c r="W297" t="s">
        <v>17836</v>
      </c>
    </row>
    <row r="298" spans="1:23" x14ac:dyDescent="0.3">
      <c r="A298" s="118"/>
      <c r="B298" s="119" t="s">
        <v>17651</v>
      </c>
      <c r="C298" t="s">
        <v>17657</v>
      </c>
      <c r="E298" s="118"/>
      <c r="F298" s="119" t="s">
        <v>17687</v>
      </c>
      <c r="G298" t="s">
        <v>17693</v>
      </c>
      <c r="I298" s="118"/>
      <c r="J298" s="119" t="s">
        <v>17723</v>
      </c>
      <c r="K298" t="s">
        <v>17729</v>
      </c>
      <c r="M298" s="118"/>
      <c r="N298" s="119" t="s">
        <v>17759</v>
      </c>
      <c r="O298" t="s">
        <v>17765</v>
      </c>
      <c r="Q298" s="118"/>
      <c r="R298" s="119" t="s">
        <v>17795</v>
      </c>
      <c r="S298" t="s">
        <v>17801</v>
      </c>
      <c r="U298" s="118"/>
      <c r="V298" s="119" t="s">
        <v>17831</v>
      </c>
      <c r="W298" t="s">
        <v>17837</v>
      </c>
    </row>
    <row r="299" spans="1:23" x14ac:dyDescent="0.3">
      <c r="A299" s="118"/>
      <c r="B299" s="119" t="s">
        <v>17842</v>
      </c>
      <c r="C299" t="s">
        <v>17848</v>
      </c>
      <c r="E299" s="118"/>
      <c r="F299" s="119" t="s">
        <v>17878</v>
      </c>
      <c r="G299" t="s">
        <v>17884</v>
      </c>
      <c r="I299" s="118"/>
      <c r="J299" s="119" t="s">
        <v>17914</v>
      </c>
      <c r="K299" t="s">
        <v>17920</v>
      </c>
      <c r="M299" s="118"/>
      <c r="N299" s="119" t="s">
        <v>17950</v>
      </c>
      <c r="O299" t="s">
        <v>17956</v>
      </c>
      <c r="Q299" s="118"/>
      <c r="R299" s="119" t="s">
        <v>17986</v>
      </c>
      <c r="S299" t="s">
        <v>17992</v>
      </c>
      <c r="U299" s="118"/>
      <c r="V299" s="119" t="s">
        <v>18022</v>
      </c>
      <c r="W299" t="s">
        <v>18028</v>
      </c>
    </row>
    <row r="300" spans="1:23" x14ac:dyDescent="0.3">
      <c r="A300" s="118"/>
      <c r="B300" s="119" t="s">
        <v>17843</v>
      </c>
      <c r="C300" t="s">
        <v>17849</v>
      </c>
      <c r="E300" s="118"/>
      <c r="F300" s="119" t="s">
        <v>17879</v>
      </c>
      <c r="G300" t="s">
        <v>17885</v>
      </c>
      <c r="I300" s="118"/>
      <c r="J300" s="119" t="s">
        <v>17915</v>
      </c>
      <c r="K300" t="s">
        <v>17921</v>
      </c>
      <c r="M300" s="118"/>
      <c r="N300" s="119" t="s">
        <v>17951</v>
      </c>
      <c r="O300" t="s">
        <v>17957</v>
      </c>
      <c r="Q300" s="118"/>
      <c r="R300" s="119" t="s">
        <v>17987</v>
      </c>
      <c r="S300" t="s">
        <v>17993</v>
      </c>
      <c r="U300" s="118"/>
      <c r="V300" s="119" t="s">
        <v>18023</v>
      </c>
      <c r="W300" t="s">
        <v>18029</v>
      </c>
    </row>
    <row r="301" spans="1:23" x14ac:dyDescent="0.3">
      <c r="A301" s="118"/>
      <c r="B301" s="119" t="s">
        <v>17854</v>
      </c>
      <c r="C301" t="s">
        <v>17860</v>
      </c>
      <c r="E301" s="118"/>
      <c r="F301" s="119" t="s">
        <v>17890</v>
      </c>
      <c r="G301" t="s">
        <v>17896</v>
      </c>
      <c r="I301" s="118"/>
      <c r="J301" s="119" t="s">
        <v>17926</v>
      </c>
      <c r="K301" t="s">
        <v>17932</v>
      </c>
      <c r="M301" s="118"/>
      <c r="N301" s="119" t="s">
        <v>17962</v>
      </c>
      <c r="O301" t="s">
        <v>17968</v>
      </c>
      <c r="Q301" s="118"/>
      <c r="R301" s="119" t="s">
        <v>17998</v>
      </c>
      <c r="S301" t="s">
        <v>18004</v>
      </c>
      <c r="U301" s="118"/>
      <c r="V301" s="119" t="s">
        <v>18034</v>
      </c>
      <c r="W301" t="s">
        <v>18040</v>
      </c>
    </row>
    <row r="302" spans="1:23" x14ac:dyDescent="0.3">
      <c r="A302" s="118"/>
      <c r="B302" s="119" t="s">
        <v>17855</v>
      </c>
      <c r="C302" t="s">
        <v>17861</v>
      </c>
      <c r="E302" s="118"/>
      <c r="F302" s="119" t="s">
        <v>17891</v>
      </c>
      <c r="G302" t="s">
        <v>17897</v>
      </c>
      <c r="I302" s="118"/>
      <c r="J302" s="119" t="s">
        <v>17927</v>
      </c>
      <c r="K302" t="s">
        <v>17933</v>
      </c>
      <c r="M302" s="118"/>
      <c r="N302" s="119" t="s">
        <v>17963</v>
      </c>
      <c r="O302" t="s">
        <v>17969</v>
      </c>
      <c r="Q302" s="118"/>
      <c r="R302" s="119" t="s">
        <v>17999</v>
      </c>
      <c r="S302" t="s">
        <v>18005</v>
      </c>
      <c r="U302" s="118"/>
      <c r="V302" s="119" t="s">
        <v>18035</v>
      </c>
      <c r="W302" t="s">
        <v>18041</v>
      </c>
    </row>
    <row r="303" spans="1:23" x14ac:dyDescent="0.3">
      <c r="A303" s="118"/>
      <c r="B303" s="119" t="s">
        <v>17866</v>
      </c>
      <c r="C303" t="s">
        <v>17872</v>
      </c>
      <c r="E303" s="118"/>
      <c r="F303" s="119" t="s">
        <v>17902</v>
      </c>
      <c r="G303" t="s">
        <v>17908</v>
      </c>
      <c r="I303" s="118"/>
      <c r="J303" s="119" t="s">
        <v>17938</v>
      </c>
      <c r="K303" t="s">
        <v>17944</v>
      </c>
      <c r="M303" s="118"/>
      <c r="N303" s="119" t="s">
        <v>17974</v>
      </c>
      <c r="O303" t="s">
        <v>17980</v>
      </c>
      <c r="Q303" s="118"/>
      <c r="R303" s="119" t="s">
        <v>18010</v>
      </c>
      <c r="S303" t="s">
        <v>18016</v>
      </c>
      <c r="U303" s="118"/>
      <c r="V303" s="119" t="s">
        <v>18046</v>
      </c>
      <c r="W303" t="s">
        <v>18052</v>
      </c>
    </row>
    <row r="304" spans="1:23" x14ac:dyDescent="0.3">
      <c r="A304" s="118"/>
      <c r="B304" s="119" t="s">
        <v>17867</v>
      </c>
      <c r="C304" t="s">
        <v>17873</v>
      </c>
      <c r="E304" s="118"/>
      <c r="F304" s="119" t="s">
        <v>17903</v>
      </c>
      <c r="G304" t="s">
        <v>17909</v>
      </c>
      <c r="I304" s="118"/>
      <c r="J304" s="119" t="s">
        <v>17939</v>
      </c>
      <c r="K304" t="s">
        <v>17945</v>
      </c>
      <c r="M304" s="118"/>
      <c r="N304" s="119" t="s">
        <v>17975</v>
      </c>
      <c r="O304" t="s">
        <v>17981</v>
      </c>
      <c r="Q304" s="118"/>
      <c r="R304" s="119" t="s">
        <v>18011</v>
      </c>
      <c r="S304" t="s">
        <v>18017</v>
      </c>
      <c r="U304" s="118"/>
      <c r="V304" s="119" t="s">
        <v>18047</v>
      </c>
      <c r="W304" t="s">
        <v>18053</v>
      </c>
    </row>
    <row r="305" spans="1:23" x14ac:dyDescent="0.3">
      <c r="A305" s="118"/>
      <c r="B305" s="119" t="s">
        <v>18058</v>
      </c>
      <c r="C305" t="s">
        <v>18064</v>
      </c>
      <c r="E305" s="118"/>
      <c r="F305" s="119" t="s">
        <v>18094</v>
      </c>
      <c r="G305" t="s">
        <v>18100</v>
      </c>
      <c r="I305" s="118"/>
      <c r="J305" s="119" t="s">
        <v>18130</v>
      </c>
      <c r="K305" t="s">
        <v>18136</v>
      </c>
      <c r="M305" s="118"/>
      <c r="N305" s="119" t="s">
        <v>18166</v>
      </c>
      <c r="O305" t="s">
        <v>18172</v>
      </c>
      <c r="Q305" s="118"/>
      <c r="R305" s="119" t="s">
        <v>18202</v>
      </c>
      <c r="S305" t="s">
        <v>18208</v>
      </c>
      <c r="U305" s="118"/>
      <c r="V305" s="119" t="s">
        <v>18238</v>
      </c>
      <c r="W305" t="s">
        <v>18244</v>
      </c>
    </row>
    <row r="306" spans="1:23" x14ac:dyDescent="0.3">
      <c r="A306" s="118"/>
      <c r="B306" s="119" t="s">
        <v>18059</v>
      </c>
      <c r="C306" t="s">
        <v>18065</v>
      </c>
      <c r="E306" s="118"/>
      <c r="F306" s="119" t="s">
        <v>18095</v>
      </c>
      <c r="G306" t="s">
        <v>18101</v>
      </c>
      <c r="I306" s="118"/>
      <c r="J306" s="119" t="s">
        <v>18131</v>
      </c>
      <c r="K306" t="s">
        <v>18137</v>
      </c>
      <c r="M306" s="118"/>
      <c r="N306" s="119" t="s">
        <v>18167</v>
      </c>
      <c r="O306" t="s">
        <v>18173</v>
      </c>
      <c r="Q306" s="118"/>
      <c r="R306" s="119" t="s">
        <v>18203</v>
      </c>
      <c r="S306" t="s">
        <v>18209</v>
      </c>
      <c r="U306" s="118"/>
      <c r="V306" s="119" t="s">
        <v>18239</v>
      </c>
      <c r="W306" t="s">
        <v>18245</v>
      </c>
    </row>
    <row r="307" spans="1:23" x14ac:dyDescent="0.3">
      <c r="A307" s="118"/>
      <c r="B307" s="119" t="s">
        <v>18070</v>
      </c>
      <c r="C307" t="s">
        <v>18076</v>
      </c>
      <c r="E307" s="118"/>
      <c r="F307" s="119" t="s">
        <v>18106</v>
      </c>
      <c r="G307" t="s">
        <v>18112</v>
      </c>
      <c r="I307" s="118"/>
      <c r="J307" s="119" t="s">
        <v>18142</v>
      </c>
      <c r="K307" t="s">
        <v>18148</v>
      </c>
      <c r="M307" s="118"/>
      <c r="N307" s="119" t="s">
        <v>18178</v>
      </c>
      <c r="O307" t="s">
        <v>18184</v>
      </c>
      <c r="Q307" s="118"/>
      <c r="R307" s="119" t="s">
        <v>18214</v>
      </c>
      <c r="S307" t="s">
        <v>18220</v>
      </c>
      <c r="U307" s="118"/>
      <c r="V307" s="119" t="s">
        <v>18250</v>
      </c>
      <c r="W307" t="s">
        <v>18256</v>
      </c>
    </row>
    <row r="308" spans="1:23" x14ac:dyDescent="0.3">
      <c r="A308" s="118"/>
      <c r="B308" s="119" t="s">
        <v>18071</v>
      </c>
      <c r="C308" t="s">
        <v>18077</v>
      </c>
      <c r="E308" s="118"/>
      <c r="F308" s="119" t="s">
        <v>18107</v>
      </c>
      <c r="G308" t="s">
        <v>18113</v>
      </c>
      <c r="I308" s="118"/>
      <c r="J308" s="119" t="s">
        <v>18143</v>
      </c>
      <c r="K308" t="s">
        <v>18149</v>
      </c>
      <c r="M308" s="118"/>
      <c r="N308" s="119" t="s">
        <v>18179</v>
      </c>
      <c r="O308" t="s">
        <v>18185</v>
      </c>
      <c r="Q308" s="118"/>
      <c r="R308" s="119" t="s">
        <v>18215</v>
      </c>
      <c r="S308" t="s">
        <v>18221</v>
      </c>
      <c r="U308" s="118"/>
      <c r="V308" s="119" t="s">
        <v>18251</v>
      </c>
      <c r="W308" t="s">
        <v>18257</v>
      </c>
    </row>
    <row r="309" spans="1:23" x14ac:dyDescent="0.3">
      <c r="A309" s="118"/>
      <c r="B309" s="119" t="s">
        <v>18082</v>
      </c>
      <c r="C309" t="s">
        <v>18088</v>
      </c>
      <c r="E309" s="118"/>
      <c r="F309" s="119" t="s">
        <v>18118</v>
      </c>
      <c r="G309" t="s">
        <v>18124</v>
      </c>
      <c r="I309" s="118"/>
      <c r="J309" s="119" t="s">
        <v>18154</v>
      </c>
      <c r="K309" t="s">
        <v>18160</v>
      </c>
      <c r="M309" s="118"/>
      <c r="N309" s="119" t="s">
        <v>18190</v>
      </c>
      <c r="O309" t="s">
        <v>18196</v>
      </c>
      <c r="Q309" s="118"/>
      <c r="R309" s="119" t="s">
        <v>18226</v>
      </c>
      <c r="S309" t="s">
        <v>18232</v>
      </c>
      <c r="U309" s="118"/>
      <c r="V309" s="119" t="s">
        <v>18262</v>
      </c>
      <c r="W309" t="s">
        <v>18268</v>
      </c>
    </row>
    <row r="310" spans="1:23" x14ac:dyDescent="0.3">
      <c r="A310" s="118"/>
      <c r="B310" s="119" t="s">
        <v>18083</v>
      </c>
      <c r="C310" t="s">
        <v>18089</v>
      </c>
      <c r="E310" s="118"/>
      <c r="F310" s="119" t="s">
        <v>18119</v>
      </c>
      <c r="G310" t="s">
        <v>18125</v>
      </c>
      <c r="I310" s="118"/>
      <c r="J310" s="119" t="s">
        <v>18155</v>
      </c>
      <c r="K310" t="s">
        <v>18161</v>
      </c>
      <c r="M310" s="118"/>
      <c r="N310" s="119" t="s">
        <v>18191</v>
      </c>
      <c r="O310" t="s">
        <v>18197</v>
      </c>
      <c r="Q310" s="118"/>
      <c r="R310" s="119" t="s">
        <v>18227</v>
      </c>
      <c r="S310" t="s">
        <v>18233</v>
      </c>
      <c r="U310" s="118"/>
      <c r="V310" s="119" t="s">
        <v>18263</v>
      </c>
      <c r="W310" t="s">
        <v>18269</v>
      </c>
    </row>
    <row r="311" spans="1:23" x14ac:dyDescent="0.3">
      <c r="A311" s="118"/>
      <c r="B311" s="119" t="s">
        <v>18274</v>
      </c>
      <c r="C311" t="s">
        <v>18280</v>
      </c>
      <c r="E311" s="118"/>
      <c r="F311" s="119" t="s">
        <v>18310</v>
      </c>
      <c r="G311" t="s">
        <v>18316</v>
      </c>
      <c r="I311" s="118"/>
      <c r="J311" s="119" t="s">
        <v>18346</v>
      </c>
      <c r="K311" t="s">
        <v>18352</v>
      </c>
      <c r="M311" s="118"/>
      <c r="N311" s="119" t="s">
        <v>18382</v>
      </c>
      <c r="O311" t="s">
        <v>18388</v>
      </c>
      <c r="Q311" s="118"/>
      <c r="R311" s="119" t="s">
        <v>18418</v>
      </c>
      <c r="S311" t="s">
        <v>18424</v>
      </c>
      <c r="U311" s="118"/>
      <c r="V311" s="119" t="s">
        <v>18454</v>
      </c>
      <c r="W311" t="s">
        <v>18460</v>
      </c>
    </row>
    <row r="312" spans="1:23" x14ac:dyDescent="0.3">
      <c r="A312" s="118"/>
      <c r="B312" s="119" t="s">
        <v>18275</v>
      </c>
      <c r="C312" t="s">
        <v>18281</v>
      </c>
      <c r="E312" s="118"/>
      <c r="F312" s="119" t="s">
        <v>18311</v>
      </c>
      <c r="G312" t="s">
        <v>18317</v>
      </c>
      <c r="I312" s="118"/>
      <c r="J312" s="119" t="s">
        <v>18347</v>
      </c>
      <c r="K312" t="s">
        <v>18353</v>
      </c>
      <c r="M312" s="118"/>
      <c r="N312" s="119" t="s">
        <v>18383</v>
      </c>
      <c r="O312" t="s">
        <v>18389</v>
      </c>
      <c r="Q312" s="118"/>
      <c r="R312" s="119" t="s">
        <v>18419</v>
      </c>
      <c r="S312" t="s">
        <v>18425</v>
      </c>
      <c r="U312" s="118"/>
      <c r="V312" s="119" t="s">
        <v>18455</v>
      </c>
      <c r="W312" t="s">
        <v>18461</v>
      </c>
    </row>
    <row r="313" spans="1:23" x14ac:dyDescent="0.3">
      <c r="A313" s="118"/>
      <c r="B313" s="119" t="s">
        <v>18286</v>
      </c>
      <c r="C313" t="s">
        <v>18292</v>
      </c>
      <c r="E313" s="118"/>
      <c r="F313" s="119" t="s">
        <v>18322</v>
      </c>
      <c r="G313" t="s">
        <v>18328</v>
      </c>
      <c r="I313" s="118"/>
      <c r="J313" s="119" t="s">
        <v>18358</v>
      </c>
      <c r="K313" t="s">
        <v>18364</v>
      </c>
      <c r="M313" s="118"/>
      <c r="N313" s="119" t="s">
        <v>18394</v>
      </c>
      <c r="O313" t="s">
        <v>18400</v>
      </c>
      <c r="Q313" s="118"/>
      <c r="R313" s="119" t="s">
        <v>18430</v>
      </c>
      <c r="S313" t="s">
        <v>18436</v>
      </c>
      <c r="U313" s="118"/>
      <c r="V313" s="119" t="s">
        <v>18466</v>
      </c>
      <c r="W313" t="s">
        <v>18472</v>
      </c>
    </row>
    <row r="314" spans="1:23" x14ac:dyDescent="0.3">
      <c r="A314" s="118"/>
      <c r="B314" s="119" t="s">
        <v>18287</v>
      </c>
      <c r="C314" t="s">
        <v>18293</v>
      </c>
      <c r="E314" s="118"/>
      <c r="F314" s="119" t="s">
        <v>18323</v>
      </c>
      <c r="G314" t="s">
        <v>18329</v>
      </c>
      <c r="I314" s="118"/>
      <c r="J314" s="119" t="s">
        <v>18359</v>
      </c>
      <c r="K314" t="s">
        <v>18365</v>
      </c>
      <c r="M314" s="118"/>
      <c r="N314" s="119" t="s">
        <v>18395</v>
      </c>
      <c r="O314" t="s">
        <v>18401</v>
      </c>
      <c r="Q314" s="118"/>
      <c r="R314" s="119" t="s">
        <v>18431</v>
      </c>
      <c r="S314" t="s">
        <v>18437</v>
      </c>
      <c r="U314" s="118"/>
      <c r="V314" s="119" t="s">
        <v>18467</v>
      </c>
      <c r="W314" t="s">
        <v>18473</v>
      </c>
    </row>
    <row r="315" spans="1:23" x14ac:dyDescent="0.3">
      <c r="A315" s="118"/>
      <c r="B315" s="119" t="s">
        <v>18298</v>
      </c>
      <c r="C315" t="s">
        <v>18304</v>
      </c>
      <c r="E315" s="118"/>
      <c r="F315" s="119" t="s">
        <v>18334</v>
      </c>
      <c r="G315" t="s">
        <v>18340</v>
      </c>
      <c r="I315" s="118"/>
      <c r="J315" s="119" t="s">
        <v>18370</v>
      </c>
      <c r="K315" t="s">
        <v>18376</v>
      </c>
      <c r="M315" s="118"/>
      <c r="N315" s="119" t="s">
        <v>18406</v>
      </c>
      <c r="O315" t="s">
        <v>18412</v>
      </c>
      <c r="Q315" s="118"/>
      <c r="R315" s="119" t="s">
        <v>18442</v>
      </c>
      <c r="S315" t="s">
        <v>18448</v>
      </c>
      <c r="U315" s="118"/>
      <c r="V315" s="119" t="s">
        <v>18478</v>
      </c>
      <c r="W315" t="s">
        <v>18484</v>
      </c>
    </row>
    <row r="316" spans="1:23" x14ac:dyDescent="0.3">
      <c r="A316" s="118"/>
      <c r="B316" s="119" t="s">
        <v>18299</v>
      </c>
      <c r="C316" t="s">
        <v>18305</v>
      </c>
      <c r="E316" s="118"/>
      <c r="F316" s="119" t="s">
        <v>18335</v>
      </c>
      <c r="G316" t="s">
        <v>18341</v>
      </c>
      <c r="I316" s="118"/>
      <c r="J316" s="119" t="s">
        <v>18371</v>
      </c>
      <c r="K316" t="s">
        <v>18377</v>
      </c>
      <c r="M316" s="118"/>
      <c r="N316" s="119" t="s">
        <v>18407</v>
      </c>
      <c r="O316" t="s">
        <v>18413</v>
      </c>
      <c r="Q316" s="118"/>
      <c r="R316" s="119" t="s">
        <v>18443</v>
      </c>
      <c r="S316" t="s">
        <v>18449</v>
      </c>
      <c r="U316" s="118"/>
      <c r="V316" s="119" t="s">
        <v>18479</v>
      </c>
      <c r="W316" t="s">
        <v>18485</v>
      </c>
    </row>
    <row r="317" spans="1:23" x14ac:dyDescent="0.3">
      <c r="A317" s="118"/>
      <c r="B317" s="119" t="s">
        <v>18490</v>
      </c>
      <c r="C317" t="s">
        <v>18496</v>
      </c>
      <c r="E317" s="118"/>
      <c r="F317" s="119" t="s">
        <v>18526</v>
      </c>
      <c r="G317" t="s">
        <v>18532</v>
      </c>
      <c r="I317" s="118"/>
      <c r="J317" s="119" t="s">
        <v>18562</v>
      </c>
      <c r="K317" t="s">
        <v>18568</v>
      </c>
      <c r="M317" s="118"/>
      <c r="N317" s="119" t="s">
        <v>18598</v>
      </c>
      <c r="O317" t="s">
        <v>18604</v>
      </c>
      <c r="Q317" s="118"/>
      <c r="R317" s="119" t="s">
        <v>18634</v>
      </c>
      <c r="S317" t="s">
        <v>18640</v>
      </c>
      <c r="U317" s="118"/>
      <c r="V317" s="119" t="s">
        <v>18670</v>
      </c>
      <c r="W317" t="s">
        <v>18676</v>
      </c>
    </row>
    <row r="318" spans="1:23" x14ac:dyDescent="0.3">
      <c r="A318" s="118"/>
      <c r="B318" s="119" t="s">
        <v>18491</v>
      </c>
      <c r="C318" t="s">
        <v>18497</v>
      </c>
      <c r="E318" s="118"/>
      <c r="F318" s="119" t="s">
        <v>18527</v>
      </c>
      <c r="G318" t="s">
        <v>18533</v>
      </c>
      <c r="I318" s="118"/>
      <c r="J318" s="119" t="s">
        <v>18563</v>
      </c>
      <c r="K318" t="s">
        <v>18569</v>
      </c>
      <c r="M318" s="118"/>
      <c r="N318" s="119" t="s">
        <v>18599</v>
      </c>
      <c r="O318" t="s">
        <v>18605</v>
      </c>
      <c r="Q318" s="118"/>
      <c r="R318" s="119" t="s">
        <v>18635</v>
      </c>
      <c r="S318" t="s">
        <v>18641</v>
      </c>
      <c r="U318" s="118"/>
      <c r="V318" s="119" t="s">
        <v>18671</v>
      </c>
      <c r="W318" t="s">
        <v>18677</v>
      </c>
    </row>
    <row r="319" spans="1:23" x14ac:dyDescent="0.3">
      <c r="A319" s="118"/>
      <c r="B319" s="119" t="s">
        <v>18502</v>
      </c>
      <c r="C319" t="s">
        <v>18508</v>
      </c>
      <c r="E319" s="118"/>
      <c r="F319" s="119" t="s">
        <v>18538</v>
      </c>
      <c r="G319" t="s">
        <v>18544</v>
      </c>
      <c r="I319" s="118"/>
      <c r="J319" s="119" t="s">
        <v>18574</v>
      </c>
      <c r="K319" t="s">
        <v>18580</v>
      </c>
      <c r="M319" s="118"/>
      <c r="N319" s="119" t="s">
        <v>18610</v>
      </c>
      <c r="O319" t="s">
        <v>18616</v>
      </c>
      <c r="Q319" s="118"/>
      <c r="R319" s="119" t="s">
        <v>18646</v>
      </c>
      <c r="S319" t="s">
        <v>18652</v>
      </c>
      <c r="U319" s="118"/>
      <c r="V319" s="119" t="s">
        <v>18682</v>
      </c>
      <c r="W319" t="s">
        <v>18688</v>
      </c>
    </row>
    <row r="320" spans="1:23" x14ac:dyDescent="0.3">
      <c r="A320" s="118"/>
      <c r="B320" s="119" t="s">
        <v>18503</v>
      </c>
      <c r="C320" t="s">
        <v>18509</v>
      </c>
      <c r="E320" s="118"/>
      <c r="F320" s="119" t="s">
        <v>18539</v>
      </c>
      <c r="G320" t="s">
        <v>18545</v>
      </c>
      <c r="I320" s="118"/>
      <c r="J320" s="119" t="s">
        <v>18575</v>
      </c>
      <c r="K320" t="s">
        <v>18581</v>
      </c>
      <c r="M320" s="118"/>
      <c r="N320" s="119" t="s">
        <v>18611</v>
      </c>
      <c r="O320" t="s">
        <v>18617</v>
      </c>
      <c r="Q320" s="118"/>
      <c r="R320" s="119" t="s">
        <v>18647</v>
      </c>
      <c r="S320" t="s">
        <v>18653</v>
      </c>
      <c r="U320" s="118"/>
      <c r="V320" s="119" t="s">
        <v>18683</v>
      </c>
      <c r="W320" t="s">
        <v>18689</v>
      </c>
    </row>
    <row r="321" spans="1:23" x14ac:dyDescent="0.3">
      <c r="A321" s="118"/>
      <c r="B321" s="119" t="s">
        <v>18514</v>
      </c>
      <c r="C321" t="s">
        <v>18520</v>
      </c>
      <c r="E321" s="118"/>
      <c r="F321" s="119" t="s">
        <v>18550</v>
      </c>
      <c r="G321" t="s">
        <v>18556</v>
      </c>
      <c r="I321" s="118"/>
      <c r="J321" s="119" t="s">
        <v>18586</v>
      </c>
      <c r="K321" t="s">
        <v>18592</v>
      </c>
      <c r="M321" s="118"/>
      <c r="N321" s="119" t="s">
        <v>18622</v>
      </c>
      <c r="O321" t="s">
        <v>18628</v>
      </c>
      <c r="Q321" s="118"/>
      <c r="R321" s="119" t="s">
        <v>18658</v>
      </c>
      <c r="S321" t="s">
        <v>18664</v>
      </c>
      <c r="U321" s="118"/>
      <c r="V321" s="119" t="s">
        <v>18694</v>
      </c>
      <c r="W321" t="s">
        <v>18700</v>
      </c>
    </row>
    <row r="322" spans="1:23" x14ac:dyDescent="0.3">
      <c r="A322" s="118"/>
      <c r="B322" s="119" t="s">
        <v>18515</v>
      </c>
      <c r="C322" t="s">
        <v>18521</v>
      </c>
      <c r="E322" s="118"/>
      <c r="F322" s="119" t="s">
        <v>18551</v>
      </c>
      <c r="G322" t="s">
        <v>18557</v>
      </c>
      <c r="I322" s="118"/>
      <c r="J322" s="119" t="s">
        <v>18587</v>
      </c>
      <c r="K322" t="s">
        <v>18593</v>
      </c>
      <c r="M322" s="118"/>
      <c r="N322" s="119" t="s">
        <v>18623</v>
      </c>
      <c r="O322" t="s">
        <v>18629</v>
      </c>
      <c r="Q322" s="118"/>
      <c r="R322" s="119" t="s">
        <v>18659</v>
      </c>
      <c r="S322" t="s">
        <v>18665</v>
      </c>
      <c r="U322" s="118"/>
      <c r="V322" s="119" t="s">
        <v>18695</v>
      </c>
      <c r="W322" t="s">
        <v>18701</v>
      </c>
    </row>
    <row r="323" spans="1:23" x14ac:dyDescent="0.3">
      <c r="A323" s="118"/>
      <c r="B323" s="119" t="s">
        <v>18706</v>
      </c>
      <c r="C323" t="s">
        <v>18712</v>
      </c>
      <c r="E323" s="118"/>
      <c r="F323" s="119" t="s">
        <v>18742</v>
      </c>
      <c r="G323" t="s">
        <v>18748</v>
      </c>
      <c r="I323" s="118"/>
      <c r="J323" s="119" t="s">
        <v>18778</v>
      </c>
      <c r="K323" t="s">
        <v>18784</v>
      </c>
      <c r="M323" s="118"/>
      <c r="N323" s="119" t="s">
        <v>18814</v>
      </c>
      <c r="O323" t="s">
        <v>18820</v>
      </c>
      <c r="Q323" s="118"/>
      <c r="R323" s="119" t="s">
        <v>18850</v>
      </c>
      <c r="S323" t="s">
        <v>18856</v>
      </c>
      <c r="U323" s="118"/>
      <c r="V323" s="119" t="s">
        <v>18886</v>
      </c>
      <c r="W323" t="s">
        <v>18892</v>
      </c>
    </row>
    <row r="324" spans="1:23" x14ac:dyDescent="0.3">
      <c r="A324" s="118"/>
      <c r="B324" s="119" t="s">
        <v>18707</v>
      </c>
      <c r="C324" t="s">
        <v>18713</v>
      </c>
      <c r="E324" s="118"/>
      <c r="F324" s="119" t="s">
        <v>18743</v>
      </c>
      <c r="G324" t="s">
        <v>18749</v>
      </c>
      <c r="I324" s="118"/>
      <c r="J324" s="119" t="s">
        <v>18779</v>
      </c>
      <c r="K324" t="s">
        <v>18785</v>
      </c>
      <c r="M324" s="118"/>
      <c r="N324" s="119" t="s">
        <v>18815</v>
      </c>
      <c r="O324" t="s">
        <v>18821</v>
      </c>
      <c r="Q324" s="118"/>
      <c r="R324" s="119" t="s">
        <v>18851</v>
      </c>
      <c r="S324" t="s">
        <v>18857</v>
      </c>
      <c r="U324" s="118"/>
      <c r="V324" s="119" t="s">
        <v>18887</v>
      </c>
      <c r="W324" t="s">
        <v>18893</v>
      </c>
    </row>
    <row r="325" spans="1:23" x14ac:dyDescent="0.3">
      <c r="A325" s="118"/>
      <c r="B325" s="119" t="s">
        <v>18718</v>
      </c>
      <c r="C325" t="s">
        <v>18724</v>
      </c>
      <c r="E325" s="118"/>
      <c r="F325" s="119" t="s">
        <v>18754</v>
      </c>
      <c r="G325" t="s">
        <v>18760</v>
      </c>
      <c r="I325" s="118"/>
      <c r="J325" s="119" t="s">
        <v>18790</v>
      </c>
      <c r="K325" t="s">
        <v>18796</v>
      </c>
      <c r="M325" s="118"/>
      <c r="N325" s="119" t="s">
        <v>18826</v>
      </c>
      <c r="O325" t="s">
        <v>18832</v>
      </c>
      <c r="Q325" s="118"/>
      <c r="R325" s="119" t="s">
        <v>18862</v>
      </c>
      <c r="S325" t="s">
        <v>18868</v>
      </c>
      <c r="U325" s="118"/>
      <c r="V325" s="119" t="s">
        <v>18898</v>
      </c>
      <c r="W325" t="s">
        <v>18904</v>
      </c>
    </row>
    <row r="326" spans="1:23" x14ac:dyDescent="0.3">
      <c r="A326" s="118"/>
      <c r="B326" s="119" t="s">
        <v>18719</v>
      </c>
      <c r="C326" t="s">
        <v>18725</v>
      </c>
      <c r="E326" s="118"/>
      <c r="F326" s="119" t="s">
        <v>18755</v>
      </c>
      <c r="G326" t="s">
        <v>18761</v>
      </c>
      <c r="I326" s="118"/>
      <c r="J326" s="119" t="s">
        <v>18791</v>
      </c>
      <c r="K326" t="s">
        <v>18797</v>
      </c>
      <c r="M326" s="118"/>
      <c r="N326" s="119" t="s">
        <v>18827</v>
      </c>
      <c r="O326" t="s">
        <v>18833</v>
      </c>
      <c r="Q326" s="118"/>
      <c r="R326" s="119" t="s">
        <v>18863</v>
      </c>
      <c r="S326" t="s">
        <v>18869</v>
      </c>
      <c r="U326" s="118"/>
      <c r="V326" s="119" t="s">
        <v>18899</v>
      </c>
      <c r="W326" t="s">
        <v>18905</v>
      </c>
    </row>
    <row r="327" spans="1:23" x14ac:dyDescent="0.3">
      <c r="A327" s="118"/>
      <c r="B327" s="119" t="s">
        <v>18730</v>
      </c>
      <c r="C327" t="s">
        <v>18736</v>
      </c>
      <c r="E327" s="118"/>
      <c r="F327" s="119" t="s">
        <v>18766</v>
      </c>
      <c r="G327" t="s">
        <v>18772</v>
      </c>
      <c r="I327" s="118"/>
      <c r="J327" s="119" t="s">
        <v>18802</v>
      </c>
      <c r="K327" t="s">
        <v>18808</v>
      </c>
      <c r="M327" s="118"/>
      <c r="N327" s="119" t="s">
        <v>18838</v>
      </c>
      <c r="O327" t="s">
        <v>18844</v>
      </c>
      <c r="Q327" s="118"/>
      <c r="R327" s="119" t="s">
        <v>18874</v>
      </c>
      <c r="S327" t="s">
        <v>18880</v>
      </c>
      <c r="U327" s="118"/>
      <c r="V327" s="119" t="s">
        <v>18910</v>
      </c>
      <c r="W327" t="s">
        <v>18916</v>
      </c>
    </row>
    <row r="328" spans="1:23" x14ac:dyDescent="0.3">
      <c r="A328" s="118"/>
      <c r="B328" s="119" t="s">
        <v>18731</v>
      </c>
      <c r="C328" t="s">
        <v>18737</v>
      </c>
      <c r="E328" s="118"/>
      <c r="F328" s="119" t="s">
        <v>18767</v>
      </c>
      <c r="G328" t="s">
        <v>18773</v>
      </c>
      <c r="I328" s="118"/>
      <c r="J328" s="119" t="s">
        <v>18803</v>
      </c>
      <c r="K328" t="s">
        <v>18809</v>
      </c>
      <c r="M328" s="118"/>
      <c r="N328" s="119" t="s">
        <v>18839</v>
      </c>
      <c r="O328" t="s">
        <v>18845</v>
      </c>
      <c r="Q328" s="118"/>
      <c r="R328" s="119" t="s">
        <v>18875</v>
      </c>
      <c r="S328" t="s">
        <v>18881</v>
      </c>
      <c r="U328" s="118"/>
      <c r="V328" s="119" t="s">
        <v>18911</v>
      </c>
      <c r="W328" t="s">
        <v>18917</v>
      </c>
    </row>
    <row r="329" spans="1:23" x14ac:dyDescent="0.3">
      <c r="A329" s="118"/>
      <c r="B329" s="119" t="s">
        <v>18922</v>
      </c>
      <c r="C329" t="s">
        <v>18928</v>
      </c>
      <c r="E329" s="118"/>
      <c r="F329" s="119" t="s">
        <v>18958</v>
      </c>
      <c r="G329" t="s">
        <v>18964</v>
      </c>
      <c r="I329" s="118"/>
      <c r="J329" s="119" t="s">
        <v>18994</v>
      </c>
      <c r="K329" t="s">
        <v>19000</v>
      </c>
      <c r="M329" s="118"/>
      <c r="N329" s="119" t="s">
        <v>19030</v>
      </c>
      <c r="O329" t="s">
        <v>19036</v>
      </c>
      <c r="Q329" s="118"/>
      <c r="R329" s="119" t="s">
        <v>19066</v>
      </c>
      <c r="S329" t="s">
        <v>19072</v>
      </c>
      <c r="U329" s="118"/>
      <c r="V329" s="119" t="s">
        <v>19102</v>
      </c>
      <c r="W329" t="s">
        <v>19108</v>
      </c>
    </row>
    <row r="330" spans="1:23" x14ac:dyDescent="0.3">
      <c r="A330" s="118"/>
      <c r="B330" s="119" t="s">
        <v>18923</v>
      </c>
      <c r="C330" t="s">
        <v>18929</v>
      </c>
      <c r="E330" s="118"/>
      <c r="F330" s="119" t="s">
        <v>18959</v>
      </c>
      <c r="G330" t="s">
        <v>18965</v>
      </c>
      <c r="I330" s="118"/>
      <c r="J330" s="119" t="s">
        <v>18995</v>
      </c>
      <c r="K330" t="s">
        <v>19001</v>
      </c>
      <c r="M330" s="118"/>
      <c r="N330" s="119" t="s">
        <v>19031</v>
      </c>
      <c r="O330" t="s">
        <v>19037</v>
      </c>
      <c r="Q330" s="118"/>
      <c r="R330" s="119" t="s">
        <v>19067</v>
      </c>
      <c r="S330" t="s">
        <v>19073</v>
      </c>
      <c r="U330" s="118"/>
      <c r="V330" s="119" t="s">
        <v>19103</v>
      </c>
      <c r="W330" t="s">
        <v>19109</v>
      </c>
    </row>
    <row r="331" spans="1:23" x14ac:dyDescent="0.3">
      <c r="A331" s="118"/>
      <c r="B331" s="119" t="s">
        <v>18934</v>
      </c>
      <c r="C331" t="s">
        <v>18940</v>
      </c>
      <c r="E331" s="118"/>
      <c r="F331" s="119" t="s">
        <v>18970</v>
      </c>
      <c r="G331" t="s">
        <v>18976</v>
      </c>
      <c r="I331" s="118"/>
      <c r="J331" s="119" t="s">
        <v>19006</v>
      </c>
      <c r="K331" t="s">
        <v>19012</v>
      </c>
      <c r="M331" s="118"/>
      <c r="N331" s="119" t="s">
        <v>19042</v>
      </c>
      <c r="O331" t="s">
        <v>19048</v>
      </c>
      <c r="Q331" s="118"/>
      <c r="R331" s="119" t="s">
        <v>19078</v>
      </c>
      <c r="S331" t="s">
        <v>19084</v>
      </c>
      <c r="U331" s="118"/>
      <c r="V331" s="119" t="s">
        <v>19114</v>
      </c>
      <c r="W331" t="s">
        <v>19120</v>
      </c>
    </row>
    <row r="332" spans="1:23" x14ac:dyDescent="0.3">
      <c r="A332" s="118"/>
      <c r="B332" s="119" t="s">
        <v>18935</v>
      </c>
      <c r="C332" t="s">
        <v>18941</v>
      </c>
      <c r="E332" s="118"/>
      <c r="F332" s="119" t="s">
        <v>18971</v>
      </c>
      <c r="G332" t="s">
        <v>18977</v>
      </c>
      <c r="I332" s="118"/>
      <c r="J332" s="119" t="s">
        <v>19007</v>
      </c>
      <c r="K332" t="s">
        <v>19013</v>
      </c>
      <c r="M332" s="118"/>
      <c r="N332" s="119" t="s">
        <v>19043</v>
      </c>
      <c r="O332" t="s">
        <v>19049</v>
      </c>
      <c r="Q332" s="118"/>
      <c r="R332" s="119" t="s">
        <v>19079</v>
      </c>
      <c r="S332" t="s">
        <v>19085</v>
      </c>
      <c r="U332" s="118"/>
      <c r="V332" s="119" t="s">
        <v>19115</v>
      </c>
      <c r="W332" t="s">
        <v>19121</v>
      </c>
    </row>
    <row r="333" spans="1:23" x14ac:dyDescent="0.3">
      <c r="A333" s="118"/>
      <c r="B333" s="119" t="s">
        <v>18946</v>
      </c>
      <c r="C333" t="s">
        <v>18952</v>
      </c>
      <c r="E333" s="118"/>
      <c r="F333" s="119" t="s">
        <v>18982</v>
      </c>
      <c r="G333" t="s">
        <v>18988</v>
      </c>
      <c r="I333" s="118"/>
      <c r="J333" s="119" t="s">
        <v>19018</v>
      </c>
      <c r="K333" t="s">
        <v>19024</v>
      </c>
      <c r="M333" s="118"/>
      <c r="N333" s="119" t="s">
        <v>19054</v>
      </c>
      <c r="O333" t="s">
        <v>19060</v>
      </c>
      <c r="Q333" s="118"/>
      <c r="R333" s="119" t="s">
        <v>19090</v>
      </c>
      <c r="S333" t="s">
        <v>19096</v>
      </c>
      <c r="U333" s="118"/>
      <c r="V333" s="119" t="s">
        <v>19126</v>
      </c>
      <c r="W333" t="s">
        <v>19132</v>
      </c>
    </row>
    <row r="334" spans="1:23" x14ac:dyDescent="0.3">
      <c r="A334" s="118"/>
      <c r="B334" s="119" t="s">
        <v>18947</v>
      </c>
      <c r="C334" t="s">
        <v>18953</v>
      </c>
      <c r="E334" s="118"/>
      <c r="F334" s="119" t="s">
        <v>18983</v>
      </c>
      <c r="G334" t="s">
        <v>18989</v>
      </c>
      <c r="I334" s="118"/>
      <c r="J334" s="119" t="s">
        <v>19019</v>
      </c>
      <c r="K334" t="s">
        <v>19025</v>
      </c>
      <c r="M334" s="118"/>
      <c r="N334" s="119" t="s">
        <v>19055</v>
      </c>
      <c r="O334" t="s">
        <v>19061</v>
      </c>
      <c r="Q334" s="118"/>
      <c r="R334" s="119" t="s">
        <v>19091</v>
      </c>
      <c r="S334" t="s">
        <v>19097</v>
      </c>
      <c r="U334" s="118"/>
      <c r="V334" s="119" t="s">
        <v>19127</v>
      </c>
      <c r="W334" t="s">
        <v>19133</v>
      </c>
    </row>
    <row r="335" spans="1:23" x14ac:dyDescent="0.3">
      <c r="A335" s="118"/>
      <c r="B335" s="119" t="s">
        <v>19138</v>
      </c>
      <c r="C335" t="s">
        <v>19144</v>
      </c>
      <c r="E335" s="118"/>
      <c r="F335" s="119" t="s">
        <v>19174</v>
      </c>
      <c r="G335" t="s">
        <v>19180</v>
      </c>
      <c r="I335" s="118"/>
      <c r="J335" s="119" t="s">
        <v>19210</v>
      </c>
      <c r="K335" t="s">
        <v>19216</v>
      </c>
      <c r="M335" s="118"/>
      <c r="N335" s="119" t="s">
        <v>19246</v>
      </c>
      <c r="O335" t="s">
        <v>19252</v>
      </c>
      <c r="Q335" s="118"/>
      <c r="R335" s="119" t="s">
        <v>19282</v>
      </c>
      <c r="S335" t="s">
        <v>19288</v>
      </c>
      <c r="U335" s="118"/>
      <c r="V335" s="119" t="s">
        <v>19318</v>
      </c>
      <c r="W335" t="s">
        <v>19324</v>
      </c>
    </row>
    <row r="336" spans="1:23" x14ac:dyDescent="0.3">
      <c r="A336" s="118"/>
      <c r="B336" s="119" t="s">
        <v>19139</v>
      </c>
      <c r="C336" t="s">
        <v>19145</v>
      </c>
      <c r="E336" s="118"/>
      <c r="F336" s="119" t="s">
        <v>19175</v>
      </c>
      <c r="G336" t="s">
        <v>19181</v>
      </c>
      <c r="I336" s="118"/>
      <c r="J336" s="119" t="s">
        <v>19211</v>
      </c>
      <c r="K336" t="s">
        <v>19217</v>
      </c>
      <c r="M336" s="118"/>
      <c r="N336" s="119" t="s">
        <v>19247</v>
      </c>
      <c r="O336" t="s">
        <v>19253</v>
      </c>
      <c r="Q336" s="118"/>
      <c r="R336" s="119" t="s">
        <v>19283</v>
      </c>
      <c r="S336" t="s">
        <v>19289</v>
      </c>
      <c r="U336" s="118"/>
      <c r="V336" s="119" t="s">
        <v>19319</v>
      </c>
      <c r="W336" t="s">
        <v>19325</v>
      </c>
    </row>
    <row r="337" spans="1:23" x14ac:dyDescent="0.3">
      <c r="A337" s="118"/>
      <c r="B337" s="119" t="s">
        <v>19150</v>
      </c>
      <c r="C337" t="s">
        <v>19156</v>
      </c>
      <c r="E337" s="118"/>
      <c r="F337" s="119" t="s">
        <v>19186</v>
      </c>
      <c r="G337" t="s">
        <v>19192</v>
      </c>
      <c r="I337" s="118"/>
      <c r="J337" s="119" t="s">
        <v>19222</v>
      </c>
      <c r="K337" t="s">
        <v>19228</v>
      </c>
      <c r="M337" s="118"/>
      <c r="N337" s="119" t="s">
        <v>19258</v>
      </c>
      <c r="O337" t="s">
        <v>19264</v>
      </c>
      <c r="Q337" s="118"/>
      <c r="R337" s="119" t="s">
        <v>19294</v>
      </c>
      <c r="S337" t="s">
        <v>19300</v>
      </c>
      <c r="U337" s="118"/>
      <c r="V337" s="119" t="s">
        <v>19330</v>
      </c>
      <c r="W337" t="s">
        <v>19336</v>
      </c>
    </row>
    <row r="338" spans="1:23" x14ac:dyDescent="0.3">
      <c r="A338" s="118"/>
      <c r="B338" s="119" t="s">
        <v>19151</v>
      </c>
      <c r="C338" t="s">
        <v>19157</v>
      </c>
      <c r="E338" s="118"/>
      <c r="F338" s="119" t="s">
        <v>19187</v>
      </c>
      <c r="G338" t="s">
        <v>19193</v>
      </c>
      <c r="I338" s="118"/>
      <c r="J338" s="119" t="s">
        <v>19223</v>
      </c>
      <c r="K338" t="s">
        <v>19229</v>
      </c>
      <c r="M338" s="118"/>
      <c r="N338" s="119" t="s">
        <v>19259</v>
      </c>
      <c r="O338" t="s">
        <v>19265</v>
      </c>
      <c r="Q338" s="118"/>
      <c r="R338" s="119" t="s">
        <v>19295</v>
      </c>
      <c r="S338" t="s">
        <v>19301</v>
      </c>
      <c r="U338" s="118"/>
      <c r="V338" s="119" t="s">
        <v>19331</v>
      </c>
      <c r="W338" t="s">
        <v>19337</v>
      </c>
    </row>
    <row r="339" spans="1:23" x14ac:dyDescent="0.3">
      <c r="A339" s="118"/>
      <c r="B339" s="119" t="s">
        <v>19162</v>
      </c>
      <c r="C339" t="s">
        <v>19168</v>
      </c>
      <c r="E339" s="118"/>
      <c r="F339" s="119" t="s">
        <v>19198</v>
      </c>
      <c r="G339" t="s">
        <v>19204</v>
      </c>
      <c r="I339" s="118"/>
      <c r="J339" s="119" t="s">
        <v>19234</v>
      </c>
      <c r="K339" t="s">
        <v>19240</v>
      </c>
      <c r="M339" s="118"/>
      <c r="N339" s="119" t="s">
        <v>19270</v>
      </c>
      <c r="O339" t="s">
        <v>19276</v>
      </c>
      <c r="Q339" s="118"/>
      <c r="R339" s="119" t="s">
        <v>19306</v>
      </c>
      <c r="S339" t="s">
        <v>19312</v>
      </c>
      <c r="U339" s="118"/>
      <c r="V339" s="119" t="s">
        <v>19342</v>
      </c>
      <c r="W339" t="s">
        <v>19348</v>
      </c>
    </row>
    <row r="340" spans="1:23" x14ac:dyDescent="0.3">
      <c r="A340" s="118"/>
      <c r="B340" s="119" t="s">
        <v>19163</v>
      </c>
      <c r="C340" t="s">
        <v>19169</v>
      </c>
      <c r="E340" s="118"/>
      <c r="F340" s="119" t="s">
        <v>19199</v>
      </c>
      <c r="G340" t="s">
        <v>19205</v>
      </c>
      <c r="I340" s="118"/>
      <c r="J340" s="119" t="s">
        <v>19235</v>
      </c>
      <c r="K340" t="s">
        <v>19241</v>
      </c>
      <c r="M340" s="118"/>
      <c r="N340" s="119" t="s">
        <v>19271</v>
      </c>
      <c r="O340" t="s">
        <v>19277</v>
      </c>
      <c r="Q340" s="118"/>
      <c r="R340" s="119" t="s">
        <v>19307</v>
      </c>
      <c r="S340" t="s">
        <v>19313</v>
      </c>
      <c r="U340" s="118"/>
      <c r="V340" s="119" t="s">
        <v>19343</v>
      </c>
      <c r="W340" t="s">
        <v>19349</v>
      </c>
    </row>
    <row r="341" spans="1:23" x14ac:dyDescent="0.3">
      <c r="A341" s="118"/>
      <c r="B341" s="119" t="s">
        <v>19354</v>
      </c>
      <c r="C341" t="s">
        <v>19360</v>
      </c>
      <c r="E341" s="118"/>
      <c r="F341" s="119" t="s">
        <v>19390</v>
      </c>
      <c r="G341" t="s">
        <v>19396</v>
      </c>
      <c r="I341" s="118"/>
      <c r="J341" s="119" t="s">
        <v>19426</v>
      </c>
      <c r="K341" t="s">
        <v>19432</v>
      </c>
      <c r="M341" s="118"/>
      <c r="N341" s="119" t="s">
        <v>19462</v>
      </c>
      <c r="O341" t="s">
        <v>19468</v>
      </c>
      <c r="Q341" s="118"/>
      <c r="R341" s="119" t="s">
        <v>19498</v>
      </c>
      <c r="S341" t="s">
        <v>19504</v>
      </c>
      <c r="U341" s="118"/>
      <c r="V341" s="119" t="s">
        <v>19534</v>
      </c>
      <c r="W341" t="s">
        <v>19540</v>
      </c>
    </row>
    <row r="342" spans="1:23" x14ac:dyDescent="0.3">
      <c r="A342" s="118"/>
      <c r="B342" s="119" t="s">
        <v>19355</v>
      </c>
      <c r="C342" t="s">
        <v>19361</v>
      </c>
      <c r="E342" s="118"/>
      <c r="F342" s="119" t="s">
        <v>19391</v>
      </c>
      <c r="G342" t="s">
        <v>19397</v>
      </c>
      <c r="I342" s="118"/>
      <c r="J342" s="119" t="s">
        <v>19427</v>
      </c>
      <c r="K342" t="s">
        <v>19433</v>
      </c>
      <c r="M342" s="118"/>
      <c r="N342" s="119" t="s">
        <v>19463</v>
      </c>
      <c r="O342" t="s">
        <v>19469</v>
      </c>
      <c r="Q342" s="118"/>
      <c r="R342" s="119" t="s">
        <v>19499</v>
      </c>
      <c r="S342" t="s">
        <v>19505</v>
      </c>
      <c r="U342" s="118"/>
      <c r="V342" s="119" t="s">
        <v>19535</v>
      </c>
      <c r="W342" t="s">
        <v>19541</v>
      </c>
    </row>
    <row r="343" spans="1:23" x14ac:dyDescent="0.3">
      <c r="A343" s="118"/>
      <c r="B343" s="119" t="s">
        <v>19366</v>
      </c>
      <c r="C343" t="s">
        <v>19372</v>
      </c>
      <c r="E343" s="118"/>
      <c r="F343" s="119" t="s">
        <v>19402</v>
      </c>
      <c r="G343" t="s">
        <v>19408</v>
      </c>
      <c r="I343" s="118"/>
      <c r="J343" s="119" t="s">
        <v>19438</v>
      </c>
      <c r="K343" t="s">
        <v>19444</v>
      </c>
      <c r="M343" s="118"/>
      <c r="N343" s="119" t="s">
        <v>19474</v>
      </c>
      <c r="O343" t="s">
        <v>19480</v>
      </c>
      <c r="Q343" s="118"/>
      <c r="R343" s="119" t="s">
        <v>19510</v>
      </c>
      <c r="S343" t="s">
        <v>19516</v>
      </c>
      <c r="U343" s="118"/>
      <c r="V343" s="119" t="s">
        <v>19546</v>
      </c>
      <c r="W343" t="s">
        <v>19552</v>
      </c>
    </row>
    <row r="344" spans="1:23" x14ac:dyDescent="0.3">
      <c r="A344" s="118"/>
      <c r="B344" s="119" t="s">
        <v>19367</v>
      </c>
      <c r="C344" t="s">
        <v>19373</v>
      </c>
      <c r="E344" s="118"/>
      <c r="F344" s="119" t="s">
        <v>19403</v>
      </c>
      <c r="G344" t="s">
        <v>19409</v>
      </c>
      <c r="I344" s="118"/>
      <c r="J344" s="119" t="s">
        <v>19439</v>
      </c>
      <c r="K344" t="s">
        <v>19445</v>
      </c>
      <c r="M344" s="118"/>
      <c r="N344" s="119" t="s">
        <v>19475</v>
      </c>
      <c r="O344" t="s">
        <v>19481</v>
      </c>
      <c r="Q344" s="118"/>
      <c r="R344" s="119" t="s">
        <v>19511</v>
      </c>
      <c r="S344" t="s">
        <v>19517</v>
      </c>
      <c r="U344" s="118"/>
      <c r="V344" s="119" t="s">
        <v>19547</v>
      </c>
      <c r="W344" t="s">
        <v>19553</v>
      </c>
    </row>
    <row r="345" spans="1:23" x14ac:dyDescent="0.3">
      <c r="A345" s="118"/>
      <c r="B345" s="119" t="s">
        <v>19378</v>
      </c>
      <c r="C345" t="s">
        <v>19384</v>
      </c>
      <c r="E345" s="118"/>
      <c r="F345" s="119" t="s">
        <v>19414</v>
      </c>
      <c r="G345" t="s">
        <v>19420</v>
      </c>
      <c r="I345" s="118"/>
      <c r="J345" s="119" t="s">
        <v>19450</v>
      </c>
      <c r="K345" t="s">
        <v>19456</v>
      </c>
      <c r="M345" s="118"/>
      <c r="N345" s="119" t="s">
        <v>19486</v>
      </c>
      <c r="O345" t="s">
        <v>19492</v>
      </c>
      <c r="Q345" s="118"/>
      <c r="R345" s="119" t="s">
        <v>19522</v>
      </c>
      <c r="S345" t="s">
        <v>19528</v>
      </c>
      <c r="U345" s="118"/>
      <c r="V345" s="119" t="s">
        <v>19558</v>
      </c>
      <c r="W345" t="s">
        <v>19564</v>
      </c>
    </row>
    <row r="346" spans="1:23" x14ac:dyDescent="0.3">
      <c r="A346" s="118"/>
      <c r="B346" s="119" t="s">
        <v>19379</v>
      </c>
      <c r="C346" t="s">
        <v>19385</v>
      </c>
      <c r="E346" s="118"/>
      <c r="F346" s="119" t="s">
        <v>19415</v>
      </c>
      <c r="G346" t="s">
        <v>19421</v>
      </c>
      <c r="I346" s="118"/>
      <c r="J346" s="119" t="s">
        <v>19451</v>
      </c>
      <c r="K346" t="s">
        <v>19457</v>
      </c>
      <c r="M346" s="118"/>
      <c r="N346" s="119" t="s">
        <v>19487</v>
      </c>
      <c r="O346" t="s">
        <v>19493</v>
      </c>
      <c r="Q346" s="118"/>
      <c r="R346" s="119" t="s">
        <v>19523</v>
      </c>
      <c r="S346" t="s">
        <v>19529</v>
      </c>
      <c r="U346" s="118"/>
      <c r="V346" s="119" t="s">
        <v>19559</v>
      </c>
      <c r="W346" t="s">
        <v>19565</v>
      </c>
    </row>
    <row r="347" spans="1:23" x14ac:dyDescent="0.3">
      <c r="A347" s="118"/>
      <c r="B347" s="119" t="s">
        <v>19570</v>
      </c>
      <c r="C347" t="s">
        <v>19576</v>
      </c>
      <c r="E347" s="118"/>
      <c r="F347" s="119" t="s">
        <v>19606</v>
      </c>
      <c r="G347" t="s">
        <v>19612</v>
      </c>
      <c r="I347" s="118"/>
      <c r="J347" s="119" t="s">
        <v>19642</v>
      </c>
      <c r="K347" t="s">
        <v>19648</v>
      </c>
      <c r="M347" s="118"/>
      <c r="N347" s="119" t="s">
        <v>19678</v>
      </c>
      <c r="O347" t="s">
        <v>19684</v>
      </c>
      <c r="Q347" s="118"/>
      <c r="R347" s="119" t="s">
        <v>19714</v>
      </c>
      <c r="S347" t="s">
        <v>19720</v>
      </c>
      <c r="U347" s="118"/>
      <c r="V347" s="119" t="s">
        <v>19750</v>
      </c>
      <c r="W347" t="s">
        <v>19756</v>
      </c>
    </row>
    <row r="348" spans="1:23" x14ac:dyDescent="0.3">
      <c r="A348" s="118"/>
      <c r="B348" s="119" t="s">
        <v>19571</v>
      </c>
      <c r="C348" t="s">
        <v>19577</v>
      </c>
      <c r="E348" s="118"/>
      <c r="F348" s="119" t="s">
        <v>19607</v>
      </c>
      <c r="G348" t="s">
        <v>19613</v>
      </c>
      <c r="I348" s="118"/>
      <c r="J348" s="119" t="s">
        <v>19643</v>
      </c>
      <c r="K348" t="s">
        <v>19649</v>
      </c>
      <c r="M348" s="118"/>
      <c r="N348" s="119" t="s">
        <v>19679</v>
      </c>
      <c r="O348" t="s">
        <v>19685</v>
      </c>
      <c r="Q348" s="118"/>
      <c r="R348" s="119" t="s">
        <v>19715</v>
      </c>
      <c r="S348" t="s">
        <v>19721</v>
      </c>
      <c r="U348" s="118"/>
      <c r="V348" s="119" t="s">
        <v>19751</v>
      </c>
      <c r="W348" t="s">
        <v>19757</v>
      </c>
    </row>
    <row r="349" spans="1:23" x14ac:dyDescent="0.3">
      <c r="A349" s="118"/>
      <c r="B349" s="119" t="s">
        <v>19582</v>
      </c>
      <c r="C349" t="s">
        <v>19588</v>
      </c>
      <c r="E349" s="118"/>
      <c r="F349" s="119" t="s">
        <v>19618</v>
      </c>
      <c r="G349" t="s">
        <v>19624</v>
      </c>
      <c r="I349" s="118"/>
      <c r="J349" s="119" t="s">
        <v>19654</v>
      </c>
      <c r="K349" t="s">
        <v>19660</v>
      </c>
      <c r="M349" s="118"/>
      <c r="N349" s="119" t="s">
        <v>19690</v>
      </c>
      <c r="O349" t="s">
        <v>19696</v>
      </c>
      <c r="Q349" s="118"/>
      <c r="R349" s="119" t="s">
        <v>19726</v>
      </c>
      <c r="S349" t="s">
        <v>19732</v>
      </c>
      <c r="U349" s="118"/>
      <c r="V349" s="119" t="s">
        <v>19762</v>
      </c>
      <c r="W349" t="s">
        <v>19768</v>
      </c>
    </row>
    <row r="350" spans="1:23" x14ac:dyDescent="0.3">
      <c r="A350" s="118"/>
      <c r="B350" s="119" t="s">
        <v>19583</v>
      </c>
      <c r="C350" t="s">
        <v>19589</v>
      </c>
      <c r="E350" s="118"/>
      <c r="F350" s="119" t="s">
        <v>19619</v>
      </c>
      <c r="G350" t="s">
        <v>19625</v>
      </c>
      <c r="I350" s="118"/>
      <c r="J350" s="119" t="s">
        <v>19655</v>
      </c>
      <c r="K350" t="s">
        <v>19661</v>
      </c>
      <c r="M350" s="118"/>
      <c r="N350" s="119" t="s">
        <v>19691</v>
      </c>
      <c r="O350" t="s">
        <v>19697</v>
      </c>
      <c r="Q350" s="118"/>
      <c r="R350" s="119" t="s">
        <v>19727</v>
      </c>
      <c r="S350" t="s">
        <v>19733</v>
      </c>
      <c r="U350" s="118"/>
      <c r="V350" s="119" t="s">
        <v>19763</v>
      </c>
      <c r="W350" t="s">
        <v>19769</v>
      </c>
    </row>
    <row r="351" spans="1:23" x14ac:dyDescent="0.3">
      <c r="A351" s="118"/>
      <c r="B351" s="119" t="s">
        <v>19594</v>
      </c>
      <c r="C351" t="s">
        <v>19600</v>
      </c>
      <c r="E351" s="118"/>
      <c r="F351" s="119" t="s">
        <v>19630</v>
      </c>
      <c r="G351" t="s">
        <v>19636</v>
      </c>
      <c r="I351" s="118"/>
      <c r="J351" s="119" t="s">
        <v>19666</v>
      </c>
      <c r="K351" t="s">
        <v>19672</v>
      </c>
      <c r="M351" s="118"/>
      <c r="N351" s="119" t="s">
        <v>19702</v>
      </c>
      <c r="O351" t="s">
        <v>19708</v>
      </c>
      <c r="Q351" s="118"/>
      <c r="R351" s="119" t="s">
        <v>19738</v>
      </c>
      <c r="S351" t="s">
        <v>19744</v>
      </c>
      <c r="U351" s="118"/>
      <c r="V351" s="119" t="s">
        <v>19774</v>
      </c>
      <c r="W351" t="s">
        <v>19780</v>
      </c>
    </row>
    <row r="352" spans="1:23" x14ac:dyDescent="0.3">
      <c r="A352" s="118"/>
      <c r="B352" s="119" t="s">
        <v>19595</v>
      </c>
      <c r="C352" t="s">
        <v>19601</v>
      </c>
      <c r="E352" s="118"/>
      <c r="F352" s="119" t="s">
        <v>19631</v>
      </c>
      <c r="G352" t="s">
        <v>19637</v>
      </c>
      <c r="I352" s="118"/>
      <c r="J352" s="119" t="s">
        <v>19667</v>
      </c>
      <c r="K352" t="s">
        <v>19673</v>
      </c>
      <c r="M352" s="118"/>
      <c r="N352" s="119" t="s">
        <v>19703</v>
      </c>
      <c r="O352" t="s">
        <v>19709</v>
      </c>
      <c r="Q352" s="118"/>
      <c r="R352" s="119" t="s">
        <v>19739</v>
      </c>
      <c r="S352" t="s">
        <v>19745</v>
      </c>
      <c r="U352" s="118"/>
      <c r="V352" s="119" t="s">
        <v>19775</v>
      </c>
      <c r="W352" t="s">
        <v>19781</v>
      </c>
    </row>
    <row r="353" spans="1:23" x14ac:dyDescent="0.3">
      <c r="A353" s="118"/>
      <c r="B353" s="119" t="s">
        <v>19786</v>
      </c>
      <c r="C353" t="s">
        <v>19792</v>
      </c>
      <c r="E353" s="118"/>
      <c r="F353" s="119" t="s">
        <v>19822</v>
      </c>
      <c r="G353" t="s">
        <v>19828</v>
      </c>
      <c r="I353" s="118"/>
      <c r="J353" s="119" t="s">
        <v>19858</v>
      </c>
      <c r="K353" t="s">
        <v>19864</v>
      </c>
      <c r="M353" s="118"/>
      <c r="N353" s="119" t="s">
        <v>19894</v>
      </c>
      <c r="O353" t="s">
        <v>19900</v>
      </c>
      <c r="Q353" s="118"/>
      <c r="R353" s="119" t="s">
        <v>19930</v>
      </c>
      <c r="S353" t="s">
        <v>19936</v>
      </c>
      <c r="U353" s="118"/>
      <c r="V353" s="119" t="s">
        <v>19966</v>
      </c>
      <c r="W353" t="s">
        <v>19972</v>
      </c>
    </row>
    <row r="354" spans="1:23" x14ac:dyDescent="0.3">
      <c r="A354" s="118"/>
      <c r="B354" s="119" t="s">
        <v>19787</v>
      </c>
      <c r="C354" t="s">
        <v>19793</v>
      </c>
      <c r="E354" s="118"/>
      <c r="F354" s="119" t="s">
        <v>19823</v>
      </c>
      <c r="G354" t="s">
        <v>19829</v>
      </c>
      <c r="I354" s="118"/>
      <c r="J354" s="119" t="s">
        <v>19859</v>
      </c>
      <c r="K354" t="s">
        <v>19865</v>
      </c>
      <c r="M354" s="118"/>
      <c r="N354" s="119" t="s">
        <v>19895</v>
      </c>
      <c r="O354" t="s">
        <v>19901</v>
      </c>
      <c r="Q354" s="118"/>
      <c r="R354" s="119" t="s">
        <v>19931</v>
      </c>
      <c r="S354" t="s">
        <v>19937</v>
      </c>
      <c r="U354" s="118"/>
      <c r="V354" s="119" t="s">
        <v>19967</v>
      </c>
      <c r="W354" t="s">
        <v>19973</v>
      </c>
    </row>
    <row r="355" spans="1:23" x14ac:dyDescent="0.3">
      <c r="A355" s="118"/>
      <c r="B355" s="119" t="s">
        <v>19798</v>
      </c>
      <c r="C355" t="s">
        <v>19804</v>
      </c>
      <c r="E355" s="118"/>
      <c r="F355" s="119" t="s">
        <v>19834</v>
      </c>
      <c r="G355" t="s">
        <v>19840</v>
      </c>
      <c r="I355" s="118"/>
      <c r="J355" s="119" t="s">
        <v>19870</v>
      </c>
      <c r="K355" t="s">
        <v>19876</v>
      </c>
      <c r="M355" s="118"/>
      <c r="N355" s="119" t="s">
        <v>19906</v>
      </c>
      <c r="O355" t="s">
        <v>19912</v>
      </c>
      <c r="Q355" s="118"/>
      <c r="R355" s="119" t="s">
        <v>19942</v>
      </c>
      <c r="S355" t="s">
        <v>19948</v>
      </c>
      <c r="U355" s="118"/>
      <c r="V355" s="119" t="s">
        <v>19978</v>
      </c>
      <c r="W355" t="s">
        <v>19984</v>
      </c>
    </row>
    <row r="356" spans="1:23" x14ac:dyDescent="0.3">
      <c r="A356" s="118"/>
      <c r="B356" s="119" t="s">
        <v>19799</v>
      </c>
      <c r="C356" t="s">
        <v>19805</v>
      </c>
      <c r="E356" s="118"/>
      <c r="F356" s="119" t="s">
        <v>19835</v>
      </c>
      <c r="G356" t="s">
        <v>19841</v>
      </c>
      <c r="I356" s="118"/>
      <c r="J356" s="119" t="s">
        <v>19871</v>
      </c>
      <c r="K356" t="s">
        <v>19877</v>
      </c>
      <c r="M356" s="118"/>
      <c r="N356" s="119" t="s">
        <v>19907</v>
      </c>
      <c r="O356" t="s">
        <v>19913</v>
      </c>
      <c r="Q356" s="118"/>
      <c r="R356" s="119" t="s">
        <v>19943</v>
      </c>
      <c r="S356" t="s">
        <v>19949</v>
      </c>
      <c r="U356" s="118"/>
      <c r="V356" s="119" t="s">
        <v>19979</v>
      </c>
      <c r="W356" t="s">
        <v>19985</v>
      </c>
    </row>
    <row r="357" spans="1:23" x14ac:dyDescent="0.3">
      <c r="A357" s="118"/>
      <c r="B357" s="119" t="s">
        <v>19810</v>
      </c>
      <c r="C357" t="s">
        <v>19816</v>
      </c>
      <c r="E357" s="118"/>
      <c r="F357" s="119" t="s">
        <v>19846</v>
      </c>
      <c r="G357" t="s">
        <v>19852</v>
      </c>
      <c r="I357" s="118"/>
      <c r="J357" s="119" t="s">
        <v>19882</v>
      </c>
      <c r="K357" t="s">
        <v>19888</v>
      </c>
      <c r="M357" s="118"/>
      <c r="N357" s="119" t="s">
        <v>19918</v>
      </c>
      <c r="O357" t="s">
        <v>19924</v>
      </c>
      <c r="Q357" s="118"/>
      <c r="R357" s="119" t="s">
        <v>19954</v>
      </c>
      <c r="S357" t="s">
        <v>19960</v>
      </c>
      <c r="U357" s="118"/>
      <c r="V357" s="119" t="s">
        <v>19990</v>
      </c>
      <c r="W357" t="s">
        <v>19996</v>
      </c>
    </row>
    <row r="358" spans="1:23" x14ac:dyDescent="0.3">
      <c r="A358" s="118"/>
      <c r="B358" s="119" t="s">
        <v>19811</v>
      </c>
      <c r="C358" t="s">
        <v>19817</v>
      </c>
      <c r="E358" s="118"/>
      <c r="F358" s="119" t="s">
        <v>19847</v>
      </c>
      <c r="G358" t="s">
        <v>19853</v>
      </c>
      <c r="I358" s="118"/>
      <c r="J358" s="119" t="s">
        <v>19883</v>
      </c>
      <c r="K358" t="s">
        <v>19889</v>
      </c>
      <c r="M358" s="118"/>
      <c r="N358" s="119" t="s">
        <v>19919</v>
      </c>
      <c r="O358" t="s">
        <v>19925</v>
      </c>
      <c r="Q358" s="118"/>
      <c r="R358" s="119" t="s">
        <v>19955</v>
      </c>
      <c r="S358" t="s">
        <v>19961</v>
      </c>
      <c r="U358" s="118"/>
      <c r="V358" s="119" t="s">
        <v>19991</v>
      </c>
      <c r="W358" t="s">
        <v>19997</v>
      </c>
    </row>
    <row r="359" spans="1:23" x14ac:dyDescent="0.3">
      <c r="A359" s="118"/>
      <c r="B359" s="119" t="s">
        <v>20002</v>
      </c>
      <c r="C359" t="s">
        <v>20008</v>
      </c>
      <c r="E359" s="118"/>
      <c r="F359" s="119" t="s">
        <v>20038</v>
      </c>
      <c r="G359" t="s">
        <v>20044</v>
      </c>
      <c r="I359" s="118"/>
      <c r="J359" s="119" t="s">
        <v>20074</v>
      </c>
      <c r="K359" t="s">
        <v>20080</v>
      </c>
      <c r="M359" s="118"/>
      <c r="N359" s="119" t="s">
        <v>20110</v>
      </c>
      <c r="O359" t="s">
        <v>20116</v>
      </c>
      <c r="Q359" s="118"/>
      <c r="R359" s="119" t="s">
        <v>20146</v>
      </c>
      <c r="S359" t="s">
        <v>20152</v>
      </c>
      <c r="U359" s="118"/>
      <c r="V359" s="119" t="s">
        <v>20182</v>
      </c>
      <c r="W359" t="s">
        <v>20188</v>
      </c>
    </row>
    <row r="360" spans="1:23" x14ac:dyDescent="0.3">
      <c r="A360" s="118"/>
      <c r="B360" s="119" t="s">
        <v>20003</v>
      </c>
      <c r="C360" t="s">
        <v>20009</v>
      </c>
      <c r="E360" s="118"/>
      <c r="F360" s="119" t="s">
        <v>20039</v>
      </c>
      <c r="G360" t="s">
        <v>20045</v>
      </c>
      <c r="I360" s="118"/>
      <c r="J360" s="119" t="s">
        <v>20075</v>
      </c>
      <c r="K360" t="s">
        <v>20081</v>
      </c>
      <c r="M360" s="118"/>
      <c r="N360" s="119" t="s">
        <v>20111</v>
      </c>
      <c r="O360" t="s">
        <v>20117</v>
      </c>
      <c r="Q360" s="118"/>
      <c r="R360" s="119" t="s">
        <v>20147</v>
      </c>
      <c r="S360" t="s">
        <v>20153</v>
      </c>
      <c r="U360" s="118"/>
      <c r="V360" s="119" t="s">
        <v>20183</v>
      </c>
      <c r="W360" t="s">
        <v>20189</v>
      </c>
    </row>
    <row r="361" spans="1:23" x14ac:dyDescent="0.3">
      <c r="A361" s="118"/>
      <c r="B361" s="119" t="s">
        <v>20014</v>
      </c>
      <c r="C361" t="s">
        <v>20020</v>
      </c>
      <c r="E361" s="118"/>
      <c r="F361" s="119" t="s">
        <v>20050</v>
      </c>
      <c r="G361" t="s">
        <v>20056</v>
      </c>
      <c r="I361" s="118"/>
      <c r="J361" s="119" t="s">
        <v>20086</v>
      </c>
      <c r="K361" t="s">
        <v>20092</v>
      </c>
      <c r="M361" s="118"/>
      <c r="N361" s="119" t="s">
        <v>20122</v>
      </c>
      <c r="O361" t="s">
        <v>20128</v>
      </c>
      <c r="Q361" s="118"/>
      <c r="R361" s="119" t="s">
        <v>20158</v>
      </c>
      <c r="S361" t="s">
        <v>20164</v>
      </c>
      <c r="U361" s="118"/>
      <c r="V361" s="119" t="s">
        <v>20194</v>
      </c>
      <c r="W361" t="s">
        <v>20200</v>
      </c>
    </row>
    <row r="362" spans="1:23" x14ac:dyDescent="0.3">
      <c r="A362" s="118"/>
      <c r="B362" s="119" t="s">
        <v>20015</v>
      </c>
      <c r="C362" t="s">
        <v>20021</v>
      </c>
      <c r="E362" s="118"/>
      <c r="F362" s="119" t="s">
        <v>20051</v>
      </c>
      <c r="G362" t="s">
        <v>20057</v>
      </c>
      <c r="I362" s="118"/>
      <c r="J362" s="119" t="s">
        <v>20087</v>
      </c>
      <c r="K362" t="s">
        <v>20093</v>
      </c>
      <c r="M362" s="118"/>
      <c r="N362" s="119" t="s">
        <v>20123</v>
      </c>
      <c r="O362" t="s">
        <v>20129</v>
      </c>
      <c r="Q362" s="118"/>
      <c r="R362" s="119" t="s">
        <v>20159</v>
      </c>
      <c r="S362" t="s">
        <v>20165</v>
      </c>
      <c r="U362" s="118"/>
      <c r="V362" s="119" t="s">
        <v>20195</v>
      </c>
      <c r="W362" t="s">
        <v>20201</v>
      </c>
    </row>
    <row r="363" spans="1:23" x14ac:dyDescent="0.3">
      <c r="A363" s="118"/>
      <c r="B363" s="119" t="s">
        <v>20026</v>
      </c>
      <c r="C363" t="s">
        <v>20032</v>
      </c>
      <c r="E363" s="118"/>
      <c r="F363" s="119" t="s">
        <v>20062</v>
      </c>
      <c r="G363" t="s">
        <v>20068</v>
      </c>
      <c r="I363" s="118"/>
      <c r="J363" s="119" t="s">
        <v>20098</v>
      </c>
      <c r="K363" t="s">
        <v>20104</v>
      </c>
      <c r="M363" s="118"/>
      <c r="N363" s="119" t="s">
        <v>20134</v>
      </c>
      <c r="O363" t="s">
        <v>20140</v>
      </c>
      <c r="Q363" s="118"/>
      <c r="R363" s="119" t="s">
        <v>20170</v>
      </c>
      <c r="S363" t="s">
        <v>20176</v>
      </c>
      <c r="U363" s="118"/>
      <c r="V363" s="119" t="s">
        <v>20206</v>
      </c>
      <c r="W363" t="s">
        <v>20212</v>
      </c>
    </row>
    <row r="364" spans="1:23" x14ac:dyDescent="0.3">
      <c r="A364" s="118"/>
      <c r="B364" s="119" t="s">
        <v>20027</v>
      </c>
      <c r="C364" t="s">
        <v>20033</v>
      </c>
      <c r="E364" s="118"/>
      <c r="F364" s="119" t="s">
        <v>20063</v>
      </c>
      <c r="G364" t="s">
        <v>20069</v>
      </c>
      <c r="I364" s="118"/>
      <c r="J364" s="119" t="s">
        <v>20099</v>
      </c>
      <c r="K364" t="s">
        <v>20105</v>
      </c>
      <c r="M364" s="118"/>
      <c r="N364" s="119" t="s">
        <v>20135</v>
      </c>
      <c r="O364" t="s">
        <v>20141</v>
      </c>
      <c r="Q364" s="118"/>
      <c r="R364" s="119" t="s">
        <v>20171</v>
      </c>
      <c r="S364" t="s">
        <v>20177</v>
      </c>
      <c r="U364" s="118"/>
      <c r="V364" s="119" t="s">
        <v>20207</v>
      </c>
      <c r="W364" t="s">
        <v>20213</v>
      </c>
    </row>
    <row r="365" spans="1:23" x14ac:dyDescent="0.3">
      <c r="A365" s="118"/>
      <c r="B365" s="119" t="s">
        <v>20218</v>
      </c>
      <c r="C365" t="s">
        <v>20224</v>
      </c>
      <c r="E365" s="118"/>
      <c r="F365" s="119" t="s">
        <v>20254</v>
      </c>
      <c r="G365" t="s">
        <v>20260</v>
      </c>
      <c r="I365" s="118"/>
      <c r="J365" s="119" t="s">
        <v>20290</v>
      </c>
      <c r="K365" t="s">
        <v>20296</v>
      </c>
      <c r="M365" s="118"/>
      <c r="N365" s="119" t="s">
        <v>20326</v>
      </c>
      <c r="O365" t="s">
        <v>20332</v>
      </c>
      <c r="Q365" s="118"/>
      <c r="R365" s="119" t="s">
        <v>20362</v>
      </c>
      <c r="S365" t="s">
        <v>20368</v>
      </c>
      <c r="U365" s="118"/>
      <c r="V365" s="119" t="s">
        <v>20398</v>
      </c>
      <c r="W365" t="s">
        <v>20404</v>
      </c>
    </row>
    <row r="366" spans="1:23" x14ac:dyDescent="0.3">
      <c r="A366" s="118"/>
      <c r="B366" s="119" t="s">
        <v>20219</v>
      </c>
      <c r="C366" t="s">
        <v>20225</v>
      </c>
      <c r="E366" s="118"/>
      <c r="F366" s="119" t="s">
        <v>20255</v>
      </c>
      <c r="G366" t="s">
        <v>20261</v>
      </c>
      <c r="I366" s="118"/>
      <c r="J366" s="119" t="s">
        <v>20291</v>
      </c>
      <c r="K366" t="s">
        <v>20297</v>
      </c>
      <c r="M366" s="118"/>
      <c r="N366" s="119" t="s">
        <v>20327</v>
      </c>
      <c r="O366" t="s">
        <v>20333</v>
      </c>
      <c r="Q366" s="118"/>
      <c r="R366" s="119" t="s">
        <v>20363</v>
      </c>
      <c r="S366" t="s">
        <v>20369</v>
      </c>
      <c r="U366" s="118"/>
      <c r="V366" s="119" t="s">
        <v>20399</v>
      </c>
      <c r="W366" t="s">
        <v>20405</v>
      </c>
    </row>
    <row r="367" spans="1:23" x14ac:dyDescent="0.3">
      <c r="A367" s="118"/>
      <c r="B367" s="119" t="s">
        <v>20230</v>
      </c>
      <c r="C367" t="s">
        <v>20236</v>
      </c>
      <c r="E367" s="118"/>
      <c r="F367" s="119" t="s">
        <v>20266</v>
      </c>
      <c r="G367" t="s">
        <v>20272</v>
      </c>
      <c r="I367" s="118"/>
      <c r="J367" s="119" t="s">
        <v>20302</v>
      </c>
      <c r="K367" t="s">
        <v>20308</v>
      </c>
      <c r="M367" s="118"/>
      <c r="N367" s="119" t="s">
        <v>20338</v>
      </c>
      <c r="O367" t="s">
        <v>20344</v>
      </c>
      <c r="Q367" s="118"/>
      <c r="R367" s="119" t="s">
        <v>20374</v>
      </c>
      <c r="S367" t="s">
        <v>20380</v>
      </c>
      <c r="U367" s="118"/>
      <c r="V367" s="119" t="s">
        <v>20410</v>
      </c>
      <c r="W367" t="s">
        <v>20416</v>
      </c>
    </row>
    <row r="368" spans="1:23" x14ac:dyDescent="0.3">
      <c r="A368" s="118"/>
      <c r="B368" s="119" t="s">
        <v>20231</v>
      </c>
      <c r="C368" t="s">
        <v>20237</v>
      </c>
      <c r="E368" s="118"/>
      <c r="F368" s="119" t="s">
        <v>20267</v>
      </c>
      <c r="G368" t="s">
        <v>20273</v>
      </c>
      <c r="I368" s="118"/>
      <c r="J368" s="119" t="s">
        <v>20303</v>
      </c>
      <c r="K368" t="s">
        <v>20309</v>
      </c>
      <c r="M368" s="118"/>
      <c r="N368" s="119" t="s">
        <v>20339</v>
      </c>
      <c r="O368" t="s">
        <v>20345</v>
      </c>
      <c r="Q368" s="118"/>
      <c r="R368" s="119" t="s">
        <v>20375</v>
      </c>
      <c r="S368" t="s">
        <v>20381</v>
      </c>
      <c r="U368" s="118"/>
      <c r="V368" s="119" t="s">
        <v>20411</v>
      </c>
      <c r="W368" t="s">
        <v>20417</v>
      </c>
    </row>
    <row r="369" spans="1:23" x14ac:dyDescent="0.3">
      <c r="A369" s="118"/>
      <c r="B369" s="119" t="s">
        <v>20242</v>
      </c>
      <c r="C369" t="s">
        <v>20248</v>
      </c>
      <c r="E369" s="118"/>
      <c r="F369" s="119" t="s">
        <v>20278</v>
      </c>
      <c r="G369" t="s">
        <v>20284</v>
      </c>
      <c r="I369" s="118"/>
      <c r="J369" s="119" t="s">
        <v>20314</v>
      </c>
      <c r="K369" t="s">
        <v>20320</v>
      </c>
      <c r="M369" s="118"/>
      <c r="N369" s="119" t="s">
        <v>20350</v>
      </c>
      <c r="O369" t="s">
        <v>20356</v>
      </c>
      <c r="Q369" s="118"/>
      <c r="R369" s="119" t="s">
        <v>20386</v>
      </c>
      <c r="S369" t="s">
        <v>20392</v>
      </c>
      <c r="U369" s="118"/>
      <c r="V369" s="119" t="s">
        <v>20422</v>
      </c>
      <c r="W369" t="s">
        <v>20428</v>
      </c>
    </row>
    <row r="370" spans="1:23" x14ac:dyDescent="0.3">
      <c r="A370" s="118"/>
      <c r="B370" s="119" t="s">
        <v>20243</v>
      </c>
      <c r="C370" t="s">
        <v>20249</v>
      </c>
      <c r="E370" s="118"/>
      <c r="F370" s="119" t="s">
        <v>20279</v>
      </c>
      <c r="G370" t="s">
        <v>20285</v>
      </c>
      <c r="I370" s="118"/>
      <c r="J370" s="119" t="s">
        <v>20315</v>
      </c>
      <c r="K370" t="s">
        <v>20321</v>
      </c>
      <c r="M370" s="118"/>
      <c r="N370" s="119" t="s">
        <v>20351</v>
      </c>
      <c r="O370" t="s">
        <v>20357</v>
      </c>
      <c r="Q370" s="118"/>
      <c r="R370" s="119" t="s">
        <v>20387</v>
      </c>
      <c r="S370" t="s">
        <v>20393</v>
      </c>
      <c r="U370" s="118"/>
      <c r="V370" s="119" t="s">
        <v>20423</v>
      </c>
      <c r="W370" t="s">
        <v>20429</v>
      </c>
    </row>
    <row r="371" spans="1:23" x14ac:dyDescent="0.3">
      <c r="A371" s="118"/>
      <c r="B371" s="119" t="s">
        <v>20434</v>
      </c>
      <c r="C371" t="s">
        <v>20440</v>
      </c>
      <c r="E371" s="118"/>
      <c r="F371" s="119" t="s">
        <v>20470</v>
      </c>
      <c r="G371" t="s">
        <v>20476</v>
      </c>
      <c r="I371" s="118"/>
      <c r="J371" s="119" t="s">
        <v>20506</v>
      </c>
      <c r="K371" t="s">
        <v>20512</v>
      </c>
      <c r="M371" s="118"/>
      <c r="N371" s="119" t="s">
        <v>20542</v>
      </c>
      <c r="O371" t="s">
        <v>20548</v>
      </c>
      <c r="Q371" s="118"/>
      <c r="R371" s="119" t="s">
        <v>20578</v>
      </c>
      <c r="S371" t="s">
        <v>20584</v>
      </c>
      <c r="U371" s="118"/>
      <c r="V371" s="119" t="s">
        <v>20614</v>
      </c>
      <c r="W371" t="s">
        <v>20620</v>
      </c>
    </row>
    <row r="372" spans="1:23" x14ac:dyDescent="0.3">
      <c r="A372" s="118"/>
      <c r="B372" s="119" t="s">
        <v>20435</v>
      </c>
      <c r="C372" t="s">
        <v>20441</v>
      </c>
      <c r="E372" s="118"/>
      <c r="F372" s="119" t="s">
        <v>20471</v>
      </c>
      <c r="G372" t="s">
        <v>20477</v>
      </c>
      <c r="I372" s="118"/>
      <c r="J372" s="119" t="s">
        <v>20507</v>
      </c>
      <c r="K372" t="s">
        <v>20513</v>
      </c>
      <c r="M372" s="118"/>
      <c r="N372" s="119" t="s">
        <v>20543</v>
      </c>
      <c r="O372" t="s">
        <v>20549</v>
      </c>
      <c r="Q372" s="118"/>
      <c r="R372" s="119" t="s">
        <v>20579</v>
      </c>
      <c r="S372" t="s">
        <v>20585</v>
      </c>
      <c r="U372" s="118"/>
      <c r="V372" s="119" t="s">
        <v>20615</v>
      </c>
      <c r="W372" t="s">
        <v>20621</v>
      </c>
    </row>
    <row r="373" spans="1:23" x14ac:dyDescent="0.3">
      <c r="A373" s="118"/>
      <c r="B373" s="119" t="s">
        <v>20446</v>
      </c>
      <c r="C373" t="s">
        <v>20452</v>
      </c>
      <c r="E373" s="118"/>
      <c r="F373" s="119" t="s">
        <v>20482</v>
      </c>
      <c r="G373" t="s">
        <v>20488</v>
      </c>
      <c r="I373" s="118"/>
      <c r="J373" s="119" t="s">
        <v>20518</v>
      </c>
      <c r="K373" t="s">
        <v>20524</v>
      </c>
      <c r="M373" s="118"/>
      <c r="N373" s="119" t="s">
        <v>20554</v>
      </c>
      <c r="O373" t="s">
        <v>20560</v>
      </c>
      <c r="Q373" s="118"/>
      <c r="R373" s="119" t="s">
        <v>20590</v>
      </c>
      <c r="S373" t="s">
        <v>20596</v>
      </c>
      <c r="U373" s="118"/>
      <c r="V373" s="119" t="s">
        <v>20626</v>
      </c>
      <c r="W373" t="s">
        <v>20632</v>
      </c>
    </row>
    <row r="374" spans="1:23" x14ac:dyDescent="0.3">
      <c r="A374" s="118"/>
      <c r="B374" s="119" t="s">
        <v>20447</v>
      </c>
      <c r="C374" t="s">
        <v>20453</v>
      </c>
      <c r="E374" s="118"/>
      <c r="F374" s="119" t="s">
        <v>20483</v>
      </c>
      <c r="G374" t="s">
        <v>20489</v>
      </c>
      <c r="I374" s="118"/>
      <c r="J374" s="119" t="s">
        <v>20519</v>
      </c>
      <c r="K374" t="s">
        <v>20525</v>
      </c>
      <c r="M374" s="118"/>
      <c r="N374" s="119" t="s">
        <v>20555</v>
      </c>
      <c r="O374" t="s">
        <v>20561</v>
      </c>
      <c r="Q374" s="118"/>
      <c r="R374" s="119" t="s">
        <v>20591</v>
      </c>
      <c r="S374" t="s">
        <v>20597</v>
      </c>
      <c r="U374" s="118"/>
      <c r="V374" s="119" t="s">
        <v>20627</v>
      </c>
      <c r="W374" t="s">
        <v>20633</v>
      </c>
    </row>
    <row r="375" spans="1:23" x14ac:dyDescent="0.3">
      <c r="A375" s="118"/>
      <c r="B375" s="119" t="s">
        <v>20458</v>
      </c>
      <c r="C375" t="s">
        <v>20464</v>
      </c>
      <c r="E375" s="118"/>
      <c r="F375" s="119" t="s">
        <v>20494</v>
      </c>
      <c r="G375" t="s">
        <v>20500</v>
      </c>
      <c r="I375" s="118"/>
      <c r="J375" s="119" t="s">
        <v>20530</v>
      </c>
      <c r="K375" t="s">
        <v>20536</v>
      </c>
      <c r="M375" s="118"/>
      <c r="N375" s="119" t="s">
        <v>20566</v>
      </c>
      <c r="O375" t="s">
        <v>20572</v>
      </c>
      <c r="Q375" s="118"/>
      <c r="R375" s="119" t="s">
        <v>20602</v>
      </c>
      <c r="S375" t="s">
        <v>20608</v>
      </c>
      <c r="U375" s="118"/>
      <c r="V375" s="119" t="s">
        <v>20638</v>
      </c>
      <c r="W375" t="s">
        <v>20644</v>
      </c>
    </row>
    <row r="376" spans="1:23" x14ac:dyDescent="0.3">
      <c r="A376" s="118"/>
      <c r="B376" s="119" t="s">
        <v>20459</v>
      </c>
      <c r="C376" t="s">
        <v>20465</v>
      </c>
      <c r="E376" s="118"/>
      <c r="F376" s="119" t="s">
        <v>20495</v>
      </c>
      <c r="G376" t="s">
        <v>20501</v>
      </c>
      <c r="I376" s="118"/>
      <c r="J376" s="119" t="s">
        <v>20531</v>
      </c>
      <c r="K376" t="s">
        <v>20537</v>
      </c>
      <c r="M376" s="118"/>
      <c r="N376" s="119" t="s">
        <v>20567</v>
      </c>
      <c r="O376" t="s">
        <v>20573</v>
      </c>
      <c r="Q376" s="118"/>
      <c r="R376" s="119" t="s">
        <v>20603</v>
      </c>
      <c r="S376" t="s">
        <v>20609</v>
      </c>
      <c r="U376" s="118"/>
      <c r="V376" s="119" t="s">
        <v>20639</v>
      </c>
      <c r="W376" t="s">
        <v>20645</v>
      </c>
    </row>
    <row r="377" spans="1:23" x14ac:dyDescent="0.3">
      <c r="A377" s="118"/>
      <c r="B377" s="119" t="s">
        <v>20650</v>
      </c>
      <c r="C377" t="s">
        <v>20656</v>
      </c>
      <c r="E377" s="118"/>
      <c r="F377" s="119" t="s">
        <v>20686</v>
      </c>
      <c r="G377" t="s">
        <v>20692</v>
      </c>
      <c r="I377" s="118"/>
      <c r="J377" s="119" t="s">
        <v>20722</v>
      </c>
      <c r="K377" t="s">
        <v>20728</v>
      </c>
      <c r="M377" s="118"/>
      <c r="N377" s="119" t="s">
        <v>20758</v>
      </c>
      <c r="O377" t="s">
        <v>20764</v>
      </c>
      <c r="Q377" s="118"/>
      <c r="R377" s="119" t="s">
        <v>20794</v>
      </c>
      <c r="S377" t="s">
        <v>20800</v>
      </c>
      <c r="U377" s="118"/>
      <c r="V377" s="119" t="s">
        <v>20830</v>
      </c>
      <c r="W377" t="s">
        <v>20836</v>
      </c>
    </row>
    <row r="378" spans="1:23" x14ac:dyDescent="0.3">
      <c r="A378" s="118"/>
      <c r="B378" s="119" t="s">
        <v>20651</v>
      </c>
      <c r="C378" t="s">
        <v>20657</v>
      </c>
      <c r="E378" s="118"/>
      <c r="F378" s="119" t="s">
        <v>20687</v>
      </c>
      <c r="G378" t="s">
        <v>20693</v>
      </c>
      <c r="I378" s="118"/>
      <c r="J378" s="119" t="s">
        <v>20723</v>
      </c>
      <c r="K378" t="s">
        <v>20729</v>
      </c>
      <c r="M378" s="118"/>
      <c r="N378" s="119" t="s">
        <v>20759</v>
      </c>
      <c r="O378" t="s">
        <v>20765</v>
      </c>
      <c r="Q378" s="118"/>
      <c r="R378" s="119" t="s">
        <v>20795</v>
      </c>
      <c r="S378" t="s">
        <v>20801</v>
      </c>
      <c r="U378" s="118"/>
      <c r="V378" s="119" t="s">
        <v>20831</v>
      </c>
      <c r="W378" t="s">
        <v>20837</v>
      </c>
    </row>
    <row r="379" spans="1:23" x14ac:dyDescent="0.3">
      <c r="A379" s="118"/>
      <c r="B379" s="119" t="s">
        <v>20662</v>
      </c>
      <c r="C379" t="s">
        <v>20668</v>
      </c>
      <c r="E379" s="118"/>
      <c r="F379" s="119" t="s">
        <v>20698</v>
      </c>
      <c r="G379" t="s">
        <v>20704</v>
      </c>
      <c r="I379" s="118"/>
      <c r="J379" s="119" t="s">
        <v>20734</v>
      </c>
      <c r="K379" t="s">
        <v>20740</v>
      </c>
      <c r="M379" s="118"/>
      <c r="N379" s="119" t="s">
        <v>20770</v>
      </c>
      <c r="O379" t="s">
        <v>20776</v>
      </c>
      <c r="Q379" s="118"/>
      <c r="R379" s="119" t="s">
        <v>20806</v>
      </c>
      <c r="S379" t="s">
        <v>20812</v>
      </c>
      <c r="U379" s="118"/>
      <c r="V379" s="119" t="s">
        <v>20842</v>
      </c>
      <c r="W379" t="s">
        <v>20848</v>
      </c>
    </row>
    <row r="380" spans="1:23" x14ac:dyDescent="0.3">
      <c r="A380" s="118"/>
      <c r="B380" s="119" t="s">
        <v>20663</v>
      </c>
      <c r="C380" t="s">
        <v>20669</v>
      </c>
      <c r="E380" s="118"/>
      <c r="F380" s="119" t="s">
        <v>20699</v>
      </c>
      <c r="G380" t="s">
        <v>20705</v>
      </c>
      <c r="I380" s="118"/>
      <c r="J380" s="119" t="s">
        <v>20735</v>
      </c>
      <c r="K380" t="s">
        <v>20741</v>
      </c>
      <c r="M380" s="118"/>
      <c r="N380" s="119" t="s">
        <v>20771</v>
      </c>
      <c r="O380" t="s">
        <v>20777</v>
      </c>
      <c r="Q380" s="118"/>
      <c r="R380" s="119" t="s">
        <v>20807</v>
      </c>
      <c r="S380" t="s">
        <v>20813</v>
      </c>
      <c r="U380" s="118"/>
      <c r="V380" s="119" t="s">
        <v>20843</v>
      </c>
      <c r="W380" t="s">
        <v>20849</v>
      </c>
    </row>
    <row r="381" spans="1:23" x14ac:dyDescent="0.3">
      <c r="A381" s="118"/>
      <c r="B381" s="119" t="s">
        <v>20674</v>
      </c>
      <c r="C381" t="s">
        <v>20680</v>
      </c>
      <c r="E381" s="118"/>
      <c r="F381" s="119" t="s">
        <v>20710</v>
      </c>
      <c r="G381" t="s">
        <v>20716</v>
      </c>
      <c r="I381" s="118"/>
      <c r="J381" s="119" t="s">
        <v>20746</v>
      </c>
      <c r="K381" t="s">
        <v>20752</v>
      </c>
      <c r="M381" s="118"/>
      <c r="N381" s="119" t="s">
        <v>20782</v>
      </c>
      <c r="O381" t="s">
        <v>20788</v>
      </c>
      <c r="Q381" s="118"/>
      <c r="R381" s="119" t="s">
        <v>20818</v>
      </c>
      <c r="S381" t="s">
        <v>20824</v>
      </c>
      <c r="U381" s="118"/>
      <c r="V381" s="119" t="s">
        <v>20854</v>
      </c>
      <c r="W381" t="s">
        <v>20860</v>
      </c>
    </row>
    <row r="382" spans="1:23" x14ac:dyDescent="0.3">
      <c r="A382" s="118"/>
      <c r="B382" s="119" t="s">
        <v>20675</v>
      </c>
      <c r="C382" t="s">
        <v>20681</v>
      </c>
      <c r="E382" s="118"/>
      <c r="F382" s="119" t="s">
        <v>20711</v>
      </c>
      <c r="G382" t="s">
        <v>20717</v>
      </c>
      <c r="I382" s="118"/>
      <c r="J382" s="119" t="s">
        <v>20747</v>
      </c>
      <c r="K382" t="s">
        <v>20753</v>
      </c>
      <c r="M382" s="118"/>
      <c r="N382" s="119" t="s">
        <v>20783</v>
      </c>
      <c r="O382" t="s">
        <v>20789</v>
      </c>
      <c r="Q382" s="118"/>
      <c r="R382" s="119" t="s">
        <v>20819</v>
      </c>
      <c r="S382" t="s">
        <v>20825</v>
      </c>
      <c r="U382" s="118"/>
      <c r="V382" s="119" t="s">
        <v>20855</v>
      </c>
      <c r="W382" t="s">
        <v>20861</v>
      </c>
    </row>
    <row r="383" spans="1:23" x14ac:dyDescent="0.3">
      <c r="A383" s="118"/>
      <c r="B383" s="119" t="s">
        <v>20866</v>
      </c>
      <c r="C383" t="s">
        <v>20872</v>
      </c>
      <c r="E383" s="118"/>
      <c r="F383" s="119" t="s">
        <v>20902</v>
      </c>
      <c r="G383" t="s">
        <v>20908</v>
      </c>
      <c r="I383" s="118"/>
      <c r="J383" s="119" t="s">
        <v>20938</v>
      </c>
      <c r="K383" t="s">
        <v>20944</v>
      </c>
      <c r="M383" s="118"/>
      <c r="N383" s="119" t="s">
        <v>20974</v>
      </c>
      <c r="O383" t="s">
        <v>20980</v>
      </c>
      <c r="Q383" s="118"/>
      <c r="R383" s="119" t="s">
        <v>21010</v>
      </c>
      <c r="S383" t="s">
        <v>21016</v>
      </c>
      <c r="U383" s="118"/>
      <c r="V383" s="119" t="s">
        <v>21046</v>
      </c>
      <c r="W383" t="s">
        <v>21052</v>
      </c>
    </row>
    <row r="384" spans="1:23" x14ac:dyDescent="0.3">
      <c r="A384" s="118"/>
      <c r="B384" s="119" t="s">
        <v>20867</v>
      </c>
      <c r="C384" t="s">
        <v>20873</v>
      </c>
      <c r="E384" s="118"/>
      <c r="F384" s="119" t="s">
        <v>20903</v>
      </c>
      <c r="G384" t="s">
        <v>20909</v>
      </c>
      <c r="I384" s="118"/>
      <c r="J384" s="119" t="s">
        <v>20939</v>
      </c>
      <c r="K384" t="s">
        <v>20945</v>
      </c>
      <c r="M384" s="118"/>
      <c r="N384" s="119" t="s">
        <v>20975</v>
      </c>
      <c r="O384" t="s">
        <v>20981</v>
      </c>
      <c r="Q384" s="118"/>
      <c r="R384" s="119" t="s">
        <v>21011</v>
      </c>
      <c r="S384" t="s">
        <v>21017</v>
      </c>
      <c r="U384" s="118"/>
      <c r="V384" s="119" t="s">
        <v>21047</v>
      </c>
      <c r="W384" t="s">
        <v>21053</v>
      </c>
    </row>
    <row r="385" spans="1:23" x14ac:dyDescent="0.3">
      <c r="A385" s="118"/>
      <c r="B385" s="119" t="s">
        <v>20878</v>
      </c>
      <c r="C385" t="s">
        <v>20884</v>
      </c>
      <c r="E385" s="118"/>
      <c r="F385" s="119" t="s">
        <v>20914</v>
      </c>
      <c r="G385" t="s">
        <v>20920</v>
      </c>
      <c r="I385" s="118"/>
      <c r="J385" s="119" t="s">
        <v>20950</v>
      </c>
      <c r="K385" t="s">
        <v>20956</v>
      </c>
      <c r="M385" s="118"/>
      <c r="N385" s="119" t="s">
        <v>20986</v>
      </c>
      <c r="O385" t="s">
        <v>20992</v>
      </c>
      <c r="Q385" s="118"/>
      <c r="R385" s="119" t="s">
        <v>21022</v>
      </c>
      <c r="S385" t="s">
        <v>21028</v>
      </c>
      <c r="U385" s="118"/>
      <c r="V385" s="119" t="s">
        <v>21058</v>
      </c>
      <c r="W385" t="s">
        <v>21064</v>
      </c>
    </row>
    <row r="386" spans="1:23" x14ac:dyDescent="0.3">
      <c r="A386" s="118"/>
      <c r="B386" s="119" t="s">
        <v>20879</v>
      </c>
      <c r="C386" t="s">
        <v>20885</v>
      </c>
      <c r="E386" s="118"/>
      <c r="F386" s="119" t="s">
        <v>20915</v>
      </c>
      <c r="G386" t="s">
        <v>20921</v>
      </c>
      <c r="I386" s="118"/>
      <c r="J386" s="119" t="s">
        <v>20951</v>
      </c>
      <c r="K386" t="s">
        <v>20957</v>
      </c>
      <c r="M386" s="118"/>
      <c r="N386" s="119" t="s">
        <v>20987</v>
      </c>
      <c r="O386" t="s">
        <v>20993</v>
      </c>
      <c r="Q386" s="118"/>
      <c r="R386" s="119" t="s">
        <v>21023</v>
      </c>
      <c r="S386" t="s">
        <v>21029</v>
      </c>
      <c r="U386" s="118"/>
      <c r="V386" s="119" t="s">
        <v>21059</v>
      </c>
      <c r="W386" t="s">
        <v>21065</v>
      </c>
    </row>
    <row r="387" spans="1:23" x14ac:dyDescent="0.3">
      <c r="A387" s="118"/>
      <c r="B387" s="119" t="s">
        <v>20890</v>
      </c>
      <c r="C387" t="s">
        <v>20896</v>
      </c>
      <c r="E387" s="118"/>
      <c r="F387" s="119" t="s">
        <v>20926</v>
      </c>
      <c r="G387" t="s">
        <v>20932</v>
      </c>
      <c r="I387" s="118"/>
      <c r="J387" s="119" t="s">
        <v>20962</v>
      </c>
      <c r="K387" t="s">
        <v>20968</v>
      </c>
      <c r="M387" s="118"/>
      <c r="N387" s="119" t="s">
        <v>20998</v>
      </c>
      <c r="O387" t="s">
        <v>21004</v>
      </c>
      <c r="Q387" s="118"/>
      <c r="R387" s="119" t="s">
        <v>21034</v>
      </c>
      <c r="S387" t="s">
        <v>21040</v>
      </c>
      <c r="U387" s="118"/>
      <c r="V387" s="119" t="s">
        <v>21070</v>
      </c>
      <c r="W387" t="s">
        <v>21076</v>
      </c>
    </row>
    <row r="388" spans="1:23" x14ac:dyDescent="0.3">
      <c r="A388" s="118"/>
      <c r="B388" s="119" t="s">
        <v>20891</v>
      </c>
      <c r="C388" t="s">
        <v>20897</v>
      </c>
      <c r="E388" s="118"/>
      <c r="F388" s="119" t="s">
        <v>20927</v>
      </c>
      <c r="G388" t="s">
        <v>20933</v>
      </c>
      <c r="I388" s="118"/>
      <c r="J388" s="119" t="s">
        <v>20963</v>
      </c>
      <c r="K388" t="s">
        <v>20969</v>
      </c>
      <c r="M388" s="118"/>
      <c r="N388" s="119" t="s">
        <v>20999</v>
      </c>
      <c r="O388" t="s">
        <v>21005</v>
      </c>
      <c r="Q388" s="118"/>
      <c r="R388" s="119" t="s">
        <v>21035</v>
      </c>
      <c r="S388" t="s">
        <v>21041</v>
      </c>
      <c r="U388" s="118"/>
      <c r="V388" s="119" t="s">
        <v>21071</v>
      </c>
      <c r="W388" t="s">
        <v>21077</v>
      </c>
    </row>
    <row r="389" spans="1:23" x14ac:dyDescent="0.3">
      <c r="A389" s="118"/>
      <c r="B389" s="119" t="s">
        <v>21082</v>
      </c>
      <c r="C389" t="s">
        <v>21088</v>
      </c>
      <c r="E389" s="118"/>
      <c r="F389" s="119" t="s">
        <v>21118</v>
      </c>
      <c r="G389" t="s">
        <v>21124</v>
      </c>
      <c r="I389" s="118"/>
      <c r="J389" s="119" t="s">
        <v>21154</v>
      </c>
      <c r="K389" t="s">
        <v>21160</v>
      </c>
      <c r="M389" s="118"/>
      <c r="N389" s="119" t="s">
        <v>21190</v>
      </c>
      <c r="O389" t="s">
        <v>21196</v>
      </c>
      <c r="Q389" s="118"/>
      <c r="R389" s="119" t="s">
        <v>21226</v>
      </c>
      <c r="S389" t="s">
        <v>21232</v>
      </c>
      <c r="U389" s="118"/>
      <c r="V389" s="119" t="s">
        <v>21262</v>
      </c>
      <c r="W389" t="s">
        <v>21268</v>
      </c>
    </row>
    <row r="390" spans="1:23" x14ac:dyDescent="0.3">
      <c r="A390" s="118"/>
      <c r="B390" s="119" t="s">
        <v>21083</v>
      </c>
      <c r="C390" t="s">
        <v>21089</v>
      </c>
      <c r="E390" s="118"/>
      <c r="F390" s="119" t="s">
        <v>21119</v>
      </c>
      <c r="G390" t="s">
        <v>21125</v>
      </c>
      <c r="I390" s="118"/>
      <c r="J390" s="119" t="s">
        <v>21155</v>
      </c>
      <c r="K390" t="s">
        <v>21161</v>
      </c>
      <c r="M390" s="118"/>
      <c r="N390" s="119" t="s">
        <v>21191</v>
      </c>
      <c r="O390" t="s">
        <v>21197</v>
      </c>
      <c r="Q390" s="118"/>
      <c r="R390" s="119" t="s">
        <v>21227</v>
      </c>
      <c r="S390" t="s">
        <v>21233</v>
      </c>
      <c r="U390" s="118"/>
      <c r="V390" s="119" t="s">
        <v>21263</v>
      </c>
      <c r="W390" t="s">
        <v>21269</v>
      </c>
    </row>
    <row r="391" spans="1:23" x14ac:dyDescent="0.3">
      <c r="A391" s="118"/>
      <c r="B391" s="119" t="s">
        <v>21094</v>
      </c>
      <c r="C391" t="s">
        <v>21100</v>
      </c>
      <c r="E391" s="118"/>
      <c r="F391" s="119" t="s">
        <v>21130</v>
      </c>
      <c r="G391" t="s">
        <v>21136</v>
      </c>
      <c r="I391" s="118"/>
      <c r="J391" s="119" t="s">
        <v>21166</v>
      </c>
      <c r="K391" t="s">
        <v>21172</v>
      </c>
      <c r="M391" s="118"/>
      <c r="N391" s="119" t="s">
        <v>21202</v>
      </c>
      <c r="O391" t="s">
        <v>21208</v>
      </c>
      <c r="Q391" s="118"/>
      <c r="R391" s="119" t="s">
        <v>21238</v>
      </c>
      <c r="S391" t="s">
        <v>21244</v>
      </c>
      <c r="U391" s="118"/>
      <c r="V391" s="119" t="s">
        <v>21274</v>
      </c>
      <c r="W391" t="s">
        <v>21280</v>
      </c>
    </row>
    <row r="392" spans="1:23" x14ac:dyDescent="0.3">
      <c r="A392" s="118"/>
      <c r="B392" s="119" t="s">
        <v>21095</v>
      </c>
      <c r="C392" t="s">
        <v>21101</v>
      </c>
      <c r="E392" s="118"/>
      <c r="F392" s="119" t="s">
        <v>21131</v>
      </c>
      <c r="G392" t="s">
        <v>21137</v>
      </c>
      <c r="I392" s="118"/>
      <c r="J392" s="119" t="s">
        <v>21167</v>
      </c>
      <c r="K392" t="s">
        <v>21173</v>
      </c>
      <c r="M392" s="118"/>
      <c r="N392" s="119" t="s">
        <v>21203</v>
      </c>
      <c r="O392" t="s">
        <v>21209</v>
      </c>
      <c r="Q392" s="118"/>
      <c r="R392" s="119" t="s">
        <v>21239</v>
      </c>
      <c r="S392" t="s">
        <v>21245</v>
      </c>
      <c r="U392" s="118"/>
      <c r="V392" s="119" t="s">
        <v>21275</v>
      </c>
      <c r="W392" t="s">
        <v>21281</v>
      </c>
    </row>
    <row r="393" spans="1:23" x14ac:dyDescent="0.3">
      <c r="A393" s="118"/>
      <c r="B393" s="119" t="s">
        <v>21106</v>
      </c>
      <c r="C393" t="s">
        <v>21112</v>
      </c>
      <c r="E393" s="118"/>
      <c r="F393" s="119" t="s">
        <v>21142</v>
      </c>
      <c r="G393" t="s">
        <v>21148</v>
      </c>
      <c r="I393" s="118"/>
      <c r="J393" s="119" t="s">
        <v>21178</v>
      </c>
      <c r="K393" t="s">
        <v>21184</v>
      </c>
      <c r="M393" s="118"/>
      <c r="N393" s="119" t="s">
        <v>21214</v>
      </c>
      <c r="O393" t="s">
        <v>21220</v>
      </c>
      <c r="Q393" s="118"/>
      <c r="R393" s="119" t="s">
        <v>21250</v>
      </c>
      <c r="S393" t="s">
        <v>21256</v>
      </c>
      <c r="U393" s="118"/>
      <c r="V393" s="119" t="s">
        <v>21286</v>
      </c>
      <c r="W393" t="s">
        <v>21292</v>
      </c>
    </row>
    <row r="394" spans="1:23" x14ac:dyDescent="0.3">
      <c r="A394" s="118"/>
      <c r="B394" s="119" t="s">
        <v>21107</v>
      </c>
      <c r="C394" t="s">
        <v>21113</v>
      </c>
      <c r="E394" s="118"/>
      <c r="F394" s="119" t="s">
        <v>21143</v>
      </c>
      <c r="G394" t="s">
        <v>21149</v>
      </c>
      <c r="I394" s="118"/>
      <c r="J394" s="119" t="s">
        <v>21179</v>
      </c>
      <c r="K394" t="s">
        <v>21185</v>
      </c>
      <c r="M394" s="118"/>
      <c r="N394" s="119" t="s">
        <v>21215</v>
      </c>
      <c r="O394" t="s">
        <v>21221</v>
      </c>
      <c r="Q394" s="118"/>
      <c r="R394" s="119" t="s">
        <v>21251</v>
      </c>
      <c r="S394" t="s">
        <v>21257</v>
      </c>
      <c r="U394" s="118"/>
      <c r="V394" s="119" t="s">
        <v>21287</v>
      </c>
      <c r="W394" t="s">
        <v>21293</v>
      </c>
    </row>
    <row r="395" spans="1:23" x14ac:dyDescent="0.3">
      <c r="A395" s="118"/>
      <c r="B395" s="119" t="s">
        <v>21298</v>
      </c>
      <c r="C395" t="s">
        <v>21304</v>
      </c>
      <c r="E395" s="118"/>
      <c r="F395" s="119" t="s">
        <v>21334</v>
      </c>
      <c r="G395" t="s">
        <v>21340</v>
      </c>
      <c r="I395" s="118"/>
      <c r="J395" s="119" t="s">
        <v>21370</v>
      </c>
      <c r="K395" t="s">
        <v>21376</v>
      </c>
      <c r="M395" s="118"/>
      <c r="N395" s="119" t="s">
        <v>21406</v>
      </c>
      <c r="O395" t="s">
        <v>21412</v>
      </c>
      <c r="Q395" s="118"/>
      <c r="R395" s="119" t="s">
        <v>21442</v>
      </c>
      <c r="S395" t="s">
        <v>21448</v>
      </c>
      <c r="U395" s="118"/>
      <c r="V395" s="119" t="s">
        <v>21478</v>
      </c>
      <c r="W395" t="s">
        <v>21484</v>
      </c>
    </row>
    <row r="396" spans="1:23" x14ac:dyDescent="0.3">
      <c r="A396" s="118"/>
      <c r="B396" s="119" t="s">
        <v>21299</v>
      </c>
      <c r="C396" t="s">
        <v>21305</v>
      </c>
      <c r="E396" s="118"/>
      <c r="F396" s="119" t="s">
        <v>21335</v>
      </c>
      <c r="G396" t="s">
        <v>21341</v>
      </c>
      <c r="I396" s="118"/>
      <c r="J396" s="119" t="s">
        <v>21371</v>
      </c>
      <c r="K396" t="s">
        <v>21377</v>
      </c>
      <c r="M396" s="118"/>
      <c r="N396" s="119" t="s">
        <v>21407</v>
      </c>
      <c r="O396" t="s">
        <v>21413</v>
      </c>
      <c r="Q396" s="118"/>
      <c r="R396" s="119" t="s">
        <v>21443</v>
      </c>
      <c r="S396" t="s">
        <v>21449</v>
      </c>
      <c r="U396" s="118"/>
      <c r="V396" s="119" t="s">
        <v>21479</v>
      </c>
      <c r="W396" t="s">
        <v>21485</v>
      </c>
    </row>
    <row r="397" spans="1:23" x14ac:dyDescent="0.3">
      <c r="A397" s="118"/>
      <c r="B397" s="119" t="s">
        <v>21310</v>
      </c>
      <c r="C397" t="s">
        <v>21316</v>
      </c>
      <c r="E397" s="118"/>
      <c r="F397" s="119" t="s">
        <v>21346</v>
      </c>
      <c r="G397" t="s">
        <v>21352</v>
      </c>
      <c r="I397" s="118"/>
      <c r="J397" s="119" t="s">
        <v>21382</v>
      </c>
      <c r="K397" t="s">
        <v>21388</v>
      </c>
      <c r="M397" s="118"/>
      <c r="N397" s="119" t="s">
        <v>21418</v>
      </c>
      <c r="O397" t="s">
        <v>21424</v>
      </c>
      <c r="Q397" s="118"/>
      <c r="R397" s="119" t="s">
        <v>21454</v>
      </c>
      <c r="S397" t="s">
        <v>21460</v>
      </c>
      <c r="U397" s="118"/>
      <c r="V397" s="119" t="s">
        <v>21490</v>
      </c>
      <c r="W397" t="s">
        <v>21496</v>
      </c>
    </row>
    <row r="398" spans="1:23" x14ac:dyDescent="0.3">
      <c r="A398" s="118"/>
      <c r="B398" s="119" t="s">
        <v>21311</v>
      </c>
      <c r="C398" t="s">
        <v>21317</v>
      </c>
      <c r="E398" s="118"/>
      <c r="F398" s="119" t="s">
        <v>21347</v>
      </c>
      <c r="G398" t="s">
        <v>21353</v>
      </c>
      <c r="I398" s="118"/>
      <c r="J398" s="119" t="s">
        <v>21383</v>
      </c>
      <c r="K398" t="s">
        <v>21389</v>
      </c>
      <c r="M398" s="118"/>
      <c r="N398" s="119" t="s">
        <v>21419</v>
      </c>
      <c r="O398" t="s">
        <v>21425</v>
      </c>
      <c r="Q398" s="118"/>
      <c r="R398" s="119" t="s">
        <v>21455</v>
      </c>
      <c r="S398" t="s">
        <v>21461</v>
      </c>
      <c r="U398" s="118"/>
      <c r="V398" s="119" t="s">
        <v>21491</v>
      </c>
      <c r="W398" t="s">
        <v>21497</v>
      </c>
    </row>
    <row r="399" spans="1:23" x14ac:dyDescent="0.3">
      <c r="A399" s="118"/>
      <c r="B399" s="119" t="s">
        <v>21322</v>
      </c>
      <c r="C399" t="s">
        <v>21328</v>
      </c>
      <c r="E399" s="118"/>
      <c r="F399" s="119" t="s">
        <v>21358</v>
      </c>
      <c r="G399" t="s">
        <v>21364</v>
      </c>
      <c r="I399" s="118"/>
      <c r="J399" s="119" t="s">
        <v>21394</v>
      </c>
      <c r="K399" t="s">
        <v>21400</v>
      </c>
      <c r="M399" s="118"/>
      <c r="N399" s="119" t="s">
        <v>21430</v>
      </c>
      <c r="O399" t="s">
        <v>21436</v>
      </c>
      <c r="Q399" s="118"/>
      <c r="R399" s="119" t="s">
        <v>21466</v>
      </c>
      <c r="S399" t="s">
        <v>21472</v>
      </c>
      <c r="U399" s="118"/>
      <c r="V399" s="119" t="s">
        <v>21502</v>
      </c>
      <c r="W399" t="s">
        <v>21508</v>
      </c>
    </row>
    <row r="400" spans="1:23" x14ac:dyDescent="0.3">
      <c r="A400" s="118"/>
      <c r="B400" s="119" t="s">
        <v>21323</v>
      </c>
      <c r="C400" t="s">
        <v>21329</v>
      </c>
      <c r="E400" s="118"/>
      <c r="F400" s="119" t="s">
        <v>21359</v>
      </c>
      <c r="G400" t="s">
        <v>21365</v>
      </c>
      <c r="I400" s="118"/>
      <c r="J400" s="119" t="s">
        <v>21395</v>
      </c>
      <c r="K400" t="s">
        <v>21401</v>
      </c>
      <c r="M400" s="118"/>
      <c r="N400" s="119" t="s">
        <v>21431</v>
      </c>
      <c r="O400" t="s">
        <v>21437</v>
      </c>
      <c r="Q400" s="118"/>
      <c r="R400" s="119" t="s">
        <v>21467</v>
      </c>
      <c r="S400" t="s">
        <v>21473</v>
      </c>
      <c r="U400" s="118"/>
      <c r="V400" s="119" t="s">
        <v>21503</v>
      </c>
      <c r="W400" t="s">
        <v>21509</v>
      </c>
    </row>
    <row r="401" spans="1:23" x14ac:dyDescent="0.3">
      <c r="A401" s="118"/>
      <c r="B401" s="119" t="s">
        <v>21514</v>
      </c>
      <c r="C401" t="s">
        <v>21520</v>
      </c>
      <c r="E401" s="118"/>
      <c r="F401" s="119" t="s">
        <v>21550</v>
      </c>
      <c r="G401" t="s">
        <v>21556</v>
      </c>
      <c r="I401" s="118"/>
      <c r="J401" s="119" t="s">
        <v>21586</v>
      </c>
      <c r="K401" t="s">
        <v>21592</v>
      </c>
      <c r="M401" s="118"/>
      <c r="N401" s="119" t="s">
        <v>21622</v>
      </c>
      <c r="O401" t="s">
        <v>21628</v>
      </c>
      <c r="Q401" s="118"/>
      <c r="R401" s="119" t="s">
        <v>21658</v>
      </c>
      <c r="S401" t="s">
        <v>21664</v>
      </c>
      <c r="U401" s="118"/>
      <c r="V401" s="119" t="s">
        <v>21694</v>
      </c>
      <c r="W401" t="s">
        <v>21700</v>
      </c>
    </row>
    <row r="402" spans="1:23" x14ac:dyDescent="0.3">
      <c r="A402" s="118"/>
      <c r="B402" s="119" t="s">
        <v>21515</v>
      </c>
      <c r="C402" t="s">
        <v>21521</v>
      </c>
      <c r="E402" s="118"/>
      <c r="F402" s="119" t="s">
        <v>21551</v>
      </c>
      <c r="G402" t="s">
        <v>21557</v>
      </c>
      <c r="I402" s="118"/>
      <c r="J402" s="119" t="s">
        <v>21587</v>
      </c>
      <c r="K402" t="s">
        <v>21593</v>
      </c>
      <c r="M402" s="118"/>
      <c r="N402" s="119" t="s">
        <v>21623</v>
      </c>
      <c r="O402" t="s">
        <v>21629</v>
      </c>
      <c r="Q402" s="118"/>
      <c r="R402" s="119" t="s">
        <v>21659</v>
      </c>
      <c r="S402" t="s">
        <v>21665</v>
      </c>
      <c r="U402" s="118"/>
      <c r="V402" s="119" t="s">
        <v>21695</v>
      </c>
      <c r="W402" t="s">
        <v>21701</v>
      </c>
    </row>
    <row r="403" spans="1:23" x14ac:dyDescent="0.3">
      <c r="A403" s="118"/>
      <c r="B403" s="119" t="s">
        <v>21526</v>
      </c>
      <c r="C403" t="s">
        <v>21532</v>
      </c>
      <c r="E403" s="118"/>
      <c r="F403" s="119" t="s">
        <v>21562</v>
      </c>
      <c r="G403" t="s">
        <v>21568</v>
      </c>
      <c r="I403" s="118"/>
      <c r="J403" s="119" t="s">
        <v>21598</v>
      </c>
      <c r="K403" t="s">
        <v>21604</v>
      </c>
      <c r="M403" s="118"/>
      <c r="N403" s="119" t="s">
        <v>21634</v>
      </c>
      <c r="O403" t="s">
        <v>21640</v>
      </c>
      <c r="Q403" s="118"/>
      <c r="R403" s="119" t="s">
        <v>21670</v>
      </c>
      <c r="S403" t="s">
        <v>21676</v>
      </c>
      <c r="U403" s="118"/>
      <c r="V403" s="119" t="s">
        <v>21706</v>
      </c>
      <c r="W403" t="s">
        <v>21712</v>
      </c>
    </row>
    <row r="404" spans="1:23" x14ac:dyDescent="0.3">
      <c r="A404" s="118"/>
      <c r="B404" s="119" t="s">
        <v>21527</v>
      </c>
      <c r="C404" t="s">
        <v>21533</v>
      </c>
      <c r="E404" s="118"/>
      <c r="F404" s="119" t="s">
        <v>21563</v>
      </c>
      <c r="G404" t="s">
        <v>21569</v>
      </c>
      <c r="I404" s="118"/>
      <c r="J404" s="119" t="s">
        <v>21599</v>
      </c>
      <c r="K404" t="s">
        <v>21605</v>
      </c>
      <c r="M404" s="118"/>
      <c r="N404" s="119" t="s">
        <v>21635</v>
      </c>
      <c r="O404" t="s">
        <v>21641</v>
      </c>
      <c r="Q404" s="118"/>
      <c r="R404" s="119" t="s">
        <v>21671</v>
      </c>
      <c r="S404" t="s">
        <v>21677</v>
      </c>
      <c r="U404" s="118"/>
      <c r="V404" s="119" t="s">
        <v>21707</v>
      </c>
      <c r="W404" t="s">
        <v>21713</v>
      </c>
    </row>
    <row r="405" spans="1:23" x14ac:dyDescent="0.3">
      <c r="A405" s="118"/>
      <c r="B405" s="119" t="s">
        <v>21538</v>
      </c>
      <c r="C405" t="s">
        <v>21544</v>
      </c>
      <c r="E405" s="118"/>
      <c r="F405" s="119" t="s">
        <v>21574</v>
      </c>
      <c r="G405" t="s">
        <v>21580</v>
      </c>
      <c r="I405" s="118"/>
      <c r="J405" s="119" t="s">
        <v>21610</v>
      </c>
      <c r="K405" t="s">
        <v>21616</v>
      </c>
      <c r="M405" s="118"/>
      <c r="N405" s="119" t="s">
        <v>21646</v>
      </c>
      <c r="O405" t="s">
        <v>21652</v>
      </c>
      <c r="Q405" s="118"/>
      <c r="R405" s="119" t="s">
        <v>21682</v>
      </c>
      <c r="S405" t="s">
        <v>21688</v>
      </c>
      <c r="U405" s="118"/>
      <c r="V405" s="119" t="s">
        <v>21718</v>
      </c>
      <c r="W405" t="s">
        <v>21724</v>
      </c>
    </row>
    <row r="406" spans="1:23" x14ac:dyDescent="0.3">
      <c r="A406" s="118"/>
      <c r="B406" s="119" t="s">
        <v>21539</v>
      </c>
      <c r="C406" t="s">
        <v>21545</v>
      </c>
      <c r="E406" s="118"/>
      <c r="F406" s="119" t="s">
        <v>21575</v>
      </c>
      <c r="G406" t="s">
        <v>21581</v>
      </c>
      <c r="I406" s="118"/>
      <c r="J406" s="119" t="s">
        <v>21611</v>
      </c>
      <c r="K406" t="s">
        <v>21617</v>
      </c>
      <c r="M406" s="118"/>
      <c r="N406" s="119" t="s">
        <v>21647</v>
      </c>
      <c r="O406" t="s">
        <v>21653</v>
      </c>
      <c r="Q406" s="118"/>
      <c r="R406" s="119" t="s">
        <v>21683</v>
      </c>
      <c r="S406" t="s">
        <v>21689</v>
      </c>
      <c r="U406" s="118"/>
      <c r="V406" s="119" t="s">
        <v>21719</v>
      </c>
      <c r="W406" t="s">
        <v>21725</v>
      </c>
    </row>
    <row r="407" spans="1:23" x14ac:dyDescent="0.3">
      <c r="A407" s="118"/>
      <c r="B407" s="119" t="s">
        <v>21730</v>
      </c>
      <c r="C407" t="s">
        <v>21736</v>
      </c>
      <c r="E407" s="118"/>
      <c r="F407" s="119" t="s">
        <v>21766</v>
      </c>
      <c r="G407" t="s">
        <v>21772</v>
      </c>
      <c r="I407" s="118"/>
      <c r="J407" s="119" t="s">
        <v>21802</v>
      </c>
      <c r="K407" t="s">
        <v>21808</v>
      </c>
      <c r="M407" s="118"/>
      <c r="N407" s="119" t="s">
        <v>21838</v>
      </c>
      <c r="O407" t="s">
        <v>21844</v>
      </c>
      <c r="Q407" s="118"/>
      <c r="R407" s="119" t="s">
        <v>21874</v>
      </c>
      <c r="S407" t="s">
        <v>21880</v>
      </c>
      <c r="U407" s="118"/>
      <c r="V407" s="119" t="s">
        <v>21910</v>
      </c>
      <c r="W407" t="s">
        <v>21916</v>
      </c>
    </row>
    <row r="408" spans="1:23" x14ac:dyDescent="0.3">
      <c r="A408" s="118"/>
      <c r="B408" s="119" t="s">
        <v>21731</v>
      </c>
      <c r="C408" t="s">
        <v>21737</v>
      </c>
      <c r="E408" s="118"/>
      <c r="F408" s="119" t="s">
        <v>21767</v>
      </c>
      <c r="G408" t="s">
        <v>21773</v>
      </c>
      <c r="I408" s="118"/>
      <c r="J408" s="119" t="s">
        <v>21803</v>
      </c>
      <c r="K408" t="s">
        <v>21809</v>
      </c>
      <c r="M408" s="118"/>
      <c r="N408" s="119" t="s">
        <v>21839</v>
      </c>
      <c r="O408" t="s">
        <v>21845</v>
      </c>
      <c r="Q408" s="118"/>
      <c r="R408" s="119" t="s">
        <v>21875</v>
      </c>
      <c r="S408" t="s">
        <v>21881</v>
      </c>
      <c r="U408" s="118"/>
      <c r="V408" s="119" t="s">
        <v>21911</v>
      </c>
      <c r="W408" t="s">
        <v>21917</v>
      </c>
    </row>
    <row r="409" spans="1:23" x14ac:dyDescent="0.3">
      <c r="A409" s="118"/>
      <c r="B409" s="119" t="s">
        <v>21742</v>
      </c>
      <c r="C409" t="s">
        <v>21748</v>
      </c>
      <c r="E409" s="118"/>
      <c r="F409" s="119" t="s">
        <v>21778</v>
      </c>
      <c r="G409" t="s">
        <v>21784</v>
      </c>
      <c r="I409" s="118"/>
      <c r="J409" s="119" t="s">
        <v>21814</v>
      </c>
      <c r="K409" t="s">
        <v>21820</v>
      </c>
      <c r="M409" s="118"/>
      <c r="N409" s="119" t="s">
        <v>21850</v>
      </c>
      <c r="O409" t="s">
        <v>21856</v>
      </c>
      <c r="Q409" s="118"/>
      <c r="R409" s="119" t="s">
        <v>21886</v>
      </c>
      <c r="S409" t="s">
        <v>21892</v>
      </c>
      <c r="U409" s="118"/>
      <c r="V409" s="119" t="s">
        <v>21922</v>
      </c>
      <c r="W409" t="s">
        <v>21928</v>
      </c>
    </row>
    <row r="410" spans="1:23" x14ac:dyDescent="0.3">
      <c r="A410" s="118"/>
      <c r="B410" s="119" t="s">
        <v>21743</v>
      </c>
      <c r="C410" t="s">
        <v>21749</v>
      </c>
      <c r="E410" s="118"/>
      <c r="F410" s="119" t="s">
        <v>21779</v>
      </c>
      <c r="G410" t="s">
        <v>21785</v>
      </c>
      <c r="I410" s="118"/>
      <c r="J410" s="119" t="s">
        <v>21815</v>
      </c>
      <c r="K410" t="s">
        <v>21821</v>
      </c>
      <c r="M410" s="118"/>
      <c r="N410" s="119" t="s">
        <v>21851</v>
      </c>
      <c r="O410" t="s">
        <v>21857</v>
      </c>
      <c r="Q410" s="118"/>
      <c r="R410" s="119" t="s">
        <v>21887</v>
      </c>
      <c r="S410" t="s">
        <v>21893</v>
      </c>
      <c r="U410" s="118"/>
      <c r="V410" s="119" t="s">
        <v>21923</v>
      </c>
      <c r="W410" t="s">
        <v>21929</v>
      </c>
    </row>
    <row r="411" spans="1:23" x14ac:dyDescent="0.3">
      <c r="A411" s="118"/>
      <c r="B411" s="119" t="s">
        <v>21754</v>
      </c>
      <c r="C411" t="s">
        <v>21760</v>
      </c>
      <c r="E411" s="118"/>
      <c r="F411" s="119" t="s">
        <v>21790</v>
      </c>
      <c r="G411" t="s">
        <v>21796</v>
      </c>
      <c r="I411" s="118"/>
      <c r="J411" s="119" t="s">
        <v>21826</v>
      </c>
      <c r="K411" t="s">
        <v>21832</v>
      </c>
      <c r="M411" s="118"/>
      <c r="N411" s="119" t="s">
        <v>21862</v>
      </c>
      <c r="O411" t="s">
        <v>21868</v>
      </c>
      <c r="Q411" s="118"/>
      <c r="R411" s="119" t="s">
        <v>21898</v>
      </c>
      <c r="S411" t="s">
        <v>21904</v>
      </c>
      <c r="U411" s="118"/>
      <c r="V411" s="119" t="s">
        <v>21934</v>
      </c>
      <c r="W411" t="s">
        <v>21940</v>
      </c>
    </row>
    <row r="412" spans="1:23" x14ac:dyDescent="0.3">
      <c r="A412" s="118"/>
      <c r="B412" s="119" t="s">
        <v>21755</v>
      </c>
      <c r="C412" t="s">
        <v>21761</v>
      </c>
      <c r="E412" s="118"/>
      <c r="F412" s="119" t="s">
        <v>21791</v>
      </c>
      <c r="G412" t="s">
        <v>21797</v>
      </c>
      <c r="I412" s="118"/>
      <c r="J412" s="119" t="s">
        <v>21827</v>
      </c>
      <c r="K412" t="s">
        <v>21833</v>
      </c>
      <c r="M412" s="118"/>
      <c r="N412" s="119" t="s">
        <v>21863</v>
      </c>
      <c r="O412" t="s">
        <v>21869</v>
      </c>
      <c r="Q412" s="118"/>
      <c r="R412" s="119" t="s">
        <v>21899</v>
      </c>
      <c r="S412" t="s">
        <v>21905</v>
      </c>
      <c r="U412" s="118"/>
      <c r="V412" s="119" t="s">
        <v>21935</v>
      </c>
      <c r="W412" t="s">
        <v>21941</v>
      </c>
    </row>
    <row r="413" spans="1:23" x14ac:dyDescent="0.3">
      <c r="A413" s="118"/>
      <c r="B413" s="119" t="s">
        <v>21946</v>
      </c>
      <c r="C413" t="s">
        <v>21952</v>
      </c>
      <c r="E413" s="118"/>
      <c r="F413" s="119" t="s">
        <v>21982</v>
      </c>
      <c r="G413" t="s">
        <v>21988</v>
      </c>
      <c r="I413" s="118"/>
      <c r="J413" s="119" t="s">
        <v>22018</v>
      </c>
      <c r="K413" t="s">
        <v>22024</v>
      </c>
      <c r="M413" s="118"/>
      <c r="N413" s="119" t="s">
        <v>22054</v>
      </c>
      <c r="O413" t="s">
        <v>22060</v>
      </c>
      <c r="Q413" s="118"/>
      <c r="R413" s="119" t="s">
        <v>22090</v>
      </c>
      <c r="S413" t="s">
        <v>22096</v>
      </c>
      <c r="U413" s="118"/>
      <c r="V413" s="119" t="s">
        <v>22126</v>
      </c>
      <c r="W413" t="s">
        <v>22132</v>
      </c>
    </row>
    <row r="414" spans="1:23" x14ac:dyDescent="0.3">
      <c r="A414" s="118"/>
      <c r="B414" s="119" t="s">
        <v>21947</v>
      </c>
      <c r="C414" t="s">
        <v>21953</v>
      </c>
      <c r="E414" s="118"/>
      <c r="F414" s="119" t="s">
        <v>21983</v>
      </c>
      <c r="G414" t="s">
        <v>21989</v>
      </c>
      <c r="I414" s="118"/>
      <c r="J414" s="119" t="s">
        <v>22019</v>
      </c>
      <c r="K414" t="s">
        <v>22025</v>
      </c>
      <c r="M414" s="118"/>
      <c r="N414" s="119" t="s">
        <v>22055</v>
      </c>
      <c r="O414" t="s">
        <v>22061</v>
      </c>
      <c r="Q414" s="118"/>
      <c r="R414" s="119" t="s">
        <v>22091</v>
      </c>
      <c r="S414" t="s">
        <v>22097</v>
      </c>
      <c r="U414" s="118"/>
      <c r="V414" s="119" t="s">
        <v>22127</v>
      </c>
      <c r="W414" t="s">
        <v>22133</v>
      </c>
    </row>
    <row r="415" spans="1:23" x14ac:dyDescent="0.3">
      <c r="A415" s="118"/>
      <c r="B415" s="119" t="s">
        <v>21958</v>
      </c>
      <c r="C415" t="s">
        <v>21964</v>
      </c>
      <c r="E415" s="118"/>
      <c r="F415" s="119" t="s">
        <v>21994</v>
      </c>
      <c r="G415" t="s">
        <v>22000</v>
      </c>
      <c r="I415" s="118"/>
      <c r="J415" s="119" t="s">
        <v>22030</v>
      </c>
      <c r="K415" t="s">
        <v>22036</v>
      </c>
      <c r="M415" s="118"/>
      <c r="N415" s="119" t="s">
        <v>22066</v>
      </c>
      <c r="O415" t="s">
        <v>22072</v>
      </c>
      <c r="Q415" s="118"/>
      <c r="R415" s="119" t="s">
        <v>22102</v>
      </c>
      <c r="S415" t="s">
        <v>22108</v>
      </c>
      <c r="U415" s="118"/>
      <c r="V415" s="119" t="s">
        <v>22138</v>
      </c>
      <c r="W415" t="s">
        <v>22144</v>
      </c>
    </row>
    <row r="416" spans="1:23" x14ac:dyDescent="0.3">
      <c r="A416" s="118"/>
      <c r="B416" s="119" t="s">
        <v>21959</v>
      </c>
      <c r="C416" t="s">
        <v>21965</v>
      </c>
      <c r="E416" s="118"/>
      <c r="F416" s="119" t="s">
        <v>21995</v>
      </c>
      <c r="G416" t="s">
        <v>22001</v>
      </c>
      <c r="I416" s="118"/>
      <c r="J416" s="119" t="s">
        <v>22031</v>
      </c>
      <c r="K416" t="s">
        <v>22037</v>
      </c>
      <c r="M416" s="118"/>
      <c r="N416" s="119" t="s">
        <v>22067</v>
      </c>
      <c r="O416" t="s">
        <v>22073</v>
      </c>
      <c r="Q416" s="118"/>
      <c r="R416" s="119" t="s">
        <v>22103</v>
      </c>
      <c r="S416" t="s">
        <v>22109</v>
      </c>
      <c r="U416" s="118"/>
      <c r="V416" s="119" t="s">
        <v>22139</v>
      </c>
      <c r="W416" t="s">
        <v>22145</v>
      </c>
    </row>
    <row r="417" spans="1:23" x14ac:dyDescent="0.3">
      <c r="A417" s="118"/>
      <c r="B417" s="119" t="s">
        <v>21970</v>
      </c>
      <c r="C417" t="s">
        <v>21976</v>
      </c>
      <c r="E417" s="118"/>
      <c r="F417" s="119" t="s">
        <v>22006</v>
      </c>
      <c r="G417" t="s">
        <v>22012</v>
      </c>
      <c r="I417" s="118"/>
      <c r="J417" s="119" t="s">
        <v>22042</v>
      </c>
      <c r="K417" t="s">
        <v>22048</v>
      </c>
      <c r="M417" s="118"/>
      <c r="N417" s="119" t="s">
        <v>22078</v>
      </c>
      <c r="O417" t="s">
        <v>22084</v>
      </c>
      <c r="Q417" s="118"/>
      <c r="R417" s="119" t="s">
        <v>22114</v>
      </c>
      <c r="S417" t="s">
        <v>22120</v>
      </c>
      <c r="U417" s="118"/>
      <c r="V417" s="119" t="s">
        <v>22150</v>
      </c>
      <c r="W417" t="s">
        <v>22156</v>
      </c>
    </row>
    <row r="418" spans="1:23" x14ac:dyDescent="0.3">
      <c r="A418" s="118"/>
      <c r="B418" s="119" t="s">
        <v>21971</v>
      </c>
      <c r="C418" t="s">
        <v>21977</v>
      </c>
      <c r="E418" s="118"/>
      <c r="F418" s="119" t="s">
        <v>22007</v>
      </c>
      <c r="G418" t="s">
        <v>22013</v>
      </c>
      <c r="I418" s="118"/>
      <c r="J418" s="119" t="s">
        <v>22043</v>
      </c>
      <c r="K418" t="s">
        <v>22049</v>
      </c>
      <c r="M418" s="118"/>
      <c r="N418" s="119" t="s">
        <v>22079</v>
      </c>
      <c r="O418" t="s">
        <v>22085</v>
      </c>
      <c r="Q418" s="118"/>
      <c r="R418" s="119" t="s">
        <v>22115</v>
      </c>
      <c r="S418" t="s">
        <v>22121</v>
      </c>
      <c r="U418" s="118"/>
      <c r="V418" s="119" t="s">
        <v>22151</v>
      </c>
      <c r="W418" t="s">
        <v>22157</v>
      </c>
    </row>
    <row r="419" spans="1:23" x14ac:dyDescent="0.3">
      <c r="A419" s="118"/>
      <c r="B419" s="119" t="s">
        <v>22162</v>
      </c>
      <c r="C419" t="s">
        <v>22168</v>
      </c>
      <c r="E419" s="118"/>
      <c r="F419" s="119" t="s">
        <v>22198</v>
      </c>
      <c r="G419" t="s">
        <v>22204</v>
      </c>
      <c r="I419" s="118"/>
      <c r="J419" s="119" t="s">
        <v>22234</v>
      </c>
      <c r="K419" t="s">
        <v>22240</v>
      </c>
      <c r="M419" s="118"/>
      <c r="N419" s="119" t="s">
        <v>22270</v>
      </c>
      <c r="O419" t="s">
        <v>22276</v>
      </c>
      <c r="Q419" s="118"/>
      <c r="R419" s="119" t="s">
        <v>22306</v>
      </c>
      <c r="S419" t="s">
        <v>22312</v>
      </c>
      <c r="U419" s="118"/>
      <c r="V419" s="119" t="s">
        <v>22342</v>
      </c>
      <c r="W419" t="s">
        <v>22348</v>
      </c>
    </row>
    <row r="420" spans="1:23" x14ac:dyDescent="0.3">
      <c r="A420" s="118"/>
      <c r="B420" s="119" t="s">
        <v>22163</v>
      </c>
      <c r="C420" t="s">
        <v>22169</v>
      </c>
      <c r="E420" s="118"/>
      <c r="F420" s="119" t="s">
        <v>22199</v>
      </c>
      <c r="G420" t="s">
        <v>22205</v>
      </c>
      <c r="I420" s="118"/>
      <c r="J420" s="119" t="s">
        <v>22235</v>
      </c>
      <c r="K420" t="s">
        <v>22241</v>
      </c>
      <c r="M420" s="118"/>
      <c r="N420" s="119" t="s">
        <v>22271</v>
      </c>
      <c r="O420" t="s">
        <v>22277</v>
      </c>
      <c r="Q420" s="118"/>
      <c r="R420" s="119" t="s">
        <v>22307</v>
      </c>
      <c r="S420" t="s">
        <v>22313</v>
      </c>
      <c r="U420" s="118"/>
      <c r="V420" s="119" t="s">
        <v>22343</v>
      </c>
      <c r="W420" t="s">
        <v>22349</v>
      </c>
    </row>
    <row r="421" spans="1:23" x14ac:dyDescent="0.3">
      <c r="A421" s="118"/>
      <c r="B421" s="119" t="s">
        <v>22174</v>
      </c>
      <c r="C421" t="s">
        <v>22180</v>
      </c>
      <c r="E421" s="118"/>
      <c r="F421" s="119" t="s">
        <v>22210</v>
      </c>
      <c r="G421" t="s">
        <v>22216</v>
      </c>
      <c r="I421" s="118"/>
      <c r="J421" s="119" t="s">
        <v>22246</v>
      </c>
      <c r="K421" t="s">
        <v>22252</v>
      </c>
      <c r="M421" s="118"/>
      <c r="N421" s="119" t="s">
        <v>22282</v>
      </c>
      <c r="O421" t="s">
        <v>22288</v>
      </c>
      <c r="Q421" s="118"/>
      <c r="R421" s="119" t="s">
        <v>22318</v>
      </c>
      <c r="S421" t="s">
        <v>22324</v>
      </c>
      <c r="U421" s="118"/>
      <c r="V421" s="119" t="s">
        <v>22354</v>
      </c>
      <c r="W421" t="s">
        <v>22360</v>
      </c>
    </row>
    <row r="422" spans="1:23" x14ac:dyDescent="0.3">
      <c r="A422" s="118"/>
      <c r="B422" s="119" t="s">
        <v>22175</v>
      </c>
      <c r="C422" t="s">
        <v>22181</v>
      </c>
      <c r="E422" s="118"/>
      <c r="F422" s="119" t="s">
        <v>22211</v>
      </c>
      <c r="G422" t="s">
        <v>22217</v>
      </c>
      <c r="I422" s="118"/>
      <c r="J422" s="119" t="s">
        <v>22247</v>
      </c>
      <c r="K422" t="s">
        <v>22253</v>
      </c>
      <c r="M422" s="118"/>
      <c r="N422" s="119" t="s">
        <v>22283</v>
      </c>
      <c r="O422" t="s">
        <v>22289</v>
      </c>
      <c r="Q422" s="118"/>
      <c r="R422" s="119" t="s">
        <v>22319</v>
      </c>
      <c r="S422" t="s">
        <v>22325</v>
      </c>
      <c r="U422" s="118"/>
      <c r="V422" s="119" t="s">
        <v>22355</v>
      </c>
      <c r="W422" t="s">
        <v>22361</v>
      </c>
    </row>
    <row r="423" spans="1:23" x14ac:dyDescent="0.3">
      <c r="A423" s="118"/>
      <c r="B423" s="119" t="s">
        <v>22186</v>
      </c>
      <c r="C423" t="s">
        <v>22192</v>
      </c>
      <c r="E423" s="118"/>
      <c r="F423" s="119" t="s">
        <v>22222</v>
      </c>
      <c r="G423" t="s">
        <v>22228</v>
      </c>
      <c r="I423" s="118"/>
      <c r="J423" s="119" t="s">
        <v>22258</v>
      </c>
      <c r="K423" t="s">
        <v>22264</v>
      </c>
      <c r="M423" s="118"/>
      <c r="N423" s="119" t="s">
        <v>22294</v>
      </c>
      <c r="O423" t="s">
        <v>22300</v>
      </c>
      <c r="Q423" s="118"/>
      <c r="R423" s="119" t="s">
        <v>22330</v>
      </c>
      <c r="S423" t="s">
        <v>22336</v>
      </c>
      <c r="U423" s="118"/>
      <c r="V423" s="119" t="s">
        <v>22366</v>
      </c>
      <c r="W423" t="s">
        <v>22372</v>
      </c>
    </row>
    <row r="424" spans="1:23" x14ac:dyDescent="0.3">
      <c r="A424" s="118"/>
      <c r="B424" s="119" t="s">
        <v>22187</v>
      </c>
      <c r="C424" t="s">
        <v>22193</v>
      </c>
      <c r="E424" s="118"/>
      <c r="F424" s="119" t="s">
        <v>22223</v>
      </c>
      <c r="G424" t="s">
        <v>22229</v>
      </c>
      <c r="I424" s="118"/>
      <c r="J424" s="119" t="s">
        <v>22259</v>
      </c>
      <c r="K424" t="s">
        <v>22265</v>
      </c>
      <c r="M424" s="118"/>
      <c r="N424" s="119" t="s">
        <v>22295</v>
      </c>
      <c r="O424" t="s">
        <v>22301</v>
      </c>
      <c r="Q424" s="118"/>
      <c r="R424" s="119" t="s">
        <v>22331</v>
      </c>
      <c r="S424" t="s">
        <v>22337</v>
      </c>
      <c r="U424" s="118"/>
      <c r="V424" s="119" t="s">
        <v>22367</v>
      </c>
      <c r="W424" t="s">
        <v>22373</v>
      </c>
    </row>
    <row r="425" spans="1:23" x14ac:dyDescent="0.3">
      <c r="A425" s="118"/>
      <c r="B425" s="119" t="s">
        <v>22378</v>
      </c>
      <c r="C425" t="s">
        <v>22384</v>
      </c>
      <c r="E425" s="118"/>
      <c r="F425" s="119" t="s">
        <v>22414</v>
      </c>
      <c r="G425" t="s">
        <v>22420</v>
      </c>
      <c r="I425" s="118"/>
      <c r="J425" s="119" t="s">
        <v>22450</v>
      </c>
      <c r="K425" t="s">
        <v>22456</v>
      </c>
      <c r="M425" s="118"/>
      <c r="N425" s="119" t="s">
        <v>22486</v>
      </c>
      <c r="O425" t="s">
        <v>22492</v>
      </c>
      <c r="Q425" s="118"/>
      <c r="R425" s="119" t="s">
        <v>22522</v>
      </c>
      <c r="S425" t="s">
        <v>22528</v>
      </c>
      <c r="U425" s="118"/>
      <c r="V425" s="119" t="s">
        <v>22558</v>
      </c>
      <c r="W425" t="s">
        <v>22564</v>
      </c>
    </row>
    <row r="426" spans="1:23" x14ac:dyDescent="0.3">
      <c r="A426" s="118"/>
      <c r="B426" s="119" t="s">
        <v>22379</v>
      </c>
      <c r="C426" t="s">
        <v>22385</v>
      </c>
      <c r="E426" s="118"/>
      <c r="F426" s="119" t="s">
        <v>22415</v>
      </c>
      <c r="G426" t="s">
        <v>22421</v>
      </c>
      <c r="I426" s="118"/>
      <c r="J426" s="119" t="s">
        <v>22451</v>
      </c>
      <c r="K426" t="s">
        <v>22457</v>
      </c>
      <c r="M426" s="118"/>
      <c r="N426" s="119" t="s">
        <v>22487</v>
      </c>
      <c r="O426" t="s">
        <v>22493</v>
      </c>
      <c r="Q426" s="118"/>
      <c r="R426" s="119" t="s">
        <v>22523</v>
      </c>
      <c r="S426" t="s">
        <v>22529</v>
      </c>
      <c r="U426" s="118"/>
      <c r="V426" s="119" t="s">
        <v>22559</v>
      </c>
      <c r="W426" t="s">
        <v>22565</v>
      </c>
    </row>
    <row r="427" spans="1:23" x14ac:dyDescent="0.3">
      <c r="A427" s="118"/>
      <c r="B427" s="119" t="s">
        <v>22390</v>
      </c>
      <c r="C427" t="s">
        <v>22396</v>
      </c>
      <c r="E427" s="118"/>
      <c r="F427" s="119" t="s">
        <v>22426</v>
      </c>
      <c r="G427" t="s">
        <v>22432</v>
      </c>
      <c r="I427" s="118"/>
      <c r="J427" s="119" t="s">
        <v>22462</v>
      </c>
      <c r="K427" t="s">
        <v>22468</v>
      </c>
      <c r="M427" s="118"/>
      <c r="N427" s="119" t="s">
        <v>22498</v>
      </c>
      <c r="O427" t="s">
        <v>22504</v>
      </c>
      <c r="Q427" s="118"/>
      <c r="R427" s="119" t="s">
        <v>22534</v>
      </c>
      <c r="S427" t="s">
        <v>22540</v>
      </c>
      <c r="U427" s="118"/>
      <c r="V427" s="119" t="s">
        <v>22570</v>
      </c>
      <c r="W427" t="s">
        <v>22576</v>
      </c>
    </row>
    <row r="428" spans="1:23" x14ac:dyDescent="0.3">
      <c r="A428" s="118"/>
      <c r="B428" s="119" t="s">
        <v>22391</v>
      </c>
      <c r="C428" t="s">
        <v>22397</v>
      </c>
      <c r="E428" s="118"/>
      <c r="F428" s="119" t="s">
        <v>22427</v>
      </c>
      <c r="G428" t="s">
        <v>22433</v>
      </c>
      <c r="I428" s="118"/>
      <c r="J428" s="119" t="s">
        <v>22463</v>
      </c>
      <c r="K428" t="s">
        <v>22469</v>
      </c>
      <c r="M428" s="118"/>
      <c r="N428" s="119" t="s">
        <v>22499</v>
      </c>
      <c r="O428" t="s">
        <v>22505</v>
      </c>
      <c r="Q428" s="118"/>
      <c r="R428" s="119" t="s">
        <v>22535</v>
      </c>
      <c r="S428" t="s">
        <v>22541</v>
      </c>
      <c r="U428" s="118"/>
      <c r="V428" s="119" t="s">
        <v>22571</v>
      </c>
      <c r="W428" t="s">
        <v>22577</v>
      </c>
    </row>
    <row r="429" spans="1:23" x14ac:dyDescent="0.3">
      <c r="A429" s="118"/>
      <c r="B429" s="119" t="s">
        <v>22402</v>
      </c>
      <c r="C429" t="s">
        <v>22408</v>
      </c>
      <c r="E429" s="118"/>
      <c r="F429" s="119" t="s">
        <v>22438</v>
      </c>
      <c r="G429" t="s">
        <v>22444</v>
      </c>
      <c r="I429" s="118"/>
      <c r="J429" s="119" t="s">
        <v>22474</v>
      </c>
      <c r="K429" t="s">
        <v>22480</v>
      </c>
      <c r="M429" s="118"/>
      <c r="N429" s="119" t="s">
        <v>22510</v>
      </c>
      <c r="O429" t="s">
        <v>22516</v>
      </c>
      <c r="Q429" s="118"/>
      <c r="R429" s="119" t="s">
        <v>22546</v>
      </c>
      <c r="S429" t="s">
        <v>22552</v>
      </c>
      <c r="U429" s="118"/>
      <c r="V429" s="119" t="s">
        <v>22582</v>
      </c>
      <c r="W429" t="s">
        <v>22588</v>
      </c>
    </row>
    <row r="430" spans="1:23" x14ac:dyDescent="0.3">
      <c r="A430" s="118"/>
      <c r="B430" s="119" t="s">
        <v>22403</v>
      </c>
      <c r="C430" t="s">
        <v>22409</v>
      </c>
      <c r="E430" s="118"/>
      <c r="F430" s="119" t="s">
        <v>22439</v>
      </c>
      <c r="G430" t="s">
        <v>22445</v>
      </c>
      <c r="I430" s="118"/>
      <c r="J430" s="119" t="s">
        <v>22475</v>
      </c>
      <c r="K430" t="s">
        <v>22481</v>
      </c>
      <c r="M430" s="118"/>
      <c r="N430" s="119" t="s">
        <v>22511</v>
      </c>
      <c r="O430" t="s">
        <v>22517</v>
      </c>
      <c r="Q430" s="118"/>
      <c r="R430" s="119" t="s">
        <v>22547</v>
      </c>
      <c r="S430" t="s">
        <v>22553</v>
      </c>
      <c r="U430" s="118"/>
      <c r="V430" s="119" t="s">
        <v>22583</v>
      </c>
      <c r="W430" t="s">
        <v>22589</v>
      </c>
    </row>
    <row r="431" spans="1:23" x14ac:dyDescent="0.3">
      <c r="A431" s="118"/>
      <c r="B431" s="119" t="s">
        <v>22594</v>
      </c>
      <c r="C431" t="s">
        <v>22600</v>
      </c>
      <c r="E431" s="118"/>
      <c r="F431" s="119" t="s">
        <v>22630</v>
      </c>
      <c r="G431" t="s">
        <v>22636</v>
      </c>
      <c r="I431" s="118"/>
      <c r="J431" s="119" t="s">
        <v>22666</v>
      </c>
      <c r="K431" t="s">
        <v>22672</v>
      </c>
      <c r="M431" s="118"/>
      <c r="N431" s="119" t="s">
        <v>22702</v>
      </c>
      <c r="O431" t="s">
        <v>22708</v>
      </c>
      <c r="Q431" s="118"/>
      <c r="R431" s="119" t="s">
        <v>22738</v>
      </c>
      <c r="S431" t="s">
        <v>22744</v>
      </c>
      <c r="U431" s="118"/>
      <c r="V431" s="119" t="s">
        <v>22774</v>
      </c>
      <c r="W431" t="s">
        <v>22780</v>
      </c>
    </row>
    <row r="432" spans="1:23" x14ac:dyDescent="0.3">
      <c r="A432" s="118"/>
      <c r="B432" s="119" t="s">
        <v>22595</v>
      </c>
      <c r="C432" t="s">
        <v>22601</v>
      </c>
      <c r="E432" s="118"/>
      <c r="F432" s="119" t="s">
        <v>22631</v>
      </c>
      <c r="G432" t="s">
        <v>22637</v>
      </c>
      <c r="I432" s="118"/>
      <c r="J432" s="119" t="s">
        <v>22667</v>
      </c>
      <c r="K432" t="s">
        <v>22673</v>
      </c>
      <c r="M432" s="118"/>
      <c r="N432" s="119" t="s">
        <v>22703</v>
      </c>
      <c r="O432" t="s">
        <v>22709</v>
      </c>
      <c r="Q432" s="118"/>
      <c r="R432" s="119" t="s">
        <v>22739</v>
      </c>
      <c r="S432" t="s">
        <v>22745</v>
      </c>
      <c r="U432" s="118"/>
      <c r="V432" s="119" t="s">
        <v>22775</v>
      </c>
      <c r="W432" t="s">
        <v>22781</v>
      </c>
    </row>
    <row r="433" spans="1:23" x14ac:dyDescent="0.3">
      <c r="A433" s="118"/>
      <c r="B433" s="119" t="s">
        <v>22606</v>
      </c>
      <c r="C433" t="s">
        <v>22612</v>
      </c>
      <c r="E433" s="118"/>
      <c r="F433" s="119" t="s">
        <v>22642</v>
      </c>
      <c r="G433" t="s">
        <v>22648</v>
      </c>
      <c r="I433" s="118"/>
      <c r="J433" s="119" t="s">
        <v>22678</v>
      </c>
      <c r="K433" t="s">
        <v>22684</v>
      </c>
      <c r="M433" s="118"/>
      <c r="N433" s="119" t="s">
        <v>22714</v>
      </c>
      <c r="O433" t="s">
        <v>22720</v>
      </c>
      <c r="Q433" s="118"/>
      <c r="R433" s="119" t="s">
        <v>22750</v>
      </c>
      <c r="S433" t="s">
        <v>22756</v>
      </c>
      <c r="U433" s="118"/>
      <c r="V433" s="119" t="s">
        <v>22786</v>
      </c>
      <c r="W433" t="s">
        <v>22792</v>
      </c>
    </row>
    <row r="434" spans="1:23" x14ac:dyDescent="0.3">
      <c r="A434" s="118"/>
      <c r="B434" s="119" t="s">
        <v>22607</v>
      </c>
      <c r="C434" t="s">
        <v>22613</v>
      </c>
      <c r="E434" s="118"/>
      <c r="F434" s="119" t="s">
        <v>22643</v>
      </c>
      <c r="G434" t="s">
        <v>22649</v>
      </c>
      <c r="I434" s="118"/>
      <c r="J434" s="119" t="s">
        <v>22679</v>
      </c>
      <c r="K434" t="s">
        <v>22685</v>
      </c>
      <c r="M434" s="118"/>
      <c r="N434" s="119" t="s">
        <v>22715</v>
      </c>
      <c r="O434" t="s">
        <v>22721</v>
      </c>
      <c r="Q434" s="118"/>
      <c r="R434" s="119" t="s">
        <v>22751</v>
      </c>
      <c r="S434" t="s">
        <v>22757</v>
      </c>
      <c r="U434" s="118"/>
      <c r="V434" s="119" t="s">
        <v>22787</v>
      </c>
      <c r="W434" t="s">
        <v>22793</v>
      </c>
    </row>
    <row r="435" spans="1:23" x14ac:dyDescent="0.3">
      <c r="A435" s="118"/>
      <c r="B435" s="119" t="s">
        <v>22618</v>
      </c>
      <c r="C435" t="s">
        <v>22624</v>
      </c>
      <c r="E435" s="118"/>
      <c r="F435" s="119" t="s">
        <v>22654</v>
      </c>
      <c r="G435" t="s">
        <v>22660</v>
      </c>
      <c r="I435" s="118"/>
      <c r="J435" s="119" t="s">
        <v>22690</v>
      </c>
      <c r="K435" t="s">
        <v>22696</v>
      </c>
      <c r="M435" s="118"/>
      <c r="N435" s="119" t="s">
        <v>22726</v>
      </c>
      <c r="O435" t="s">
        <v>22732</v>
      </c>
      <c r="Q435" s="118"/>
      <c r="R435" s="119" t="s">
        <v>22762</v>
      </c>
      <c r="S435" t="s">
        <v>22768</v>
      </c>
      <c r="U435" s="118"/>
      <c r="V435" s="119" t="s">
        <v>22798</v>
      </c>
      <c r="W435" t="s">
        <v>22804</v>
      </c>
    </row>
    <row r="436" spans="1:23" x14ac:dyDescent="0.3">
      <c r="A436" s="118"/>
      <c r="B436" s="119" t="s">
        <v>22619</v>
      </c>
      <c r="C436" t="s">
        <v>22625</v>
      </c>
      <c r="E436" s="118"/>
      <c r="F436" s="119" t="s">
        <v>22655</v>
      </c>
      <c r="G436" t="s">
        <v>22661</v>
      </c>
      <c r="I436" s="118"/>
      <c r="J436" s="119" t="s">
        <v>22691</v>
      </c>
      <c r="K436" t="s">
        <v>22697</v>
      </c>
      <c r="M436" s="118"/>
      <c r="N436" s="119" t="s">
        <v>22727</v>
      </c>
      <c r="O436" t="s">
        <v>22733</v>
      </c>
      <c r="Q436" s="118"/>
      <c r="R436" s="119" t="s">
        <v>22763</v>
      </c>
      <c r="S436" t="s">
        <v>22769</v>
      </c>
      <c r="U436" s="118"/>
      <c r="V436" s="119" t="s">
        <v>22799</v>
      </c>
      <c r="W436" t="s">
        <v>22805</v>
      </c>
    </row>
    <row r="437" spans="1:23" x14ac:dyDescent="0.3">
      <c r="A437" s="118"/>
      <c r="B437" s="119" t="s">
        <v>22810</v>
      </c>
      <c r="C437" t="s">
        <v>22816</v>
      </c>
      <c r="E437" s="118"/>
      <c r="F437" s="119" t="s">
        <v>22846</v>
      </c>
      <c r="G437" t="s">
        <v>22852</v>
      </c>
      <c r="I437" s="118"/>
      <c r="J437" s="119" t="s">
        <v>22882</v>
      </c>
      <c r="K437" t="s">
        <v>22888</v>
      </c>
      <c r="M437" s="118"/>
      <c r="N437" s="119" t="s">
        <v>22918</v>
      </c>
      <c r="O437" t="s">
        <v>22924</v>
      </c>
      <c r="Q437" s="118"/>
      <c r="R437" s="119" t="s">
        <v>22954</v>
      </c>
      <c r="S437" t="s">
        <v>22960</v>
      </c>
      <c r="U437" s="118"/>
      <c r="V437" s="119" t="s">
        <v>22990</v>
      </c>
      <c r="W437" t="s">
        <v>22996</v>
      </c>
    </row>
    <row r="438" spans="1:23" x14ac:dyDescent="0.3">
      <c r="A438" s="118"/>
      <c r="B438" s="119" t="s">
        <v>22811</v>
      </c>
      <c r="C438" t="s">
        <v>22817</v>
      </c>
      <c r="E438" s="118"/>
      <c r="F438" s="119" t="s">
        <v>22847</v>
      </c>
      <c r="G438" t="s">
        <v>22853</v>
      </c>
      <c r="I438" s="118"/>
      <c r="J438" s="119" t="s">
        <v>22883</v>
      </c>
      <c r="K438" t="s">
        <v>22889</v>
      </c>
      <c r="M438" s="118"/>
      <c r="N438" s="119" t="s">
        <v>22919</v>
      </c>
      <c r="O438" t="s">
        <v>22925</v>
      </c>
      <c r="Q438" s="118"/>
      <c r="R438" s="119" t="s">
        <v>22955</v>
      </c>
      <c r="S438" t="s">
        <v>22961</v>
      </c>
      <c r="U438" s="118"/>
      <c r="V438" s="119" t="s">
        <v>22991</v>
      </c>
      <c r="W438" t="s">
        <v>22997</v>
      </c>
    </row>
    <row r="439" spans="1:23" x14ac:dyDescent="0.3">
      <c r="A439" s="118"/>
      <c r="B439" s="119" t="s">
        <v>22822</v>
      </c>
      <c r="C439" t="s">
        <v>22828</v>
      </c>
      <c r="E439" s="118"/>
      <c r="F439" s="119" t="s">
        <v>22858</v>
      </c>
      <c r="G439" t="s">
        <v>22864</v>
      </c>
      <c r="I439" s="118"/>
      <c r="J439" s="119" t="s">
        <v>22894</v>
      </c>
      <c r="K439" t="s">
        <v>22900</v>
      </c>
      <c r="M439" s="118"/>
      <c r="N439" s="119" t="s">
        <v>22930</v>
      </c>
      <c r="O439" t="s">
        <v>22936</v>
      </c>
      <c r="Q439" s="118"/>
      <c r="R439" s="119" t="s">
        <v>22966</v>
      </c>
      <c r="S439" t="s">
        <v>22972</v>
      </c>
      <c r="U439" s="118"/>
      <c r="V439" s="119" t="s">
        <v>23002</v>
      </c>
      <c r="W439" t="s">
        <v>23008</v>
      </c>
    </row>
    <row r="440" spans="1:23" x14ac:dyDescent="0.3">
      <c r="A440" s="118"/>
      <c r="B440" s="119" t="s">
        <v>22823</v>
      </c>
      <c r="C440" t="s">
        <v>22829</v>
      </c>
      <c r="E440" s="118"/>
      <c r="F440" s="119" t="s">
        <v>22859</v>
      </c>
      <c r="G440" t="s">
        <v>22865</v>
      </c>
      <c r="I440" s="118"/>
      <c r="J440" s="119" t="s">
        <v>22895</v>
      </c>
      <c r="K440" t="s">
        <v>22901</v>
      </c>
      <c r="M440" s="118"/>
      <c r="N440" s="119" t="s">
        <v>22931</v>
      </c>
      <c r="O440" t="s">
        <v>22937</v>
      </c>
      <c r="Q440" s="118"/>
      <c r="R440" s="119" t="s">
        <v>22967</v>
      </c>
      <c r="S440" t="s">
        <v>22973</v>
      </c>
      <c r="U440" s="118"/>
      <c r="V440" s="119" t="s">
        <v>23003</v>
      </c>
      <c r="W440" t="s">
        <v>23009</v>
      </c>
    </row>
    <row r="441" spans="1:23" x14ac:dyDescent="0.3">
      <c r="A441" s="118"/>
      <c r="B441" s="119" t="s">
        <v>22834</v>
      </c>
      <c r="C441" t="s">
        <v>22840</v>
      </c>
      <c r="E441" s="118"/>
      <c r="F441" s="119" t="s">
        <v>22870</v>
      </c>
      <c r="G441" t="s">
        <v>22876</v>
      </c>
      <c r="I441" s="118"/>
      <c r="J441" s="119" t="s">
        <v>22906</v>
      </c>
      <c r="K441" t="s">
        <v>22912</v>
      </c>
      <c r="M441" s="118"/>
      <c r="N441" s="119" t="s">
        <v>22942</v>
      </c>
      <c r="O441" t="s">
        <v>22948</v>
      </c>
      <c r="Q441" s="118"/>
      <c r="R441" s="119" t="s">
        <v>22978</v>
      </c>
      <c r="S441" t="s">
        <v>22984</v>
      </c>
      <c r="U441" s="118"/>
      <c r="V441" s="119" t="s">
        <v>23014</v>
      </c>
      <c r="W441" t="s">
        <v>23020</v>
      </c>
    </row>
    <row r="442" spans="1:23" x14ac:dyDescent="0.3">
      <c r="A442" s="118"/>
      <c r="B442" s="119" t="s">
        <v>22835</v>
      </c>
      <c r="C442" t="s">
        <v>22841</v>
      </c>
      <c r="E442" s="118"/>
      <c r="F442" s="119" t="s">
        <v>22871</v>
      </c>
      <c r="G442" t="s">
        <v>22877</v>
      </c>
      <c r="I442" s="118"/>
      <c r="J442" s="119" t="s">
        <v>22907</v>
      </c>
      <c r="K442" t="s">
        <v>22913</v>
      </c>
      <c r="M442" s="118"/>
      <c r="N442" s="119" t="s">
        <v>22943</v>
      </c>
      <c r="O442" t="s">
        <v>22949</v>
      </c>
      <c r="Q442" s="118"/>
      <c r="R442" s="119" t="s">
        <v>22979</v>
      </c>
      <c r="S442" t="s">
        <v>22985</v>
      </c>
      <c r="U442" s="118"/>
      <c r="V442" s="119" t="s">
        <v>23015</v>
      </c>
      <c r="W442" t="s">
        <v>23021</v>
      </c>
    </row>
    <row r="443" spans="1:23" x14ac:dyDescent="0.3">
      <c r="A443" s="118"/>
      <c r="B443" s="119" t="s">
        <v>23026</v>
      </c>
      <c r="C443" t="s">
        <v>23032</v>
      </c>
      <c r="E443" s="118"/>
      <c r="F443" s="119" t="s">
        <v>23062</v>
      </c>
      <c r="G443" t="s">
        <v>23068</v>
      </c>
      <c r="I443" s="118"/>
      <c r="J443" s="119" t="s">
        <v>23098</v>
      </c>
      <c r="K443" t="s">
        <v>23104</v>
      </c>
      <c r="M443" s="118"/>
      <c r="N443" s="119" t="s">
        <v>23134</v>
      </c>
      <c r="O443" t="s">
        <v>23140</v>
      </c>
      <c r="Q443" s="118"/>
      <c r="R443" s="119" t="s">
        <v>23170</v>
      </c>
      <c r="S443" t="s">
        <v>23176</v>
      </c>
      <c r="U443" s="118"/>
      <c r="V443" s="119" t="s">
        <v>23206</v>
      </c>
      <c r="W443" t="s">
        <v>23212</v>
      </c>
    </row>
    <row r="444" spans="1:23" x14ac:dyDescent="0.3">
      <c r="A444" s="118"/>
      <c r="B444" s="119" t="s">
        <v>23027</v>
      </c>
      <c r="C444" t="s">
        <v>23033</v>
      </c>
      <c r="E444" s="118"/>
      <c r="F444" s="119" t="s">
        <v>23063</v>
      </c>
      <c r="G444" t="s">
        <v>23069</v>
      </c>
      <c r="I444" s="118"/>
      <c r="J444" s="119" t="s">
        <v>23099</v>
      </c>
      <c r="K444" t="s">
        <v>23105</v>
      </c>
      <c r="M444" s="118"/>
      <c r="N444" s="119" t="s">
        <v>23135</v>
      </c>
      <c r="O444" t="s">
        <v>23141</v>
      </c>
      <c r="Q444" s="118"/>
      <c r="R444" s="119" t="s">
        <v>23171</v>
      </c>
      <c r="S444" t="s">
        <v>23177</v>
      </c>
      <c r="U444" s="118"/>
      <c r="V444" s="119" t="s">
        <v>23207</v>
      </c>
      <c r="W444" t="s">
        <v>23213</v>
      </c>
    </row>
    <row r="445" spans="1:23" x14ac:dyDescent="0.3">
      <c r="A445" s="118"/>
      <c r="B445" s="119" t="s">
        <v>23038</v>
      </c>
      <c r="C445" t="s">
        <v>23044</v>
      </c>
      <c r="E445" s="118"/>
      <c r="F445" s="119" t="s">
        <v>23074</v>
      </c>
      <c r="G445" t="s">
        <v>23080</v>
      </c>
      <c r="I445" s="118"/>
      <c r="J445" s="119" t="s">
        <v>23110</v>
      </c>
      <c r="K445" t="s">
        <v>23116</v>
      </c>
      <c r="M445" s="118"/>
      <c r="N445" s="119" t="s">
        <v>23146</v>
      </c>
      <c r="O445" t="s">
        <v>23152</v>
      </c>
      <c r="Q445" s="118"/>
      <c r="R445" s="119" t="s">
        <v>23182</v>
      </c>
      <c r="S445" t="s">
        <v>23188</v>
      </c>
      <c r="U445" s="118"/>
      <c r="V445" s="119" t="s">
        <v>23218</v>
      </c>
      <c r="W445" t="s">
        <v>23224</v>
      </c>
    </row>
    <row r="446" spans="1:23" x14ac:dyDescent="0.3">
      <c r="A446" s="118"/>
      <c r="B446" s="119" t="s">
        <v>23039</v>
      </c>
      <c r="C446" t="s">
        <v>23045</v>
      </c>
      <c r="E446" s="118"/>
      <c r="F446" s="119" t="s">
        <v>23075</v>
      </c>
      <c r="G446" t="s">
        <v>23081</v>
      </c>
      <c r="I446" s="118"/>
      <c r="J446" s="119" t="s">
        <v>23111</v>
      </c>
      <c r="K446" t="s">
        <v>23117</v>
      </c>
      <c r="M446" s="118"/>
      <c r="N446" s="119" t="s">
        <v>23147</v>
      </c>
      <c r="O446" t="s">
        <v>23153</v>
      </c>
      <c r="Q446" s="118"/>
      <c r="R446" s="119" t="s">
        <v>23183</v>
      </c>
      <c r="S446" t="s">
        <v>23189</v>
      </c>
      <c r="U446" s="118"/>
      <c r="V446" s="119" t="s">
        <v>23219</v>
      </c>
      <c r="W446" t="s">
        <v>23225</v>
      </c>
    </row>
    <row r="447" spans="1:23" x14ac:dyDescent="0.3">
      <c r="A447" s="118"/>
      <c r="B447" s="119" t="s">
        <v>23050</v>
      </c>
      <c r="C447" t="s">
        <v>23056</v>
      </c>
      <c r="E447" s="118"/>
      <c r="F447" s="119" t="s">
        <v>23086</v>
      </c>
      <c r="G447" t="s">
        <v>23092</v>
      </c>
      <c r="I447" s="118"/>
      <c r="J447" s="119" t="s">
        <v>23122</v>
      </c>
      <c r="K447" t="s">
        <v>23128</v>
      </c>
      <c r="M447" s="118"/>
      <c r="N447" s="119" t="s">
        <v>23158</v>
      </c>
      <c r="O447" t="s">
        <v>23164</v>
      </c>
      <c r="Q447" s="118"/>
      <c r="R447" s="119" t="s">
        <v>23194</v>
      </c>
      <c r="S447" t="s">
        <v>23200</v>
      </c>
      <c r="U447" s="118"/>
      <c r="V447" s="119" t="s">
        <v>23230</v>
      </c>
      <c r="W447" t="s">
        <v>23236</v>
      </c>
    </row>
    <row r="448" spans="1:23" x14ac:dyDescent="0.3">
      <c r="A448" s="118"/>
      <c r="B448" s="119" t="s">
        <v>23051</v>
      </c>
      <c r="C448" t="s">
        <v>23057</v>
      </c>
      <c r="E448" s="118"/>
      <c r="F448" s="119" t="s">
        <v>23087</v>
      </c>
      <c r="G448" t="s">
        <v>23093</v>
      </c>
      <c r="I448" s="118"/>
      <c r="J448" s="119" t="s">
        <v>23123</v>
      </c>
      <c r="K448" t="s">
        <v>23129</v>
      </c>
      <c r="M448" s="118"/>
      <c r="N448" s="119" t="s">
        <v>23159</v>
      </c>
      <c r="O448" t="s">
        <v>23165</v>
      </c>
      <c r="Q448" s="118"/>
      <c r="R448" s="119" t="s">
        <v>23195</v>
      </c>
      <c r="S448" t="s">
        <v>23201</v>
      </c>
      <c r="U448" s="118"/>
      <c r="V448" s="119" t="s">
        <v>23231</v>
      </c>
      <c r="W448" t="s">
        <v>23237</v>
      </c>
    </row>
    <row r="449" spans="1:23" x14ac:dyDescent="0.3">
      <c r="A449" s="118"/>
      <c r="B449" s="119" t="s">
        <v>23242</v>
      </c>
      <c r="C449" t="s">
        <v>23248</v>
      </c>
      <c r="E449" s="118"/>
      <c r="F449" s="119" t="s">
        <v>23278</v>
      </c>
      <c r="G449" t="s">
        <v>23284</v>
      </c>
      <c r="I449" s="118"/>
      <c r="J449" s="119" t="s">
        <v>23314</v>
      </c>
      <c r="K449" t="s">
        <v>23320</v>
      </c>
      <c r="M449" s="118"/>
      <c r="N449" s="119" t="s">
        <v>23350</v>
      </c>
      <c r="O449" t="s">
        <v>23356</v>
      </c>
      <c r="Q449" s="118"/>
      <c r="R449" s="119" t="s">
        <v>23386</v>
      </c>
      <c r="S449" t="s">
        <v>23392</v>
      </c>
      <c r="U449" s="118"/>
      <c r="V449" s="119" t="s">
        <v>23422</v>
      </c>
      <c r="W449" t="s">
        <v>23428</v>
      </c>
    </row>
    <row r="450" spans="1:23" x14ac:dyDescent="0.3">
      <c r="A450" s="118"/>
      <c r="B450" s="119" t="s">
        <v>23243</v>
      </c>
      <c r="C450" t="s">
        <v>23249</v>
      </c>
      <c r="E450" s="118"/>
      <c r="F450" s="119" t="s">
        <v>23279</v>
      </c>
      <c r="G450" t="s">
        <v>23285</v>
      </c>
      <c r="I450" s="118"/>
      <c r="J450" s="119" t="s">
        <v>23315</v>
      </c>
      <c r="K450" t="s">
        <v>23321</v>
      </c>
      <c r="M450" s="118"/>
      <c r="N450" s="119" t="s">
        <v>23351</v>
      </c>
      <c r="O450" t="s">
        <v>23357</v>
      </c>
      <c r="Q450" s="118"/>
      <c r="R450" s="119" t="s">
        <v>23387</v>
      </c>
      <c r="S450" t="s">
        <v>23393</v>
      </c>
      <c r="U450" s="118"/>
      <c r="V450" s="119" t="s">
        <v>23423</v>
      </c>
      <c r="W450" t="s">
        <v>23429</v>
      </c>
    </row>
    <row r="451" spans="1:23" x14ac:dyDescent="0.3">
      <c r="A451" s="118"/>
      <c r="B451" s="119" t="s">
        <v>23254</v>
      </c>
      <c r="C451" t="s">
        <v>23260</v>
      </c>
      <c r="E451" s="118"/>
      <c r="F451" s="119" t="s">
        <v>23290</v>
      </c>
      <c r="G451" t="s">
        <v>23296</v>
      </c>
      <c r="I451" s="118"/>
      <c r="J451" s="119" t="s">
        <v>23326</v>
      </c>
      <c r="K451" t="s">
        <v>23332</v>
      </c>
      <c r="M451" s="118"/>
      <c r="N451" s="119" t="s">
        <v>23362</v>
      </c>
      <c r="O451" t="s">
        <v>23368</v>
      </c>
      <c r="Q451" s="118"/>
      <c r="R451" s="119" t="s">
        <v>23398</v>
      </c>
      <c r="S451" t="s">
        <v>23404</v>
      </c>
      <c r="U451" s="118"/>
      <c r="V451" s="119" t="s">
        <v>23434</v>
      </c>
      <c r="W451" t="s">
        <v>23440</v>
      </c>
    </row>
    <row r="452" spans="1:23" x14ac:dyDescent="0.3">
      <c r="A452" s="118"/>
      <c r="B452" s="119" t="s">
        <v>23255</v>
      </c>
      <c r="C452" t="s">
        <v>23261</v>
      </c>
      <c r="E452" s="118"/>
      <c r="F452" s="119" t="s">
        <v>23291</v>
      </c>
      <c r="G452" t="s">
        <v>23297</v>
      </c>
      <c r="I452" s="118"/>
      <c r="J452" s="119" t="s">
        <v>23327</v>
      </c>
      <c r="K452" t="s">
        <v>23333</v>
      </c>
      <c r="M452" s="118"/>
      <c r="N452" s="119" t="s">
        <v>23363</v>
      </c>
      <c r="O452" t="s">
        <v>23369</v>
      </c>
      <c r="Q452" s="118"/>
      <c r="R452" s="119" t="s">
        <v>23399</v>
      </c>
      <c r="S452" t="s">
        <v>23405</v>
      </c>
      <c r="U452" s="118"/>
      <c r="V452" s="119" t="s">
        <v>23435</v>
      </c>
      <c r="W452" t="s">
        <v>23441</v>
      </c>
    </row>
    <row r="453" spans="1:23" x14ac:dyDescent="0.3">
      <c r="A453" s="118"/>
      <c r="B453" s="119" t="s">
        <v>23266</v>
      </c>
      <c r="C453" t="s">
        <v>23272</v>
      </c>
      <c r="E453" s="118"/>
      <c r="F453" s="119" t="s">
        <v>23302</v>
      </c>
      <c r="G453" t="s">
        <v>23308</v>
      </c>
      <c r="I453" s="118"/>
      <c r="J453" s="119" t="s">
        <v>23338</v>
      </c>
      <c r="K453" t="s">
        <v>23344</v>
      </c>
      <c r="M453" s="118"/>
      <c r="N453" s="119" t="s">
        <v>23374</v>
      </c>
      <c r="O453" t="s">
        <v>23380</v>
      </c>
      <c r="Q453" s="118"/>
      <c r="R453" s="119" t="s">
        <v>23410</v>
      </c>
      <c r="S453" t="s">
        <v>23416</v>
      </c>
      <c r="U453" s="118"/>
      <c r="V453" s="119" t="s">
        <v>23446</v>
      </c>
      <c r="W453" t="s">
        <v>23452</v>
      </c>
    </row>
    <row r="454" spans="1:23" x14ac:dyDescent="0.3">
      <c r="A454" s="118"/>
      <c r="B454" s="119" t="s">
        <v>23267</v>
      </c>
      <c r="C454" t="s">
        <v>23273</v>
      </c>
      <c r="E454" s="118"/>
      <c r="F454" s="119" t="s">
        <v>23303</v>
      </c>
      <c r="G454" t="s">
        <v>23309</v>
      </c>
      <c r="I454" s="118"/>
      <c r="J454" s="119" t="s">
        <v>23339</v>
      </c>
      <c r="K454" t="s">
        <v>23345</v>
      </c>
      <c r="M454" s="118"/>
      <c r="N454" s="119" t="s">
        <v>23375</v>
      </c>
      <c r="O454" t="s">
        <v>23381</v>
      </c>
      <c r="Q454" s="118"/>
      <c r="R454" s="119" t="s">
        <v>23411</v>
      </c>
      <c r="S454" t="s">
        <v>23417</v>
      </c>
      <c r="U454" s="118"/>
      <c r="V454" s="119" t="s">
        <v>23447</v>
      </c>
      <c r="W454" t="s">
        <v>23453</v>
      </c>
    </row>
    <row r="455" spans="1:23" x14ac:dyDescent="0.3">
      <c r="A455" s="118"/>
      <c r="B455" s="119" t="s">
        <v>23458</v>
      </c>
      <c r="C455" t="s">
        <v>23464</v>
      </c>
      <c r="E455" s="118"/>
      <c r="F455" s="119" t="s">
        <v>23494</v>
      </c>
      <c r="G455" t="s">
        <v>23500</v>
      </c>
      <c r="I455" s="118"/>
      <c r="J455" s="119" t="s">
        <v>23530</v>
      </c>
      <c r="K455" t="s">
        <v>23536</v>
      </c>
      <c r="M455" s="118"/>
      <c r="N455" s="119" t="s">
        <v>23566</v>
      </c>
      <c r="O455" t="s">
        <v>23572</v>
      </c>
      <c r="Q455" s="118"/>
      <c r="R455" s="119" t="s">
        <v>23602</v>
      </c>
      <c r="S455" t="s">
        <v>23608</v>
      </c>
      <c r="U455" s="118"/>
      <c r="V455" s="119" t="s">
        <v>23638</v>
      </c>
      <c r="W455" t="s">
        <v>23644</v>
      </c>
    </row>
    <row r="456" spans="1:23" x14ac:dyDescent="0.3">
      <c r="A456" s="118"/>
      <c r="B456" s="119" t="s">
        <v>23459</v>
      </c>
      <c r="C456" t="s">
        <v>23465</v>
      </c>
      <c r="E456" s="118"/>
      <c r="F456" s="119" t="s">
        <v>23495</v>
      </c>
      <c r="G456" t="s">
        <v>23501</v>
      </c>
      <c r="I456" s="118"/>
      <c r="J456" s="119" t="s">
        <v>23531</v>
      </c>
      <c r="K456" t="s">
        <v>23537</v>
      </c>
      <c r="M456" s="118"/>
      <c r="N456" s="119" t="s">
        <v>23567</v>
      </c>
      <c r="O456" t="s">
        <v>23573</v>
      </c>
      <c r="Q456" s="118"/>
      <c r="R456" s="119" t="s">
        <v>23603</v>
      </c>
      <c r="S456" t="s">
        <v>23609</v>
      </c>
      <c r="U456" s="118"/>
      <c r="V456" s="119" t="s">
        <v>23639</v>
      </c>
      <c r="W456" t="s">
        <v>23645</v>
      </c>
    </row>
    <row r="457" spans="1:23" x14ac:dyDescent="0.3">
      <c r="A457" s="118"/>
      <c r="B457" s="119" t="s">
        <v>23470</v>
      </c>
      <c r="C457" t="s">
        <v>23476</v>
      </c>
      <c r="E457" s="118"/>
      <c r="F457" s="119" t="s">
        <v>23506</v>
      </c>
      <c r="G457" t="s">
        <v>23512</v>
      </c>
      <c r="I457" s="118"/>
      <c r="J457" s="119" t="s">
        <v>23542</v>
      </c>
      <c r="K457" t="s">
        <v>23548</v>
      </c>
      <c r="M457" s="118"/>
      <c r="N457" s="119" t="s">
        <v>23578</v>
      </c>
      <c r="O457" t="s">
        <v>23584</v>
      </c>
      <c r="Q457" s="118"/>
      <c r="R457" s="119" t="s">
        <v>23614</v>
      </c>
      <c r="S457" t="s">
        <v>23620</v>
      </c>
      <c r="U457" s="118"/>
      <c r="V457" s="119" t="s">
        <v>23650</v>
      </c>
      <c r="W457" t="s">
        <v>23656</v>
      </c>
    </row>
    <row r="458" spans="1:23" x14ac:dyDescent="0.3">
      <c r="A458" s="118"/>
      <c r="B458" s="119" t="s">
        <v>23471</v>
      </c>
      <c r="C458" t="s">
        <v>23477</v>
      </c>
      <c r="E458" s="118"/>
      <c r="F458" s="119" t="s">
        <v>23507</v>
      </c>
      <c r="G458" t="s">
        <v>23513</v>
      </c>
      <c r="I458" s="118"/>
      <c r="J458" s="119" t="s">
        <v>23543</v>
      </c>
      <c r="K458" t="s">
        <v>23549</v>
      </c>
      <c r="M458" s="118"/>
      <c r="N458" s="119" t="s">
        <v>23579</v>
      </c>
      <c r="O458" t="s">
        <v>23585</v>
      </c>
      <c r="Q458" s="118"/>
      <c r="R458" s="119" t="s">
        <v>23615</v>
      </c>
      <c r="S458" t="s">
        <v>23621</v>
      </c>
      <c r="U458" s="118"/>
      <c r="V458" s="119" t="s">
        <v>23651</v>
      </c>
      <c r="W458" t="s">
        <v>23657</v>
      </c>
    </row>
    <row r="459" spans="1:23" x14ac:dyDescent="0.3">
      <c r="A459" s="118"/>
      <c r="B459" s="119" t="s">
        <v>23482</v>
      </c>
      <c r="C459" t="s">
        <v>23488</v>
      </c>
      <c r="E459" s="118"/>
      <c r="F459" s="119" t="s">
        <v>23518</v>
      </c>
      <c r="G459" t="s">
        <v>23524</v>
      </c>
      <c r="I459" s="118"/>
      <c r="J459" s="119" t="s">
        <v>23554</v>
      </c>
      <c r="K459" t="s">
        <v>23560</v>
      </c>
      <c r="M459" s="118"/>
      <c r="N459" s="119" t="s">
        <v>23590</v>
      </c>
      <c r="O459" t="s">
        <v>23596</v>
      </c>
      <c r="Q459" s="118"/>
      <c r="R459" s="119" t="s">
        <v>23626</v>
      </c>
      <c r="S459" t="s">
        <v>23632</v>
      </c>
      <c r="U459" s="118"/>
      <c r="V459" s="119" t="s">
        <v>23662</v>
      </c>
      <c r="W459" t="s">
        <v>23668</v>
      </c>
    </row>
    <row r="460" spans="1:23" x14ac:dyDescent="0.3">
      <c r="A460" s="118"/>
      <c r="B460" s="119" t="s">
        <v>23483</v>
      </c>
      <c r="C460" t="s">
        <v>23489</v>
      </c>
      <c r="E460" s="118"/>
      <c r="F460" s="119" t="s">
        <v>23519</v>
      </c>
      <c r="G460" t="s">
        <v>23525</v>
      </c>
      <c r="I460" s="118"/>
      <c r="J460" s="119" t="s">
        <v>23555</v>
      </c>
      <c r="K460" t="s">
        <v>23561</v>
      </c>
      <c r="M460" s="118"/>
      <c r="N460" s="119" t="s">
        <v>23591</v>
      </c>
      <c r="O460" t="s">
        <v>23597</v>
      </c>
      <c r="Q460" s="118"/>
      <c r="R460" s="119" t="s">
        <v>23627</v>
      </c>
      <c r="S460" t="s">
        <v>23633</v>
      </c>
      <c r="U460" s="118"/>
      <c r="V460" s="119" t="s">
        <v>23663</v>
      </c>
      <c r="W460" t="s">
        <v>23669</v>
      </c>
    </row>
    <row r="461" spans="1:23" x14ac:dyDescent="0.3">
      <c r="A461" s="118"/>
      <c r="B461" s="119" t="s">
        <v>23674</v>
      </c>
      <c r="C461" t="s">
        <v>23680</v>
      </c>
      <c r="E461" s="118"/>
      <c r="F461" s="119" t="s">
        <v>23710</v>
      </c>
      <c r="G461" t="s">
        <v>23716</v>
      </c>
      <c r="I461" s="118"/>
      <c r="J461" s="119" t="s">
        <v>23746</v>
      </c>
      <c r="K461" t="s">
        <v>23752</v>
      </c>
      <c r="M461" s="118"/>
      <c r="N461" s="119" t="s">
        <v>23782</v>
      </c>
      <c r="O461" t="s">
        <v>23788</v>
      </c>
      <c r="Q461" s="118"/>
      <c r="R461" s="119" t="s">
        <v>23818</v>
      </c>
      <c r="S461" t="s">
        <v>23824</v>
      </c>
      <c r="U461" s="118"/>
      <c r="V461" s="119" t="s">
        <v>23854</v>
      </c>
      <c r="W461" t="s">
        <v>23860</v>
      </c>
    </row>
    <row r="462" spans="1:23" x14ac:dyDescent="0.3">
      <c r="A462" s="118"/>
      <c r="B462" s="119" t="s">
        <v>23675</v>
      </c>
      <c r="C462" t="s">
        <v>23681</v>
      </c>
      <c r="E462" s="118"/>
      <c r="F462" s="119" t="s">
        <v>23711</v>
      </c>
      <c r="G462" t="s">
        <v>23717</v>
      </c>
      <c r="I462" s="118"/>
      <c r="J462" s="119" t="s">
        <v>23747</v>
      </c>
      <c r="K462" t="s">
        <v>23753</v>
      </c>
      <c r="M462" s="118"/>
      <c r="N462" s="119" t="s">
        <v>23783</v>
      </c>
      <c r="O462" t="s">
        <v>23789</v>
      </c>
      <c r="Q462" s="118"/>
      <c r="R462" s="119" t="s">
        <v>23819</v>
      </c>
      <c r="S462" t="s">
        <v>23825</v>
      </c>
      <c r="U462" s="118"/>
      <c r="V462" s="119" t="s">
        <v>23855</v>
      </c>
      <c r="W462" t="s">
        <v>23861</v>
      </c>
    </row>
    <row r="463" spans="1:23" x14ac:dyDescent="0.3">
      <c r="A463" s="118"/>
      <c r="B463" s="119" t="s">
        <v>23686</v>
      </c>
      <c r="C463" t="s">
        <v>23692</v>
      </c>
      <c r="E463" s="118"/>
      <c r="F463" s="119" t="s">
        <v>23722</v>
      </c>
      <c r="G463" t="s">
        <v>23728</v>
      </c>
      <c r="I463" s="118"/>
      <c r="J463" s="119" t="s">
        <v>23758</v>
      </c>
      <c r="K463" t="s">
        <v>23764</v>
      </c>
      <c r="M463" s="118"/>
      <c r="N463" s="119" t="s">
        <v>23794</v>
      </c>
      <c r="O463" t="s">
        <v>23800</v>
      </c>
      <c r="Q463" s="118"/>
      <c r="R463" s="119" t="s">
        <v>23830</v>
      </c>
      <c r="S463" t="s">
        <v>23836</v>
      </c>
      <c r="U463" s="118"/>
      <c r="V463" s="119" t="s">
        <v>23866</v>
      </c>
      <c r="W463" t="s">
        <v>23872</v>
      </c>
    </row>
    <row r="464" spans="1:23" x14ac:dyDescent="0.3">
      <c r="A464" s="118"/>
      <c r="B464" s="119" t="s">
        <v>23687</v>
      </c>
      <c r="C464" t="s">
        <v>23693</v>
      </c>
      <c r="E464" s="118"/>
      <c r="F464" s="119" t="s">
        <v>23723</v>
      </c>
      <c r="G464" t="s">
        <v>23729</v>
      </c>
      <c r="I464" s="118"/>
      <c r="J464" s="119" t="s">
        <v>23759</v>
      </c>
      <c r="K464" t="s">
        <v>23765</v>
      </c>
      <c r="M464" s="118"/>
      <c r="N464" s="119" t="s">
        <v>23795</v>
      </c>
      <c r="O464" t="s">
        <v>23801</v>
      </c>
      <c r="Q464" s="118"/>
      <c r="R464" s="119" t="s">
        <v>23831</v>
      </c>
      <c r="S464" t="s">
        <v>23837</v>
      </c>
      <c r="U464" s="118"/>
      <c r="V464" s="119" t="s">
        <v>23867</v>
      </c>
      <c r="W464" t="s">
        <v>23873</v>
      </c>
    </row>
    <row r="465" spans="1:23" x14ac:dyDescent="0.3">
      <c r="A465" s="118"/>
      <c r="B465" s="119" t="s">
        <v>23698</v>
      </c>
      <c r="C465" t="s">
        <v>23704</v>
      </c>
      <c r="E465" s="118"/>
      <c r="F465" s="119" t="s">
        <v>23734</v>
      </c>
      <c r="G465" t="s">
        <v>23740</v>
      </c>
      <c r="I465" s="118"/>
      <c r="J465" s="119" t="s">
        <v>23770</v>
      </c>
      <c r="K465" t="s">
        <v>23776</v>
      </c>
      <c r="M465" s="118"/>
      <c r="N465" s="119" t="s">
        <v>23806</v>
      </c>
      <c r="O465" t="s">
        <v>23812</v>
      </c>
      <c r="Q465" s="118"/>
      <c r="R465" s="119" t="s">
        <v>23842</v>
      </c>
      <c r="S465" t="s">
        <v>23848</v>
      </c>
      <c r="U465" s="118"/>
      <c r="V465" s="119" t="s">
        <v>23878</v>
      </c>
      <c r="W465" t="s">
        <v>23884</v>
      </c>
    </row>
    <row r="466" spans="1:23" x14ac:dyDescent="0.3">
      <c r="A466" s="118"/>
      <c r="B466" s="119" t="s">
        <v>23699</v>
      </c>
      <c r="C466" t="s">
        <v>23705</v>
      </c>
      <c r="E466" s="118"/>
      <c r="F466" s="119" t="s">
        <v>23735</v>
      </c>
      <c r="G466" t="s">
        <v>23741</v>
      </c>
      <c r="I466" s="118"/>
      <c r="J466" s="119" t="s">
        <v>23771</v>
      </c>
      <c r="K466" t="s">
        <v>23777</v>
      </c>
      <c r="M466" s="118"/>
      <c r="N466" s="119" t="s">
        <v>23807</v>
      </c>
      <c r="O466" t="s">
        <v>23813</v>
      </c>
      <c r="Q466" s="118"/>
      <c r="R466" s="119" t="s">
        <v>23843</v>
      </c>
      <c r="S466" t="s">
        <v>23849</v>
      </c>
      <c r="U466" s="118"/>
      <c r="V466" s="119" t="s">
        <v>23879</v>
      </c>
      <c r="W466" t="s">
        <v>23885</v>
      </c>
    </row>
    <row r="467" spans="1:23" x14ac:dyDescent="0.3">
      <c r="A467" s="118"/>
      <c r="B467" s="119" t="s">
        <v>23890</v>
      </c>
      <c r="C467" t="s">
        <v>23896</v>
      </c>
      <c r="E467" s="118"/>
      <c r="F467" s="119" t="s">
        <v>23926</v>
      </c>
      <c r="G467" t="s">
        <v>23932</v>
      </c>
      <c r="I467" s="118"/>
      <c r="J467" s="119" t="s">
        <v>23962</v>
      </c>
      <c r="K467" t="s">
        <v>23968</v>
      </c>
      <c r="M467" s="118"/>
      <c r="N467" s="119" t="s">
        <v>23998</v>
      </c>
      <c r="O467" t="s">
        <v>24004</v>
      </c>
      <c r="Q467" s="118"/>
      <c r="R467" s="119" t="s">
        <v>24034</v>
      </c>
      <c r="S467" t="s">
        <v>24040</v>
      </c>
      <c r="U467" s="118"/>
      <c r="V467" s="119" t="s">
        <v>24070</v>
      </c>
      <c r="W467" t="s">
        <v>24076</v>
      </c>
    </row>
    <row r="468" spans="1:23" x14ac:dyDescent="0.3">
      <c r="A468" s="118"/>
      <c r="B468" s="119" t="s">
        <v>23891</v>
      </c>
      <c r="C468" t="s">
        <v>23897</v>
      </c>
      <c r="E468" s="118"/>
      <c r="F468" s="119" t="s">
        <v>23927</v>
      </c>
      <c r="G468" t="s">
        <v>23933</v>
      </c>
      <c r="I468" s="118"/>
      <c r="J468" s="119" t="s">
        <v>23963</v>
      </c>
      <c r="K468" t="s">
        <v>23969</v>
      </c>
      <c r="M468" s="118"/>
      <c r="N468" s="119" t="s">
        <v>23999</v>
      </c>
      <c r="O468" t="s">
        <v>24005</v>
      </c>
      <c r="Q468" s="118"/>
      <c r="R468" s="119" t="s">
        <v>24035</v>
      </c>
      <c r="S468" t="s">
        <v>24041</v>
      </c>
      <c r="U468" s="118"/>
      <c r="V468" s="119" t="s">
        <v>24071</v>
      </c>
      <c r="W468" t="s">
        <v>24077</v>
      </c>
    </row>
    <row r="469" spans="1:23" x14ac:dyDescent="0.3">
      <c r="A469" s="118"/>
      <c r="B469" s="119" t="s">
        <v>23902</v>
      </c>
      <c r="C469" t="s">
        <v>23908</v>
      </c>
      <c r="E469" s="118"/>
      <c r="F469" s="119" t="s">
        <v>23938</v>
      </c>
      <c r="G469" t="s">
        <v>23944</v>
      </c>
      <c r="I469" s="118"/>
      <c r="J469" s="119" t="s">
        <v>23974</v>
      </c>
      <c r="K469" t="s">
        <v>23980</v>
      </c>
      <c r="M469" s="118"/>
      <c r="N469" s="119" t="s">
        <v>24010</v>
      </c>
      <c r="O469" t="s">
        <v>24016</v>
      </c>
      <c r="Q469" s="118"/>
      <c r="R469" s="119" t="s">
        <v>24046</v>
      </c>
      <c r="S469" t="s">
        <v>24052</v>
      </c>
      <c r="U469" s="118"/>
      <c r="V469" s="119" t="s">
        <v>24082</v>
      </c>
      <c r="W469" t="s">
        <v>24088</v>
      </c>
    </row>
    <row r="470" spans="1:23" x14ac:dyDescent="0.3">
      <c r="A470" s="118"/>
      <c r="B470" s="119" t="s">
        <v>23903</v>
      </c>
      <c r="C470" t="s">
        <v>23909</v>
      </c>
      <c r="E470" s="118"/>
      <c r="F470" s="119" t="s">
        <v>23939</v>
      </c>
      <c r="G470" t="s">
        <v>23945</v>
      </c>
      <c r="I470" s="118"/>
      <c r="J470" s="119" t="s">
        <v>23975</v>
      </c>
      <c r="K470" t="s">
        <v>23981</v>
      </c>
      <c r="M470" s="118"/>
      <c r="N470" s="119" t="s">
        <v>24011</v>
      </c>
      <c r="O470" t="s">
        <v>24017</v>
      </c>
      <c r="Q470" s="118"/>
      <c r="R470" s="119" t="s">
        <v>24047</v>
      </c>
      <c r="S470" t="s">
        <v>24053</v>
      </c>
      <c r="U470" s="118"/>
      <c r="V470" s="119" t="s">
        <v>24083</v>
      </c>
      <c r="W470" t="s">
        <v>24089</v>
      </c>
    </row>
    <row r="471" spans="1:23" x14ac:dyDescent="0.3">
      <c r="A471" s="118"/>
      <c r="B471" s="119" t="s">
        <v>23914</v>
      </c>
      <c r="C471" t="s">
        <v>23920</v>
      </c>
      <c r="E471" s="118"/>
      <c r="F471" s="119" t="s">
        <v>23950</v>
      </c>
      <c r="G471" t="s">
        <v>23956</v>
      </c>
      <c r="I471" s="118"/>
      <c r="J471" s="119" t="s">
        <v>23986</v>
      </c>
      <c r="K471" t="s">
        <v>23992</v>
      </c>
      <c r="M471" s="118"/>
      <c r="N471" s="119" t="s">
        <v>24022</v>
      </c>
      <c r="O471" t="s">
        <v>24028</v>
      </c>
      <c r="Q471" s="118"/>
      <c r="R471" s="119" t="s">
        <v>24058</v>
      </c>
      <c r="S471" t="s">
        <v>24064</v>
      </c>
      <c r="U471" s="118"/>
      <c r="V471" s="119" t="s">
        <v>24094</v>
      </c>
      <c r="W471" t="s">
        <v>24100</v>
      </c>
    </row>
    <row r="472" spans="1:23" x14ac:dyDescent="0.3">
      <c r="A472" s="118"/>
      <c r="B472" s="119" t="s">
        <v>23915</v>
      </c>
      <c r="C472" t="s">
        <v>23921</v>
      </c>
      <c r="E472" s="118"/>
      <c r="F472" s="119" t="s">
        <v>23951</v>
      </c>
      <c r="G472" t="s">
        <v>23957</v>
      </c>
      <c r="I472" s="118"/>
      <c r="J472" s="119" t="s">
        <v>23987</v>
      </c>
      <c r="K472" t="s">
        <v>23993</v>
      </c>
      <c r="M472" s="118"/>
      <c r="N472" s="119" t="s">
        <v>24023</v>
      </c>
      <c r="O472" t="s">
        <v>24029</v>
      </c>
      <c r="Q472" s="118"/>
      <c r="R472" s="119" t="s">
        <v>24059</v>
      </c>
      <c r="S472" t="s">
        <v>24065</v>
      </c>
      <c r="U472" s="118"/>
      <c r="V472" s="119" t="s">
        <v>24095</v>
      </c>
      <c r="W472" t="s">
        <v>24101</v>
      </c>
    </row>
    <row r="473" spans="1:23" x14ac:dyDescent="0.3">
      <c r="A473" s="118"/>
      <c r="B473" s="119" t="s">
        <v>24106</v>
      </c>
      <c r="C473" t="s">
        <v>24112</v>
      </c>
      <c r="E473" s="118"/>
      <c r="F473" s="119" t="s">
        <v>24142</v>
      </c>
      <c r="G473" t="s">
        <v>24148</v>
      </c>
      <c r="I473" s="118"/>
      <c r="J473" s="119" t="s">
        <v>24178</v>
      </c>
      <c r="K473" t="s">
        <v>24184</v>
      </c>
      <c r="M473" s="118"/>
      <c r="N473" s="119" t="s">
        <v>24214</v>
      </c>
      <c r="O473" t="s">
        <v>24220</v>
      </c>
      <c r="Q473" s="118"/>
      <c r="R473" s="119" t="s">
        <v>24250</v>
      </c>
      <c r="S473" t="s">
        <v>24256</v>
      </c>
      <c r="U473" s="118"/>
      <c r="V473" s="119" t="s">
        <v>24286</v>
      </c>
      <c r="W473" t="s">
        <v>24292</v>
      </c>
    </row>
    <row r="474" spans="1:23" x14ac:dyDescent="0.3">
      <c r="A474" s="118"/>
      <c r="B474" s="119" t="s">
        <v>24107</v>
      </c>
      <c r="C474" t="s">
        <v>24113</v>
      </c>
      <c r="E474" s="118"/>
      <c r="F474" s="119" t="s">
        <v>24143</v>
      </c>
      <c r="G474" t="s">
        <v>24149</v>
      </c>
      <c r="I474" s="118"/>
      <c r="J474" s="119" t="s">
        <v>24179</v>
      </c>
      <c r="K474" t="s">
        <v>24185</v>
      </c>
      <c r="M474" s="118"/>
      <c r="N474" s="119" t="s">
        <v>24215</v>
      </c>
      <c r="O474" t="s">
        <v>24221</v>
      </c>
      <c r="Q474" s="118"/>
      <c r="R474" s="119" t="s">
        <v>24251</v>
      </c>
      <c r="S474" t="s">
        <v>24257</v>
      </c>
      <c r="U474" s="118"/>
      <c r="V474" s="119" t="s">
        <v>24287</v>
      </c>
      <c r="W474" t="s">
        <v>24293</v>
      </c>
    </row>
    <row r="475" spans="1:23" x14ac:dyDescent="0.3">
      <c r="A475" s="118"/>
      <c r="B475" s="119" t="s">
        <v>24118</v>
      </c>
      <c r="C475" t="s">
        <v>24124</v>
      </c>
      <c r="E475" s="118"/>
      <c r="F475" s="119" t="s">
        <v>24154</v>
      </c>
      <c r="G475" t="s">
        <v>24160</v>
      </c>
      <c r="I475" s="118"/>
      <c r="J475" s="119" t="s">
        <v>24190</v>
      </c>
      <c r="K475" t="s">
        <v>24196</v>
      </c>
      <c r="M475" s="118"/>
      <c r="N475" s="119" t="s">
        <v>24226</v>
      </c>
      <c r="O475" t="s">
        <v>24232</v>
      </c>
      <c r="Q475" s="118"/>
      <c r="R475" s="119" t="s">
        <v>24262</v>
      </c>
      <c r="S475" t="s">
        <v>24268</v>
      </c>
      <c r="U475" s="118"/>
      <c r="V475" s="119" t="s">
        <v>24298</v>
      </c>
      <c r="W475" t="s">
        <v>24304</v>
      </c>
    </row>
    <row r="476" spans="1:23" x14ac:dyDescent="0.3">
      <c r="A476" s="118"/>
      <c r="B476" s="119" t="s">
        <v>24119</v>
      </c>
      <c r="C476" t="s">
        <v>24125</v>
      </c>
      <c r="E476" s="118"/>
      <c r="F476" s="119" t="s">
        <v>24155</v>
      </c>
      <c r="G476" t="s">
        <v>24161</v>
      </c>
      <c r="I476" s="118"/>
      <c r="J476" s="119" t="s">
        <v>24191</v>
      </c>
      <c r="K476" t="s">
        <v>24197</v>
      </c>
      <c r="M476" s="118"/>
      <c r="N476" s="119" t="s">
        <v>24227</v>
      </c>
      <c r="O476" t="s">
        <v>24233</v>
      </c>
      <c r="Q476" s="118"/>
      <c r="R476" s="119" t="s">
        <v>24263</v>
      </c>
      <c r="S476" t="s">
        <v>24269</v>
      </c>
      <c r="U476" s="118"/>
      <c r="V476" s="119" t="s">
        <v>24299</v>
      </c>
      <c r="W476" t="s">
        <v>24305</v>
      </c>
    </row>
    <row r="477" spans="1:23" x14ac:dyDescent="0.3">
      <c r="A477" s="118"/>
      <c r="B477" s="119" t="s">
        <v>24130</v>
      </c>
      <c r="C477" t="s">
        <v>24136</v>
      </c>
      <c r="E477" s="118"/>
      <c r="F477" s="119" t="s">
        <v>24166</v>
      </c>
      <c r="G477" t="s">
        <v>24172</v>
      </c>
      <c r="I477" s="118"/>
      <c r="J477" s="119" t="s">
        <v>24202</v>
      </c>
      <c r="K477" t="s">
        <v>24208</v>
      </c>
      <c r="M477" s="118"/>
      <c r="N477" s="119" t="s">
        <v>24238</v>
      </c>
      <c r="O477" t="s">
        <v>24244</v>
      </c>
      <c r="Q477" s="118"/>
      <c r="R477" s="119" t="s">
        <v>24274</v>
      </c>
      <c r="S477" t="s">
        <v>24280</v>
      </c>
      <c r="U477" s="118"/>
      <c r="V477" s="119" t="s">
        <v>24310</v>
      </c>
      <c r="W477" t="s">
        <v>24316</v>
      </c>
    </row>
    <row r="478" spans="1:23" x14ac:dyDescent="0.3">
      <c r="A478" s="118"/>
      <c r="B478" s="119" t="s">
        <v>24131</v>
      </c>
      <c r="C478" t="s">
        <v>24137</v>
      </c>
      <c r="E478" s="118"/>
      <c r="F478" s="119" t="s">
        <v>24167</v>
      </c>
      <c r="G478" t="s">
        <v>24173</v>
      </c>
      <c r="I478" s="118"/>
      <c r="J478" s="119" t="s">
        <v>24203</v>
      </c>
      <c r="K478" t="s">
        <v>24209</v>
      </c>
      <c r="M478" s="118"/>
      <c r="N478" s="119" t="s">
        <v>24239</v>
      </c>
      <c r="O478" t="s">
        <v>24245</v>
      </c>
      <c r="Q478" s="118"/>
      <c r="R478" s="119" t="s">
        <v>24275</v>
      </c>
      <c r="S478" t="s">
        <v>24281</v>
      </c>
      <c r="U478" s="118"/>
      <c r="V478" s="119" t="s">
        <v>24311</v>
      </c>
      <c r="W478" t="s">
        <v>24317</v>
      </c>
    </row>
    <row r="479" spans="1:23" x14ac:dyDescent="0.3">
      <c r="A479" s="118"/>
      <c r="B479" s="119" t="s">
        <v>24322</v>
      </c>
      <c r="C479" t="s">
        <v>24328</v>
      </c>
      <c r="E479" s="118"/>
      <c r="F479" s="119" t="s">
        <v>24358</v>
      </c>
      <c r="G479" t="s">
        <v>24364</v>
      </c>
      <c r="I479" s="118"/>
      <c r="J479" s="119" t="s">
        <v>24394</v>
      </c>
      <c r="K479" t="s">
        <v>24400</v>
      </c>
      <c r="M479" s="118"/>
      <c r="N479" s="119" t="s">
        <v>24430</v>
      </c>
      <c r="O479" t="s">
        <v>24436</v>
      </c>
      <c r="Q479" s="118"/>
      <c r="R479" s="119" t="s">
        <v>24466</v>
      </c>
      <c r="S479" t="s">
        <v>24472</v>
      </c>
      <c r="U479" s="118"/>
      <c r="V479" s="119" t="s">
        <v>24502</v>
      </c>
      <c r="W479" t="s">
        <v>24508</v>
      </c>
    </row>
    <row r="480" spans="1:23" x14ac:dyDescent="0.3">
      <c r="A480" s="118"/>
      <c r="B480" s="119" t="s">
        <v>24323</v>
      </c>
      <c r="C480" t="s">
        <v>24329</v>
      </c>
      <c r="E480" s="118"/>
      <c r="F480" s="119" t="s">
        <v>24359</v>
      </c>
      <c r="G480" t="s">
        <v>24365</v>
      </c>
      <c r="I480" s="118"/>
      <c r="J480" s="119" t="s">
        <v>24395</v>
      </c>
      <c r="K480" t="s">
        <v>24401</v>
      </c>
      <c r="M480" s="118"/>
      <c r="N480" s="119" t="s">
        <v>24431</v>
      </c>
      <c r="O480" t="s">
        <v>24437</v>
      </c>
      <c r="Q480" s="118"/>
      <c r="R480" s="119" t="s">
        <v>24467</v>
      </c>
      <c r="S480" t="s">
        <v>24473</v>
      </c>
      <c r="U480" s="118"/>
      <c r="V480" s="119" t="s">
        <v>24503</v>
      </c>
      <c r="W480" t="s">
        <v>24509</v>
      </c>
    </row>
    <row r="481" spans="1:23" x14ac:dyDescent="0.3">
      <c r="A481" s="118"/>
      <c r="B481" s="119" t="s">
        <v>24334</v>
      </c>
      <c r="C481" t="s">
        <v>24340</v>
      </c>
      <c r="E481" s="118"/>
      <c r="F481" s="119" t="s">
        <v>24370</v>
      </c>
      <c r="G481" t="s">
        <v>24376</v>
      </c>
      <c r="I481" s="118"/>
      <c r="J481" s="119" t="s">
        <v>24406</v>
      </c>
      <c r="K481" t="s">
        <v>24412</v>
      </c>
      <c r="M481" s="118"/>
      <c r="N481" s="119" t="s">
        <v>24442</v>
      </c>
      <c r="O481" t="s">
        <v>24448</v>
      </c>
      <c r="Q481" s="118"/>
      <c r="R481" s="119" t="s">
        <v>24478</v>
      </c>
      <c r="S481" t="s">
        <v>24484</v>
      </c>
      <c r="U481" s="118"/>
      <c r="V481" s="119" t="s">
        <v>24514</v>
      </c>
      <c r="W481" t="s">
        <v>24520</v>
      </c>
    </row>
    <row r="482" spans="1:23" x14ac:dyDescent="0.3">
      <c r="A482" s="118"/>
      <c r="B482" s="119" t="s">
        <v>24335</v>
      </c>
      <c r="C482" t="s">
        <v>24341</v>
      </c>
      <c r="E482" s="118"/>
      <c r="F482" s="119" t="s">
        <v>24371</v>
      </c>
      <c r="G482" t="s">
        <v>24377</v>
      </c>
      <c r="I482" s="118"/>
      <c r="J482" s="119" t="s">
        <v>24407</v>
      </c>
      <c r="K482" t="s">
        <v>24413</v>
      </c>
      <c r="M482" s="118"/>
      <c r="N482" s="119" t="s">
        <v>24443</v>
      </c>
      <c r="O482" t="s">
        <v>24449</v>
      </c>
      <c r="Q482" s="118"/>
      <c r="R482" s="119" t="s">
        <v>24479</v>
      </c>
      <c r="S482" t="s">
        <v>24485</v>
      </c>
      <c r="U482" s="118"/>
      <c r="V482" s="119" t="s">
        <v>24515</v>
      </c>
      <c r="W482" t="s">
        <v>24521</v>
      </c>
    </row>
    <row r="483" spans="1:23" x14ac:dyDescent="0.3">
      <c r="A483" s="118"/>
      <c r="B483" s="119" t="s">
        <v>24346</v>
      </c>
      <c r="C483" t="s">
        <v>24352</v>
      </c>
      <c r="E483" s="118"/>
      <c r="F483" s="119" t="s">
        <v>24382</v>
      </c>
      <c r="G483" t="s">
        <v>24388</v>
      </c>
      <c r="I483" s="118"/>
      <c r="J483" s="119" t="s">
        <v>24418</v>
      </c>
      <c r="K483" t="s">
        <v>24424</v>
      </c>
      <c r="M483" s="118"/>
      <c r="N483" s="119" t="s">
        <v>24454</v>
      </c>
      <c r="O483" t="s">
        <v>24460</v>
      </c>
      <c r="Q483" s="118"/>
      <c r="R483" s="119" t="s">
        <v>24490</v>
      </c>
      <c r="S483" t="s">
        <v>24496</v>
      </c>
      <c r="U483" s="118"/>
      <c r="V483" s="119" t="s">
        <v>24526</v>
      </c>
      <c r="W483" t="s">
        <v>24532</v>
      </c>
    </row>
    <row r="484" spans="1:23" x14ac:dyDescent="0.3">
      <c r="A484" s="118"/>
      <c r="B484" s="119" t="s">
        <v>24347</v>
      </c>
      <c r="C484" t="s">
        <v>24353</v>
      </c>
      <c r="E484" s="118"/>
      <c r="F484" s="119" t="s">
        <v>24383</v>
      </c>
      <c r="G484" t="s">
        <v>24389</v>
      </c>
      <c r="I484" s="118"/>
      <c r="J484" s="119" t="s">
        <v>24419</v>
      </c>
      <c r="K484" t="s">
        <v>24425</v>
      </c>
      <c r="M484" s="118"/>
      <c r="N484" s="119" t="s">
        <v>24455</v>
      </c>
      <c r="O484" t="s">
        <v>24461</v>
      </c>
      <c r="Q484" s="118"/>
      <c r="R484" s="119" t="s">
        <v>24491</v>
      </c>
      <c r="S484" t="s">
        <v>24497</v>
      </c>
      <c r="U484" s="118"/>
      <c r="V484" s="119" t="s">
        <v>24527</v>
      </c>
      <c r="W484" t="s">
        <v>24533</v>
      </c>
    </row>
    <row r="485" spans="1:23" x14ac:dyDescent="0.3">
      <c r="A485" s="118"/>
      <c r="B485" s="119" t="s">
        <v>24538</v>
      </c>
      <c r="C485" t="s">
        <v>24544</v>
      </c>
      <c r="E485" s="118"/>
      <c r="F485" s="119" t="s">
        <v>24574</v>
      </c>
      <c r="G485" t="s">
        <v>24580</v>
      </c>
      <c r="I485" s="118"/>
      <c r="J485" s="119" t="s">
        <v>24610</v>
      </c>
      <c r="K485" t="s">
        <v>24616</v>
      </c>
      <c r="M485" s="118"/>
      <c r="N485" s="119" t="s">
        <v>24646</v>
      </c>
      <c r="O485" t="s">
        <v>24652</v>
      </c>
      <c r="Q485" s="118"/>
      <c r="R485" s="119" t="s">
        <v>24682</v>
      </c>
      <c r="S485" t="s">
        <v>24688</v>
      </c>
      <c r="U485" s="118"/>
      <c r="V485" s="119" t="s">
        <v>24718</v>
      </c>
      <c r="W485" t="s">
        <v>24724</v>
      </c>
    </row>
    <row r="486" spans="1:23" x14ac:dyDescent="0.3">
      <c r="A486" s="118"/>
      <c r="B486" s="119" t="s">
        <v>24539</v>
      </c>
      <c r="C486" t="s">
        <v>24545</v>
      </c>
      <c r="E486" s="118"/>
      <c r="F486" s="119" t="s">
        <v>24575</v>
      </c>
      <c r="G486" t="s">
        <v>24581</v>
      </c>
      <c r="I486" s="118"/>
      <c r="J486" s="119" t="s">
        <v>24611</v>
      </c>
      <c r="K486" t="s">
        <v>24617</v>
      </c>
      <c r="M486" s="118"/>
      <c r="N486" s="119" t="s">
        <v>24647</v>
      </c>
      <c r="O486" t="s">
        <v>24653</v>
      </c>
      <c r="Q486" s="118"/>
      <c r="R486" s="119" t="s">
        <v>24683</v>
      </c>
      <c r="S486" t="s">
        <v>24689</v>
      </c>
      <c r="U486" s="118"/>
      <c r="V486" s="119" t="s">
        <v>24719</v>
      </c>
      <c r="W486" t="s">
        <v>24725</v>
      </c>
    </row>
    <row r="487" spans="1:23" x14ac:dyDescent="0.3">
      <c r="A487" s="118"/>
      <c r="B487" s="119" t="s">
        <v>24550</v>
      </c>
      <c r="C487" t="s">
        <v>24556</v>
      </c>
      <c r="E487" s="118"/>
      <c r="F487" s="119" t="s">
        <v>24586</v>
      </c>
      <c r="G487" t="s">
        <v>24592</v>
      </c>
      <c r="I487" s="118"/>
      <c r="J487" s="119" t="s">
        <v>24622</v>
      </c>
      <c r="K487" t="s">
        <v>24628</v>
      </c>
      <c r="M487" s="118"/>
      <c r="N487" s="119" t="s">
        <v>24658</v>
      </c>
      <c r="O487" t="s">
        <v>24664</v>
      </c>
      <c r="Q487" s="118"/>
      <c r="R487" s="119" t="s">
        <v>24694</v>
      </c>
      <c r="S487" t="s">
        <v>24700</v>
      </c>
      <c r="U487" s="118"/>
      <c r="V487" s="119" t="s">
        <v>24730</v>
      </c>
      <c r="W487" t="s">
        <v>24736</v>
      </c>
    </row>
    <row r="488" spans="1:23" x14ac:dyDescent="0.3">
      <c r="A488" s="118"/>
      <c r="B488" s="119" t="s">
        <v>24551</v>
      </c>
      <c r="C488" t="s">
        <v>24557</v>
      </c>
      <c r="E488" s="118"/>
      <c r="F488" s="119" t="s">
        <v>24587</v>
      </c>
      <c r="G488" t="s">
        <v>24593</v>
      </c>
      <c r="I488" s="118"/>
      <c r="J488" s="119" t="s">
        <v>24623</v>
      </c>
      <c r="K488" t="s">
        <v>24629</v>
      </c>
      <c r="M488" s="118"/>
      <c r="N488" s="119" t="s">
        <v>24659</v>
      </c>
      <c r="O488" t="s">
        <v>24665</v>
      </c>
      <c r="Q488" s="118"/>
      <c r="R488" s="119" t="s">
        <v>24695</v>
      </c>
      <c r="S488" t="s">
        <v>24701</v>
      </c>
      <c r="U488" s="118"/>
      <c r="V488" s="119" t="s">
        <v>24731</v>
      </c>
      <c r="W488" t="s">
        <v>24737</v>
      </c>
    </row>
    <row r="489" spans="1:23" x14ac:dyDescent="0.3">
      <c r="A489" s="118"/>
      <c r="B489" s="119" t="s">
        <v>24562</v>
      </c>
      <c r="C489" t="s">
        <v>24568</v>
      </c>
      <c r="E489" s="118"/>
      <c r="F489" s="119" t="s">
        <v>24598</v>
      </c>
      <c r="G489" t="s">
        <v>24604</v>
      </c>
      <c r="I489" s="118"/>
      <c r="J489" s="119" t="s">
        <v>24634</v>
      </c>
      <c r="K489" t="s">
        <v>24640</v>
      </c>
      <c r="M489" s="118"/>
      <c r="N489" s="119" t="s">
        <v>24670</v>
      </c>
      <c r="O489" t="s">
        <v>24676</v>
      </c>
      <c r="Q489" s="118"/>
      <c r="R489" s="119" t="s">
        <v>24706</v>
      </c>
      <c r="S489" t="s">
        <v>24712</v>
      </c>
      <c r="U489" s="118"/>
      <c r="V489" s="119" t="s">
        <v>24742</v>
      </c>
      <c r="W489" t="s">
        <v>24748</v>
      </c>
    </row>
    <row r="490" spans="1:23" x14ac:dyDescent="0.3">
      <c r="A490" s="118"/>
      <c r="B490" s="119" t="s">
        <v>24563</v>
      </c>
      <c r="C490" t="s">
        <v>24569</v>
      </c>
      <c r="E490" s="118"/>
      <c r="F490" s="119" t="s">
        <v>24599</v>
      </c>
      <c r="G490" t="s">
        <v>24605</v>
      </c>
      <c r="I490" s="118"/>
      <c r="J490" s="119" t="s">
        <v>24635</v>
      </c>
      <c r="K490" t="s">
        <v>24641</v>
      </c>
      <c r="M490" s="118"/>
      <c r="N490" s="119" t="s">
        <v>24671</v>
      </c>
      <c r="O490" t="s">
        <v>24677</v>
      </c>
      <c r="Q490" s="118"/>
      <c r="R490" s="119" t="s">
        <v>24707</v>
      </c>
      <c r="S490" t="s">
        <v>24713</v>
      </c>
      <c r="U490" s="118"/>
      <c r="V490" s="119" t="s">
        <v>24743</v>
      </c>
      <c r="W490" t="s">
        <v>24749</v>
      </c>
    </row>
    <row r="491" spans="1:23" x14ac:dyDescent="0.3">
      <c r="A491" s="118"/>
      <c r="B491" s="119" t="s">
        <v>24754</v>
      </c>
      <c r="C491" t="s">
        <v>24760</v>
      </c>
      <c r="E491" s="118"/>
      <c r="F491" s="119" t="s">
        <v>24790</v>
      </c>
      <c r="G491" t="s">
        <v>24796</v>
      </c>
      <c r="I491" s="118"/>
      <c r="J491" s="119" t="s">
        <v>24826</v>
      </c>
      <c r="K491" t="s">
        <v>24832</v>
      </c>
      <c r="M491" s="118"/>
      <c r="N491" s="119" t="s">
        <v>24862</v>
      </c>
      <c r="O491" t="s">
        <v>24868</v>
      </c>
      <c r="Q491" s="118"/>
      <c r="R491" s="119" t="s">
        <v>24898</v>
      </c>
      <c r="S491" t="s">
        <v>24904</v>
      </c>
      <c r="U491" s="118"/>
      <c r="V491" s="119" t="s">
        <v>24934</v>
      </c>
      <c r="W491" t="s">
        <v>24940</v>
      </c>
    </row>
    <row r="492" spans="1:23" x14ac:dyDescent="0.3">
      <c r="A492" s="118"/>
      <c r="B492" s="119" t="s">
        <v>24755</v>
      </c>
      <c r="C492" t="s">
        <v>24761</v>
      </c>
      <c r="E492" s="118"/>
      <c r="F492" s="119" t="s">
        <v>24791</v>
      </c>
      <c r="G492" t="s">
        <v>24797</v>
      </c>
      <c r="I492" s="118"/>
      <c r="J492" s="119" t="s">
        <v>24827</v>
      </c>
      <c r="K492" t="s">
        <v>24833</v>
      </c>
      <c r="M492" s="118"/>
      <c r="N492" s="119" t="s">
        <v>24863</v>
      </c>
      <c r="O492" t="s">
        <v>24869</v>
      </c>
      <c r="Q492" s="118"/>
      <c r="R492" s="119" t="s">
        <v>24899</v>
      </c>
      <c r="S492" t="s">
        <v>24905</v>
      </c>
      <c r="U492" s="118"/>
      <c r="V492" s="119" t="s">
        <v>24935</v>
      </c>
      <c r="W492" t="s">
        <v>24941</v>
      </c>
    </row>
    <row r="493" spans="1:23" x14ac:dyDescent="0.3">
      <c r="A493" s="118"/>
      <c r="B493" s="119" t="s">
        <v>24766</v>
      </c>
      <c r="C493" t="s">
        <v>24772</v>
      </c>
      <c r="E493" s="118"/>
      <c r="F493" s="119" t="s">
        <v>24802</v>
      </c>
      <c r="G493" t="s">
        <v>24808</v>
      </c>
      <c r="I493" s="118"/>
      <c r="J493" s="119" t="s">
        <v>24838</v>
      </c>
      <c r="K493" t="s">
        <v>24844</v>
      </c>
      <c r="M493" s="118"/>
      <c r="N493" s="119" t="s">
        <v>24874</v>
      </c>
      <c r="O493" t="s">
        <v>24880</v>
      </c>
      <c r="Q493" s="118"/>
      <c r="R493" s="119" t="s">
        <v>24910</v>
      </c>
      <c r="S493" t="s">
        <v>24916</v>
      </c>
      <c r="U493" s="118"/>
      <c r="V493" s="119" t="s">
        <v>24946</v>
      </c>
      <c r="W493" t="s">
        <v>24952</v>
      </c>
    </row>
    <row r="494" spans="1:23" x14ac:dyDescent="0.3">
      <c r="A494" s="118"/>
      <c r="B494" s="119" t="s">
        <v>24767</v>
      </c>
      <c r="C494" t="s">
        <v>24773</v>
      </c>
      <c r="E494" s="118"/>
      <c r="F494" s="119" t="s">
        <v>24803</v>
      </c>
      <c r="G494" t="s">
        <v>24809</v>
      </c>
      <c r="I494" s="118"/>
      <c r="J494" s="119" t="s">
        <v>24839</v>
      </c>
      <c r="K494" t="s">
        <v>24845</v>
      </c>
      <c r="M494" s="118"/>
      <c r="N494" s="119" t="s">
        <v>24875</v>
      </c>
      <c r="O494" t="s">
        <v>24881</v>
      </c>
      <c r="Q494" s="118"/>
      <c r="R494" s="119" t="s">
        <v>24911</v>
      </c>
      <c r="S494" t="s">
        <v>24917</v>
      </c>
      <c r="U494" s="118"/>
      <c r="V494" s="119" t="s">
        <v>24947</v>
      </c>
      <c r="W494" t="s">
        <v>24953</v>
      </c>
    </row>
    <row r="495" spans="1:23" x14ac:dyDescent="0.3">
      <c r="A495" s="118"/>
      <c r="B495" s="119" t="s">
        <v>24778</v>
      </c>
      <c r="C495" t="s">
        <v>24784</v>
      </c>
      <c r="E495" s="118"/>
      <c r="F495" s="119" t="s">
        <v>24814</v>
      </c>
      <c r="G495" t="s">
        <v>24820</v>
      </c>
      <c r="I495" s="118"/>
      <c r="J495" s="119" t="s">
        <v>24850</v>
      </c>
      <c r="K495" t="s">
        <v>24856</v>
      </c>
      <c r="M495" s="118"/>
      <c r="N495" s="119" t="s">
        <v>24886</v>
      </c>
      <c r="O495" t="s">
        <v>24892</v>
      </c>
      <c r="Q495" s="118"/>
      <c r="R495" s="119" t="s">
        <v>24922</v>
      </c>
      <c r="S495" t="s">
        <v>24928</v>
      </c>
      <c r="U495" s="118"/>
      <c r="V495" s="119" t="s">
        <v>24958</v>
      </c>
      <c r="W495" t="s">
        <v>24964</v>
      </c>
    </row>
    <row r="496" spans="1:23" x14ac:dyDescent="0.3">
      <c r="A496" s="118"/>
      <c r="B496" s="119" t="s">
        <v>24779</v>
      </c>
      <c r="C496" t="s">
        <v>24785</v>
      </c>
      <c r="E496" s="118"/>
      <c r="F496" s="119" t="s">
        <v>24815</v>
      </c>
      <c r="G496" t="s">
        <v>24821</v>
      </c>
      <c r="I496" s="118"/>
      <c r="J496" s="119" t="s">
        <v>24851</v>
      </c>
      <c r="K496" t="s">
        <v>24857</v>
      </c>
      <c r="M496" s="118"/>
      <c r="N496" s="119" t="s">
        <v>24887</v>
      </c>
      <c r="O496" t="s">
        <v>24893</v>
      </c>
      <c r="Q496" s="118"/>
      <c r="R496" s="119" t="s">
        <v>24923</v>
      </c>
      <c r="S496" t="s">
        <v>24929</v>
      </c>
      <c r="U496" s="118"/>
      <c r="V496" s="119" t="s">
        <v>24959</v>
      </c>
      <c r="W496" t="s">
        <v>24965</v>
      </c>
    </row>
    <row r="497" spans="1:23" x14ac:dyDescent="0.3">
      <c r="A497" s="118"/>
      <c r="B497" s="119" t="s">
        <v>24970</v>
      </c>
      <c r="C497" t="s">
        <v>24976</v>
      </c>
      <c r="E497" s="118"/>
      <c r="F497" s="119" t="s">
        <v>25006</v>
      </c>
      <c r="G497" t="s">
        <v>25012</v>
      </c>
      <c r="I497" s="118"/>
      <c r="J497" s="119" t="s">
        <v>25042</v>
      </c>
      <c r="K497" t="s">
        <v>25048</v>
      </c>
      <c r="M497" s="118"/>
      <c r="N497" s="119" t="s">
        <v>25078</v>
      </c>
      <c r="O497" t="s">
        <v>25084</v>
      </c>
      <c r="Q497" s="118"/>
      <c r="R497" s="119" t="s">
        <v>25114</v>
      </c>
      <c r="S497" t="s">
        <v>25120</v>
      </c>
      <c r="U497" s="118"/>
      <c r="V497" s="119" t="s">
        <v>25150</v>
      </c>
      <c r="W497" t="s">
        <v>25156</v>
      </c>
    </row>
    <row r="498" spans="1:23" x14ac:dyDescent="0.3">
      <c r="A498" s="118"/>
      <c r="B498" s="119" t="s">
        <v>24971</v>
      </c>
      <c r="C498" t="s">
        <v>24977</v>
      </c>
      <c r="E498" s="118"/>
      <c r="F498" s="119" t="s">
        <v>25007</v>
      </c>
      <c r="G498" t="s">
        <v>25013</v>
      </c>
      <c r="I498" s="118"/>
      <c r="J498" s="119" t="s">
        <v>25043</v>
      </c>
      <c r="K498" t="s">
        <v>25049</v>
      </c>
      <c r="M498" s="118"/>
      <c r="N498" s="119" t="s">
        <v>25079</v>
      </c>
      <c r="O498" t="s">
        <v>25085</v>
      </c>
      <c r="Q498" s="118"/>
      <c r="R498" s="119" t="s">
        <v>25115</v>
      </c>
      <c r="S498" t="s">
        <v>25121</v>
      </c>
      <c r="U498" s="118"/>
      <c r="V498" s="119" t="s">
        <v>25151</v>
      </c>
      <c r="W498" t="s">
        <v>25157</v>
      </c>
    </row>
    <row r="499" spans="1:23" x14ac:dyDescent="0.3">
      <c r="A499" s="118"/>
      <c r="B499" s="119" t="s">
        <v>24982</v>
      </c>
      <c r="C499" t="s">
        <v>24988</v>
      </c>
      <c r="E499" s="118"/>
      <c r="F499" s="119" t="s">
        <v>25018</v>
      </c>
      <c r="G499" t="s">
        <v>25024</v>
      </c>
      <c r="I499" s="118"/>
      <c r="J499" s="119" t="s">
        <v>25054</v>
      </c>
      <c r="K499" t="s">
        <v>25060</v>
      </c>
      <c r="M499" s="118"/>
      <c r="N499" s="119" t="s">
        <v>25090</v>
      </c>
      <c r="O499" t="s">
        <v>25096</v>
      </c>
      <c r="Q499" s="118"/>
      <c r="R499" s="119" t="s">
        <v>25126</v>
      </c>
      <c r="S499" t="s">
        <v>25132</v>
      </c>
      <c r="U499" s="118"/>
      <c r="V499" s="119" t="s">
        <v>25162</v>
      </c>
      <c r="W499" t="s">
        <v>25168</v>
      </c>
    </row>
    <row r="500" spans="1:23" x14ac:dyDescent="0.3">
      <c r="A500" s="118"/>
      <c r="B500" s="119" t="s">
        <v>24983</v>
      </c>
      <c r="C500" t="s">
        <v>24989</v>
      </c>
      <c r="E500" s="118"/>
      <c r="F500" s="119" t="s">
        <v>25019</v>
      </c>
      <c r="G500" t="s">
        <v>25025</v>
      </c>
      <c r="I500" s="118"/>
      <c r="J500" s="119" t="s">
        <v>25055</v>
      </c>
      <c r="K500" t="s">
        <v>25061</v>
      </c>
      <c r="M500" s="118"/>
      <c r="N500" s="119" t="s">
        <v>25091</v>
      </c>
      <c r="O500" t="s">
        <v>25097</v>
      </c>
      <c r="Q500" s="118"/>
      <c r="R500" s="119" t="s">
        <v>25127</v>
      </c>
      <c r="S500" t="s">
        <v>25133</v>
      </c>
      <c r="U500" s="118"/>
      <c r="V500" s="119" t="s">
        <v>25163</v>
      </c>
      <c r="W500" t="s">
        <v>25169</v>
      </c>
    </row>
    <row r="501" spans="1:23" x14ac:dyDescent="0.3">
      <c r="A501" s="118"/>
      <c r="B501" s="119" t="s">
        <v>24994</v>
      </c>
      <c r="C501" t="s">
        <v>25000</v>
      </c>
      <c r="E501" s="118"/>
      <c r="F501" s="119" t="s">
        <v>25030</v>
      </c>
      <c r="G501" t="s">
        <v>25036</v>
      </c>
      <c r="I501" s="118"/>
      <c r="J501" s="119" t="s">
        <v>25066</v>
      </c>
      <c r="K501" t="s">
        <v>25072</v>
      </c>
      <c r="M501" s="118"/>
      <c r="N501" s="119" t="s">
        <v>25102</v>
      </c>
      <c r="O501" t="s">
        <v>25108</v>
      </c>
      <c r="Q501" s="118"/>
      <c r="R501" s="119" t="s">
        <v>25138</v>
      </c>
      <c r="S501" t="s">
        <v>25144</v>
      </c>
      <c r="U501" s="118"/>
      <c r="V501" s="119" t="s">
        <v>25174</v>
      </c>
      <c r="W501" t="s">
        <v>25180</v>
      </c>
    </row>
    <row r="502" spans="1:23" x14ac:dyDescent="0.3">
      <c r="A502" s="118"/>
      <c r="B502" s="119" t="s">
        <v>24995</v>
      </c>
      <c r="C502" t="s">
        <v>25001</v>
      </c>
      <c r="E502" s="118"/>
      <c r="F502" s="119" t="s">
        <v>25031</v>
      </c>
      <c r="G502" t="s">
        <v>25037</v>
      </c>
      <c r="I502" s="118"/>
      <c r="J502" s="119" t="s">
        <v>25067</v>
      </c>
      <c r="K502" t="s">
        <v>25073</v>
      </c>
      <c r="M502" s="118"/>
      <c r="N502" s="119" t="s">
        <v>25103</v>
      </c>
      <c r="O502" t="s">
        <v>25109</v>
      </c>
      <c r="Q502" s="118"/>
      <c r="R502" s="119" t="s">
        <v>25139</v>
      </c>
      <c r="S502" t="s">
        <v>25145</v>
      </c>
      <c r="U502" s="118"/>
      <c r="V502" s="119" t="s">
        <v>25175</v>
      </c>
      <c r="W502" t="s">
        <v>25181</v>
      </c>
    </row>
    <row r="503" spans="1:23" x14ac:dyDescent="0.3">
      <c r="A503" s="118"/>
      <c r="B503" s="119" t="s">
        <v>25186</v>
      </c>
      <c r="C503" t="s">
        <v>25192</v>
      </c>
      <c r="E503" s="118"/>
      <c r="F503" s="119" t="s">
        <v>25222</v>
      </c>
      <c r="G503" t="s">
        <v>25228</v>
      </c>
      <c r="I503" s="118"/>
      <c r="J503" s="119" t="s">
        <v>25258</v>
      </c>
      <c r="K503" t="s">
        <v>25264</v>
      </c>
      <c r="M503" s="118"/>
      <c r="N503" s="119" t="s">
        <v>25294</v>
      </c>
      <c r="O503" t="s">
        <v>25300</v>
      </c>
      <c r="Q503" s="118"/>
      <c r="R503" s="119" t="s">
        <v>25330</v>
      </c>
      <c r="S503" t="s">
        <v>25336</v>
      </c>
      <c r="U503" s="118"/>
      <c r="V503" s="119" t="s">
        <v>25366</v>
      </c>
      <c r="W503" t="s">
        <v>25372</v>
      </c>
    </row>
    <row r="504" spans="1:23" x14ac:dyDescent="0.3">
      <c r="A504" s="118"/>
      <c r="B504" s="119" t="s">
        <v>25187</v>
      </c>
      <c r="C504" t="s">
        <v>25193</v>
      </c>
      <c r="E504" s="118"/>
      <c r="F504" s="119" t="s">
        <v>25223</v>
      </c>
      <c r="G504" t="s">
        <v>25229</v>
      </c>
      <c r="I504" s="118"/>
      <c r="J504" s="119" t="s">
        <v>25259</v>
      </c>
      <c r="K504" t="s">
        <v>25265</v>
      </c>
      <c r="M504" s="118"/>
      <c r="N504" s="119" t="s">
        <v>25295</v>
      </c>
      <c r="O504" t="s">
        <v>25301</v>
      </c>
      <c r="Q504" s="118"/>
      <c r="R504" s="119" t="s">
        <v>25331</v>
      </c>
      <c r="S504" t="s">
        <v>25337</v>
      </c>
      <c r="U504" s="118"/>
      <c r="V504" s="119" t="s">
        <v>25367</v>
      </c>
      <c r="W504" t="s">
        <v>25373</v>
      </c>
    </row>
    <row r="505" spans="1:23" x14ac:dyDescent="0.3">
      <c r="A505" s="118"/>
      <c r="B505" s="119" t="s">
        <v>25198</v>
      </c>
      <c r="C505" t="s">
        <v>25204</v>
      </c>
      <c r="E505" s="118"/>
      <c r="F505" s="119" t="s">
        <v>25234</v>
      </c>
      <c r="G505" t="s">
        <v>25240</v>
      </c>
      <c r="I505" s="118"/>
      <c r="J505" s="119" t="s">
        <v>25270</v>
      </c>
      <c r="K505" t="s">
        <v>25276</v>
      </c>
      <c r="M505" s="118"/>
      <c r="N505" s="119" t="s">
        <v>25306</v>
      </c>
      <c r="O505" t="s">
        <v>25312</v>
      </c>
      <c r="Q505" s="118"/>
      <c r="R505" s="119" t="s">
        <v>25342</v>
      </c>
      <c r="S505" t="s">
        <v>25348</v>
      </c>
      <c r="U505" s="118"/>
      <c r="V505" s="119" t="s">
        <v>25378</v>
      </c>
      <c r="W505" t="s">
        <v>25384</v>
      </c>
    </row>
    <row r="506" spans="1:23" x14ac:dyDescent="0.3">
      <c r="A506" s="118"/>
      <c r="B506" s="119" t="s">
        <v>25199</v>
      </c>
      <c r="C506" t="s">
        <v>25205</v>
      </c>
      <c r="E506" s="118"/>
      <c r="F506" s="119" t="s">
        <v>25235</v>
      </c>
      <c r="G506" t="s">
        <v>25241</v>
      </c>
      <c r="I506" s="118"/>
      <c r="J506" s="119" t="s">
        <v>25271</v>
      </c>
      <c r="K506" t="s">
        <v>25277</v>
      </c>
      <c r="M506" s="118"/>
      <c r="N506" s="119" t="s">
        <v>25307</v>
      </c>
      <c r="O506" t="s">
        <v>25313</v>
      </c>
      <c r="Q506" s="118"/>
      <c r="R506" s="119" t="s">
        <v>25343</v>
      </c>
      <c r="S506" t="s">
        <v>25349</v>
      </c>
      <c r="U506" s="118"/>
      <c r="V506" s="119" t="s">
        <v>25379</v>
      </c>
      <c r="W506" t="s">
        <v>25385</v>
      </c>
    </row>
    <row r="507" spans="1:23" x14ac:dyDescent="0.3">
      <c r="A507" s="118"/>
      <c r="B507" s="119" t="s">
        <v>25210</v>
      </c>
      <c r="C507" t="s">
        <v>25216</v>
      </c>
      <c r="E507" s="118"/>
      <c r="F507" s="119" t="s">
        <v>25246</v>
      </c>
      <c r="G507" t="s">
        <v>25252</v>
      </c>
      <c r="I507" s="118"/>
      <c r="J507" s="119" t="s">
        <v>25282</v>
      </c>
      <c r="K507" t="s">
        <v>25288</v>
      </c>
      <c r="M507" s="118"/>
      <c r="N507" s="119" t="s">
        <v>25318</v>
      </c>
      <c r="O507" t="s">
        <v>25324</v>
      </c>
      <c r="Q507" s="118"/>
      <c r="R507" s="119" t="s">
        <v>25354</v>
      </c>
      <c r="S507" t="s">
        <v>25360</v>
      </c>
      <c r="U507" s="118"/>
      <c r="V507" s="119" t="s">
        <v>25390</v>
      </c>
      <c r="W507" t="s">
        <v>25396</v>
      </c>
    </row>
    <row r="508" spans="1:23" x14ac:dyDescent="0.3">
      <c r="A508" s="118"/>
      <c r="B508" s="119" t="s">
        <v>25211</v>
      </c>
      <c r="C508" t="s">
        <v>25217</v>
      </c>
      <c r="E508" s="118"/>
      <c r="F508" s="119" t="s">
        <v>25247</v>
      </c>
      <c r="G508" t="s">
        <v>25253</v>
      </c>
      <c r="I508" s="118"/>
      <c r="J508" s="119" t="s">
        <v>25283</v>
      </c>
      <c r="K508" t="s">
        <v>25289</v>
      </c>
      <c r="M508" s="118"/>
      <c r="N508" s="119" t="s">
        <v>25319</v>
      </c>
      <c r="O508" t="s">
        <v>25325</v>
      </c>
      <c r="Q508" s="118"/>
      <c r="R508" s="119" t="s">
        <v>25355</v>
      </c>
      <c r="S508" t="s">
        <v>25361</v>
      </c>
      <c r="U508" s="118"/>
      <c r="V508" s="119" t="s">
        <v>25391</v>
      </c>
      <c r="W508" t="s">
        <v>25397</v>
      </c>
    </row>
    <row r="509" spans="1:23" x14ac:dyDescent="0.3">
      <c r="A509" s="118"/>
      <c r="B509" s="119" t="s">
        <v>25402</v>
      </c>
      <c r="C509" t="s">
        <v>25408</v>
      </c>
      <c r="E509" s="118"/>
      <c r="F509" s="119" t="s">
        <v>25438</v>
      </c>
      <c r="G509" t="s">
        <v>25444</v>
      </c>
      <c r="I509" s="118"/>
      <c r="J509" s="119" t="s">
        <v>25474</v>
      </c>
      <c r="K509" t="s">
        <v>25480</v>
      </c>
      <c r="M509" s="118"/>
      <c r="N509" s="119" t="s">
        <v>25510</v>
      </c>
      <c r="O509" t="s">
        <v>25516</v>
      </c>
      <c r="Q509" s="118"/>
      <c r="R509" s="119" t="s">
        <v>25546</v>
      </c>
      <c r="S509" t="s">
        <v>25552</v>
      </c>
      <c r="U509" s="118"/>
      <c r="V509" s="119" t="s">
        <v>25582</v>
      </c>
      <c r="W509" t="s">
        <v>25588</v>
      </c>
    </row>
    <row r="510" spans="1:23" x14ac:dyDescent="0.3">
      <c r="A510" s="118"/>
      <c r="B510" s="119" t="s">
        <v>25403</v>
      </c>
      <c r="C510" t="s">
        <v>25409</v>
      </c>
      <c r="E510" s="118"/>
      <c r="F510" s="119" t="s">
        <v>25439</v>
      </c>
      <c r="G510" t="s">
        <v>25445</v>
      </c>
      <c r="I510" s="118"/>
      <c r="J510" s="119" t="s">
        <v>25475</v>
      </c>
      <c r="K510" t="s">
        <v>25481</v>
      </c>
      <c r="M510" s="118"/>
      <c r="N510" s="119" t="s">
        <v>25511</v>
      </c>
      <c r="O510" t="s">
        <v>25517</v>
      </c>
      <c r="Q510" s="118"/>
      <c r="R510" s="119" t="s">
        <v>25547</v>
      </c>
      <c r="S510" t="s">
        <v>25553</v>
      </c>
      <c r="U510" s="118"/>
      <c r="V510" s="119" t="s">
        <v>25583</v>
      </c>
      <c r="W510" t="s">
        <v>25589</v>
      </c>
    </row>
    <row r="511" spans="1:23" x14ac:dyDescent="0.3">
      <c r="A511" s="118"/>
      <c r="B511" s="119" t="s">
        <v>25414</v>
      </c>
      <c r="C511" t="s">
        <v>25420</v>
      </c>
      <c r="E511" s="118"/>
      <c r="F511" s="119" t="s">
        <v>25450</v>
      </c>
      <c r="G511" t="s">
        <v>25456</v>
      </c>
      <c r="I511" s="118"/>
      <c r="J511" s="119" t="s">
        <v>25486</v>
      </c>
      <c r="K511" t="s">
        <v>25492</v>
      </c>
      <c r="M511" s="118"/>
      <c r="N511" s="119" t="s">
        <v>25522</v>
      </c>
      <c r="O511" t="s">
        <v>25528</v>
      </c>
      <c r="Q511" s="118"/>
      <c r="R511" s="119" t="s">
        <v>25558</v>
      </c>
      <c r="S511" t="s">
        <v>25564</v>
      </c>
      <c r="U511" s="118"/>
      <c r="V511" s="119" t="s">
        <v>25594</v>
      </c>
      <c r="W511" t="s">
        <v>25600</v>
      </c>
    </row>
    <row r="512" spans="1:23" x14ac:dyDescent="0.3">
      <c r="A512" s="118"/>
      <c r="B512" s="119" t="s">
        <v>25415</v>
      </c>
      <c r="C512" t="s">
        <v>25421</v>
      </c>
      <c r="E512" s="118"/>
      <c r="F512" s="119" t="s">
        <v>25451</v>
      </c>
      <c r="G512" t="s">
        <v>25457</v>
      </c>
      <c r="I512" s="118"/>
      <c r="J512" s="119" t="s">
        <v>25487</v>
      </c>
      <c r="K512" t="s">
        <v>25493</v>
      </c>
      <c r="M512" s="118"/>
      <c r="N512" s="119" t="s">
        <v>25523</v>
      </c>
      <c r="O512" t="s">
        <v>25529</v>
      </c>
      <c r="Q512" s="118"/>
      <c r="R512" s="119" t="s">
        <v>25559</v>
      </c>
      <c r="S512" t="s">
        <v>25565</v>
      </c>
      <c r="U512" s="118"/>
      <c r="V512" s="119" t="s">
        <v>25595</v>
      </c>
      <c r="W512" t="s">
        <v>25601</v>
      </c>
    </row>
    <row r="513" spans="1:23" x14ac:dyDescent="0.3">
      <c r="A513" s="118"/>
      <c r="B513" s="119" t="s">
        <v>25426</v>
      </c>
      <c r="C513" t="s">
        <v>25432</v>
      </c>
      <c r="E513" s="118"/>
      <c r="F513" s="119" t="s">
        <v>25462</v>
      </c>
      <c r="G513" t="s">
        <v>25468</v>
      </c>
      <c r="I513" s="118"/>
      <c r="J513" s="119" t="s">
        <v>25498</v>
      </c>
      <c r="K513" t="s">
        <v>25504</v>
      </c>
      <c r="M513" s="118"/>
      <c r="N513" s="119" t="s">
        <v>25534</v>
      </c>
      <c r="O513" t="s">
        <v>25540</v>
      </c>
      <c r="Q513" s="118"/>
      <c r="R513" s="119" t="s">
        <v>25570</v>
      </c>
      <c r="S513" t="s">
        <v>25576</v>
      </c>
      <c r="U513" s="118"/>
      <c r="V513" s="119" t="s">
        <v>25606</v>
      </c>
      <c r="W513" t="s">
        <v>25612</v>
      </c>
    </row>
    <row r="514" spans="1:23" x14ac:dyDescent="0.3">
      <c r="A514" s="118"/>
      <c r="B514" s="119" t="s">
        <v>25427</v>
      </c>
      <c r="C514" t="s">
        <v>25433</v>
      </c>
      <c r="E514" s="118"/>
      <c r="F514" s="119" t="s">
        <v>25463</v>
      </c>
      <c r="G514" t="s">
        <v>25469</v>
      </c>
      <c r="I514" s="118"/>
      <c r="J514" s="119" t="s">
        <v>25499</v>
      </c>
      <c r="K514" t="s">
        <v>25505</v>
      </c>
      <c r="M514" s="118"/>
      <c r="N514" s="119" t="s">
        <v>25535</v>
      </c>
      <c r="O514" t="s">
        <v>25541</v>
      </c>
      <c r="Q514" s="118"/>
      <c r="R514" s="119" t="s">
        <v>25571</v>
      </c>
      <c r="S514" t="s">
        <v>25577</v>
      </c>
      <c r="U514" s="118"/>
      <c r="V514" s="119" t="s">
        <v>25607</v>
      </c>
      <c r="W514" t="s">
        <v>25613</v>
      </c>
    </row>
    <row r="515" spans="1:23" x14ac:dyDescent="0.3">
      <c r="A515" s="118"/>
      <c r="B515" s="119" t="s">
        <v>25618</v>
      </c>
      <c r="C515" t="s">
        <v>25624</v>
      </c>
      <c r="E515" s="118"/>
      <c r="F515" s="119" t="s">
        <v>25654</v>
      </c>
      <c r="G515" t="s">
        <v>25660</v>
      </c>
      <c r="I515" s="118"/>
      <c r="J515" s="119" t="s">
        <v>25690</v>
      </c>
      <c r="K515" t="s">
        <v>25696</v>
      </c>
      <c r="M515" s="118"/>
      <c r="N515" s="119" t="s">
        <v>25726</v>
      </c>
      <c r="O515" t="s">
        <v>25732</v>
      </c>
      <c r="Q515" s="118"/>
      <c r="R515" s="119" t="s">
        <v>25762</v>
      </c>
      <c r="S515" t="s">
        <v>25768</v>
      </c>
      <c r="U515" s="118"/>
      <c r="V515" s="119" t="s">
        <v>25798</v>
      </c>
      <c r="W515" t="s">
        <v>25804</v>
      </c>
    </row>
    <row r="516" spans="1:23" x14ac:dyDescent="0.3">
      <c r="A516" s="118"/>
      <c r="B516" s="119" t="s">
        <v>25619</v>
      </c>
      <c r="C516" t="s">
        <v>25625</v>
      </c>
      <c r="E516" s="118"/>
      <c r="F516" s="119" t="s">
        <v>25655</v>
      </c>
      <c r="G516" t="s">
        <v>25661</v>
      </c>
      <c r="I516" s="118"/>
      <c r="J516" s="119" t="s">
        <v>25691</v>
      </c>
      <c r="K516" t="s">
        <v>25697</v>
      </c>
      <c r="M516" s="118"/>
      <c r="N516" s="119" t="s">
        <v>25727</v>
      </c>
      <c r="O516" t="s">
        <v>25733</v>
      </c>
      <c r="Q516" s="118"/>
      <c r="R516" s="119" t="s">
        <v>25763</v>
      </c>
      <c r="S516" t="s">
        <v>25769</v>
      </c>
      <c r="U516" s="118"/>
      <c r="V516" s="119" t="s">
        <v>25799</v>
      </c>
      <c r="W516" t="s">
        <v>25805</v>
      </c>
    </row>
    <row r="517" spans="1:23" x14ac:dyDescent="0.3">
      <c r="A517" s="118"/>
      <c r="B517" s="119" t="s">
        <v>25630</v>
      </c>
      <c r="C517" t="s">
        <v>25636</v>
      </c>
      <c r="E517" s="118"/>
      <c r="F517" s="119" t="s">
        <v>25666</v>
      </c>
      <c r="G517" t="s">
        <v>25672</v>
      </c>
      <c r="I517" s="118"/>
      <c r="J517" s="119" t="s">
        <v>25702</v>
      </c>
      <c r="K517" t="s">
        <v>25708</v>
      </c>
      <c r="M517" s="118"/>
      <c r="N517" s="119" t="s">
        <v>25738</v>
      </c>
      <c r="O517" t="s">
        <v>25744</v>
      </c>
      <c r="Q517" s="118"/>
      <c r="R517" s="119" t="s">
        <v>25774</v>
      </c>
      <c r="S517" t="s">
        <v>25780</v>
      </c>
      <c r="U517" s="118"/>
      <c r="V517" s="119" t="s">
        <v>25810</v>
      </c>
      <c r="W517" t="s">
        <v>25816</v>
      </c>
    </row>
    <row r="518" spans="1:23" x14ac:dyDescent="0.3">
      <c r="A518" s="118"/>
      <c r="B518" s="119" t="s">
        <v>25631</v>
      </c>
      <c r="C518" t="s">
        <v>25637</v>
      </c>
      <c r="E518" s="118"/>
      <c r="F518" s="119" t="s">
        <v>25667</v>
      </c>
      <c r="G518" t="s">
        <v>25673</v>
      </c>
      <c r="I518" s="118"/>
      <c r="J518" s="119" t="s">
        <v>25703</v>
      </c>
      <c r="K518" t="s">
        <v>25709</v>
      </c>
      <c r="M518" s="118"/>
      <c r="N518" s="119" t="s">
        <v>25739</v>
      </c>
      <c r="O518" t="s">
        <v>25745</v>
      </c>
      <c r="Q518" s="118"/>
      <c r="R518" s="119" t="s">
        <v>25775</v>
      </c>
      <c r="S518" t="s">
        <v>25781</v>
      </c>
      <c r="U518" s="118"/>
      <c r="V518" s="119" t="s">
        <v>25811</v>
      </c>
      <c r="W518" t="s">
        <v>25817</v>
      </c>
    </row>
    <row r="519" spans="1:23" x14ac:dyDescent="0.3">
      <c r="A519" s="118"/>
      <c r="B519" s="119" t="s">
        <v>25642</v>
      </c>
      <c r="C519" t="s">
        <v>25648</v>
      </c>
      <c r="E519" s="118"/>
      <c r="F519" s="119" t="s">
        <v>25678</v>
      </c>
      <c r="G519" t="s">
        <v>25684</v>
      </c>
      <c r="I519" s="118"/>
      <c r="J519" s="119" t="s">
        <v>25714</v>
      </c>
      <c r="K519" t="s">
        <v>25720</v>
      </c>
      <c r="M519" s="118"/>
      <c r="N519" s="119" t="s">
        <v>25750</v>
      </c>
      <c r="O519" t="s">
        <v>25756</v>
      </c>
      <c r="Q519" s="118"/>
      <c r="R519" s="119" t="s">
        <v>25786</v>
      </c>
      <c r="S519" t="s">
        <v>25792</v>
      </c>
      <c r="U519" s="118"/>
      <c r="V519" s="119" t="s">
        <v>25822</v>
      </c>
      <c r="W519" t="s">
        <v>25828</v>
      </c>
    </row>
    <row r="520" spans="1:23" x14ac:dyDescent="0.3">
      <c r="A520" s="118"/>
      <c r="B520" s="119" t="s">
        <v>25643</v>
      </c>
      <c r="C520" t="s">
        <v>25649</v>
      </c>
      <c r="E520" s="118"/>
      <c r="F520" s="119" t="s">
        <v>25679</v>
      </c>
      <c r="G520" t="s">
        <v>25685</v>
      </c>
      <c r="I520" s="118"/>
      <c r="J520" s="119" t="s">
        <v>25715</v>
      </c>
      <c r="K520" t="s">
        <v>25721</v>
      </c>
      <c r="M520" s="118"/>
      <c r="N520" s="119" t="s">
        <v>25751</v>
      </c>
      <c r="O520" t="s">
        <v>25757</v>
      </c>
      <c r="Q520" s="118"/>
      <c r="R520" s="119" t="s">
        <v>25787</v>
      </c>
      <c r="S520" t="s">
        <v>25793</v>
      </c>
      <c r="U520" s="118"/>
      <c r="V520" s="119" t="s">
        <v>25823</v>
      </c>
      <c r="W520" t="s">
        <v>25829</v>
      </c>
    </row>
    <row r="521" spans="1:23" x14ac:dyDescent="0.3">
      <c r="A521" s="118"/>
      <c r="B521" s="119" t="s">
        <v>25834</v>
      </c>
      <c r="C521" t="s">
        <v>25840</v>
      </c>
      <c r="E521" s="118"/>
      <c r="F521" s="119" t="s">
        <v>25870</v>
      </c>
      <c r="G521" t="s">
        <v>25876</v>
      </c>
      <c r="I521" s="118"/>
      <c r="J521" s="119" t="s">
        <v>25906</v>
      </c>
      <c r="K521" t="s">
        <v>25912</v>
      </c>
      <c r="M521" s="118"/>
      <c r="N521" s="119" t="s">
        <v>25942</v>
      </c>
      <c r="O521" t="s">
        <v>25948</v>
      </c>
      <c r="Q521" s="118"/>
      <c r="R521" s="119" t="s">
        <v>25978</v>
      </c>
      <c r="S521" t="s">
        <v>25984</v>
      </c>
      <c r="U521" s="118"/>
      <c r="V521" s="119" t="s">
        <v>26014</v>
      </c>
      <c r="W521" t="s">
        <v>26020</v>
      </c>
    </row>
    <row r="522" spans="1:23" x14ac:dyDescent="0.3">
      <c r="A522" s="118"/>
      <c r="B522" s="119" t="s">
        <v>25835</v>
      </c>
      <c r="C522" t="s">
        <v>25841</v>
      </c>
      <c r="E522" s="118"/>
      <c r="F522" s="119" t="s">
        <v>25871</v>
      </c>
      <c r="G522" t="s">
        <v>25877</v>
      </c>
      <c r="I522" s="118"/>
      <c r="J522" s="119" t="s">
        <v>25907</v>
      </c>
      <c r="K522" t="s">
        <v>25913</v>
      </c>
      <c r="M522" s="118"/>
      <c r="N522" s="119" t="s">
        <v>25943</v>
      </c>
      <c r="O522" t="s">
        <v>25949</v>
      </c>
      <c r="Q522" s="118"/>
      <c r="R522" s="119" t="s">
        <v>25979</v>
      </c>
      <c r="S522" t="s">
        <v>25985</v>
      </c>
      <c r="U522" s="118"/>
      <c r="V522" s="119" t="s">
        <v>26015</v>
      </c>
      <c r="W522" t="s">
        <v>26021</v>
      </c>
    </row>
    <row r="523" spans="1:23" x14ac:dyDescent="0.3">
      <c r="A523" s="118"/>
      <c r="B523" s="119" t="s">
        <v>25846</v>
      </c>
      <c r="C523" t="s">
        <v>25852</v>
      </c>
      <c r="E523" s="118"/>
      <c r="F523" s="119" t="s">
        <v>25882</v>
      </c>
      <c r="G523" t="s">
        <v>25888</v>
      </c>
      <c r="I523" s="118"/>
      <c r="J523" s="119" t="s">
        <v>25918</v>
      </c>
      <c r="K523" t="s">
        <v>25924</v>
      </c>
      <c r="M523" s="118"/>
      <c r="N523" s="119" t="s">
        <v>25954</v>
      </c>
      <c r="O523" t="s">
        <v>25960</v>
      </c>
      <c r="Q523" s="118"/>
      <c r="R523" s="119" t="s">
        <v>25990</v>
      </c>
      <c r="S523" t="s">
        <v>25996</v>
      </c>
      <c r="U523" s="118"/>
      <c r="V523" s="119" t="s">
        <v>26026</v>
      </c>
      <c r="W523" t="s">
        <v>26032</v>
      </c>
    </row>
    <row r="524" spans="1:23" x14ac:dyDescent="0.3">
      <c r="A524" s="118"/>
      <c r="B524" s="119" t="s">
        <v>25847</v>
      </c>
      <c r="C524" t="s">
        <v>25853</v>
      </c>
      <c r="E524" s="118"/>
      <c r="F524" s="119" t="s">
        <v>25883</v>
      </c>
      <c r="G524" t="s">
        <v>25889</v>
      </c>
      <c r="I524" s="118"/>
      <c r="J524" s="119" t="s">
        <v>25919</v>
      </c>
      <c r="K524" t="s">
        <v>25925</v>
      </c>
      <c r="M524" s="118"/>
      <c r="N524" s="119" t="s">
        <v>25955</v>
      </c>
      <c r="O524" t="s">
        <v>25961</v>
      </c>
      <c r="Q524" s="118"/>
      <c r="R524" s="119" t="s">
        <v>25991</v>
      </c>
      <c r="S524" t="s">
        <v>25997</v>
      </c>
      <c r="U524" s="118"/>
      <c r="V524" s="119" t="s">
        <v>26027</v>
      </c>
      <c r="W524" t="s">
        <v>26033</v>
      </c>
    </row>
    <row r="525" spans="1:23" x14ac:dyDescent="0.3">
      <c r="A525" s="118"/>
      <c r="B525" s="119" t="s">
        <v>25858</v>
      </c>
      <c r="C525" t="s">
        <v>25864</v>
      </c>
      <c r="E525" s="118"/>
      <c r="F525" s="119" t="s">
        <v>25894</v>
      </c>
      <c r="G525" t="s">
        <v>25900</v>
      </c>
      <c r="I525" s="118"/>
      <c r="J525" s="119" t="s">
        <v>25930</v>
      </c>
      <c r="K525" t="s">
        <v>25936</v>
      </c>
      <c r="M525" s="118"/>
      <c r="N525" s="119" t="s">
        <v>25966</v>
      </c>
      <c r="O525" t="s">
        <v>25972</v>
      </c>
      <c r="Q525" s="118"/>
      <c r="R525" s="119" t="s">
        <v>26002</v>
      </c>
      <c r="S525" t="s">
        <v>26008</v>
      </c>
      <c r="U525" s="118"/>
      <c r="V525" s="119" t="s">
        <v>26038</v>
      </c>
      <c r="W525" t="s">
        <v>26044</v>
      </c>
    </row>
    <row r="526" spans="1:23" x14ac:dyDescent="0.3">
      <c r="A526" s="118"/>
      <c r="B526" s="119" t="s">
        <v>25859</v>
      </c>
      <c r="C526" t="s">
        <v>25865</v>
      </c>
      <c r="E526" s="118"/>
      <c r="F526" s="119" t="s">
        <v>25895</v>
      </c>
      <c r="G526" t="s">
        <v>25901</v>
      </c>
      <c r="I526" s="118"/>
      <c r="J526" s="119" t="s">
        <v>25931</v>
      </c>
      <c r="K526" t="s">
        <v>25937</v>
      </c>
      <c r="M526" s="118"/>
      <c r="N526" s="119" t="s">
        <v>25967</v>
      </c>
      <c r="O526" t="s">
        <v>25973</v>
      </c>
      <c r="Q526" s="118"/>
      <c r="R526" s="119" t="s">
        <v>26003</v>
      </c>
      <c r="S526" t="s">
        <v>26009</v>
      </c>
      <c r="U526" s="118"/>
      <c r="V526" s="119" t="s">
        <v>26039</v>
      </c>
      <c r="W526" t="s">
        <v>26045</v>
      </c>
    </row>
    <row r="527" spans="1:23" x14ac:dyDescent="0.3">
      <c r="A527" s="118"/>
      <c r="B527" s="119" t="s">
        <v>26050</v>
      </c>
      <c r="C527" t="s">
        <v>26056</v>
      </c>
      <c r="E527" s="118"/>
      <c r="F527" s="119" t="s">
        <v>26086</v>
      </c>
      <c r="G527" t="s">
        <v>26092</v>
      </c>
      <c r="I527" s="118"/>
      <c r="J527" s="119" t="s">
        <v>26122</v>
      </c>
      <c r="K527" t="s">
        <v>26128</v>
      </c>
      <c r="M527" s="118"/>
      <c r="N527" s="119" t="s">
        <v>26158</v>
      </c>
      <c r="O527" t="s">
        <v>26164</v>
      </c>
      <c r="Q527" s="118"/>
      <c r="R527" s="119" t="s">
        <v>26194</v>
      </c>
      <c r="S527" t="s">
        <v>26200</v>
      </c>
      <c r="U527" s="118"/>
      <c r="V527" s="119" t="s">
        <v>26230</v>
      </c>
      <c r="W527" t="s">
        <v>26236</v>
      </c>
    </row>
    <row r="528" spans="1:23" x14ac:dyDescent="0.3">
      <c r="A528" s="118"/>
      <c r="B528" s="119" t="s">
        <v>26051</v>
      </c>
      <c r="C528" t="s">
        <v>26057</v>
      </c>
      <c r="E528" s="118"/>
      <c r="F528" s="119" t="s">
        <v>26087</v>
      </c>
      <c r="G528" t="s">
        <v>26093</v>
      </c>
      <c r="I528" s="118"/>
      <c r="J528" s="119" t="s">
        <v>26123</v>
      </c>
      <c r="K528" t="s">
        <v>26129</v>
      </c>
      <c r="M528" s="118"/>
      <c r="N528" s="119" t="s">
        <v>26159</v>
      </c>
      <c r="O528" t="s">
        <v>26165</v>
      </c>
      <c r="Q528" s="118"/>
      <c r="R528" s="119" t="s">
        <v>26195</v>
      </c>
      <c r="S528" t="s">
        <v>26201</v>
      </c>
      <c r="U528" s="118"/>
      <c r="V528" s="119" t="s">
        <v>26231</v>
      </c>
      <c r="W528" t="s">
        <v>26237</v>
      </c>
    </row>
    <row r="529" spans="1:23" x14ac:dyDescent="0.3">
      <c r="A529" s="118"/>
      <c r="B529" s="119" t="s">
        <v>26062</v>
      </c>
      <c r="C529" t="s">
        <v>26068</v>
      </c>
      <c r="E529" s="118"/>
      <c r="F529" s="119" t="s">
        <v>26098</v>
      </c>
      <c r="G529" t="s">
        <v>26104</v>
      </c>
      <c r="I529" s="118"/>
      <c r="J529" s="119" t="s">
        <v>26134</v>
      </c>
      <c r="K529" t="s">
        <v>26140</v>
      </c>
      <c r="M529" s="118"/>
      <c r="N529" s="119" t="s">
        <v>26170</v>
      </c>
      <c r="O529" t="s">
        <v>26176</v>
      </c>
      <c r="Q529" s="118"/>
      <c r="R529" s="119" t="s">
        <v>26206</v>
      </c>
      <c r="S529" t="s">
        <v>26212</v>
      </c>
      <c r="U529" s="118"/>
      <c r="V529" s="119" t="s">
        <v>26242</v>
      </c>
      <c r="W529" t="s">
        <v>26248</v>
      </c>
    </row>
    <row r="530" spans="1:23" x14ac:dyDescent="0.3">
      <c r="A530" s="118"/>
      <c r="B530" s="119" t="s">
        <v>26063</v>
      </c>
      <c r="C530" t="s">
        <v>26069</v>
      </c>
      <c r="E530" s="118"/>
      <c r="F530" s="119" t="s">
        <v>26099</v>
      </c>
      <c r="G530" t="s">
        <v>26105</v>
      </c>
      <c r="I530" s="118"/>
      <c r="J530" s="119" t="s">
        <v>26135</v>
      </c>
      <c r="K530" t="s">
        <v>26141</v>
      </c>
      <c r="M530" s="118"/>
      <c r="N530" s="119" t="s">
        <v>26171</v>
      </c>
      <c r="O530" t="s">
        <v>26177</v>
      </c>
      <c r="Q530" s="118"/>
      <c r="R530" s="119" t="s">
        <v>26207</v>
      </c>
      <c r="S530" t="s">
        <v>26213</v>
      </c>
      <c r="U530" s="118"/>
      <c r="V530" s="119" t="s">
        <v>26243</v>
      </c>
      <c r="W530" t="s">
        <v>26249</v>
      </c>
    </row>
    <row r="531" spans="1:23" x14ac:dyDescent="0.3">
      <c r="A531" s="118"/>
      <c r="B531" s="119" t="s">
        <v>26074</v>
      </c>
      <c r="C531" t="s">
        <v>26080</v>
      </c>
      <c r="E531" s="118"/>
      <c r="F531" s="119" t="s">
        <v>26110</v>
      </c>
      <c r="G531" t="s">
        <v>26116</v>
      </c>
      <c r="I531" s="118"/>
      <c r="J531" s="119" t="s">
        <v>26146</v>
      </c>
      <c r="K531" t="s">
        <v>26152</v>
      </c>
      <c r="M531" s="118"/>
      <c r="N531" s="119" t="s">
        <v>26182</v>
      </c>
      <c r="O531" t="s">
        <v>26188</v>
      </c>
      <c r="Q531" s="118"/>
      <c r="R531" s="119" t="s">
        <v>26218</v>
      </c>
      <c r="S531" t="s">
        <v>26224</v>
      </c>
      <c r="U531" s="118"/>
      <c r="V531" s="119" t="s">
        <v>26254</v>
      </c>
      <c r="W531" t="s">
        <v>26260</v>
      </c>
    </row>
    <row r="532" spans="1:23" x14ac:dyDescent="0.3">
      <c r="A532" s="118"/>
      <c r="B532" s="119" t="s">
        <v>26075</v>
      </c>
      <c r="C532" t="s">
        <v>26081</v>
      </c>
      <c r="E532" s="118"/>
      <c r="F532" s="119" t="s">
        <v>26111</v>
      </c>
      <c r="G532" t="s">
        <v>26117</v>
      </c>
      <c r="I532" s="118"/>
      <c r="J532" s="119" t="s">
        <v>26147</v>
      </c>
      <c r="K532" t="s">
        <v>26153</v>
      </c>
      <c r="M532" s="118"/>
      <c r="N532" s="119" t="s">
        <v>26183</v>
      </c>
      <c r="O532" t="s">
        <v>26189</v>
      </c>
      <c r="Q532" s="118"/>
      <c r="R532" s="119" t="s">
        <v>26219</v>
      </c>
      <c r="S532" t="s">
        <v>26225</v>
      </c>
      <c r="U532" s="118"/>
      <c r="V532" s="119" t="s">
        <v>26255</v>
      </c>
      <c r="W532" t="s">
        <v>26261</v>
      </c>
    </row>
    <row r="533" spans="1:23" x14ac:dyDescent="0.3">
      <c r="A533" s="118"/>
      <c r="B533" s="119" t="s">
        <v>26266</v>
      </c>
      <c r="C533" t="s">
        <v>26272</v>
      </c>
      <c r="E533" s="118"/>
      <c r="F533" s="119" t="s">
        <v>26302</v>
      </c>
      <c r="G533" t="s">
        <v>26308</v>
      </c>
      <c r="I533" s="118"/>
      <c r="J533" s="119" t="s">
        <v>26338</v>
      </c>
      <c r="K533" t="s">
        <v>26344</v>
      </c>
      <c r="M533" s="118"/>
      <c r="N533" s="119" t="s">
        <v>26374</v>
      </c>
      <c r="O533" t="s">
        <v>26380</v>
      </c>
      <c r="Q533" s="118"/>
      <c r="R533" s="119" t="s">
        <v>26410</v>
      </c>
      <c r="S533" t="s">
        <v>26416</v>
      </c>
      <c r="U533" s="118"/>
      <c r="V533" s="119" t="s">
        <v>26446</v>
      </c>
      <c r="W533" t="s">
        <v>26452</v>
      </c>
    </row>
    <row r="534" spans="1:23" x14ac:dyDescent="0.3">
      <c r="A534" s="118"/>
      <c r="B534" s="119" t="s">
        <v>26267</v>
      </c>
      <c r="C534" t="s">
        <v>26273</v>
      </c>
      <c r="E534" s="118"/>
      <c r="F534" s="119" t="s">
        <v>26303</v>
      </c>
      <c r="G534" t="s">
        <v>26309</v>
      </c>
      <c r="I534" s="118"/>
      <c r="J534" s="119" t="s">
        <v>26339</v>
      </c>
      <c r="K534" t="s">
        <v>26345</v>
      </c>
      <c r="M534" s="118"/>
      <c r="N534" s="119" t="s">
        <v>26375</v>
      </c>
      <c r="O534" t="s">
        <v>26381</v>
      </c>
      <c r="Q534" s="118"/>
      <c r="R534" s="119" t="s">
        <v>26411</v>
      </c>
      <c r="S534" t="s">
        <v>26417</v>
      </c>
      <c r="U534" s="118"/>
      <c r="V534" s="119" t="s">
        <v>26447</v>
      </c>
      <c r="W534" t="s">
        <v>26453</v>
      </c>
    </row>
    <row r="535" spans="1:23" x14ac:dyDescent="0.3">
      <c r="A535" s="118"/>
      <c r="B535" s="119" t="s">
        <v>26278</v>
      </c>
      <c r="C535" t="s">
        <v>26284</v>
      </c>
      <c r="E535" s="118"/>
      <c r="F535" s="119" t="s">
        <v>26314</v>
      </c>
      <c r="G535" t="s">
        <v>26320</v>
      </c>
      <c r="I535" s="118"/>
      <c r="J535" s="119" t="s">
        <v>26350</v>
      </c>
      <c r="K535" t="s">
        <v>26356</v>
      </c>
      <c r="M535" s="118"/>
      <c r="N535" s="119" t="s">
        <v>26386</v>
      </c>
      <c r="O535" t="s">
        <v>26392</v>
      </c>
      <c r="Q535" s="118"/>
      <c r="R535" s="119" t="s">
        <v>26422</v>
      </c>
      <c r="S535" t="s">
        <v>26428</v>
      </c>
      <c r="U535" s="118"/>
      <c r="V535" s="119" t="s">
        <v>26458</v>
      </c>
      <c r="W535" t="s">
        <v>26464</v>
      </c>
    </row>
    <row r="536" spans="1:23" x14ac:dyDescent="0.3">
      <c r="A536" s="118"/>
      <c r="B536" s="119" t="s">
        <v>26279</v>
      </c>
      <c r="C536" t="s">
        <v>26285</v>
      </c>
      <c r="E536" s="118"/>
      <c r="F536" s="119" t="s">
        <v>26315</v>
      </c>
      <c r="G536" t="s">
        <v>26321</v>
      </c>
      <c r="I536" s="118"/>
      <c r="J536" s="119" t="s">
        <v>26351</v>
      </c>
      <c r="K536" t="s">
        <v>26357</v>
      </c>
      <c r="M536" s="118"/>
      <c r="N536" s="119" t="s">
        <v>26387</v>
      </c>
      <c r="O536" t="s">
        <v>26393</v>
      </c>
      <c r="Q536" s="118"/>
      <c r="R536" s="119" t="s">
        <v>26423</v>
      </c>
      <c r="S536" t="s">
        <v>26429</v>
      </c>
      <c r="U536" s="118"/>
      <c r="V536" s="119" t="s">
        <v>26459</v>
      </c>
      <c r="W536" t="s">
        <v>26465</v>
      </c>
    </row>
    <row r="537" spans="1:23" x14ac:dyDescent="0.3">
      <c r="A537" s="118"/>
      <c r="B537" s="119" t="s">
        <v>26290</v>
      </c>
      <c r="C537" t="s">
        <v>26296</v>
      </c>
      <c r="E537" s="118"/>
      <c r="F537" s="119" t="s">
        <v>26326</v>
      </c>
      <c r="G537" t="s">
        <v>26332</v>
      </c>
      <c r="I537" s="118"/>
      <c r="J537" s="119" t="s">
        <v>26362</v>
      </c>
      <c r="K537" t="s">
        <v>26368</v>
      </c>
      <c r="M537" s="118"/>
      <c r="N537" s="119" t="s">
        <v>26398</v>
      </c>
      <c r="O537" t="s">
        <v>26404</v>
      </c>
      <c r="Q537" s="118"/>
      <c r="R537" s="119" t="s">
        <v>26434</v>
      </c>
      <c r="S537" t="s">
        <v>26440</v>
      </c>
      <c r="U537" s="118"/>
      <c r="V537" s="119" t="s">
        <v>26470</v>
      </c>
      <c r="W537" t="s">
        <v>26476</v>
      </c>
    </row>
    <row r="538" spans="1:23" x14ac:dyDescent="0.3">
      <c r="A538" s="118"/>
      <c r="B538" s="119" t="s">
        <v>26291</v>
      </c>
      <c r="C538" t="s">
        <v>26297</v>
      </c>
      <c r="E538" s="118"/>
      <c r="F538" s="119" t="s">
        <v>26327</v>
      </c>
      <c r="G538" t="s">
        <v>26333</v>
      </c>
      <c r="I538" s="118"/>
      <c r="J538" s="119" t="s">
        <v>26363</v>
      </c>
      <c r="K538" t="s">
        <v>26369</v>
      </c>
      <c r="M538" s="118"/>
      <c r="N538" s="119" t="s">
        <v>26399</v>
      </c>
      <c r="O538" t="s">
        <v>26405</v>
      </c>
      <c r="Q538" s="118"/>
      <c r="R538" s="119" t="s">
        <v>26435</v>
      </c>
      <c r="S538" t="s">
        <v>26441</v>
      </c>
      <c r="U538" s="118"/>
      <c r="V538" s="119" t="s">
        <v>26471</v>
      </c>
      <c r="W538" t="s">
        <v>26477</v>
      </c>
    </row>
    <row r="539" spans="1:23" x14ac:dyDescent="0.3">
      <c r="A539" s="118"/>
      <c r="B539" s="119" t="s">
        <v>26482</v>
      </c>
      <c r="C539" t="s">
        <v>26488</v>
      </c>
      <c r="E539" s="118"/>
      <c r="F539" s="119" t="s">
        <v>26518</v>
      </c>
      <c r="G539" t="s">
        <v>26524</v>
      </c>
      <c r="I539" s="118"/>
      <c r="J539" s="119" t="s">
        <v>26554</v>
      </c>
      <c r="K539" t="s">
        <v>26560</v>
      </c>
      <c r="M539" s="118"/>
      <c r="N539" s="119" t="s">
        <v>26590</v>
      </c>
      <c r="O539" t="s">
        <v>26596</v>
      </c>
      <c r="Q539" s="118"/>
      <c r="R539" s="119" t="s">
        <v>26626</v>
      </c>
      <c r="S539" t="s">
        <v>26632</v>
      </c>
      <c r="U539" s="118"/>
      <c r="V539" s="119" t="s">
        <v>26662</v>
      </c>
      <c r="W539" t="s">
        <v>26668</v>
      </c>
    </row>
    <row r="540" spans="1:23" x14ac:dyDescent="0.3">
      <c r="A540" s="118"/>
      <c r="B540" s="119" t="s">
        <v>26483</v>
      </c>
      <c r="C540" t="s">
        <v>26489</v>
      </c>
      <c r="E540" s="118"/>
      <c r="F540" s="119" t="s">
        <v>26519</v>
      </c>
      <c r="G540" t="s">
        <v>26525</v>
      </c>
      <c r="I540" s="118"/>
      <c r="J540" s="119" t="s">
        <v>26555</v>
      </c>
      <c r="K540" t="s">
        <v>26561</v>
      </c>
      <c r="M540" s="118"/>
      <c r="N540" s="119" t="s">
        <v>26591</v>
      </c>
      <c r="O540" t="s">
        <v>26597</v>
      </c>
      <c r="Q540" s="118"/>
      <c r="R540" s="119" t="s">
        <v>26627</v>
      </c>
      <c r="S540" t="s">
        <v>26633</v>
      </c>
      <c r="U540" s="118"/>
      <c r="V540" s="119" t="s">
        <v>26663</v>
      </c>
      <c r="W540" t="s">
        <v>26669</v>
      </c>
    </row>
    <row r="541" spans="1:23" x14ac:dyDescent="0.3">
      <c r="A541" s="118"/>
      <c r="B541" s="119" t="s">
        <v>26494</v>
      </c>
      <c r="C541" t="s">
        <v>26500</v>
      </c>
      <c r="E541" s="118"/>
      <c r="F541" s="119" t="s">
        <v>26530</v>
      </c>
      <c r="G541" t="s">
        <v>26536</v>
      </c>
      <c r="I541" s="118"/>
      <c r="J541" s="119" t="s">
        <v>26566</v>
      </c>
      <c r="K541" t="s">
        <v>26572</v>
      </c>
      <c r="M541" s="118"/>
      <c r="N541" s="119" t="s">
        <v>26602</v>
      </c>
      <c r="O541" t="s">
        <v>26608</v>
      </c>
      <c r="Q541" s="118"/>
      <c r="R541" s="119" t="s">
        <v>26638</v>
      </c>
      <c r="S541" t="s">
        <v>26644</v>
      </c>
      <c r="U541" s="118"/>
      <c r="V541" s="119" t="s">
        <v>26674</v>
      </c>
      <c r="W541" t="s">
        <v>26680</v>
      </c>
    </row>
    <row r="542" spans="1:23" x14ac:dyDescent="0.3">
      <c r="A542" s="118"/>
      <c r="B542" s="119" t="s">
        <v>26495</v>
      </c>
      <c r="C542" t="s">
        <v>26501</v>
      </c>
      <c r="E542" s="118"/>
      <c r="F542" s="119" t="s">
        <v>26531</v>
      </c>
      <c r="G542" t="s">
        <v>26537</v>
      </c>
      <c r="I542" s="118"/>
      <c r="J542" s="119" t="s">
        <v>26567</v>
      </c>
      <c r="K542" t="s">
        <v>26573</v>
      </c>
      <c r="M542" s="118"/>
      <c r="N542" s="119" t="s">
        <v>26603</v>
      </c>
      <c r="O542" t="s">
        <v>26609</v>
      </c>
      <c r="Q542" s="118"/>
      <c r="R542" s="119" t="s">
        <v>26639</v>
      </c>
      <c r="S542" t="s">
        <v>26645</v>
      </c>
      <c r="U542" s="118"/>
      <c r="V542" s="119" t="s">
        <v>26675</v>
      </c>
      <c r="W542" t="s">
        <v>26681</v>
      </c>
    </row>
    <row r="543" spans="1:23" x14ac:dyDescent="0.3">
      <c r="A543" s="118"/>
      <c r="B543" s="119" t="s">
        <v>26506</v>
      </c>
      <c r="C543" t="s">
        <v>26512</v>
      </c>
      <c r="E543" s="118"/>
      <c r="F543" s="119" t="s">
        <v>26542</v>
      </c>
      <c r="G543" t="s">
        <v>26548</v>
      </c>
      <c r="I543" s="118"/>
      <c r="J543" s="119" t="s">
        <v>26578</v>
      </c>
      <c r="K543" t="s">
        <v>26584</v>
      </c>
      <c r="M543" s="118"/>
      <c r="N543" s="119" t="s">
        <v>26614</v>
      </c>
      <c r="O543" t="s">
        <v>26620</v>
      </c>
      <c r="Q543" s="118"/>
      <c r="R543" s="119" t="s">
        <v>26650</v>
      </c>
      <c r="S543" t="s">
        <v>26656</v>
      </c>
      <c r="U543" s="118"/>
      <c r="V543" s="119" t="s">
        <v>26686</v>
      </c>
      <c r="W543" t="s">
        <v>26692</v>
      </c>
    </row>
    <row r="544" spans="1:23" x14ac:dyDescent="0.3">
      <c r="A544" s="118"/>
      <c r="B544" s="119" t="s">
        <v>26507</v>
      </c>
      <c r="C544" t="s">
        <v>26513</v>
      </c>
      <c r="E544" s="118"/>
      <c r="F544" s="119" t="s">
        <v>26543</v>
      </c>
      <c r="G544" t="s">
        <v>26549</v>
      </c>
      <c r="I544" s="118"/>
      <c r="J544" s="119" t="s">
        <v>26579</v>
      </c>
      <c r="K544" t="s">
        <v>26585</v>
      </c>
      <c r="M544" s="118"/>
      <c r="N544" s="119" t="s">
        <v>26615</v>
      </c>
      <c r="O544" t="s">
        <v>26621</v>
      </c>
      <c r="Q544" s="118"/>
      <c r="R544" s="119" t="s">
        <v>26651</v>
      </c>
      <c r="S544" t="s">
        <v>26657</v>
      </c>
      <c r="U544" s="118"/>
      <c r="V544" s="119" t="s">
        <v>26687</v>
      </c>
      <c r="W544" t="s">
        <v>26693</v>
      </c>
    </row>
    <row r="545" spans="1:23" x14ac:dyDescent="0.3">
      <c r="A545" s="118"/>
      <c r="B545" s="119" t="s">
        <v>26698</v>
      </c>
      <c r="C545" t="s">
        <v>26704</v>
      </c>
      <c r="E545" s="118"/>
      <c r="F545" s="119" t="s">
        <v>26734</v>
      </c>
      <c r="G545" t="s">
        <v>26740</v>
      </c>
      <c r="I545" s="118"/>
      <c r="J545" s="119" t="s">
        <v>26770</v>
      </c>
      <c r="K545" t="s">
        <v>26776</v>
      </c>
      <c r="M545" s="118"/>
      <c r="N545" s="119" t="s">
        <v>26806</v>
      </c>
      <c r="O545" t="s">
        <v>26812</v>
      </c>
      <c r="Q545" s="118"/>
      <c r="R545" s="119" t="s">
        <v>26842</v>
      </c>
      <c r="S545" t="s">
        <v>26848</v>
      </c>
      <c r="U545" s="118"/>
      <c r="V545" s="119" t="s">
        <v>26878</v>
      </c>
      <c r="W545" t="s">
        <v>26884</v>
      </c>
    </row>
    <row r="546" spans="1:23" x14ac:dyDescent="0.3">
      <c r="A546" s="118"/>
      <c r="B546" s="119" t="s">
        <v>26699</v>
      </c>
      <c r="C546" t="s">
        <v>26705</v>
      </c>
      <c r="E546" s="118"/>
      <c r="F546" s="119" t="s">
        <v>26735</v>
      </c>
      <c r="G546" t="s">
        <v>26741</v>
      </c>
      <c r="I546" s="118"/>
      <c r="J546" s="119" t="s">
        <v>26771</v>
      </c>
      <c r="K546" t="s">
        <v>26777</v>
      </c>
      <c r="M546" s="118"/>
      <c r="N546" s="119" t="s">
        <v>26807</v>
      </c>
      <c r="O546" t="s">
        <v>26813</v>
      </c>
      <c r="Q546" s="118"/>
      <c r="R546" s="119" t="s">
        <v>26843</v>
      </c>
      <c r="S546" t="s">
        <v>26849</v>
      </c>
      <c r="U546" s="118"/>
      <c r="V546" s="119" t="s">
        <v>26879</v>
      </c>
      <c r="W546" t="s">
        <v>26885</v>
      </c>
    </row>
    <row r="547" spans="1:23" x14ac:dyDescent="0.3">
      <c r="A547" s="118"/>
      <c r="B547" s="119" t="s">
        <v>26710</v>
      </c>
      <c r="C547" t="s">
        <v>26716</v>
      </c>
      <c r="E547" s="118"/>
      <c r="F547" s="119" t="s">
        <v>26746</v>
      </c>
      <c r="G547" t="s">
        <v>26752</v>
      </c>
      <c r="I547" s="118"/>
      <c r="J547" s="119" t="s">
        <v>26782</v>
      </c>
      <c r="K547" t="s">
        <v>26788</v>
      </c>
      <c r="M547" s="118"/>
      <c r="N547" s="119" t="s">
        <v>26818</v>
      </c>
      <c r="O547" t="s">
        <v>26824</v>
      </c>
      <c r="Q547" s="118"/>
      <c r="R547" s="119" t="s">
        <v>26854</v>
      </c>
      <c r="S547" t="s">
        <v>26860</v>
      </c>
      <c r="U547" s="118"/>
      <c r="V547" s="119" t="s">
        <v>26890</v>
      </c>
      <c r="W547" t="s">
        <v>26896</v>
      </c>
    </row>
    <row r="548" spans="1:23" x14ac:dyDescent="0.3">
      <c r="A548" s="118"/>
      <c r="B548" s="119" t="s">
        <v>26711</v>
      </c>
      <c r="C548" t="s">
        <v>26717</v>
      </c>
      <c r="E548" s="118"/>
      <c r="F548" s="119" t="s">
        <v>26747</v>
      </c>
      <c r="G548" t="s">
        <v>26753</v>
      </c>
      <c r="I548" s="118"/>
      <c r="J548" s="119" t="s">
        <v>26783</v>
      </c>
      <c r="K548" t="s">
        <v>26789</v>
      </c>
      <c r="M548" s="118"/>
      <c r="N548" s="119" t="s">
        <v>26819</v>
      </c>
      <c r="O548" t="s">
        <v>26825</v>
      </c>
      <c r="Q548" s="118"/>
      <c r="R548" s="119" t="s">
        <v>26855</v>
      </c>
      <c r="S548" t="s">
        <v>26861</v>
      </c>
      <c r="U548" s="118"/>
      <c r="V548" s="119" t="s">
        <v>26891</v>
      </c>
      <c r="W548" t="s">
        <v>26897</v>
      </c>
    </row>
    <row r="549" spans="1:23" x14ac:dyDescent="0.3">
      <c r="A549" s="118"/>
      <c r="B549" s="119" t="s">
        <v>26722</v>
      </c>
      <c r="C549" t="s">
        <v>26728</v>
      </c>
      <c r="E549" s="118"/>
      <c r="F549" s="119" t="s">
        <v>26758</v>
      </c>
      <c r="G549" t="s">
        <v>26764</v>
      </c>
      <c r="I549" s="118"/>
      <c r="J549" s="119" t="s">
        <v>26794</v>
      </c>
      <c r="K549" t="s">
        <v>26800</v>
      </c>
      <c r="M549" s="118"/>
      <c r="N549" s="119" t="s">
        <v>26830</v>
      </c>
      <c r="O549" t="s">
        <v>26836</v>
      </c>
      <c r="Q549" s="118"/>
      <c r="R549" s="119" t="s">
        <v>26866</v>
      </c>
      <c r="S549" t="s">
        <v>26872</v>
      </c>
      <c r="U549" s="118"/>
      <c r="V549" s="119" t="s">
        <v>26902</v>
      </c>
      <c r="W549" t="s">
        <v>26908</v>
      </c>
    </row>
    <row r="550" spans="1:23" x14ac:dyDescent="0.3">
      <c r="A550" s="118"/>
      <c r="B550" s="119" t="s">
        <v>26723</v>
      </c>
      <c r="C550" t="s">
        <v>26729</v>
      </c>
      <c r="E550" s="118"/>
      <c r="F550" s="119" t="s">
        <v>26759</v>
      </c>
      <c r="G550" t="s">
        <v>26765</v>
      </c>
      <c r="I550" s="118"/>
      <c r="J550" s="119" t="s">
        <v>26795</v>
      </c>
      <c r="K550" t="s">
        <v>26801</v>
      </c>
      <c r="M550" s="118"/>
      <c r="N550" s="119" t="s">
        <v>26831</v>
      </c>
      <c r="O550" t="s">
        <v>26837</v>
      </c>
      <c r="Q550" s="118"/>
      <c r="R550" s="119" t="s">
        <v>26867</v>
      </c>
      <c r="S550" t="s">
        <v>26873</v>
      </c>
      <c r="U550" s="118"/>
      <c r="V550" s="119" t="s">
        <v>26903</v>
      </c>
      <c r="W550" t="s">
        <v>26909</v>
      </c>
    </row>
    <row r="551" spans="1:23" x14ac:dyDescent="0.3">
      <c r="A551" s="118"/>
      <c r="B551" s="119" t="s">
        <v>26914</v>
      </c>
      <c r="C551" t="s">
        <v>26920</v>
      </c>
      <c r="E551" s="118"/>
      <c r="F551" s="119" t="s">
        <v>26950</v>
      </c>
      <c r="G551" t="s">
        <v>26956</v>
      </c>
      <c r="I551" s="118"/>
      <c r="J551" s="119" t="s">
        <v>26986</v>
      </c>
      <c r="K551" t="s">
        <v>26992</v>
      </c>
      <c r="M551" s="118"/>
      <c r="N551" s="119" t="s">
        <v>27022</v>
      </c>
      <c r="O551" t="s">
        <v>27028</v>
      </c>
      <c r="Q551" s="118"/>
      <c r="R551" s="119" t="s">
        <v>27058</v>
      </c>
      <c r="S551" t="s">
        <v>27064</v>
      </c>
      <c r="U551" s="118"/>
      <c r="V551" s="119" t="s">
        <v>27094</v>
      </c>
      <c r="W551" t="s">
        <v>27100</v>
      </c>
    </row>
    <row r="552" spans="1:23" x14ac:dyDescent="0.3">
      <c r="A552" s="118"/>
      <c r="B552" s="119" t="s">
        <v>26915</v>
      </c>
      <c r="C552" t="s">
        <v>26921</v>
      </c>
      <c r="E552" s="118"/>
      <c r="F552" s="119" t="s">
        <v>26951</v>
      </c>
      <c r="G552" t="s">
        <v>26957</v>
      </c>
      <c r="I552" s="118"/>
      <c r="J552" s="119" t="s">
        <v>26987</v>
      </c>
      <c r="K552" t="s">
        <v>26993</v>
      </c>
      <c r="M552" s="118"/>
      <c r="N552" s="119" t="s">
        <v>27023</v>
      </c>
      <c r="O552" t="s">
        <v>27029</v>
      </c>
      <c r="Q552" s="118"/>
      <c r="R552" s="119" t="s">
        <v>27059</v>
      </c>
      <c r="S552" t="s">
        <v>27065</v>
      </c>
      <c r="U552" s="118"/>
      <c r="V552" s="119" t="s">
        <v>27095</v>
      </c>
      <c r="W552" t="s">
        <v>27101</v>
      </c>
    </row>
    <row r="553" spans="1:23" x14ac:dyDescent="0.3">
      <c r="A553" s="118"/>
      <c r="B553" s="119" t="s">
        <v>26926</v>
      </c>
      <c r="C553" t="s">
        <v>26932</v>
      </c>
      <c r="E553" s="118"/>
      <c r="F553" s="119" t="s">
        <v>26962</v>
      </c>
      <c r="G553" t="s">
        <v>26968</v>
      </c>
      <c r="I553" s="118"/>
      <c r="J553" s="119" t="s">
        <v>26998</v>
      </c>
      <c r="K553" t="s">
        <v>27004</v>
      </c>
      <c r="M553" s="118"/>
      <c r="N553" s="119" t="s">
        <v>27034</v>
      </c>
      <c r="O553" t="s">
        <v>27040</v>
      </c>
      <c r="Q553" s="118"/>
      <c r="R553" s="119" t="s">
        <v>27070</v>
      </c>
      <c r="S553" t="s">
        <v>27076</v>
      </c>
      <c r="U553" s="118"/>
      <c r="V553" s="119" t="s">
        <v>27106</v>
      </c>
      <c r="W553" t="s">
        <v>27112</v>
      </c>
    </row>
    <row r="554" spans="1:23" x14ac:dyDescent="0.3">
      <c r="A554" s="118"/>
      <c r="B554" s="119" t="s">
        <v>26927</v>
      </c>
      <c r="C554" t="s">
        <v>26933</v>
      </c>
      <c r="E554" s="118"/>
      <c r="F554" s="119" t="s">
        <v>26963</v>
      </c>
      <c r="G554" t="s">
        <v>26969</v>
      </c>
      <c r="I554" s="118"/>
      <c r="J554" s="119" t="s">
        <v>26999</v>
      </c>
      <c r="K554" t="s">
        <v>27005</v>
      </c>
      <c r="M554" s="118"/>
      <c r="N554" s="119" t="s">
        <v>27035</v>
      </c>
      <c r="O554" t="s">
        <v>27041</v>
      </c>
      <c r="Q554" s="118"/>
      <c r="R554" s="119" t="s">
        <v>27071</v>
      </c>
      <c r="S554" t="s">
        <v>27077</v>
      </c>
      <c r="U554" s="118"/>
      <c r="V554" s="119" t="s">
        <v>27107</v>
      </c>
      <c r="W554" t="s">
        <v>27113</v>
      </c>
    </row>
    <row r="555" spans="1:23" x14ac:dyDescent="0.3">
      <c r="A555" s="118"/>
      <c r="B555" s="119" t="s">
        <v>26938</v>
      </c>
      <c r="C555" t="s">
        <v>26944</v>
      </c>
      <c r="E555" s="118"/>
      <c r="F555" s="119" t="s">
        <v>26974</v>
      </c>
      <c r="G555" t="s">
        <v>26980</v>
      </c>
      <c r="I555" s="118"/>
      <c r="J555" s="119" t="s">
        <v>27010</v>
      </c>
      <c r="K555" t="s">
        <v>27016</v>
      </c>
      <c r="M555" s="118"/>
      <c r="N555" s="119" t="s">
        <v>27046</v>
      </c>
      <c r="O555" t="s">
        <v>27052</v>
      </c>
      <c r="Q555" s="118"/>
      <c r="R555" s="119" t="s">
        <v>27082</v>
      </c>
      <c r="S555" t="s">
        <v>27088</v>
      </c>
      <c r="U555" s="118"/>
      <c r="V555" s="119" t="s">
        <v>27118</v>
      </c>
      <c r="W555" t="s">
        <v>27124</v>
      </c>
    </row>
    <row r="556" spans="1:23" x14ac:dyDescent="0.3">
      <c r="A556" s="118"/>
      <c r="B556" s="119" t="s">
        <v>26939</v>
      </c>
      <c r="C556" t="s">
        <v>26945</v>
      </c>
      <c r="E556" s="118"/>
      <c r="F556" s="119" t="s">
        <v>26975</v>
      </c>
      <c r="G556" t="s">
        <v>26981</v>
      </c>
      <c r="I556" s="118"/>
      <c r="J556" s="119" t="s">
        <v>27011</v>
      </c>
      <c r="K556" t="s">
        <v>27017</v>
      </c>
      <c r="M556" s="118"/>
      <c r="N556" s="119" t="s">
        <v>27047</v>
      </c>
      <c r="O556" t="s">
        <v>27053</v>
      </c>
      <c r="Q556" s="118"/>
      <c r="R556" s="119" t="s">
        <v>27083</v>
      </c>
      <c r="S556" t="s">
        <v>27089</v>
      </c>
      <c r="U556" s="118"/>
      <c r="V556" s="119" t="s">
        <v>27119</v>
      </c>
      <c r="W556" t="s">
        <v>27125</v>
      </c>
    </row>
    <row r="557" spans="1:23" x14ac:dyDescent="0.3">
      <c r="A557" s="118"/>
      <c r="B557" s="119" t="s">
        <v>27130</v>
      </c>
      <c r="C557" t="s">
        <v>27136</v>
      </c>
      <c r="E557" s="118"/>
      <c r="F557" s="119" t="s">
        <v>27166</v>
      </c>
      <c r="G557" t="s">
        <v>27172</v>
      </c>
      <c r="I557" s="118"/>
      <c r="J557" s="119" t="s">
        <v>27202</v>
      </c>
      <c r="K557" t="s">
        <v>27208</v>
      </c>
      <c r="M557" s="118"/>
      <c r="N557" s="119" t="s">
        <v>27238</v>
      </c>
      <c r="O557" t="s">
        <v>27244</v>
      </c>
      <c r="Q557" s="118"/>
      <c r="R557" s="119" t="s">
        <v>27274</v>
      </c>
      <c r="S557" t="s">
        <v>27280</v>
      </c>
      <c r="U557" s="118"/>
      <c r="V557" s="119" t="s">
        <v>27310</v>
      </c>
      <c r="W557" t="s">
        <v>27316</v>
      </c>
    </row>
    <row r="558" spans="1:23" x14ac:dyDescent="0.3">
      <c r="A558" s="118"/>
      <c r="B558" s="119" t="s">
        <v>27131</v>
      </c>
      <c r="C558" t="s">
        <v>27137</v>
      </c>
      <c r="E558" s="118"/>
      <c r="F558" s="119" t="s">
        <v>27167</v>
      </c>
      <c r="G558" t="s">
        <v>27173</v>
      </c>
      <c r="I558" s="118"/>
      <c r="J558" s="119" t="s">
        <v>27203</v>
      </c>
      <c r="K558" t="s">
        <v>27209</v>
      </c>
      <c r="M558" s="118"/>
      <c r="N558" s="119" t="s">
        <v>27239</v>
      </c>
      <c r="O558" t="s">
        <v>27245</v>
      </c>
      <c r="Q558" s="118"/>
      <c r="R558" s="119" t="s">
        <v>27275</v>
      </c>
      <c r="S558" t="s">
        <v>27281</v>
      </c>
      <c r="U558" s="118"/>
      <c r="V558" s="119" t="s">
        <v>27311</v>
      </c>
      <c r="W558" t="s">
        <v>27317</v>
      </c>
    </row>
    <row r="559" spans="1:23" x14ac:dyDescent="0.3">
      <c r="A559" s="118"/>
      <c r="B559" s="119" t="s">
        <v>27142</v>
      </c>
      <c r="C559" t="s">
        <v>27148</v>
      </c>
      <c r="E559" s="118"/>
      <c r="F559" s="119" t="s">
        <v>27178</v>
      </c>
      <c r="G559" t="s">
        <v>27184</v>
      </c>
      <c r="I559" s="118"/>
      <c r="J559" s="119" t="s">
        <v>27214</v>
      </c>
      <c r="K559" t="s">
        <v>27220</v>
      </c>
      <c r="M559" s="118"/>
      <c r="N559" s="119" t="s">
        <v>27250</v>
      </c>
      <c r="O559" t="s">
        <v>27256</v>
      </c>
      <c r="Q559" s="118"/>
      <c r="R559" s="119" t="s">
        <v>27286</v>
      </c>
      <c r="S559" t="s">
        <v>27292</v>
      </c>
      <c r="U559" s="118"/>
      <c r="V559" s="119" t="s">
        <v>27322</v>
      </c>
      <c r="W559" t="s">
        <v>27328</v>
      </c>
    </row>
    <row r="560" spans="1:23" x14ac:dyDescent="0.3">
      <c r="A560" s="118"/>
      <c r="B560" s="119" t="s">
        <v>27143</v>
      </c>
      <c r="C560" t="s">
        <v>27149</v>
      </c>
      <c r="E560" s="118"/>
      <c r="F560" s="119" t="s">
        <v>27179</v>
      </c>
      <c r="G560" t="s">
        <v>27185</v>
      </c>
      <c r="I560" s="118"/>
      <c r="J560" s="119" t="s">
        <v>27215</v>
      </c>
      <c r="K560" t="s">
        <v>27221</v>
      </c>
      <c r="M560" s="118"/>
      <c r="N560" s="119" t="s">
        <v>27251</v>
      </c>
      <c r="O560" t="s">
        <v>27257</v>
      </c>
      <c r="Q560" s="118"/>
      <c r="R560" s="119" t="s">
        <v>27287</v>
      </c>
      <c r="S560" t="s">
        <v>27293</v>
      </c>
      <c r="U560" s="118"/>
      <c r="V560" s="119" t="s">
        <v>27323</v>
      </c>
      <c r="W560" t="s">
        <v>27329</v>
      </c>
    </row>
    <row r="561" spans="1:23" x14ac:dyDescent="0.3">
      <c r="A561" s="118"/>
      <c r="B561" s="119" t="s">
        <v>27154</v>
      </c>
      <c r="C561" t="s">
        <v>27160</v>
      </c>
      <c r="E561" s="118"/>
      <c r="F561" s="119" t="s">
        <v>27190</v>
      </c>
      <c r="G561" t="s">
        <v>27196</v>
      </c>
      <c r="I561" s="118"/>
      <c r="J561" s="119" t="s">
        <v>27226</v>
      </c>
      <c r="K561" t="s">
        <v>27232</v>
      </c>
      <c r="M561" s="118"/>
      <c r="N561" s="119" t="s">
        <v>27262</v>
      </c>
      <c r="O561" t="s">
        <v>27268</v>
      </c>
      <c r="Q561" s="118"/>
      <c r="R561" s="119" t="s">
        <v>27298</v>
      </c>
      <c r="S561" t="s">
        <v>27304</v>
      </c>
      <c r="U561" s="118"/>
      <c r="V561" s="119" t="s">
        <v>27334</v>
      </c>
      <c r="W561" t="s">
        <v>27340</v>
      </c>
    </row>
    <row r="562" spans="1:23" x14ac:dyDescent="0.3">
      <c r="A562" s="118"/>
      <c r="B562" s="119" t="s">
        <v>27155</v>
      </c>
      <c r="C562" t="s">
        <v>27161</v>
      </c>
      <c r="E562" s="118"/>
      <c r="F562" s="119" t="s">
        <v>27191</v>
      </c>
      <c r="G562" t="s">
        <v>27197</v>
      </c>
      <c r="I562" s="118"/>
      <c r="J562" s="119" t="s">
        <v>27227</v>
      </c>
      <c r="K562" t="s">
        <v>27233</v>
      </c>
      <c r="M562" s="118"/>
      <c r="N562" s="119" t="s">
        <v>27263</v>
      </c>
      <c r="O562" t="s">
        <v>27269</v>
      </c>
      <c r="Q562" s="118"/>
      <c r="R562" s="119" t="s">
        <v>27299</v>
      </c>
      <c r="S562" t="s">
        <v>27305</v>
      </c>
      <c r="U562" s="118"/>
      <c r="V562" s="119" t="s">
        <v>27335</v>
      </c>
      <c r="W562" t="s">
        <v>27341</v>
      </c>
    </row>
    <row r="563" spans="1:23" x14ac:dyDescent="0.3">
      <c r="A563" s="118"/>
      <c r="B563" s="119" t="s">
        <v>27346</v>
      </c>
      <c r="C563" t="s">
        <v>27352</v>
      </c>
      <c r="E563" s="118"/>
      <c r="F563" s="119" t="s">
        <v>27382</v>
      </c>
      <c r="G563" t="s">
        <v>27388</v>
      </c>
      <c r="I563" s="118"/>
      <c r="J563" s="119" t="s">
        <v>27418</v>
      </c>
      <c r="K563" t="s">
        <v>27424</v>
      </c>
      <c r="M563" s="118"/>
      <c r="N563" s="119" t="s">
        <v>27454</v>
      </c>
      <c r="O563" t="s">
        <v>27460</v>
      </c>
      <c r="Q563" s="118"/>
      <c r="R563" s="119" t="s">
        <v>27490</v>
      </c>
      <c r="S563" t="s">
        <v>27496</v>
      </c>
      <c r="U563" s="118"/>
      <c r="V563" s="119" t="s">
        <v>27526</v>
      </c>
      <c r="W563" t="s">
        <v>27532</v>
      </c>
    </row>
    <row r="564" spans="1:23" x14ac:dyDescent="0.3">
      <c r="A564" s="118"/>
      <c r="B564" s="119" t="s">
        <v>27347</v>
      </c>
      <c r="C564" t="s">
        <v>27353</v>
      </c>
      <c r="E564" s="118"/>
      <c r="F564" s="119" t="s">
        <v>27383</v>
      </c>
      <c r="G564" t="s">
        <v>27389</v>
      </c>
      <c r="I564" s="118"/>
      <c r="J564" s="119" t="s">
        <v>27419</v>
      </c>
      <c r="K564" t="s">
        <v>27425</v>
      </c>
      <c r="M564" s="118"/>
      <c r="N564" s="119" t="s">
        <v>27455</v>
      </c>
      <c r="O564" t="s">
        <v>27461</v>
      </c>
      <c r="Q564" s="118"/>
      <c r="R564" s="119" t="s">
        <v>27491</v>
      </c>
      <c r="S564" t="s">
        <v>27497</v>
      </c>
      <c r="U564" s="118"/>
      <c r="V564" s="119" t="s">
        <v>27527</v>
      </c>
      <c r="W564" t="s">
        <v>27533</v>
      </c>
    </row>
    <row r="565" spans="1:23" x14ac:dyDescent="0.3">
      <c r="A565" s="118"/>
      <c r="B565" s="119" t="s">
        <v>27358</v>
      </c>
      <c r="C565" t="s">
        <v>27364</v>
      </c>
      <c r="E565" s="118"/>
      <c r="F565" s="119" t="s">
        <v>27394</v>
      </c>
      <c r="G565" t="s">
        <v>27400</v>
      </c>
      <c r="I565" s="118"/>
      <c r="J565" s="119" t="s">
        <v>27430</v>
      </c>
      <c r="K565" t="s">
        <v>27436</v>
      </c>
      <c r="M565" s="118"/>
      <c r="N565" s="119" t="s">
        <v>27466</v>
      </c>
      <c r="O565" t="s">
        <v>27472</v>
      </c>
      <c r="Q565" s="118"/>
      <c r="R565" s="119" t="s">
        <v>27502</v>
      </c>
      <c r="S565" t="s">
        <v>27508</v>
      </c>
      <c r="U565" s="118"/>
      <c r="V565" s="119" t="s">
        <v>27538</v>
      </c>
      <c r="W565" t="s">
        <v>27544</v>
      </c>
    </row>
    <row r="566" spans="1:23" x14ac:dyDescent="0.3">
      <c r="A566" s="118"/>
      <c r="B566" s="119" t="s">
        <v>27359</v>
      </c>
      <c r="C566" t="s">
        <v>27365</v>
      </c>
      <c r="E566" s="118"/>
      <c r="F566" s="119" t="s">
        <v>27395</v>
      </c>
      <c r="G566" t="s">
        <v>27401</v>
      </c>
      <c r="I566" s="118"/>
      <c r="J566" s="119" t="s">
        <v>27431</v>
      </c>
      <c r="K566" t="s">
        <v>27437</v>
      </c>
      <c r="M566" s="118"/>
      <c r="N566" s="119" t="s">
        <v>27467</v>
      </c>
      <c r="O566" t="s">
        <v>27473</v>
      </c>
      <c r="Q566" s="118"/>
      <c r="R566" s="119" t="s">
        <v>27503</v>
      </c>
      <c r="S566" t="s">
        <v>27509</v>
      </c>
      <c r="U566" s="118"/>
      <c r="V566" s="119" t="s">
        <v>27539</v>
      </c>
      <c r="W566" t="s">
        <v>27545</v>
      </c>
    </row>
    <row r="567" spans="1:23" x14ac:dyDescent="0.3">
      <c r="A567" s="118"/>
      <c r="B567" s="119" t="s">
        <v>27370</v>
      </c>
      <c r="C567" t="s">
        <v>27376</v>
      </c>
      <c r="E567" s="118"/>
      <c r="F567" s="119" t="s">
        <v>27406</v>
      </c>
      <c r="G567" t="s">
        <v>27412</v>
      </c>
      <c r="I567" s="118"/>
      <c r="J567" s="119" t="s">
        <v>27442</v>
      </c>
      <c r="K567" t="s">
        <v>27448</v>
      </c>
      <c r="M567" s="118"/>
      <c r="N567" s="119" t="s">
        <v>27478</v>
      </c>
      <c r="O567" t="s">
        <v>27484</v>
      </c>
      <c r="Q567" s="118"/>
      <c r="R567" s="119" t="s">
        <v>27514</v>
      </c>
      <c r="S567" t="s">
        <v>27520</v>
      </c>
      <c r="U567" s="118"/>
      <c r="V567" s="119" t="s">
        <v>27550</v>
      </c>
      <c r="W567" t="s">
        <v>27556</v>
      </c>
    </row>
    <row r="568" spans="1:23" x14ac:dyDescent="0.3">
      <c r="A568" s="118"/>
      <c r="B568" s="119" t="s">
        <v>27371</v>
      </c>
      <c r="C568" t="s">
        <v>27377</v>
      </c>
      <c r="E568" s="118"/>
      <c r="F568" s="119" t="s">
        <v>27407</v>
      </c>
      <c r="G568" t="s">
        <v>27413</v>
      </c>
      <c r="I568" s="118"/>
      <c r="J568" s="119" t="s">
        <v>27443</v>
      </c>
      <c r="K568" t="s">
        <v>27449</v>
      </c>
      <c r="M568" s="118"/>
      <c r="N568" s="119" t="s">
        <v>27479</v>
      </c>
      <c r="O568" t="s">
        <v>27485</v>
      </c>
      <c r="Q568" s="118"/>
      <c r="R568" s="119" t="s">
        <v>27515</v>
      </c>
      <c r="S568" t="s">
        <v>27521</v>
      </c>
      <c r="U568" s="118"/>
      <c r="V568" s="119" t="s">
        <v>27551</v>
      </c>
      <c r="W568" t="s">
        <v>27557</v>
      </c>
    </row>
    <row r="569" spans="1:23" x14ac:dyDescent="0.3">
      <c r="A569" s="118"/>
      <c r="B569" s="119" t="s">
        <v>27562</v>
      </c>
      <c r="C569" t="s">
        <v>27568</v>
      </c>
      <c r="E569" s="118"/>
      <c r="F569" s="119" t="s">
        <v>27598</v>
      </c>
      <c r="G569" t="s">
        <v>27604</v>
      </c>
      <c r="I569" s="118"/>
      <c r="J569" s="119" t="s">
        <v>27634</v>
      </c>
      <c r="K569" t="s">
        <v>27640</v>
      </c>
      <c r="M569" s="118"/>
      <c r="N569" s="119" t="s">
        <v>27670</v>
      </c>
      <c r="O569" t="s">
        <v>27676</v>
      </c>
      <c r="Q569" s="118"/>
      <c r="R569" s="119" t="s">
        <v>27706</v>
      </c>
      <c r="S569" t="s">
        <v>27712</v>
      </c>
      <c r="U569" s="118"/>
      <c r="V569" s="119" t="s">
        <v>27742</v>
      </c>
      <c r="W569" t="s">
        <v>27748</v>
      </c>
    </row>
    <row r="570" spans="1:23" x14ac:dyDescent="0.3">
      <c r="A570" s="118"/>
      <c r="B570" s="119" t="s">
        <v>27563</v>
      </c>
      <c r="C570" t="s">
        <v>27569</v>
      </c>
      <c r="E570" s="118"/>
      <c r="F570" s="119" t="s">
        <v>27599</v>
      </c>
      <c r="G570" t="s">
        <v>27605</v>
      </c>
      <c r="I570" s="118"/>
      <c r="J570" s="119" t="s">
        <v>27635</v>
      </c>
      <c r="K570" t="s">
        <v>27641</v>
      </c>
      <c r="M570" s="118"/>
      <c r="N570" s="119" t="s">
        <v>27671</v>
      </c>
      <c r="O570" t="s">
        <v>27677</v>
      </c>
      <c r="Q570" s="118"/>
      <c r="R570" s="119" t="s">
        <v>27707</v>
      </c>
      <c r="S570" t="s">
        <v>27713</v>
      </c>
      <c r="U570" s="118"/>
      <c r="V570" s="119" t="s">
        <v>27743</v>
      </c>
      <c r="W570" t="s">
        <v>27749</v>
      </c>
    </row>
    <row r="571" spans="1:23" x14ac:dyDescent="0.3">
      <c r="A571" s="118"/>
      <c r="B571" s="119" t="s">
        <v>27574</v>
      </c>
      <c r="C571" t="s">
        <v>27580</v>
      </c>
      <c r="E571" s="118"/>
      <c r="F571" s="119" t="s">
        <v>27610</v>
      </c>
      <c r="G571" t="s">
        <v>27616</v>
      </c>
      <c r="I571" s="118"/>
      <c r="J571" s="119" t="s">
        <v>27646</v>
      </c>
      <c r="K571" t="s">
        <v>27652</v>
      </c>
      <c r="M571" s="118"/>
      <c r="N571" s="119" t="s">
        <v>27682</v>
      </c>
      <c r="O571" t="s">
        <v>27688</v>
      </c>
      <c r="Q571" s="118"/>
      <c r="R571" s="119" t="s">
        <v>27718</v>
      </c>
      <c r="S571" t="s">
        <v>27724</v>
      </c>
      <c r="U571" s="118"/>
      <c r="V571" s="119" t="s">
        <v>27754</v>
      </c>
      <c r="W571" t="s">
        <v>27760</v>
      </c>
    </row>
    <row r="572" spans="1:23" x14ac:dyDescent="0.3">
      <c r="A572" s="118"/>
      <c r="B572" s="119" t="s">
        <v>27575</v>
      </c>
      <c r="C572" t="s">
        <v>27581</v>
      </c>
      <c r="E572" s="118"/>
      <c r="F572" s="119" t="s">
        <v>27611</v>
      </c>
      <c r="G572" t="s">
        <v>27617</v>
      </c>
      <c r="I572" s="118"/>
      <c r="J572" s="119" t="s">
        <v>27647</v>
      </c>
      <c r="K572" t="s">
        <v>27653</v>
      </c>
      <c r="M572" s="118"/>
      <c r="N572" s="119" t="s">
        <v>27683</v>
      </c>
      <c r="O572" t="s">
        <v>27689</v>
      </c>
      <c r="Q572" s="118"/>
      <c r="R572" s="119" t="s">
        <v>27719</v>
      </c>
      <c r="S572" t="s">
        <v>27725</v>
      </c>
      <c r="U572" s="118"/>
      <c r="V572" s="119" t="s">
        <v>27755</v>
      </c>
      <c r="W572" t="s">
        <v>27761</v>
      </c>
    </row>
    <row r="573" spans="1:23" x14ac:dyDescent="0.3">
      <c r="A573" s="118"/>
      <c r="B573" s="119" t="s">
        <v>27586</v>
      </c>
      <c r="C573" t="s">
        <v>27592</v>
      </c>
      <c r="E573" s="118"/>
      <c r="F573" s="119" t="s">
        <v>27622</v>
      </c>
      <c r="G573" t="s">
        <v>27628</v>
      </c>
      <c r="I573" s="118"/>
      <c r="J573" s="119" t="s">
        <v>27658</v>
      </c>
      <c r="K573" t="s">
        <v>27664</v>
      </c>
      <c r="M573" s="118"/>
      <c r="N573" s="119" t="s">
        <v>27694</v>
      </c>
      <c r="O573" t="s">
        <v>27700</v>
      </c>
      <c r="Q573" s="118"/>
      <c r="R573" s="119" t="s">
        <v>27730</v>
      </c>
      <c r="S573" t="s">
        <v>27736</v>
      </c>
      <c r="U573" s="118"/>
      <c r="V573" s="119" t="s">
        <v>27766</v>
      </c>
      <c r="W573" t="s">
        <v>27772</v>
      </c>
    </row>
    <row r="574" spans="1:23" x14ac:dyDescent="0.3">
      <c r="A574" s="118"/>
      <c r="B574" s="119" t="s">
        <v>27587</v>
      </c>
      <c r="C574" t="s">
        <v>27593</v>
      </c>
      <c r="E574" s="118"/>
      <c r="F574" s="119" t="s">
        <v>27623</v>
      </c>
      <c r="G574" t="s">
        <v>27629</v>
      </c>
      <c r="I574" s="118"/>
      <c r="J574" s="119" t="s">
        <v>27659</v>
      </c>
      <c r="K574" t="s">
        <v>27665</v>
      </c>
      <c r="M574" s="118"/>
      <c r="N574" s="119" t="s">
        <v>27695</v>
      </c>
      <c r="O574" t="s">
        <v>27701</v>
      </c>
      <c r="Q574" s="118"/>
      <c r="R574" s="119" t="s">
        <v>27731</v>
      </c>
      <c r="S574" t="s">
        <v>27737</v>
      </c>
      <c r="U574" s="118"/>
      <c r="V574" s="119" t="s">
        <v>27767</v>
      </c>
      <c r="W574" t="s">
        <v>27773</v>
      </c>
    </row>
    <row r="575" spans="1:23" x14ac:dyDescent="0.3">
      <c r="A575" s="118"/>
      <c r="B575" s="119" t="s">
        <v>27778</v>
      </c>
      <c r="C575" t="s">
        <v>27784</v>
      </c>
      <c r="E575" s="118"/>
      <c r="F575" s="119" t="s">
        <v>27814</v>
      </c>
      <c r="G575" t="s">
        <v>27820</v>
      </c>
      <c r="I575" s="118"/>
      <c r="J575" s="119" t="s">
        <v>27850</v>
      </c>
      <c r="K575" t="s">
        <v>27856</v>
      </c>
      <c r="M575" s="118"/>
      <c r="N575" s="119" t="s">
        <v>27886</v>
      </c>
      <c r="O575" t="s">
        <v>27892</v>
      </c>
      <c r="Q575" s="118"/>
      <c r="R575" s="119" t="s">
        <v>27922</v>
      </c>
      <c r="S575" t="s">
        <v>27928</v>
      </c>
      <c r="U575" s="118"/>
      <c r="V575" s="119" t="s">
        <v>27958</v>
      </c>
      <c r="W575" t="s">
        <v>27964</v>
      </c>
    </row>
    <row r="576" spans="1:23" x14ac:dyDescent="0.3">
      <c r="A576" s="118"/>
      <c r="B576" s="119" t="s">
        <v>27779</v>
      </c>
      <c r="C576" t="s">
        <v>27785</v>
      </c>
      <c r="E576" s="118"/>
      <c r="F576" s="119" t="s">
        <v>27815</v>
      </c>
      <c r="G576" t="s">
        <v>27821</v>
      </c>
      <c r="I576" s="118"/>
      <c r="J576" s="119" t="s">
        <v>27851</v>
      </c>
      <c r="K576" t="s">
        <v>27857</v>
      </c>
      <c r="M576" s="118"/>
      <c r="N576" s="119" t="s">
        <v>27887</v>
      </c>
      <c r="O576" t="s">
        <v>27893</v>
      </c>
      <c r="Q576" s="118"/>
      <c r="R576" s="119" t="s">
        <v>27923</v>
      </c>
      <c r="S576" t="s">
        <v>27929</v>
      </c>
      <c r="U576" s="118"/>
      <c r="V576" s="119" t="s">
        <v>27959</v>
      </c>
      <c r="W576" t="s">
        <v>27965</v>
      </c>
    </row>
    <row r="577" spans="1:23" x14ac:dyDescent="0.3">
      <c r="A577" s="118"/>
      <c r="B577" s="119" t="s">
        <v>27790</v>
      </c>
      <c r="C577" t="s">
        <v>27796</v>
      </c>
      <c r="E577" s="118"/>
      <c r="F577" s="119" t="s">
        <v>27826</v>
      </c>
      <c r="G577" t="s">
        <v>27832</v>
      </c>
      <c r="I577" s="118"/>
      <c r="J577" s="119" t="s">
        <v>27862</v>
      </c>
      <c r="K577" t="s">
        <v>27868</v>
      </c>
      <c r="M577" s="118"/>
      <c r="N577" s="119" t="s">
        <v>27898</v>
      </c>
      <c r="O577" t="s">
        <v>27904</v>
      </c>
      <c r="Q577" s="118"/>
      <c r="R577" s="119" t="s">
        <v>27934</v>
      </c>
      <c r="S577" t="s">
        <v>27940</v>
      </c>
      <c r="U577" s="118"/>
      <c r="V577" s="119" t="s">
        <v>27970</v>
      </c>
      <c r="W577" t="s">
        <v>27976</v>
      </c>
    </row>
    <row r="578" spans="1:23" x14ac:dyDescent="0.3">
      <c r="A578" s="118"/>
      <c r="B578" s="119" t="s">
        <v>27791</v>
      </c>
      <c r="C578" t="s">
        <v>27797</v>
      </c>
      <c r="E578" s="118"/>
      <c r="F578" s="119" t="s">
        <v>27827</v>
      </c>
      <c r="G578" t="s">
        <v>27833</v>
      </c>
      <c r="I578" s="118"/>
      <c r="J578" s="119" t="s">
        <v>27863</v>
      </c>
      <c r="K578" t="s">
        <v>27869</v>
      </c>
      <c r="M578" s="118"/>
      <c r="N578" s="119" t="s">
        <v>27899</v>
      </c>
      <c r="O578" t="s">
        <v>27905</v>
      </c>
      <c r="Q578" s="118"/>
      <c r="R578" s="119" t="s">
        <v>27935</v>
      </c>
      <c r="S578" t="s">
        <v>27941</v>
      </c>
      <c r="U578" s="118"/>
      <c r="V578" s="119" t="s">
        <v>27971</v>
      </c>
      <c r="W578" t="s">
        <v>27977</v>
      </c>
    </row>
    <row r="579" spans="1:23" x14ac:dyDescent="0.3">
      <c r="A579" s="118"/>
      <c r="B579" s="119" t="s">
        <v>27802</v>
      </c>
      <c r="C579" t="s">
        <v>27808</v>
      </c>
      <c r="E579" s="118"/>
      <c r="F579" s="119" t="s">
        <v>27838</v>
      </c>
      <c r="G579" t="s">
        <v>27844</v>
      </c>
      <c r="I579" s="118"/>
      <c r="J579" s="119" t="s">
        <v>27874</v>
      </c>
      <c r="K579" t="s">
        <v>27880</v>
      </c>
      <c r="M579" s="118"/>
      <c r="N579" s="119" t="s">
        <v>27910</v>
      </c>
      <c r="O579" t="s">
        <v>27916</v>
      </c>
      <c r="Q579" s="118"/>
      <c r="R579" s="119" t="s">
        <v>27946</v>
      </c>
      <c r="S579" t="s">
        <v>27952</v>
      </c>
      <c r="U579" s="118"/>
      <c r="V579" s="119" t="s">
        <v>27982</v>
      </c>
      <c r="W579" t="s">
        <v>27988</v>
      </c>
    </row>
    <row r="580" spans="1:23" x14ac:dyDescent="0.3">
      <c r="A580" s="118"/>
      <c r="B580" s="119" t="s">
        <v>27803</v>
      </c>
      <c r="C580" t="s">
        <v>27809</v>
      </c>
      <c r="E580" s="118"/>
      <c r="F580" s="119" t="s">
        <v>27839</v>
      </c>
      <c r="G580" t="s">
        <v>27845</v>
      </c>
      <c r="I580" s="118"/>
      <c r="J580" s="119" t="s">
        <v>27875</v>
      </c>
      <c r="K580" t="s">
        <v>27881</v>
      </c>
      <c r="M580" s="118"/>
      <c r="N580" s="119" t="s">
        <v>27911</v>
      </c>
      <c r="O580" t="s">
        <v>27917</v>
      </c>
      <c r="Q580" s="118"/>
      <c r="R580" s="119" t="s">
        <v>27947</v>
      </c>
      <c r="S580" t="s">
        <v>27953</v>
      </c>
      <c r="U580" s="118"/>
      <c r="V580" s="119" t="s">
        <v>27983</v>
      </c>
      <c r="W580" t="s">
        <v>27989</v>
      </c>
    </row>
    <row r="581" spans="1:23" x14ac:dyDescent="0.3">
      <c r="A581" s="118"/>
      <c r="B581" s="119" t="s">
        <v>27994</v>
      </c>
      <c r="C581" t="s">
        <v>28000</v>
      </c>
      <c r="E581" s="118"/>
      <c r="F581" s="119" t="s">
        <v>28030</v>
      </c>
      <c r="G581" t="s">
        <v>28036</v>
      </c>
      <c r="I581" s="118"/>
      <c r="J581" s="119" t="s">
        <v>28066</v>
      </c>
      <c r="K581" t="s">
        <v>28072</v>
      </c>
      <c r="M581" s="118"/>
      <c r="N581" s="119" t="s">
        <v>28102</v>
      </c>
      <c r="O581" t="s">
        <v>28108</v>
      </c>
      <c r="Q581" s="118"/>
      <c r="R581" s="119" t="s">
        <v>28138</v>
      </c>
      <c r="S581" t="s">
        <v>28144</v>
      </c>
      <c r="U581" s="118"/>
      <c r="V581" s="119" t="s">
        <v>28174</v>
      </c>
      <c r="W581" t="s">
        <v>28180</v>
      </c>
    </row>
    <row r="582" spans="1:23" x14ac:dyDescent="0.3">
      <c r="A582" s="118"/>
      <c r="B582" s="119" t="s">
        <v>27995</v>
      </c>
      <c r="C582" t="s">
        <v>28001</v>
      </c>
      <c r="E582" s="118"/>
      <c r="F582" s="119" t="s">
        <v>28031</v>
      </c>
      <c r="G582" t="s">
        <v>28037</v>
      </c>
      <c r="I582" s="118"/>
      <c r="J582" s="119" t="s">
        <v>28067</v>
      </c>
      <c r="K582" t="s">
        <v>28073</v>
      </c>
      <c r="M582" s="118"/>
      <c r="N582" s="119" t="s">
        <v>28103</v>
      </c>
      <c r="O582" t="s">
        <v>28109</v>
      </c>
      <c r="Q582" s="118"/>
      <c r="R582" s="119" t="s">
        <v>28139</v>
      </c>
      <c r="S582" t="s">
        <v>28145</v>
      </c>
      <c r="U582" s="118"/>
      <c r="V582" s="119" t="s">
        <v>28175</v>
      </c>
      <c r="W582" t="s">
        <v>28181</v>
      </c>
    </row>
    <row r="583" spans="1:23" x14ac:dyDescent="0.3">
      <c r="A583" s="118"/>
      <c r="B583" s="119" t="s">
        <v>28006</v>
      </c>
      <c r="C583" t="s">
        <v>28012</v>
      </c>
      <c r="E583" s="118"/>
      <c r="F583" s="119" t="s">
        <v>28042</v>
      </c>
      <c r="G583" t="s">
        <v>28048</v>
      </c>
      <c r="I583" s="118"/>
      <c r="J583" s="119" t="s">
        <v>28078</v>
      </c>
      <c r="K583" t="s">
        <v>28084</v>
      </c>
      <c r="M583" s="118"/>
      <c r="N583" s="119" t="s">
        <v>28114</v>
      </c>
      <c r="O583" t="s">
        <v>28120</v>
      </c>
      <c r="Q583" s="118"/>
      <c r="R583" s="119" t="s">
        <v>28150</v>
      </c>
      <c r="S583" t="s">
        <v>28156</v>
      </c>
      <c r="U583" s="118"/>
      <c r="V583" s="119" t="s">
        <v>28186</v>
      </c>
      <c r="W583" t="s">
        <v>28192</v>
      </c>
    </row>
    <row r="584" spans="1:23" x14ac:dyDescent="0.3">
      <c r="A584" s="118"/>
      <c r="B584" s="119" t="s">
        <v>28007</v>
      </c>
      <c r="C584" t="s">
        <v>28013</v>
      </c>
      <c r="E584" s="118"/>
      <c r="F584" s="119" t="s">
        <v>28043</v>
      </c>
      <c r="G584" t="s">
        <v>28049</v>
      </c>
      <c r="I584" s="118"/>
      <c r="J584" s="119" t="s">
        <v>28079</v>
      </c>
      <c r="K584" t="s">
        <v>28085</v>
      </c>
      <c r="M584" s="118"/>
      <c r="N584" s="119" t="s">
        <v>28115</v>
      </c>
      <c r="O584" t="s">
        <v>28121</v>
      </c>
      <c r="Q584" s="118"/>
      <c r="R584" s="119" t="s">
        <v>28151</v>
      </c>
      <c r="S584" t="s">
        <v>28157</v>
      </c>
      <c r="U584" s="118"/>
      <c r="V584" s="119" t="s">
        <v>28187</v>
      </c>
      <c r="W584" t="s">
        <v>28193</v>
      </c>
    </row>
    <row r="585" spans="1:23" x14ac:dyDescent="0.3">
      <c r="A585" s="118"/>
      <c r="B585" s="119" t="s">
        <v>28018</v>
      </c>
      <c r="C585" t="s">
        <v>28024</v>
      </c>
      <c r="E585" s="118"/>
      <c r="F585" s="119" t="s">
        <v>28054</v>
      </c>
      <c r="G585" t="s">
        <v>28060</v>
      </c>
      <c r="I585" s="118"/>
      <c r="J585" s="119" t="s">
        <v>28090</v>
      </c>
      <c r="K585" t="s">
        <v>28096</v>
      </c>
      <c r="M585" s="118"/>
      <c r="N585" s="119" t="s">
        <v>28126</v>
      </c>
      <c r="O585" t="s">
        <v>28132</v>
      </c>
      <c r="Q585" s="118"/>
      <c r="R585" s="119" t="s">
        <v>28162</v>
      </c>
      <c r="S585" t="s">
        <v>28168</v>
      </c>
      <c r="U585" s="118"/>
      <c r="V585" s="119" t="s">
        <v>28198</v>
      </c>
      <c r="W585" t="s">
        <v>28204</v>
      </c>
    </row>
    <row r="586" spans="1:23" x14ac:dyDescent="0.3">
      <c r="A586" s="118"/>
      <c r="B586" s="119" t="s">
        <v>28019</v>
      </c>
      <c r="C586" t="s">
        <v>28025</v>
      </c>
      <c r="E586" s="118"/>
      <c r="F586" s="119" t="s">
        <v>28055</v>
      </c>
      <c r="G586" t="s">
        <v>28061</v>
      </c>
      <c r="I586" s="118"/>
      <c r="J586" s="119" t="s">
        <v>28091</v>
      </c>
      <c r="K586" t="s">
        <v>28097</v>
      </c>
      <c r="M586" s="118"/>
      <c r="N586" s="119" t="s">
        <v>28127</v>
      </c>
      <c r="O586" t="s">
        <v>28133</v>
      </c>
      <c r="Q586" s="118"/>
      <c r="R586" s="119" t="s">
        <v>28163</v>
      </c>
      <c r="S586" t="s">
        <v>28169</v>
      </c>
      <c r="U586" s="118"/>
      <c r="V586" s="119" t="s">
        <v>28199</v>
      </c>
      <c r="W586" t="s">
        <v>28205</v>
      </c>
    </row>
    <row r="587" spans="1:23" x14ac:dyDescent="0.3">
      <c r="A587" s="118"/>
      <c r="B587" s="119" t="s">
        <v>28210</v>
      </c>
      <c r="C587" t="s">
        <v>28216</v>
      </c>
      <c r="E587" s="118"/>
      <c r="F587" s="119" t="s">
        <v>28246</v>
      </c>
      <c r="G587" t="s">
        <v>28252</v>
      </c>
      <c r="I587" s="118"/>
      <c r="J587" s="119" t="s">
        <v>28282</v>
      </c>
      <c r="K587" t="s">
        <v>28288</v>
      </c>
      <c r="M587" s="118"/>
      <c r="N587" s="119" t="s">
        <v>28318</v>
      </c>
      <c r="O587" t="s">
        <v>28324</v>
      </c>
      <c r="Q587" s="118"/>
      <c r="R587" s="119" t="s">
        <v>28354</v>
      </c>
      <c r="S587" t="s">
        <v>28360</v>
      </c>
      <c r="U587" s="118"/>
      <c r="V587" s="119" t="s">
        <v>28390</v>
      </c>
      <c r="W587" t="s">
        <v>28396</v>
      </c>
    </row>
    <row r="588" spans="1:23" x14ac:dyDescent="0.3">
      <c r="A588" s="118"/>
      <c r="B588" s="119" t="s">
        <v>28211</v>
      </c>
      <c r="C588" t="s">
        <v>28217</v>
      </c>
      <c r="E588" s="118"/>
      <c r="F588" s="119" t="s">
        <v>28247</v>
      </c>
      <c r="G588" t="s">
        <v>28253</v>
      </c>
      <c r="I588" s="118"/>
      <c r="J588" s="119" t="s">
        <v>28283</v>
      </c>
      <c r="K588" t="s">
        <v>28289</v>
      </c>
      <c r="M588" s="118"/>
      <c r="N588" s="119" t="s">
        <v>28319</v>
      </c>
      <c r="O588" t="s">
        <v>28325</v>
      </c>
      <c r="Q588" s="118"/>
      <c r="R588" s="119" t="s">
        <v>28355</v>
      </c>
      <c r="S588" t="s">
        <v>28361</v>
      </c>
      <c r="U588" s="118"/>
      <c r="V588" s="119" t="s">
        <v>28391</v>
      </c>
      <c r="W588" t="s">
        <v>28397</v>
      </c>
    </row>
    <row r="589" spans="1:23" x14ac:dyDescent="0.3">
      <c r="A589" s="118"/>
      <c r="B589" s="119" t="s">
        <v>28222</v>
      </c>
      <c r="C589" t="s">
        <v>28228</v>
      </c>
      <c r="E589" s="118"/>
      <c r="F589" s="119" t="s">
        <v>28258</v>
      </c>
      <c r="G589" t="s">
        <v>28264</v>
      </c>
      <c r="I589" s="118"/>
      <c r="J589" s="119" t="s">
        <v>28294</v>
      </c>
      <c r="K589" t="s">
        <v>28300</v>
      </c>
      <c r="M589" s="118"/>
      <c r="N589" s="119" t="s">
        <v>28330</v>
      </c>
      <c r="O589" t="s">
        <v>28336</v>
      </c>
      <c r="Q589" s="118"/>
      <c r="R589" s="119" t="s">
        <v>28366</v>
      </c>
      <c r="S589" t="s">
        <v>28372</v>
      </c>
      <c r="U589" s="118"/>
      <c r="V589" s="119" t="s">
        <v>28402</v>
      </c>
      <c r="W589" t="s">
        <v>28408</v>
      </c>
    </row>
    <row r="590" spans="1:23" x14ac:dyDescent="0.3">
      <c r="A590" s="118"/>
      <c r="B590" s="119" t="s">
        <v>28223</v>
      </c>
      <c r="C590" t="s">
        <v>28229</v>
      </c>
      <c r="E590" s="118"/>
      <c r="F590" s="119" t="s">
        <v>28259</v>
      </c>
      <c r="G590" t="s">
        <v>28265</v>
      </c>
      <c r="I590" s="118"/>
      <c r="J590" s="119" t="s">
        <v>28295</v>
      </c>
      <c r="K590" t="s">
        <v>28301</v>
      </c>
      <c r="M590" s="118"/>
      <c r="N590" s="119" t="s">
        <v>28331</v>
      </c>
      <c r="O590" t="s">
        <v>28337</v>
      </c>
      <c r="Q590" s="118"/>
      <c r="R590" s="119" t="s">
        <v>28367</v>
      </c>
      <c r="S590" t="s">
        <v>28373</v>
      </c>
      <c r="U590" s="118"/>
      <c r="V590" s="119" t="s">
        <v>28403</v>
      </c>
      <c r="W590" t="s">
        <v>28409</v>
      </c>
    </row>
    <row r="591" spans="1:23" x14ac:dyDescent="0.3">
      <c r="A591" s="118"/>
      <c r="B591" s="119" t="s">
        <v>28234</v>
      </c>
      <c r="C591" t="s">
        <v>28240</v>
      </c>
      <c r="E591" s="118"/>
      <c r="F591" s="119" t="s">
        <v>28270</v>
      </c>
      <c r="G591" t="s">
        <v>28276</v>
      </c>
      <c r="I591" s="118"/>
      <c r="J591" s="119" t="s">
        <v>28306</v>
      </c>
      <c r="K591" t="s">
        <v>28312</v>
      </c>
      <c r="M591" s="118"/>
      <c r="N591" s="119" t="s">
        <v>28342</v>
      </c>
      <c r="O591" t="s">
        <v>28348</v>
      </c>
      <c r="Q591" s="118"/>
      <c r="R591" s="119" t="s">
        <v>28378</v>
      </c>
      <c r="S591" t="s">
        <v>28384</v>
      </c>
      <c r="U591" s="118"/>
      <c r="V591" s="119" t="s">
        <v>28414</v>
      </c>
      <c r="W591" t="s">
        <v>28420</v>
      </c>
    </row>
    <row r="592" spans="1:23" x14ac:dyDescent="0.3">
      <c r="A592" s="118"/>
      <c r="B592" s="119" t="s">
        <v>28235</v>
      </c>
      <c r="C592" t="s">
        <v>28241</v>
      </c>
      <c r="E592" s="118"/>
      <c r="F592" s="119" t="s">
        <v>28271</v>
      </c>
      <c r="G592" t="s">
        <v>28277</v>
      </c>
      <c r="I592" s="118"/>
      <c r="J592" s="119" t="s">
        <v>28307</v>
      </c>
      <c r="K592" t="s">
        <v>28313</v>
      </c>
      <c r="M592" s="118"/>
      <c r="N592" s="119" t="s">
        <v>28343</v>
      </c>
      <c r="O592" t="s">
        <v>28349</v>
      </c>
      <c r="Q592" s="118"/>
      <c r="R592" s="119" t="s">
        <v>28379</v>
      </c>
      <c r="S592" t="s">
        <v>28385</v>
      </c>
      <c r="U592" s="118"/>
      <c r="V592" s="119" t="s">
        <v>28415</v>
      </c>
      <c r="W592" t="s">
        <v>28421</v>
      </c>
    </row>
    <row r="593" spans="1:23" x14ac:dyDescent="0.3">
      <c r="A593" s="118"/>
      <c r="B593" s="119" t="s">
        <v>28426</v>
      </c>
      <c r="C593" t="s">
        <v>28432</v>
      </c>
      <c r="E593" s="118"/>
      <c r="F593" s="119" t="s">
        <v>28462</v>
      </c>
      <c r="G593" t="s">
        <v>28468</v>
      </c>
      <c r="I593" s="118"/>
      <c r="J593" s="119" t="s">
        <v>28498</v>
      </c>
      <c r="K593" t="s">
        <v>28504</v>
      </c>
      <c r="M593" s="118"/>
      <c r="N593" s="119" t="s">
        <v>28534</v>
      </c>
      <c r="O593" t="s">
        <v>28540</v>
      </c>
      <c r="Q593" s="118"/>
      <c r="R593" s="119" t="s">
        <v>28570</v>
      </c>
      <c r="S593" t="s">
        <v>28576</v>
      </c>
      <c r="U593" s="118"/>
      <c r="V593" s="119" t="s">
        <v>28606</v>
      </c>
      <c r="W593" t="s">
        <v>28612</v>
      </c>
    </row>
    <row r="594" spans="1:23" x14ac:dyDescent="0.3">
      <c r="A594" s="118"/>
      <c r="B594" s="119" t="s">
        <v>28427</v>
      </c>
      <c r="C594" t="s">
        <v>28433</v>
      </c>
      <c r="E594" s="118"/>
      <c r="F594" s="119" t="s">
        <v>28463</v>
      </c>
      <c r="G594" t="s">
        <v>28469</v>
      </c>
      <c r="I594" s="118"/>
      <c r="J594" s="119" t="s">
        <v>28499</v>
      </c>
      <c r="K594" t="s">
        <v>28505</v>
      </c>
      <c r="M594" s="118"/>
      <c r="N594" s="119" t="s">
        <v>28535</v>
      </c>
      <c r="O594" t="s">
        <v>28541</v>
      </c>
      <c r="Q594" s="118"/>
      <c r="R594" s="119" t="s">
        <v>28571</v>
      </c>
      <c r="S594" t="s">
        <v>28577</v>
      </c>
      <c r="U594" s="118"/>
      <c r="V594" s="119" t="s">
        <v>28607</v>
      </c>
      <c r="W594" t="s">
        <v>28613</v>
      </c>
    </row>
    <row r="595" spans="1:23" x14ac:dyDescent="0.3">
      <c r="A595" s="118"/>
      <c r="B595" s="119" t="s">
        <v>28438</v>
      </c>
      <c r="C595" t="s">
        <v>28444</v>
      </c>
      <c r="E595" s="118"/>
      <c r="F595" s="119" t="s">
        <v>28474</v>
      </c>
      <c r="G595" t="s">
        <v>28480</v>
      </c>
      <c r="I595" s="118"/>
      <c r="J595" s="119" t="s">
        <v>28510</v>
      </c>
      <c r="K595" t="s">
        <v>28516</v>
      </c>
      <c r="M595" s="118"/>
      <c r="N595" s="119" t="s">
        <v>28546</v>
      </c>
      <c r="O595" t="s">
        <v>28552</v>
      </c>
      <c r="Q595" s="118"/>
      <c r="R595" s="119" t="s">
        <v>28582</v>
      </c>
      <c r="S595" t="s">
        <v>28588</v>
      </c>
      <c r="U595" s="118"/>
      <c r="V595" s="119" t="s">
        <v>28618</v>
      </c>
      <c r="W595" t="s">
        <v>28624</v>
      </c>
    </row>
    <row r="596" spans="1:23" x14ac:dyDescent="0.3">
      <c r="A596" s="118"/>
      <c r="B596" s="119" t="s">
        <v>28439</v>
      </c>
      <c r="C596" t="s">
        <v>28445</v>
      </c>
      <c r="E596" s="118"/>
      <c r="F596" s="119" t="s">
        <v>28475</v>
      </c>
      <c r="G596" t="s">
        <v>28481</v>
      </c>
      <c r="I596" s="118"/>
      <c r="J596" s="119" t="s">
        <v>28511</v>
      </c>
      <c r="K596" t="s">
        <v>28517</v>
      </c>
      <c r="M596" s="118"/>
      <c r="N596" s="119" t="s">
        <v>28547</v>
      </c>
      <c r="O596" t="s">
        <v>28553</v>
      </c>
      <c r="Q596" s="118"/>
      <c r="R596" s="119" t="s">
        <v>28583</v>
      </c>
      <c r="S596" t="s">
        <v>28589</v>
      </c>
      <c r="U596" s="118"/>
      <c r="V596" s="119" t="s">
        <v>28619</v>
      </c>
      <c r="W596" t="s">
        <v>28625</v>
      </c>
    </row>
    <row r="597" spans="1:23" x14ac:dyDescent="0.3">
      <c r="A597" s="118"/>
      <c r="B597" s="119" t="s">
        <v>28450</v>
      </c>
      <c r="C597" t="s">
        <v>28456</v>
      </c>
      <c r="E597" s="118"/>
      <c r="F597" s="119" t="s">
        <v>28486</v>
      </c>
      <c r="G597" t="s">
        <v>28492</v>
      </c>
      <c r="I597" s="118"/>
      <c r="J597" s="119" t="s">
        <v>28522</v>
      </c>
      <c r="K597" t="s">
        <v>28528</v>
      </c>
      <c r="M597" s="118"/>
      <c r="N597" s="119" t="s">
        <v>28558</v>
      </c>
      <c r="O597" t="s">
        <v>28564</v>
      </c>
      <c r="Q597" s="118"/>
      <c r="R597" s="119" t="s">
        <v>28594</v>
      </c>
      <c r="S597" t="s">
        <v>28600</v>
      </c>
      <c r="U597" s="118"/>
      <c r="V597" s="119" t="s">
        <v>28630</v>
      </c>
      <c r="W597" t="s">
        <v>28636</v>
      </c>
    </row>
    <row r="598" spans="1:23" x14ac:dyDescent="0.3">
      <c r="A598" s="118"/>
      <c r="B598" s="119" t="s">
        <v>28451</v>
      </c>
      <c r="C598" t="s">
        <v>28457</v>
      </c>
      <c r="E598" s="118"/>
      <c r="F598" s="119" t="s">
        <v>28487</v>
      </c>
      <c r="G598" t="s">
        <v>28493</v>
      </c>
      <c r="I598" s="118"/>
      <c r="J598" s="119" t="s">
        <v>28523</v>
      </c>
      <c r="K598" t="s">
        <v>28529</v>
      </c>
      <c r="M598" s="118"/>
      <c r="N598" s="119" t="s">
        <v>28559</v>
      </c>
      <c r="O598" t="s">
        <v>28565</v>
      </c>
      <c r="Q598" s="118"/>
      <c r="R598" s="119" t="s">
        <v>28595</v>
      </c>
      <c r="S598" t="s">
        <v>28601</v>
      </c>
      <c r="U598" s="118"/>
      <c r="V598" s="119" t="s">
        <v>28631</v>
      </c>
      <c r="W598" t="s">
        <v>28637</v>
      </c>
    </row>
    <row r="599" spans="1:23" x14ac:dyDescent="0.3">
      <c r="A599" s="118"/>
      <c r="B599" s="119" t="s">
        <v>28642</v>
      </c>
      <c r="C599" t="s">
        <v>28648</v>
      </c>
      <c r="E599" s="118"/>
      <c r="F599" s="119" t="s">
        <v>28678</v>
      </c>
      <c r="G599" t="s">
        <v>28684</v>
      </c>
      <c r="I599" s="118"/>
      <c r="J599" s="119" t="s">
        <v>28714</v>
      </c>
      <c r="K599" t="s">
        <v>28720</v>
      </c>
      <c r="M599" s="118"/>
      <c r="N599" s="119" t="s">
        <v>28750</v>
      </c>
      <c r="O599" t="s">
        <v>28756</v>
      </c>
      <c r="Q599" s="118"/>
      <c r="R599" s="119"/>
      <c r="U599" s="118"/>
      <c r="V599" s="119"/>
    </row>
    <row r="600" spans="1:23" x14ac:dyDescent="0.3">
      <c r="A600" s="118"/>
      <c r="B600" s="119" t="s">
        <v>28643</v>
      </c>
      <c r="C600" t="s">
        <v>28649</v>
      </c>
      <c r="E600" s="118"/>
      <c r="F600" s="119" t="s">
        <v>28679</v>
      </c>
      <c r="G600" t="s">
        <v>28685</v>
      </c>
      <c r="I600" s="118"/>
      <c r="J600" s="119" t="s">
        <v>28715</v>
      </c>
      <c r="K600" t="s">
        <v>28721</v>
      </c>
      <c r="M600" s="118"/>
      <c r="N600" s="119" t="s">
        <v>28751</v>
      </c>
      <c r="O600" t="s">
        <v>28757</v>
      </c>
      <c r="Q600" s="118"/>
      <c r="R600" s="119"/>
      <c r="U600" s="118"/>
      <c r="V600" s="119"/>
    </row>
    <row r="601" spans="1:23" x14ac:dyDescent="0.3">
      <c r="A601" s="118"/>
      <c r="B601" s="119" t="s">
        <v>28654</v>
      </c>
      <c r="C601" t="s">
        <v>28660</v>
      </c>
      <c r="E601" s="118"/>
      <c r="F601" s="119" t="s">
        <v>28690</v>
      </c>
      <c r="G601" t="s">
        <v>28696</v>
      </c>
      <c r="I601" s="118"/>
      <c r="J601" s="119" t="s">
        <v>28726</v>
      </c>
      <c r="K601" t="s">
        <v>28732</v>
      </c>
      <c r="M601" s="118"/>
      <c r="N601" s="119"/>
      <c r="Q601" s="118"/>
      <c r="R601" s="119"/>
      <c r="U601" s="118"/>
      <c r="V601" s="119"/>
    </row>
    <row r="602" spans="1:23" x14ac:dyDescent="0.3">
      <c r="A602" s="118"/>
      <c r="B602" s="119" t="s">
        <v>28655</v>
      </c>
      <c r="C602" t="s">
        <v>28661</v>
      </c>
      <c r="E602" s="118"/>
      <c r="F602" s="119" t="s">
        <v>28691</v>
      </c>
      <c r="G602" t="s">
        <v>28697</v>
      </c>
      <c r="I602" s="118"/>
      <c r="J602" s="119" t="s">
        <v>28727</v>
      </c>
      <c r="K602" t="s">
        <v>28733</v>
      </c>
      <c r="M602" s="118"/>
      <c r="N602" s="119"/>
      <c r="Q602" s="118"/>
      <c r="R602" s="119"/>
      <c r="U602" s="118"/>
      <c r="V602" s="119"/>
    </row>
    <row r="603" spans="1:23" x14ac:dyDescent="0.3">
      <c r="A603" s="118"/>
      <c r="B603" s="119" t="s">
        <v>28666</v>
      </c>
      <c r="C603" t="s">
        <v>28672</v>
      </c>
      <c r="E603" s="118"/>
      <c r="F603" s="119" t="s">
        <v>28702</v>
      </c>
      <c r="G603" t="s">
        <v>28708</v>
      </c>
      <c r="I603" s="118"/>
      <c r="J603" s="119" t="s">
        <v>28738</v>
      </c>
      <c r="K603" t="s">
        <v>28744</v>
      </c>
      <c r="M603" s="118"/>
      <c r="N603" s="119"/>
      <c r="Q603" s="118"/>
      <c r="R603" s="119"/>
      <c r="U603" s="118"/>
      <c r="V603" s="119"/>
    </row>
    <row r="604" spans="1:23" x14ac:dyDescent="0.3">
      <c r="A604" s="118"/>
      <c r="B604" s="119" t="s">
        <v>28667</v>
      </c>
      <c r="C604" t="s">
        <v>28673</v>
      </c>
      <c r="E604" s="118"/>
      <c r="F604" s="119" t="s">
        <v>28703</v>
      </c>
      <c r="G604" t="s">
        <v>28709</v>
      </c>
      <c r="I604" s="118"/>
      <c r="J604" s="119" t="s">
        <v>28739</v>
      </c>
      <c r="K604" t="s">
        <v>28745</v>
      </c>
      <c r="M604" s="118"/>
      <c r="N604" s="119"/>
      <c r="Q604" s="118"/>
      <c r="R604" s="119"/>
      <c r="U604" s="118"/>
      <c r="V604" s="119"/>
    </row>
    <row r="605" spans="1:23" x14ac:dyDescent="0.3">
      <c r="A605" s="118"/>
      <c r="B605" s="119"/>
      <c r="E605" s="118"/>
      <c r="F605" s="119"/>
      <c r="I605" s="118"/>
      <c r="J605" s="119"/>
      <c r="M605" s="118"/>
      <c r="N605" s="119"/>
      <c r="Q605" s="118"/>
      <c r="R605" s="119"/>
      <c r="U605" s="118"/>
      <c r="V605" s="119"/>
    </row>
    <row r="606" spans="1:23" x14ac:dyDescent="0.3">
      <c r="A606" s="118"/>
      <c r="B606" s="119"/>
      <c r="E606" s="118"/>
      <c r="F606" s="119"/>
      <c r="I606" s="118"/>
      <c r="J606" s="119"/>
      <c r="M606" s="118"/>
      <c r="N606" s="119"/>
      <c r="Q606" s="118"/>
      <c r="R606" s="119"/>
      <c r="U606" s="118"/>
      <c r="V606" s="119"/>
    </row>
    <row r="607" spans="1:23" x14ac:dyDescent="0.3">
      <c r="A607" s="118"/>
      <c r="B607" s="119"/>
      <c r="E607" s="118"/>
      <c r="F607" s="119"/>
      <c r="I607" s="118"/>
      <c r="J607" s="119"/>
      <c r="M607" s="118"/>
      <c r="N607" s="119"/>
      <c r="Q607" s="118"/>
      <c r="R607" s="119"/>
      <c r="U607" s="118"/>
      <c r="V607" s="119"/>
    </row>
    <row r="608" spans="1:23" x14ac:dyDescent="0.3">
      <c r="A608" s="118"/>
      <c r="B608" s="119"/>
      <c r="E608" s="118"/>
      <c r="F608" s="119"/>
      <c r="I608" s="118"/>
      <c r="J608" s="119"/>
      <c r="M608" s="118"/>
      <c r="N608" s="119"/>
      <c r="Q608" s="118"/>
      <c r="R608" s="119"/>
      <c r="U608" s="118"/>
      <c r="V608" s="119"/>
    </row>
    <row r="609" spans="1:22" x14ac:dyDescent="0.3">
      <c r="A609" s="118"/>
      <c r="B609" s="119"/>
      <c r="E609" s="118"/>
      <c r="F609" s="119"/>
      <c r="I609" s="118"/>
      <c r="J609" s="119"/>
      <c r="M609" s="118"/>
      <c r="N609" s="119"/>
      <c r="Q609" s="118"/>
      <c r="R609" s="119"/>
      <c r="U609" s="118"/>
      <c r="V609" s="119"/>
    </row>
    <row r="610" spans="1:22" x14ac:dyDescent="0.3">
      <c r="A610" s="118"/>
      <c r="B610" s="119"/>
      <c r="E610" s="118"/>
      <c r="F610" s="119"/>
      <c r="I610" s="118"/>
      <c r="J610" s="119"/>
      <c r="M610" s="118"/>
      <c r="N610" s="119"/>
      <c r="Q610" s="118"/>
      <c r="R610" s="119"/>
      <c r="U610" s="118"/>
      <c r="V610" s="119"/>
    </row>
    <row r="611" spans="1:22" x14ac:dyDescent="0.3">
      <c r="A611" s="118"/>
      <c r="B611" s="119"/>
      <c r="E611" s="118"/>
      <c r="F611" s="119"/>
      <c r="I611" s="118"/>
      <c r="J611" s="119"/>
      <c r="M611" s="118"/>
      <c r="N611" s="119"/>
      <c r="Q611" s="118"/>
      <c r="R611" s="119"/>
      <c r="U611" s="118"/>
      <c r="V611" s="119"/>
    </row>
    <row r="612" spans="1:22" x14ac:dyDescent="0.3">
      <c r="A612" s="118"/>
      <c r="B612" s="119"/>
      <c r="E612" s="118"/>
      <c r="F612" s="119"/>
      <c r="I612" s="118"/>
      <c r="J612" s="119"/>
      <c r="M612" s="118"/>
      <c r="N612" s="119"/>
      <c r="Q612" s="118"/>
      <c r="R612" s="119"/>
      <c r="U612" s="118"/>
      <c r="V612" s="119"/>
    </row>
    <row r="613" spans="1:22" x14ac:dyDescent="0.3">
      <c r="A613" s="118"/>
      <c r="B613" s="119"/>
      <c r="E613" s="118"/>
      <c r="F613" s="119"/>
      <c r="I613" s="118"/>
      <c r="J613" s="119"/>
      <c r="M613" s="118"/>
      <c r="N613" s="119"/>
      <c r="Q613" s="118"/>
      <c r="R613" s="119"/>
      <c r="U613" s="118"/>
      <c r="V613" s="119"/>
    </row>
    <row r="614" spans="1:22" x14ac:dyDescent="0.3">
      <c r="A614" s="118"/>
      <c r="B614" s="119"/>
      <c r="E614" s="118"/>
      <c r="F614" s="119"/>
      <c r="I614" s="118"/>
      <c r="J614" s="119"/>
      <c r="M614" s="118"/>
      <c r="N614" s="119"/>
      <c r="Q614" s="118"/>
      <c r="R614" s="119"/>
      <c r="U614" s="118"/>
      <c r="V614" s="119"/>
    </row>
    <row r="615" spans="1:22" x14ac:dyDescent="0.3">
      <c r="A615" s="118"/>
      <c r="B615" s="119"/>
      <c r="E615" s="118"/>
      <c r="F615" s="119"/>
      <c r="I615" s="118"/>
      <c r="J615" s="119"/>
      <c r="M615" s="118"/>
      <c r="N615" s="119"/>
      <c r="Q615" s="118"/>
      <c r="R615" s="119"/>
      <c r="U615" s="118"/>
      <c r="V615" s="119"/>
    </row>
    <row r="616" spans="1:22" x14ac:dyDescent="0.3">
      <c r="A616" s="118"/>
      <c r="B616" s="119"/>
      <c r="E616" s="118"/>
      <c r="F616" s="119"/>
      <c r="I616" s="118"/>
      <c r="J616" s="119"/>
      <c r="M616" s="118"/>
      <c r="N616" s="119"/>
      <c r="Q616" s="118"/>
      <c r="R616" s="119"/>
      <c r="U616" s="118"/>
      <c r="V616" s="119"/>
    </row>
    <row r="617" spans="1:22" x14ac:dyDescent="0.3">
      <c r="A617" s="118"/>
      <c r="B617" s="119"/>
      <c r="E617" s="118"/>
      <c r="F617" s="119"/>
      <c r="I617" s="118"/>
      <c r="J617" s="119"/>
      <c r="M617" s="118"/>
      <c r="N617" s="119"/>
      <c r="Q617" s="118"/>
      <c r="R617" s="119"/>
      <c r="U617" s="118"/>
      <c r="V617" s="119"/>
    </row>
    <row r="618" spans="1:22" x14ac:dyDescent="0.3">
      <c r="A618" s="118"/>
      <c r="B618" s="119"/>
      <c r="E618" s="118"/>
      <c r="F618" s="119"/>
      <c r="I618" s="118"/>
      <c r="J618" s="119"/>
      <c r="M618" s="118"/>
      <c r="N618" s="119"/>
      <c r="Q618" s="118"/>
      <c r="R618" s="119"/>
      <c r="U618" s="118"/>
      <c r="V618" s="119"/>
    </row>
    <row r="619" spans="1:22" x14ac:dyDescent="0.3">
      <c r="A619" s="118"/>
      <c r="B619" s="119"/>
      <c r="E619" s="118"/>
      <c r="F619" s="119"/>
      <c r="I619" s="118"/>
      <c r="J619" s="119"/>
      <c r="M619" s="118"/>
      <c r="N619" s="119"/>
      <c r="Q619" s="118"/>
      <c r="R619" s="119"/>
      <c r="U619" s="118"/>
      <c r="V619" s="119"/>
    </row>
    <row r="620" spans="1:22" x14ac:dyDescent="0.3">
      <c r="A620" s="118"/>
      <c r="B620" s="119"/>
      <c r="E620" s="118"/>
      <c r="F620" s="119"/>
      <c r="I620" s="118"/>
      <c r="J620" s="119"/>
      <c r="M620" s="118"/>
      <c r="N620" s="119"/>
      <c r="Q620" s="118"/>
      <c r="R620" s="119"/>
      <c r="U620" s="118"/>
      <c r="V620" s="119"/>
    </row>
    <row r="621" spans="1:22" x14ac:dyDescent="0.3">
      <c r="A621" s="118"/>
      <c r="B621" s="119"/>
      <c r="E621" s="118"/>
      <c r="F621" s="119"/>
      <c r="I621" s="118"/>
      <c r="J621" s="119"/>
      <c r="M621" s="118"/>
      <c r="N621" s="119"/>
      <c r="Q621" s="118"/>
      <c r="R621" s="119"/>
      <c r="U621" s="118"/>
      <c r="V621" s="119"/>
    </row>
    <row r="622" spans="1:22" x14ac:dyDescent="0.3">
      <c r="A622" s="118"/>
      <c r="B622" s="119"/>
      <c r="E622" s="118"/>
      <c r="F622" s="119"/>
      <c r="I622" s="118"/>
      <c r="J622" s="119"/>
      <c r="M622" s="118"/>
      <c r="N622" s="119"/>
      <c r="Q622" s="118"/>
      <c r="R622" s="119"/>
      <c r="U622" s="118"/>
      <c r="V622" s="119"/>
    </row>
    <row r="623" spans="1:22" x14ac:dyDescent="0.3">
      <c r="A623" s="118"/>
      <c r="B623" s="119"/>
      <c r="E623" s="118"/>
      <c r="F623" s="119"/>
      <c r="I623" s="118"/>
      <c r="J623" s="119"/>
      <c r="M623" s="118"/>
      <c r="N623" s="119"/>
      <c r="Q623" s="118"/>
      <c r="R623" s="119"/>
      <c r="U623" s="118"/>
      <c r="V623" s="119"/>
    </row>
    <row r="624" spans="1:22" x14ac:dyDescent="0.3">
      <c r="A624" s="118"/>
      <c r="B624" s="119"/>
      <c r="E624" s="118"/>
      <c r="F624" s="119"/>
      <c r="I624" s="118"/>
      <c r="J624" s="119"/>
      <c r="M624" s="118"/>
      <c r="N624" s="119"/>
      <c r="Q624" s="118"/>
      <c r="R624" s="119"/>
      <c r="U624" s="118"/>
      <c r="V624" s="119"/>
    </row>
    <row r="625" spans="1:22" x14ac:dyDescent="0.3">
      <c r="A625" s="118"/>
      <c r="B625" s="119"/>
      <c r="E625" s="118"/>
      <c r="F625" s="119"/>
      <c r="I625" s="118"/>
      <c r="J625" s="119"/>
      <c r="M625" s="118"/>
      <c r="N625" s="119"/>
      <c r="Q625" s="118"/>
      <c r="R625" s="119"/>
      <c r="U625" s="118"/>
      <c r="V625" s="119"/>
    </row>
    <row r="626" spans="1:22" x14ac:dyDescent="0.3">
      <c r="A626" s="118"/>
      <c r="B626" s="119"/>
      <c r="E626" s="118"/>
      <c r="F626" s="119"/>
      <c r="I626" s="118"/>
      <c r="J626" s="119"/>
      <c r="M626" s="118"/>
      <c r="N626" s="119"/>
      <c r="Q626" s="118"/>
      <c r="R626" s="119"/>
      <c r="U626" s="118"/>
      <c r="V626" s="119"/>
    </row>
    <row r="627" spans="1:22" x14ac:dyDescent="0.3">
      <c r="A627" s="118"/>
      <c r="B627" s="119"/>
      <c r="E627" s="118"/>
      <c r="F627" s="119"/>
      <c r="I627" s="118"/>
      <c r="J627" s="119"/>
      <c r="M627" s="118"/>
      <c r="N627" s="119"/>
      <c r="Q627" s="118"/>
      <c r="R627" s="119"/>
      <c r="U627" s="118"/>
      <c r="V627" s="119"/>
    </row>
    <row r="628" spans="1:22" x14ac:dyDescent="0.3">
      <c r="A628" s="118"/>
      <c r="B628" s="119"/>
      <c r="E628" s="118"/>
      <c r="F628" s="119"/>
      <c r="I628" s="118"/>
      <c r="J628" s="119"/>
      <c r="M628" s="118"/>
      <c r="N628" s="119"/>
      <c r="Q628" s="118"/>
      <c r="R628" s="119"/>
      <c r="U628" s="118"/>
      <c r="V628" s="119"/>
    </row>
    <row r="629" spans="1:22" x14ac:dyDescent="0.3">
      <c r="A629" s="118"/>
      <c r="B629" s="119"/>
      <c r="E629" s="118"/>
      <c r="F629" s="119"/>
      <c r="I629" s="118"/>
      <c r="J629" s="119"/>
      <c r="M629" s="118"/>
      <c r="N629" s="119"/>
      <c r="Q629" s="118"/>
      <c r="R629" s="119"/>
      <c r="U629" s="118"/>
      <c r="V629" s="119"/>
    </row>
    <row r="630" spans="1:22" x14ac:dyDescent="0.3">
      <c r="A630" s="118"/>
      <c r="B630" s="119"/>
      <c r="E630" s="118"/>
      <c r="F630" s="119"/>
      <c r="I630" s="118"/>
      <c r="J630" s="119"/>
      <c r="M630" s="118"/>
      <c r="N630" s="119"/>
      <c r="Q630" s="118"/>
      <c r="R630" s="119"/>
      <c r="U630" s="118"/>
      <c r="V630" s="119"/>
    </row>
    <row r="631" spans="1:22" x14ac:dyDescent="0.3">
      <c r="A631" s="118"/>
      <c r="B631" s="119"/>
      <c r="E631" s="118"/>
      <c r="F631" s="119"/>
      <c r="I631" s="118"/>
      <c r="J631" s="119"/>
      <c r="M631" s="118"/>
      <c r="N631" s="119"/>
      <c r="Q631" s="118"/>
      <c r="R631" s="119"/>
      <c r="U631" s="118"/>
      <c r="V631" s="119"/>
    </row>
    <row r="632" spans="1:22" x14ac:dyDescent="0.3">
      <c r="A632" s="118"/>
      <c r="B632" s="119"/>
      <c r="E632" s="118"/>
      <c r="F632" s="119"/>
      <c r="I632" s="118"/>
      <c r="J632" s="119"/>
      <c r="M632" s="118"/>
      <c r="N632" s="119"/>
      <c r="Q632" s="118"/>
      <c r="R632" s="119"/>
      <c r="U632" s="118"/>
      <c r="V632" s="119"/>
    </row>
    <row r="633" spans="1:22" x14ac:dyDescent="0.3">
      <c r="A633" s="118"/>
      <c r="B633" s="119"/>
      <c r="E633" s="118"/>
      <c r="F633" s="119"/>
      <c r="I633" s="118"/>
      <c r="J633" s="119"/>
      <c r="M633" s="118"/>
      <c r="N633" s="119"/>
      <c r="Q633" s="118"/>
      <c r="R633" s="119"/>
      <c r="U633" s="118"/>
      <c r="V633" s="119"/>
    </row>
    <row r="634" spans="1:22" x14ac:dyDescent="0.3">
      <c r="A634" s="118"/>
      <c r="B634" s="119"/>
      <c r="E634" s="118"/>
      <c r="F634" s="119"/>
      <c r="I634" s="118"/>
      <c r="J634" s="119"/>
      <c r="M634" s="118"/>
      <c r="N634" s="119"/>
      <c r="Q634" s="118"/>
      <c r="R634" s="119"/>
      <c r="U634" s="118"/>
      <c r="V634" s="119"/>
    </row>
    <row r="635" spans="1:22" x14ac:dyDescent="0.3">
      <c r="A635" s="118"/>
      <c r="B635" s="119"/>
      <c r="E635" s="118"/>
      <c r="F635" s="119"/>
      <c r="I635" s="118"/>
      <c r="J635" s="119"/>
      <c r="M635" s="118"/>
      <c r="N635" s="119"/>
      <c r="Q635" s="118"/>
      <c r="R635" s="119"/>
      <c r="U635" s="118"/>
      <c r="V635" s="119"/>
    </row>
    <row r="636" spans="1:22" x14ac:dyDescent="0.3">
      <c r="A636" s="118"/>
      <c r="B636" s="119"/>
      <c r="E636" s="118"/>
      <c r="F636" s="119"/>
      <c r="I636" s="118"/>
      <c r="J636" s="119"/>
      <c r="M636" s="118"/>
      <c r="N636" s="119"/>
      <c r="Q636" s="118"/>
      <c r="R636" s="119"/>
      <c r="U636" s="118"/>
      <c r="V636" s="119"/>
    </row>
    <row r="637" spans="1:22" x14ac:dyDescent="0.3">
      <c r="A637" s="118"/>
      <c r="B637" s="119"/>
      <c r="E637" s="118"/>
      <c r="F637" s="119"/>
      <c r="I637" s="118"/>
      <c r="J637" s="119"/>
      <c r="M637" s="118"/>
      <c r="N637" s="119"/>
      <c r="Q637" s="118"/>
      <c r="R637" s="119"/>
      <c r="U637" s="118"/>
      <c r="V637" s="119"/>
    </row>
    <row r="638" spans="1:22" x14ac:dyDescent="0.3">
      <c r="A638" s="118"/>
      <c r="B638" s="119"/>
      <c r="E638" s="118"/>
      <c r="F638" s="119"/>
      <c r="I638" s="118"/>
      <c r="J638" s="119"/>
      <c r="M638" s="118"/>
      <c r="N638" s="119"/>
      <c r="Q638" s="118"/>
      <c r="R638" s="119"/>
      <c r="U638" s="118"/>
      <c r="V638" s="119"/>
    </row>
    <row r="639" spans="1:22" x14ac:dyDescent="0.3">
      <c r="A639" s="118"/>
      <c r="B639" s="119"/>
      <c r="E639" s="118"/>
      <c r="F639" s="119"/>
      <c r="I639" s="118"/>
      <c r="J639" s="119"/>
      <c r="M639" s="118"/>
      <c r="N639" s="119"/>
      <c r="Q639" s="118"/>
      <c r="R639" s="119"/>
      <c r="U639" s="118"/>
      <c r="V639" s="119"/>
    </row>
    <row r="640" spans="1:22" x14ac:dyDescent="0.3">
      <c r="A640" s="118"/>
      <c r="B640" s="119"/>
      <c r="E640" s="118"/>
      <c r="F640" s="119"/>
      <c r="I640" s="118"/>
      <c r="J640" s="119"/>
      <c r="M640" s="118"/>
      <c r="N640" s="119"/>
      <c r="Q640" s="118"/>
      <c r="R640" s="119"/>
      <c r="U640" s="118"/>
      <c r="V640" s="119"/>
    </row>
    <row r="641" spans="1:22" x14ac:dyDescent="0.3">
      <c r="A641" s="118"/>
      <c r="B641" s="119"/>
      <c r="E641" s="118"/>
      <c r="F641" s="119"/>
      <c r="I641" s="118"/>
      <c r="J641" s="119"/>
      <c r="M641" s="118"/>
      <c r="N641" s="119"/>
      <c r="Q641" s="118"/>
      <c r="R641" s="119"/>
      <c r="U641" s="118"/>
      <c r="V641" s="119"/>
    </row>
    <row r="642" spans="1:22" x14ac:dyDescent="0.3">
      <c r="A642" s="118"/>
      <c r="B642" s="119"/>
      <c r="E642" s="118"/>
      <c r="F642" s="119"/>
      <c r="I642" s="118"/>
      <c r="J642" s="119"/>
      <c r="M642" s="118"/>
      <c r="N642" s="119"/>
      <c r="Q642" s="118"/>
      <c r="R642" s="119"/>
      <c r="U642" s="118"/>
      <c r="V642" s="119"/>
    </row>
    <row r="643" spans="1:22" x14ac:dyDescent="0.3">
      <c r="A643" s="118"/>
      <c r="B643" s="119"/>
      <c r="E643" s="118"/>
      <c r="F643" s="119"/>
      <c r="I643" s="118"/>
      <c r="J643" s="119"/>
      <c r="M643" s="118"/>
      <c r="N643" s="119"/>
      <c r="Q643" s="118"/>
      <c r="R643" s="119"/>
      <c r="U643" s="118"/>
      <c r="V643" s="119"/>
    </row>
    <row r="644" spans="1:22" x14ac:dyDescent="0.3">
      <c r="A644" s="118"/>
      <c r="B644" s="119"/>
      <c r="E644" s="118"/>
      <c r="F644" s="119"/>
      <c r="I644" s="118"/>
      <c r="J644" s="119"/>
      <c r="M644" s="118"/>
      <c r="N644" s="119"/>
      <c r="Q644" s="118"/>
      <c r="R644" s="119"/>
      <c r="U644" s="118"/>
      <c r="V644" s="119"/>
    </row>
    <row r="645" spans="1:22" x14ac:dyDescent="0.3">
      <c r="A645" s="118"/>
      <c r="B645" s="119"/>
      <c r="E645" s="118"/>
      <c r="F645" s="119"/>
      <c r="I645" s="118"/>
      <c r="J645" s="119"/>
      <c r="M645" s="118"/>
      <c r="N645" s="119"/>
      <c r="Q645" s="118"/>
      <c r="R645" s="119"/>
      <c r="U645" s="118"/>
      <c r="V645" s="119"/>
    </row>
    <row r="646" spans="1:22" x14ac:dyDescent="0.3">
      <c r="A646" s="118"/>
      <c r="B646" s="119"/>
      <c r="E646" s="118"/>
      <c r="F646" s="119"/>
      <c r="I646" s="118"/>
      <c r="J646" s="119"/>
      <c r="M646" s="118"/>
      <c r="N646" s="119"/>
      <c r="Q646" s="118"/>
      <c r="R646" s="119"/>
      <c r="U646" s="118"/>
      <c r="V646" s="119"/>
    </row>
    <row r="647" spans="1:22" x14ac:dyDescent="0.3">
      <c r="A647" s="118"/>
      <c r="B647" s="119"/>
      <c r="E647" s="118"/>
      <c r="F647" s="119"/>
      <c r="I647" s="118"/>
      <c r="J647" s="119"/>
      <c r="M647" s="118"/>
      <c r="N647" s="119"/>
      <c r="Q647" s="118"/>
      <c r="R647" s="119"/>
      <c r="U647" s="118"/>
      <c r="V647" s="119"/>
    </row>
    <row r="648" spans="1:22" x14ac:dyDescent="0.3">
      <c r="A648" s="118"/>
      <c r="B648" s="119"/>
      <c r="E648" s="118"/>
      <c r="F648" s="119"/>
      <c r="I648" s="118"/>
      <c r="J648" s="119"/>
      <c r="M648" s="118"/>
      <c r="N648" s="119"/>
      <c r="Q648" s="118"/>
      <c r="R648" s="119"/>
      <c r="U648" s="118"/>
      <c r="V648" s="119"/>
    </row>
    <row r="649" spans="1:22" x14ac:dyDescent="0.3">
      <c r="A649" s="118"/>
      <c r="B649" s="119"/>
      <c r="E649" s="118"/>
      <c r="F649" s="119"/>
      <c r="I649" s="118"/>
      <c r="J649" s="119"/>
      <c r="M649" s="118"/>
      <c r="N649" s="119"/>
      <c r="Q649" s="118"/>
      <c r="R649" s="119"/>
      <c r="U649" s="118"/>
      <c r="V649" s="119"/>
    </row>
    <row r="650" spans="1:22" x14ac:dyDescent="0.3">
      <c r="A650" s="118"/>
      <c r="B650" s="119"/>
      <c r="E650" s="118"/>
      <c r="F650" s="119"/>
      <c r="I650" s="118"/>
      <c r="J650" s="119"/>
      <c r="M650" s="118"/>
      <c r="N650" s="119"/>
      <c r="Q650" s="118"/>
      <c r="R650" s="119"/>
      <c r="U650" s="118"/>
      <c r="V650" s="119"/>
    </row>
    <row r="651" spans="1:22" x14ac:dyDescent="0.3">
      <c r="A651" s="118"/>
      <c r="B651" s="119"/>
      <c r="E651" s="118"/>
      <c r="F651" s="119"/>
      <c r="I651" s="118"/>
      <c r="J651" s="119"/>
      <c r="M651" s="118"/>
      <c r="N651" s="119"/>
      <c r="Q651" s="118"/>
      <c r="R651" s="119"/>
      <c r="U651" s="118"/>
      <c r="V651" s="119"/>
    </row>
    <row r="652" spans="1:22" x14ac:dyDescent="0.3">
      <c r="A652" s="118"/>
      <c r="B652" s="119"/>
      <c r="E652" s="118"/>
      <c r="F652" s="119"/>
      <c r="I652" s="118"/>
      <c r="J652" s="119"/>
      <c r="M652" s="118"/>
      <c r="N652" s="119"/>
      <c r="Q652" s="118"/>
      <c r="R652" s="119"/>
      <c r="U652" s="118"/>
      <c r="V652" s="119"/>
    </row>
    <row r="653" spans="1:22" x14ac:dyDescent="0.3">
      <c r="A653" s="118"/>
      <c r="B653" s="119"/>
      <c r="E653" s="118"/>
      <c r="F653" s="119"/>
      <c r="I653" s="118"/>
      <c r="J653" s="119"/>
      <c r="M653" s="118"/>
      <c r="N653" s="119"/>
      <c r="Q653" s="118"/>
      <c r="R653" s="119"/>
      <c r="U653" s="118"/>
      <c r="V653" s="119"/>
    </row>
    <row r="654" spans="1:22" x14ac:dyDescent="0.3">
      <c r="A654" s="118"/>
      <c r="B654" s="119"/>
      <c r="E654" s="118"/>
      <c r="F654" s="119"/>
      <c r="I654" s="118"/>
      <c r="J654" s="119"/>
      <c r="M654" s="118"/>
      <c r="N654" s="119"/>
      <c r="Q654" s="118"/>
      <c r="R654" s="119"/>
      <c r="U654" s="118"/>
      <c r="V654" s="119"/>
    </row>
    <row r="655" spans="1:22" x14ac:dyDescent="0.3">
      <c r="A655" s="118"/>
      <c r="B655" s="119"/>
      <c r="E655" s="118"/>
      <c r="F655" s="119"/>
      <c r="I655" s="118"/>
      <c r="J655" s="119"/>
      <c r="M655" s="118"/>
      <c r="N655" s="119"/>
      <c r="Q655" s="118"/>
      <c r="R655" s="119"/>
      <c r="U655" s="118"/>
      <c r="V655" s="119"/>
    </row>
    <row r="656" spans="1:22" x14ac:dyDescent="0.3">
      <c r="A656" s="118"/>
      <c r="B656" s="119"/>
      <c r="E656" s="118"/>
      <c r="F656" s="119"/>
      <c r="I656" s="118"/>
      <c r="J656" s="119"/>
      <c r="M656" s="118"/>
      <c r="N656" s="119"/>
      <c r="Q656" s="118"/>
      <c r="R656" s="119"/>
      <c r="U656" s="118"/>
      <c r="V656" s="119"/>
    </row>
    <row r="657" spans="1:22" x14ac:dyDescent="0.3">
      <c r="A657" s="118"/>
      <c r="B657" s="119"/>
      <c r="E657" s="118"/>
      <c r="F657" s="119"/>
      <c r="I657" s="118"/>
      <c r="J657" s="119"/>
      <c r="M657" s="118"/>
      <c r="N657" s="119"/>
      <c r="Q657" s="118"/>
      <c r="R657" s="119"/>
      <c r="U657" s="118"/>
      <c r="V657" s="119"/>
    </row>
    <row r="658" spans="1:22" x14ac:dyDescent="0.3">
      <c r="A658" s="118"/>
      <c r="B658" s="119"/>
      <c r="E658" s="118"/>
      <c r="F658" s="119"/>
      <c r="I658" s="118"/>
      <c r="J658" s="119"/>
      <c r="M658" s="118"/>
      <c r="N658" s="119"/>
      <c r="Q658" s="118"/>
      <c r="R658" s="119"/>
      <c r="U658" s="118"/>
      <c r="V658" s="119"/>
    </row>
    <row r="659" spans="1:22" x14ac:dyDescent="0.3">
      <c r="A659" s="118"/>
      <c r="B659" s="119"/>
      <c r="E659" s="118"/>
      <c r="F659" s="119"/>
      <c r="I659" s="118"/>
      <c r="J659" s="119"/>
      <c r="M659" s="118"/>
      <c r="N659" s="119"/>
      <c r="Q659" s="118"/>
      <c r="R659" s="119"/>
      <c r="U659" s="118"/>
      <c r="V659" s="119"/>
    </row>
    <row r="660" spans="1:22" x14ac:dyDescent="0.3">
      <c r="A660" s="118"/>
      <c r="B660" s="119"/>
      <c r="E660" s="118"/>
      <c r="F660" s="119"/>
      <c r="I660" s="118"/>
      <c r="J660" s="119"/>
      <c r="M660" s="118"/>
      <c r="N660" s="119"/>
      <c r="Q660" s="118"/>
      <c r="R660" s="119"/>
      <c r="U660" s="118"/>
      <c r="V660" s="119"/>
    </row>
    <row r="661" spans="1:22" x14ac:dyDescent="0.3">
      <c r="A661" s="118"/>
      <c r="B661" s="119"/>
      <c r="E661" s="118"/>
      <c r="F661" s="119"/>
      <c r="I661" s="118"/>
      <c r="J661" s="119"/>
      <c r="M661" s="118"/>
      <c r="N661" s="119"/>
      <c r="Q661" s="118"/>
      <c r="R661" s="119"/>
      <c r="U661" s="118"/>
      <c r="V661" s="119"/>
    </row>
    <row r="662" spans="1:22" x14ac:dyDescent="0.3">
      <c r="A662" s="118"/>
      <c r="B662" s="119"/>
      <c r="E662" s="118"/>
      <c r="F662" s="119"/>
      <c r="I662" s="118"/>
      <c r="J662" s="119"/>
      <c r="M662" s="118"/>
      <c r="N662" s="119"/>
      <c r="Q662" s="118"/>
      <c r="R662" s="119"/>
      <c r="U662" s="118"/>
      <c r="V662" s="119"/>
    </row>
    <row r="663" spans="1:22" x14ac:dyDescent="0.3">
      <c r="A663" s="118"/>
      <c r="B663" s="119"/>
      <c r="E663" s="118"/>
      <c r="F663" s="119"/>
      <c r="I663" s="118"/>
      <c r="J663" s="119"/>
      <c r="M663" s="118"/>
      <c r="N663" s="119"/>
      <c r="Q663" s="118"/>
      <c r="R663" s="119"/>
      <c r="U663" s="118"/>
      <c r="V663" s="119"/>
    </row>
    <row r="664" spans="1:22" x14ac:dyDescent="0.3">
      <c r="A664" s="118"/>
      <c r="B664" s="119"/>
      <c r="E664" s="118"/>
      <c r="F664" s="119"/>
      <c r="I664" s="118"/>
      <c r="J664" s="119"/>
      <c r="M664" s="118"/>
      <c r="N664" s="119"/>
      <c r="Q664" s="118"/>
      <c r="R664" s="119"/>
      <c r="U664" s="118"/>
      <c r="V664" s="119"/>
    </row>
    <row r="665" spans="1:22" x14ac:dyDescent="0.3">
      <c r="A665" s="118"/>
      <c r="B665" s="119"/>
      <c r="E665" s="118"/>
      <c r="F665" s="119"/>
      <c r="I665" s="118"/>
      <c r="J665" s="119"/>
      <c r="M665" s="118"/>
      <c r="N665" s="119"/>
      <c r="Q665" s="118"/>
      <c r="R665" s="119"/>
      <c r="U665" s="118"/>
      <c r="V665" s="119"/>
    </row>
    <row r="666" spans="1:22" x14ac:dyDescent="0.3">
      <c r="A666" s="118"/>
      <c r="B666" s="119"/>
      <c r="E666" s="118"/>
      <c r="F666" s="119"/>
      <c r="I666" s="118"/>
      <c r="J666" s="119"/>
      <c r="M666" s="118"/>
      <c r="N666" s="119"/>
      <c r="Q666" s="118"/>
      <c r="R666" s="119"/>
      <c r="U666" s="118"/>
      <c r="V666" s="119"/>
    </row>
    <row r="667" spans="1:22" x14ac:dyDescent="0.3">
      <c r="A667" s="118"/>
      <c r="B667" s="119"/>
      <c r="E667" s="118"/>
      <c r="F667" s="119"/>
      <c r="I667" s="118"/>
      <c r="J667" s="119"/>
      <c r="M667" s="118"/>
      <c r="N667" s="119"/>
      <c r="Q667" s="118"/>
      <c r="R667" s="119"/>
      <c r="U667" s="118"/>
      <c r="V667" s="119"/>
    </row>
    <row r="668" spans="1:22" x14ac:dyDescent="0.3">
      <c r="A668" s="118"/>
      <c r="B668" s="119"/>
      <c r="E668" s="118"/>
      <c r="F668" s="119"/>
      <c r="I668" s="118"/>
      <c r="J668" s="119"/>
      <c r="M668" s="118"/>
      <c r="N668" s="119"/>
      <c r="Q668" s="118"/>
      <c r="R668" s="119"/>
      <c r="U668" s="118"/>
      <c r="V668" s="119"/>
    </row>
    <row r="669" spans="1:22" x14ac:dyDescent="0.3">
      <c r="A669" s="118"/>
      <c r="B669" s="119"/>
      <c r="E669" s="118"/>
      <c r="F669" s="119"/>
      <c r="I669" s="118"/>
      <c r="J669" s="119"/>
      <c r="M669" s="118"/>
      <c r="N669" s="119"/>
      <c r="Q669" s="118"/>
      <c r="R669" s="119"/>
      <c r="U669" s="118"/>
      <c r="V669" s="119"/>
    </row>
    <row r="670" spans="1:22" x14ac:dyDescent="0.3">
      <c r="A670" s="118"/>
      <c r="B670" s="119"/>
      <c r="E670" s="118"/>
      <c r="F670" s="119"/>
      <c r="I670" s="118"/>
      <c r="J670" s="119"/>
      <c r="M670" s="118"/>
      <c r="N670" s="119"/>
      <c r="Q670" s="118"/>
      <c r="R670" s="119"/>
      <c r="U670" s="118"/>
      <c r="V670" s="119"/>
    </row>
    <row r="671" spans="1:22" x14ac:dyDescent="0.3">
      <c r="A671" s="118"/>
      <c r="B671" s="119"/>
      <c r="E671" s="118"/>
      <c r="F671" s="119"/>
      <c r="I671" s="118"/>
      <c r="J671" s="119"/>
      <c r="M671" s="118"/>
      <c r="N671" s="119"/>
      <c r="Q671" s="118"/>
      <c r="R671" s="119"/>
      <c r="U671" s="118"/>
      <c r="V671" s="119"/>
    </row>
    <row r="672" spans="1:22" x14ac:dyDescent="0.3">
      <c r="A672" s="118"/>
      <c r="B672" s="119"/>
      <c r="E672" s="118"/>
      <c r="F672" s="119"/>
      <c r="I672" s="118"/>
      <c r="J672" s="119"/>
      <c r="M672" s="118"/>
      <c r="N672" s="119"/>
      <c r="Q672" s="118"/>
      <c r="R672" s="119"/>
      <c r="U672" s="118"/>
      <c r="V672" s="119"/>
    </row>
    <row r="673" spans="1:22" x14ac:dyDescent="0.3">
      <c r="A673" s="118"/>
      <c r="B673" s="119"/>
      <c r="E673" s="118"/>
      <c r="F673" s="119"/>
      <c r="I673" s="118"/>
      <c r="J673" s="119"/>
      <c r="M673" s="118"/>
      <c r="N673" s="119"/>
      <c r="Q673" s="118"/>
      <c r="R673" s="119"/>
      <c r="U673" s="118"/>
      <c r="V673" s="119"/>
    </row>
    <row r="674" spans="1:22" x14ac:dyDescent="0.3">
      <c r="A674" s="118"/>
      <c r="B674" s="119"/>
      <c r="E674" s="118"/>
      <c r="F674" s="119"/>
      <c r="I674" s="118"/>
      <c r="J674" s="119"/>
      <c r="M674" s="118"/>
      <c r="N674" s="119"/>
      <c r="Q674" s="118"/>
      <c r="R674" s="119"/>
      <c r="U674" s="118"/>
      <c r="V674" s="119"/>
    </row>
    <row r="675" spans="1:22" x14ac:dyDescent="0.3">
      <c r="A675" s="118"/>
      <c r="B675" s="119"/>
      <c r="E675" s="118"/>
      <c r="F675" s="119"/>
      <c r="I675" s="118"/>
      <c r="J675" s="119"/>
      <c r="M675" s="118"/>
      <c r="N675" s="119"/>
      <c r="Q675" s="118"/>
      <c r="R675" s="119"/>
      <c r="U675" s="118"/>
      <c r="V675" s="119"/>
    </row>
    <row r="676" spans="1:22" x14ac:dyDescent="0.3">
      <c r="A676" s="118"/>
      <c r="B676" s="119"/>
      <c r="E676" s="118"/>
      <c r="F676" s="119"/>
      <c r="I676" s="118"/>
      <c r="J676" s="119"/>
      <c r="M676" s="118"/>
      <c r="N676" s="119"/>
      <c r="Q676" s="118"/>
      <c r="R676" s="119"/>
      <c r="U676" s="118"/>
      <c r="V676" s="119"/>
    </row>
    <row r="677" spans="1:22" x14ac:dyDescent="0.3">
      <c r="A677" s="118"/>
      <c r="B677" s="119"/>
      <c r="E677" s="118"/>
      <c r="F677" s="119"/>
      <c r="I677" s="118"/>
      <c r="J677" s="119"/>
      <c r="M677" s="118"/>
      <c r="N677" s="119"/>
      <c r="Q677" s="118"/>
      <c r="R677" s="119"/>
      <c r="U677" s="118"/>
      <c r="V677" s="119"/>
    </row>
    <row r="678" spans="1:22" x14ac:dyDescent="0.3">
      <c r="A678" s="118"/>
      <c r="B678" s="119"/>
      <c r="E678" s="118"/>
      <c r="F678" s="119"/>
      <c r="I678" s="118"/>
      <c r="J678" s="119"/>
      <c r="M678" s="118"/>
      <c r="N678" s="119"/>
      <c r="Q678" s="118"/>
      <c r="R678" s="119"/>
      <c r="U678" s="118"/>
      <c r="V678" s="119"/>
    </row>
    <row r="679" spans="1:22" x14ac:dyDescent="0.3">
      <c r="A679" s="118"/>
      <c r="B679" s="119"/>
      <c r="E679" s="118"/>
      <c r="F679" s="119"/>
      <c r="I679" s="118"/>
      <c r="J679" s="119"/>
      <c r="M679" s="118"/>
      <c r="N679" s="119"/>
      <c r="Q679" s="118"/>
      <c r="R679" s="119"/>
      <c r="U679" s="118"/>
      <c r="V679" s="119"/>
    </row>
    <row r="680" spans="1:22" x14ac:dyDescent="0.3">
      <c r="A680" s="118"/>
      <c r="B680" s="119"/>
      <c r="E680" s="118"/>
      <c r="F680" s="119"/>
      <c r="I680" s="118"/>
      <c r="J680" s="119"/>
      <c r="M680" s="118"/>
      <c r="N680" s="119"/>
      <c r="Q680" s="118"/>
      <c r="R680" s="119"/>
      <c r="U680" s="118"/>
      <c r="V680" s="119"/>
    </row>
    <row r="681" spans="1:22" x14ac:dyDescent="0.3">
      <c r="A681" s="118"/>
      <c r="B681" s="119"/>
      <c r="E681" s="118"/>
      <c r="F681" s="119"/>
      <c r="I681" s="118"/>
      <c r="J681" s="119"/>
      <c r="M681" s="118"/>
      <c r="N681" s="119"/>
      <c r="Q681" s="118"/>
      <c r="R681" s="119"/>
      <c r="U681" s="118"/>
      <c r="V681" s="119"/>
    </row>
    <row r="682" spans="1:22" x14ac:dyDescent="0.3">
      <c r="A682" s="118"/>
      <c r="B682" s="119"/>
      <c r="E682" s="118"/>
      <c r="F682" s="119"/>
      <c r="I682" s="118"/>
      <c r="J682" s="119"/>
      <c r="M682" s="118"/>
      <c r="N682" s="119"/>
      <c r="Q682" s="118"/>
      <c r="R682" s="119"/>
      <c r="U682" s="118"/>
      <c r="V682" s="119"/>
    </row>
    <row r="683" spans="1:22" x14ac:dyDescent="0.3">
      <c r="A683" s="118"/>
      <c r="B683" s="119"/>
      <c r="E683" s="118"/>
      <c r="F683" s="119"/>
      <c r="I683" s="118"/>
      <c r="J683" s="119"/>
      <c r="M683" s="118"/>
      <c r="N683" s="119"/>
      <c r="Q683" s="118"/>
      <c r="R683" s="119"/>
      <c r="U683" s="118"/>
      <c r="V683" s="119"/>
    </row>
    <row r="684" spans="1:22" x14ac:dyDescent="0.3">
      <c r="A684" s="118"/>
      <c r="B684" s="119"/>
      <c r="E684" s="118"/>
      <c r="F684" s="119"/>
      <c r="I684" s="118"/>
      <c r="J684" s="119"/>
      <c r="M684" s="118"/>
      <c r="N684" s="119"/>
      <c r="Q684" s="118"/>
      <c r="R684" s="119"/>
      <c r="U684" s="118"/>
      <c r="V684" s="119"/>
    </row>
    <row r="685" spans="1:22" x14ac:dyDescent="0.3">
      <c r="A685" s="118"/>
      <c r="B685" s="119"/>
      <c r="E685" s="118"/>
      <c r="F685" s="119"/>
      <c r="I685" s="118"/>
      <c r="J685" s="119"/>
      <c r="M685" s="118"/>
      <c r="N685" s="119"/>
      <c r="Q685" s="118"/>
      <c r="R685" s="119"/>
      <c r="U685" s="118"/>
      <c r="V685" s="119"/>
    </row>
    <row r="686" spans="1:22" x14ac:dyDescent="0.3">
      <c r="A686" s="118"/>
      <c r="B686" s="119"/>
      <c r="E686" s="118"/>
      <c r="F686" s="119"/>
      <c r="I686" s="118"/>
      <c r="J686" s="119"/>
      <c r="M686" s="118"/>
      <c r="N686" s="119"/>
      <c r="Q686" s="118"/>
      <c r="R686" s="119"/>
      <c r="U686" s="118"/>
      <c r="V686" s="119"/>
    </row>
    <row r="687" spans="1:22" x14ac:dyDescent="0.3">
      <c r="A687" s="118"/>
      <c r="B687" s="119"/>
      <c r="E687" s="118"/>
      <c r="F687" s="119"/>
      <c r="I687" s="118"/>
      <c r="J687" s="119"/>
      <c r="M687" s="118"/>
      <c r="N687" s="119"/>
      <c r="Q687" s="118"/>
      <c r="R687" s="119"/>
      <c r="U687" s="118"/>
      <c r="V687" s="119"/>
    </row>
    <row r="688" spans="1:22" x14ac:dyDescent="0.3">
      <c r="A688" s="118"/>
      <c r="B688" s="119"/>
      <c r="E688" s="118"/>
      <c r="F688" s="119"/>
      <c r="I688" s="118"/>
      <c r="J688" s="119"/>
      <c r="M688" s="118"/>
      <c r="N688" s="119"/>
      <c r="Q688" s="118"/>
      <c r="R688" s="119"/>
      <c r="U688" s="118"/>
      <c r="V688" s="119"/>
    </row>
    <row r="689" spans="1:22" x14ac:dyDescent="0.3">
      <c r="A689" s="118"/>
      <c r="B689" s="119"/>
      <c r="E689" s="118"/>
      <c r="F689" s="119"/>
      <c r="I689" s="118"/>
      <c r="J689" s="119"/>
      <c r="M689" s="118"/>
      <c r="N689" s="119"/>
      <c r="Q689" s="118"/>
      <c r="R689" s="119"/>
      <c r="U689" s="118"/>
      <c r="V689" s="119"/>
    </row>
    <row r="690" spans="1:22" x14ac:dyDescent="0.3">
      <c r="A690" s="118"/>
      <c r="B690" s="119"/>
      <c r="E690" s="118"/>
      <c r="F690" s="119"/>
      <c r="I690" s="118"/>
      <c r="J690" s="119"/>
      <c r="M690" s="118"/>
      <c r="N690" s="119"/>
      <c r="Q690" s="118"/>
      <c r="R690" s="119"/>
      <c r="U690" s="118"/>
      <c r="V690" s="119"/>
    </row>
    <row r="691" spans="1:22" x14ac:dyDescent="0.3">
      <c r="A691" s="118"/>
      <c r="B691" s="119"/>
      <c r="E691" s="118"/>
      <c r="F691" s="119"/>
      <c r="I691" s="118"/>
      <c r="J691" s="119"/>
      <c r="M691" s="118"/>
      <c r="N691" s="119"/>
      <c r="Q691" s="118"/>
      <c r="R691" s="119"/>
      <c r="U691" s="118"/>
      <c r="V691" s="119"/>
    </row>
    <row r="692" spans="1:22" x14ac:dyDescent="0.3">
      <c r="A692" s="118"/>
      <c r="B692" s="119"/>
      <c r="E692" s="118"/>
      <c r="F692" s="119"/>
      <c r="I692" s="118"/>
      <c r="J692" s="119"/>
      <c r="M692" s="118"/>
      <c r="N692" s="119"/>
      <c r="Q692" s="118"/>
      <c r="R692" s="119"/>
      <c r="U692" s="118"/>
      <c r="V692" s="119"/>
    </row>
    <row r="693" spans="1:22" x14ac:dyDescent="0.3">
      <c r="A693" s="118"/>
      <c r="B693" s="119"/>
      <c r="E693" s="118"/>
      <c r="F693" s="119"/>
      <c r="I693" s="118"/>
      <c r="J693" s="119"/>
      <c r="M693" s="118"/>
      <c r="N693" s="119"/>
      <c r="Q693" s="118"/>
      <c r="R693" s="119"/>
      <c r="U693" s="118"/>
      <c r="V693" s="119"/>
    </row>
    <row r="694" spans="1:22" x14ac:dyDescent="0.3">
      <c r="A694" s="118"/>
      <c r="B694" s="119"/>
      <c r="E694" s="118"/>
      <c r="F694" s="119"/>
      <c r="I694" s="118"/>
      <c r="J694" s="119"/>
      <c r="M694" s="118"/>
      <c r="N694" s="119"/>
      <c r="Q694" s="118"/>
      <c r="R694" s="119"/>
      <c r="U694" s="118"/>
      <c r="V694" s="119"/>
    </row>
    <row r="695" spans="1:22" x14ac:dyDescent="0.3">
      <c r="A695" s="118"/>
      <c r="B695" s="119"/>
      <c r="E695" s="118"/>
      <c r="F695" s="119"/>
      <c r="I695" s="118"/>
      <c r="J695" s="119"/>
      <c r="M695" s="118"/>
      <c r="N695" s="119"/>
      <c r="Q695" s="118"/>
      <c r="R695" s="119"/>
      <c r="U695" s="118"/>
      <c r="V695" s="119"/>
    </row>
    <row r="696" spans="1:22" x14ac:dyDescent="0.3">
      <c r="A696" s="118"/>
      <c r="B696" s="119"/>
      <c r="E696" s="118"/>
      <c r="F696" s="119"/>
      <c r="I696" s="118"/>
      <c r="J696" s="119"/>
      <c r="M696" s="118"/>
      <c r="N696" s="119"/>
      <c r="Q696" s="118"/>
      <c r="R696" s="119"/>
      <c r="U696" s="118"/>
      <c r="V696" s="119"/>
    </row>
    <row r="697" spans="1:22" x14ac:dyDescent="0.3">
      <c r="A697" s="118"/>
      <c r="B697" s="119"/>
      <c r="E697" s="118"/>
      <c r="F697" s="119"/>
      <c r="I697" s="118"/>
      <c r="J697" s="119"/>
      <c r="M697" s="118"/>
      <c r="N697" s="119"/>
      <c r="Q697" s="118"/>
      <c r="R697" s="119"/>
      <c r="U697" s="118"/>
      <c r="V697" s="119"/>
    </row>
    <row r="698" spans="1:22" x14ac:dyDescent="0.3">
      <c r="A698" s="118"/>
      <c r="B698" s="119"/>
      <c r="E698" s="118"/>
      <c r="F698" s="119"/>
      <c r="I698" s="118"/>
      <c r="J698" s="119"/>
      <c r="M698" s="118"/>
      <c r="N698" s="119"/>
      <c r="Q698" s="118"/>
      <c r="R698" s="119"/>
      <c r="U698" s="118"/>
      <c r="V698" s="119"/>
    </row>
    <row r="699" spans="1:22" x14ac:dyDescent="0.3">
      <c r="A699" s="118"/>
      <c r="B699" s="119"/>
      <c r="E699" s="118"/>
      <c r="F699" s="119"/>
      <c r="I699" s="118"/>
      <c r="J699" s="119"/>
      <c r="M699" s="118"/>
      <c r="N699" s="119"/>
      <c r="Q699" s="118"/>
      <c r="R699" s="119"/>
      <c r="U699" s="118"/>
      <c r="V699" s="119"/>
    </row>
    <row r="700" spans="1:22" x14ac:dyDescent="0.3">
      <c r="A700" s="118"/>
      <c r="B700" s="119"/>
      <c r="E700" s="118"/>
      <c r="F700" s="119"/>
      <c r="I700" s="118"/>
      <c r="J700" s="119"/>
      <c r="M700" s="118"/>
      <c r="N700" s="119"/>
      <c r="Q700" s="118"/>
      <c r="R700" s="119"/>
      <c r="U700" s="118"/>
      <c r="V700" s="119"/>
    </row>
    <row r="701" spans="1:22" x14ac:dyDescent="0.3">
      <c r="A701" s="118"/>
      <c r="B701" s="119"/>
      <c r="E701" s="118"/>
      <c r="F701" s="119"/>
      <c r="I701" s="118"/>
      <c r="J701" s="119"/>
      <c r="M701" s="118"/>
      <c r="N701" s="119"/>
      <c r="Q701" s="118"/>
      <c r="R701" s="119"/>
      <c r="U701" s="118"/>
      <c r="V701" s="119"/>
    </row>
    <row r="702" spans="1:22" x14ac:dyDescent="0.3">
      <c r="A702" s="118"/>
      <c r="B702" s="119"/>
      <c r="E702" s="118"/>
      <c r="F702" s="119"/>
      <c r="I702" s="118"/>
      <c r="J702" s="119"/>
      <c r="M702" s="118"/>
      <c r="N702" s="119"/>
      <c r="Q702" s="118"/>
      <c r="R702" s="119"/>
      <c r="U702" s="118"/>
      <c r="V702" s="119"/>
    </row>
    <row r="703" spans="1:22" x14ac:dyDescent="0.3">
      <c r="A703" s="118"/>
      <c r="B703" s="119"/>
      <c r="E703" s="118"/>
      <c r="F703" s="119"/>
      <c r="I703" s="118"/>
      <c r="J703" s="119"/>
      <c r="M703" s="118"/>
      <c r="N703" s="119"/>
      <c r="Q703" s="118"/>
      <c r="R703" s="119"/>
      <c r="U703" s="118"/>
      <c r="V703" s="119"/>
    </row>
    <row r="704" spans="1:22" x14ac:dyDescent="0.3">
      <c r="A704" s="118"/>
      <c r="B704" s="119"/>
      <c r="E704" s="118"/>
      <c r="F704" s="119"/>
      <c r="I704" s="118"/>
      <c r="J704" s="119"/>
      <c r="M704" s="118"/>
      <c r="N704" s="119"/>
      <c r="Q704" s="118"/>
      <c r="R704" s="119"/>
      <c r="U704" s="118"/>
      <c r="V704" s="119"/>
    </row>
    <row r="705" spans="1:22" x14ac:dyDescent="0.3">
      <c r="A705" s="118"/>
      <c r="B705" s="119"/>
      <c r="E705" s="118"/>
      <c r="F705" s="119"/>
      <c r="I705" s="118"/>
      <c r="J705" s="119"/>
      <c r="M705" s="118"/>
      <c r="N705" s="119"/>
      <c r="Q705" s="118"/>
      <c r="R705" s="119"/>
      <c r="U705" s="118"/>
      <c r="V705" s="119"/>
    </row>
    <row r="706" spans="1:22" x14ac:dyDescent="0.3">
      <c r="A706" s="118"/>
      <c r="B706" s="119"/>
      <c r="E706" s="118"/>
      <c r="F706" s="119"/>
      <c r="I706" s="118"/>
      <c r="J706" s="119"/>
      <c r="M706" s="118"/>
      <c r="N706" s="119"/>
      <c r="Q706" s="118"/>
      <c r="R706" s="119"/>
      <c r="U706" s="118"/>
      <c r="V706" s="119"/>
    </row>
    <row r="707" spans="1:22" x14ac:dyDescent="0.3">
      <c r="A707" s="118"/>
      <c r="B707" s="119"/>
      <c r="E707" s="118"/>
      <c r="F707" s="119"/>
      <c r="I707" s="118"/>
      <c r="J707" s="119"/>
      <c r="M707" s="118"/>
      <c r="N707" s="119"/>
      <c r="Q707" s="118"/>
      <c r="R707" s="119"/>
      <c r="U707" s="118"/>
      <c r="V707" s="119"/>
    </row>
    <row r="708" spans="1:22" x14ac:dyDescent="0.3">
      <c r="A708" s="118"/>
      <c r="B708" s="119"/>
      <c r="E708" s="118"/>
      <c r="F708" s="119"/>
      <c r="I708" s="118"/>
      <c r="J708" s="119"/>
      <c r="M708" s="118"/>
      <c r="N708" s="119"/>
      <c r="Q708" s="118"/>
      <c r="R708" s="119"/>
      <c r="U708" s="118"/>
      <c r="V708" s="119"/>
    </row>
    <row r="709" spans="1:22" x14ac:dyDescent="0.3">
      <c r="A709" s="118"/>
      <c r="B709" s="119"/>
      <c r="E709" s="118"/>
      <c r="F709" s="119"/>
      <c r="I709" s="118"/>
      <c r="J709" s="119"/>
      <c r="M709" s="118"/>
      <c r="N709" s="119"/>
      <c r="Q709" s="118"/>
      <c r="R709" s="119"/>
      <c r="U709" s="118"/>
      <c r="V709" s="119"/>
    </row>
    <row r="710" spans="1:22" x14ac:dyDescent="0.3">
      <c r="A710" s="118"/>
      <c r="B710" s="119"/>
      <c r="E710" s="118"/>
      <c r="F710" s="119"/>
      <c r="I710" s="118"/>
      <c r="J710" s="119"/>
      <c r="M710" s="118"/>
      <c r="N710" s="119"/>
      <c r="Q710" s="118"/>
      <c r="R710" s="119"/>
      <c r="U710" s="118"/>
      <c r="V710" s="119"/>
    </row>
    <row r="711" spans="1:22" x14ac:dyDescent="0.3">
      <c r="A711" s="118"/>
      <c r="B711" s="119"/>
      <c r="E711" s="118"/>
      <c r="F711" s="119"/>
      <c r="I711" s="118"/>
      <c r="J711" s="119"/>
      <c r="M711" s="118"/>
      <c r="N711" s="119"/>
      <c r="Q711" s="118"/>
      <c r="R711" s="119"/>
      <c r="U711" s="118"/>
      <c r="V711" s="119"/>
    </row>
    <row r="712" spans="1:22" x14ac:dyDescent="0.3">
      <c r="A712" s="118"/>
      <c r="B712" s="119"/>
      <c r="E712" s="118"/>
      <c r="F712" s="119"/>
      <c r="I712" s="118"/>
      <c r="J712" s="119"/>
      <c r="M712" s="118"/>
      <c r="N712" s="119"/>
      <c r="Q712" s="118"/>
      <c r="R712" s="119"/>
      <c r="U712" s="118"/>
      <c r="V712" s="119"/>
    </row>
    <row r="713" spans="1:22" x14ac:dyDescent="0.3">
      <c r="A713" s="118"/>
      <c r="B713" s="119"/>
      <c r="E713" s="118"/>
      <c r="F713" s="119"/>
      <c r="I713" s="118"/>
      <c r="J713" s="119"/>
      <c r="M713" s="118"/>
      <c r="N713" s="119"/>
      <c r="Q713" s="118"/>
      <c r="R713" s="119"/>
      <c r="U713" s="118"/>
      <c r="V713" s="119"/>
    </row>
    <row r="714" spans="1:22" x14ac:dyDescent="0.3">
      <c r="A714" s="118"/>
      <c r="B714" s="119"/>
      <c r="E714" s="118"/>
      <c r="F714" s="119"/>
      <c r="I714" s="118"/>
      <c r="J714" s="119"/>
      <c r="M714" s="118"/>
      <c r="N714" s="119"/>
      <c r="Q714" s="118"/>
      <c r="R714" s="119"/>
      <c r="U714" s="118"/>
      <c r="V714" s="119"/>
    </row>
    <row r="715" spans="1:22" x14ac:dyDescent="0.3">
      <c r="A715" s="118"/>
      <c r="B715" s="119"/>
      <c r="E715" s="118"/>
      <c r="F715" s="119"/>
      <c r="I715" s="118"/>
      <c r="J715" s="119"/>
      <c r="M715" s="118"/>
      <c r="N715" s="119"/>
      <c r="Q715" s="118"/>
      <c r="R715" s="119"/>
      <c r="U715" s="118"/>
      <c r="V715" s="119"/>
    </row>
    <row r="716" spans="1:22" x14ac:dyDescent="0.3">
      <c r="A716" s="118"/>
      <c r="B716" s="119"/>
      <c r="E716" s="118"/>
      <c r="F716" s="119"/>
      <c r="I716" s="118"/>
      <c r="J716" s="119"/>
      <c r="M716" s="118"/>
      <c r="N716" s="119"/>
      <c r="Q716" s="118"/>
      <c r="R716" s="119"/>
      <c r="U716" s="118"/>
      <c r="V716" s="119"/>
    </row>
    <row r="717" spans="1:22" x14ac:dyDescent="0.3">
      <c r="A717" s="118"/>
      <c r="B717" s="119"/>
      <c r="E717" s="118"/>
      <c r="F717" s="119"/>
      <c r="I717" s="118"/>
      <c r="J717" s="119"/>
      <c r="M717" s="118"/>
      <c r="N717" s="119"/>
      <c r="Q717" s="118"/>
      <c r="R717" s="119"/>
      <c r="U717" s="118"/>
      <c r="V717" s="119"/>
    </row>
    <row r="718" spans="1:22" x14ac:dyDescent="0.3">
      <c r="A718" s="118"/>
      <c r="B718" s="119"/>
      <c r="E718" s="118"/>
      <c r="F718" s="119"/>
      <c r="I718" s="118"/>
      <c r="J718" s="119"/>
      <c r="M718" s="118"/>
      <c r="N718" s="119"/>
      <c r="Q718" s="118"/>
      <c r="R718" s="119"/>
      <c r="U718" s="118"/>
      <c r="V718" s="119"/>
    </row>
    <row r="719" spans="1:22" x14ac:dyDescent="0.3">
      <c r="A719" s="118"/>
      <c r="B719" s="119"/>
      <c r="E719" s="118"/>
      <c r="F719" s="119"/>
      <c r="I719" s="118"/>
      <c r="J719" s="119"/>
      <c r="M719" s="118"/>
      <c r="N719" s="119"/>
      <c r="Q719" s="118"/>
      <c r="R719" s="119"/>
      <c r="U719" s="118"/>
      <c r="V719" s="119"/>
    </row>
    <row r="720" spans="1:22" x14ac:dyDescent="0.3">
      <c r="A720" s="118"/>
      <c r="B720" s="119"/>
      <c r="E720" s="118"/>
      <c r="F720" s="119"/>
      <c r="I720" s="118"/>
      <c r="J720" s="119"/>
      <c r="M720" s="118"/>
      <c r="N720" s="119"/>
      <c r="Q720" s="118"/>
      <c r="R720" s="119"/>
      <c r="U720" s="118"/>
      <c r="V720" s="119"/>
    </row>
    <row r="721" spans="1:22" x14ac:dyDescent="0.3">
      <c r="A721" s="118"/>
      <c r="B721" s="119"/>
      <c r="E721" s="118"/>
      <c r="F721" s="119"/>
      <c r="I721" s="118"/>
      <c r="J721" s="119"/>
      <c r="M721" s="118"/>
      <c r="N721" s="119"/>
      <c r="Q721" s="118"/>
      <c r="R721" s="119"/>
      <c r="U721" s="118"/>
      <c r="V721" s="119"/>
    </row>
    <row r="722" spans="1:22" x14ac:dyDescent="0.3">
      <c r="A722" s="118"/>
      <c r="B722" s="119"/>
      <c r="E722" s="118"/>
      <c r="F722" s="119"/>
      <c r="I722" s="118"/>
      <c r="J722" s="119"/>
      <c r="M722" s="118"/>
      <c r="N722" s="119"/>
      <c r="Q722" s="118"/>
      <c r="R722" s="119"/>
      <c r="U722" s="118"/>
      <c r="V722" s="119"/>
    </row>
    <row r="723" spans="1:22" x14ac:dyDescent="0.3">
      <c r="A723" s="118"/>
      <c r="B723" s="119"/>
      <c r="E723" s="118"/>
      <c r="F723" s="119"/>
      <c r="I723" s="118"/>
      <c r="J723" s="119"/>
      <c r="M723" s="118"/>
      <c r="N723" s="119"/>
      <c r="Q723" s="118"/>
      <c r="R723" s="119"/>
      <c r="U723" s="118"/>
      <c r="V723" s="119"/>
    </row>
    <row r="724" spans="1:22" x14ac:dyDescent="0.3">
      <c r="A724" s="118"/>
      <c r="B724" s="119"/>
      <c r="E724" s="118"/>
      <c r="F724" s="119"/>
      <c r="I724" s="118"/>
      <c r="J724" s="119"/>
      <c r="M724" s="118"/>
      <c r="N724" s="119"/>
      <c r="Q724" s="118"/>
      <c r="R724" s="119"/>
      <c r="U724" s="118"/>
      <c r="V724" s="119"/>
    </row>
    <row r="725" spans="1:22" x14ac:dyDescent="0.3">
      <c r="A725" s="118"/>
      <c r="B725" s="119"/>
      <c r="E725" s="118"/>
      <c r="F725" s="119"/>
      <c r="I725" s="118"/>
      <c r="J725" s="119"/>
      <c r="M725" s="118"/>
      <c r="N725" s="119"/>
      <c r="Q725" s="118"/>
      <c r="R725" s="119"/>
      <c r="U725" s="118"/>
      <c r="V725" s="119"/>
    </row>
    <row r="726" spans="1:22" x14ac:dyDescent="0.3">
      <c r="A726" s="118"/>
      <c r="B726" s="119"/>
      <c r="E726" s="118"/>
      <c r="F726" s="119"/>
      <c r="I726" s="118"/>
      <c r="J726" s="119"/>
      <c r="M726" s="118"/>
      <c r="N726" s="119"/>
      <c r="Q726" s="118"/>
      <c r="R726" s="119"/>
      <c r="U726" s="118"/>
      <c r="V726" s="119"/>
    </row>
    <row r="727" spans="1:22" x14ac:dyDescent="0.3">
      <c r="A727" s="118"/>
      <c r="B727" s="119"/>
      <c r="E727" s="118"/>
      <c r="F727" s="119"/>
      <c r="I727" s="118"/>
      <c r="J727" s="119"/>
      <c r="M727" s="118"/>
      <c r="N727" s="119"/>
      <c r="Q727" s="118"/>
      <c r="R727" s="119"/>
      <c r="U727" s="118"/>
      <c r="V727" s="119"/>
    </row>
    <row r="728" spans="1:22" x14ac:dyDescent="0.3">
      <c r="A728" s="118"/>
      <c r="B728" s="119"/>
      <c r="E728" s="118"/>
      <c r="F728" s="119"/>
      <c r="I728" s="118"/>
      <c r="J728" s="119"/>
      <c r="M728" s="118"/>
      <c r="N728" s="119"/>
      <c r="Q728" s="118"/>
      <c r="R728" s="119"/>
      <c r="U728" s="118"/>
      <c r="V728" s="119"/>
    </row>
    <row r="729" spans="1:22" x14ac:dyDescent="0.3">
      <c r="A729" s="118"/>
      <c r="B729" s="119"/>
      <c r="E729" s="118"/>
      <c r="F729" s="119"/>
      <c r="I729" s="118"/>
      <c r="J729" s="119"/>
      <c r="M729" s="118"/>
      <c r="N729" s="119"/>
      <c r="Q729" s="118"/>
      <c r="R729" s="119"/>
      <c r="U729" s="118"/>
      <c r="V729" s="119"/>
    </row>
    <row r="730" spans="1:22" x14ac:dyDescent="0.3">
      <c r="A730" s="118"/>
      <c r="B730" s="119"/>
      <c r="E730" s="118"/>
      <c r="F730" s="119"/>
      <c r="I730" s="118"/>
      <c r="J730" s="119"/>
      <c r="M730" s="118"/>
      <c r="N730" s="119"/>
      <c r="Q730" s="118"/>
      <c r="R730" s="119"/>
      <c r="U730" s="118"/>
      <c r="V730" s="119"/>
    </row>
    <row r="731" spans="1:22" x14ac:dyDescent="0.3">
      <c r="A731" s="118"/>
      <c r="B731" s="119"/>
      <c r="E731" s="118"/>
      <c r="F731" s="119"/>
      <c r="I731" s="118"/>
      <c r="J731" s="119"/>
      <c r="M731" s="118"/>
      <c r="N731" s="119"/>
      <c r="Q731" s="118"/>
      <c r="R731" s="119"/>
      <c r="U731" s="118"/>
      <c r="V731" s="119"/>
    </row>
    <row r="732" spans="1:22" x14ac:dyDescent="0.3">
      <c r="A732" s="118"/>
      <c r="B732" s="119"/>
      <c r="E732" s="118"/>
      <c r="F732" s="119"/>
      <c r="I732" s="118"/>
      <c r="J732" s="119"/>
      <c r="M732" s="118"/>
      <c r="N732" s="119"/>
      <c r="Q732" s="118"/>
      <c r="R732" s="119"/>
      <c r="U732" s="118"/>
      <c r="V732" s="119"/>
    </row>
    <row r="733" spans="1:22" x14ac:dyDescent="0.3">
      <c r="A733" s="118"/>
      <c r="B733" s="119"/>
      <c r="E733" s="118"/>
      <c r="F733" s="119"/>
      <c r="I733" s="118"/>
      <c r="J733" s="119"/>
      <c r="M733" s="118"/>
      <c r="N733" s="119"/>
      <c r="Q733" s="118"/>
      <c r="R733" s="119"/>
      <c r="U733" s="118"/>
      <c r="V733" s="119"/>
    </row>
    <row r="734" spans="1:22" x14ac:dyDescent="0.3">
      <c r="A734" s="118"/>
      <c r="B734" s="119"/>
      <c r="E734" s="118"/>
      <c r="F734" s="119"/>
      <c r="I734" s="118"/>
      <c r="J734" s="119"/>
      <c r="M734" s="118"/>
      <c r="N734" s="119"/>
      <c r="Q734" s="118"/>
      <c r="R734" s="119"/>
      <c r="U734" s="118"/>
      <c r="V734" s="119"/>
    </row>
    <row r="735" spans="1:22" x14ac:dyDescent="0.3">
      <c r="A735" s="118"/>
      <c r="B735" s="119"/>
      <c r="E735" s="118"/>
      <c r="F735" s="119"/>
      <c r="I735" s="118"/>
      <c r="J735" s="119"/>
      <c r="M735" s="118"/>
      <c r="N735" s="119"/>
      <c r="Q735" s="118"/>
      <c r="R735" s="119"/>
      <c r="U735" s="118"/>
      <c r="V735" s="119"/>
    </row>
    <row r="736" spans="1:22" x14ac:dyDescent="0.3">
      <c r="A736" s="118"/>
      <c r="B736" s="119"/>
      <c r="E736" s="118"/>
      <c r="F736" s="119"/>
      <c r="I736" s="118"/>
      <c r="J736" s="119"/>
      <c r="M736" s="118"/>
      <c r="N736" s="119"/>
      <c r="Q736" s="118"/>
      <c r="R736" s="119"/>
      <c r="U736" s="118"/>
      <c r="V736" s="119"/>
    </row>
    <row r="737" spans="1:22" x14ac:dyDescent="0.3">
      <c r="A737" s="118"/>
      <c r="B737" s="119"/>
      <c r="E737" s="118"/>
      <c r="F737" s="119"/>
      <c r="I737" s="118"/>
      <c r="J737" s="119"/>
      <c r="M737" s="118"/>
      <c r="N737" s="119"/>
      <c r="Q737" s="118"/>
      <c r="R737" s="119"/>
      <c r="U737" s="118"/>
      <c r="V737" s="119"/>
    </row>
    <row r="738" spans="1:22" x14ac:dyDescent="0.3">
      <c r="A738" s="118"/>
      <c r="B738" s="119"/>
      <c r="E738" s="118"/>
      <c r="F738" s="119"/>
      <c r="I738" s="118"/>
      <c r="J738" s="119"/>
      <c r="M738" s="118"/>
      <c r="N738" s="119"/>
      <c r="Q738" s="118"/>
      <c r="R738" s="119"/>
      <c r="U738" s="118"/>
      <c r="V738" s="119"/>
    </row>
    <row r="739" spans="1:22" x14ac:dyDescent="0.3">
      <c r="A739" s="118"/>
      <c r="B739" s="119"/>
      <c r="E739" s="118"/>
      <c r="F739" s="119"/>
      <c r="I739" s="118"/>
      <c r="J739" s="119"/>
      <c r="M739" s="118"/>
      <c r="N739" s="119"/>
      <c r="Q739" s="118"/>
      <c r="R739" s="119"/>
      <c r="U739" s="118"/>
      <c r="V739" s="119"/>
    </row>
    <row r="740" spans="1:22" x14ac:dyDescent="0.3">
      <c r="A740" s="118"/>
      <c r="B740" s="119"/>
      <c r="E740" s="118"/>
      <c r="F740" s="119"/>
      <c r="I740" s="118"/>
      <c r="J740" s="119"/>
      <c r="M740" s="118"/>
      <c r="N740" s="119"/>
      <c r="Q740" s="118"/>
      <c r="R740" s="119"/>
      <c r="U740" s="118"/>
      <c r="V740" s="119"/>
    </row>
    <row r="741" spans="1:22" x14ac:dyDescent="0.3">
      <c r="A741" s="118"/>
      <c r="B741" s="119"/>
      <c r="E741" s="118"/>
      <c r="F741" s="119"/>
      <c r="I741" s="118"/>
      <c r="J741" s="119"/>
      <c r="M741" s="118"/>
      <c r="N741" s="119"/>
      <c r="Q741" s="118"/>
      <c r="R741" s="119"/>
      <c r="U741" s="118"/>
      <c r="V741" s="119"/>
    </row>
    <row r="742" spans="1:22" x14ac:dyDescent="0.3">
      <c r="A742" s="118"/>
      <c r="B742" s="119"/>
      <c r="E742" s="118"/>
      <c r="F742" s="119"/>
      <c r="I742" s="118"/>
      <c r="J742" s="119"/>
      <c r="M742" s="118"/>
      <c r="N742" s="119"/>
      <c r="Q742" s="118"/>
      <c r="R742" s="119"/>
      <c r="U742" s="118"/>
      <c r="V742" s="119"/>
    </row>
    <row r="743" spans="1:22" x14ac:dyDescent="0.3">
      <c r="A743" s="118"/>
      <c r="B743" s="119"/>
      <c r="E743" s="118"/>
      <c r="F743" s="119"/>
      <c r="I743" s="118"/>
      <c r="J743" s="119"/>
      <c r="M743" s="118"/>
      <c r="N743" s="119"/>
      <c r="Q743" s="118"/>
      <c r="R743" s="119"/>
      <c r="U743" s="118"/>
      <c r="V743" s="119"/>
    </row>
    <row r="744" spans="1:22" x14ac:dyDescent="0.3">
      <c r="A744" s="118"/>
      <c r="B744" s="119"/>
      <c r="E744" s="118"/>
      <c r="F744" s="119"/>
      <c r="I744" s="118"/>
      <c r="J744" s="119"/>
      <c r="M744" s="118"/>
      <c r="N744" s="119"/>
      <c r="Q744" s="118"/>
      <c r="R744" s="119"/>
      <c r="U744" s="118"/>
      <c r="V744" s="119"/>
    </row>
    <row r="745" spans="1:22" x14ac:dyDescent="0.3">
      <c r="A745" s="118"/>
      <c r="B745" s="119"/>
      <c r="E745" s="118"/>
      <c r="F745" s="119"/>
      <c r="I745" s="118"/>
      <c r="J745" s="119"/>
      <c r="M745" s="118"/>
      <c r="N745" s="119"/>
      <c r="Q745" s="118"/>
      <c r="R745" s="119"/>
      <c r="U745" s="118"/>
      <c r="V745" s="119"/>
    </row>
    <row r="746" spans="1:22" x14ac:dyDescent="0.3">
      <c r="A746" s="118"/>
      <c r="B746" s="119"/>
      <c r="E746" s="118"/>
      <c r="F746" s="119"/>
      <c r="I746" s="118"/>
      <c r="J746" s="119"/>
      <c r="M746" s="118"/>
      <c r="N746" s="119"/>
      <c r="Q746" s="118"/>
      <c r="R746" s="119"/>
      <c r="U746" s="118"/>
      <c r="V746" s="119"/>
    </row>
    <row r="747" spans="1:22" x14ac:dyDescent="0.3">
      <c r="A747" s="118"/>
      <c r="B747" s="119"/>
      <c r="E747" s="118"/>
      <c r="F747" s="119"/>
      <c r="I747" s="118"/>
      <c r="J747" s="119"/>
      <c r="M747" s="118"/>
      <c r="N747" s="119"/>
      <c r="Q747" s="118"/>
      <c r="R747" s="119"/>
      <c r="U747" s="118"/>
      <c r="V747" s="119"/>
    </row>
    <row r="748" spans="1:22" x14ac:dyDescent="0.3">
      <c r="A748" s="118"/>
      <c r="B748" s="119"/>
      <c r="E748" s="118"/>
      <c r="F748" s="119"/>
      <c r="I748" s="118"/>
      <c r="J748" s="119"/>
      <c r="M748" s="118"/>
      <c r="N748" s="119"/>
      <c r="Q748" s="118"/>
      <c r="R748" s="119"/>
      <c r="U748" s="118"/>
      <c r="V748" s="119"/>
    </row>
    <row r="749" spans="1:22" x14ac:dyDescent="0.3">
      <c r="A749" s="118"/>
      <c r="B749" s="119"/>
      <c r="E749" s="118"/>
      <c r="F749" s="119"/>
      <c r="I749" s="118"/>
      <c r="J749" s="119"/>
      <c r="M749" s="118"/>
      <c r="N749" s="119"/>
      <c r="Q749" s="118"/>
      <c r="R749" s="119"/>
      <c r="U749" s="118"/>
      <c r="V749" s="119"/>
    </row>
    <row r="750" spans="1:22" x14ac:dyDescent="0.3">
      <c r="A750" s="118"/>
      <c r="B750" s="119"/>
      <c r="E750" s="118"/>
      <c r="F750" s="119"/>
      <c r="I750" s="118"/>
      <c r="J750" s="119"/>
      <c r="M750" s="118"/>
      <c r="N750" s="119"/>
      <c r="Q750" s="118"/>
      <c r="R750" s="119"/>
      <c r="U750" s="118"/>
      <c r="V750" s="119"/>
    </row>
    <row r="751" spans="1:22" x14ac:dyDescent="0.3">
      <c r="A751" s="118"/>
      <c r="B751" s="119"/>
      <c r="E751" s="118"/>
      <c r="F751" s="119"/>
      <c r="I751" s="118"/>
      <c r="J751" s="119"/>
      <c r="M751" s="118"/>
      <c r="N751" s="119"/>
      <c r="Q751" s="118"/>
      <c r="R751" s="119"/>
      <c r="U751" s="118"/>
      <c r="V751" s="119"/>
    </row>
    <row r="752" spans="1:22" x14ac:dyDescent="0.3">
      <c r="A752" s="118"/>
      <c r="B752" s="119"/>
      <c r="E752" s="118"/>
      <c r="F752" s="119"/>
      <c r="I752" s="118"/>
      <c r="J752" s="119"/>
      <c r="M752" s="118"/>
      <c r="N752" s="119"/>
      <c r="Q752" s="118"/>
      <c r="R752" s="119"/>
      <c r="U752" s="118"/>
      <c r="V752" s="119"/>
    </row>
    <row r="753" spans="1:22" x14ac:dyDescent="0.3">
      <c r="A753" s="118"/>
      <c r="B753" s="119"/>
      <c r="E753" s="118"/>
      <c r="F753" s="119"/>
      <c r="I753" s="118"/>
      <c r="J753" s="119"/>
      <c r="M753" s="118"/>
      <c r="N753" s="119"/>
      <c r="Q753" s="118"/>
      <c r="R753" s="119"/>
      <c r="U753" s="118"/>
      <c r="V753" s="119"/>
    </row>
    <row r="754" spans="1:22" x14ac:dyDescent="0.3">
      <c r="A754" s="118"/>
      <c r="B754" s="119"/>
      <c r="E754" s="118"/>
      <c r="F754" s="119"/>
      <c r="I754" s="118"/>
      <c r="J754" s="119"/>
      <c r="M754" s="118"/>
      <c r="N754" s="119"/>
      <c r="Q754" s="118"/>
      <c r="R754" s="119"/>
      <c r="U754" s="118"/>
      <c r="V754" s="119"/>
    </row>
    <row r="755" spans="1:22" x14ac:dyDescent="0.3">
      <c r="A755" s="118"/>
      <c r="B755" s="119"/>
      <c r="E755" s="118"/>
      <c r="F755" s="119"/>
      <c r="I755" s="118"/>
      <c r="J755" s="119"/>
      <c r="M755" s="118"/>
      <c r="N755" s="119"/>
      <c r="Q755" s="118"/>
      <c r="R755" s="119"/>
      <c r="U755" s="118"/>
      <c r="V755" s="119"/>
    </row>
    <row r="756" spans="1:22" x14ac:dyDescent="0.3">
      <c r="A756" s="118"/>
      <c r="B756" s="119"/>
      <c r="E756" s="118"/>
      <c r="F756" s="119"/>
      <c r="I756" s="118"/>
      <c r="J756" s="119"/>
      <c r="M756" s="118"/>
      <c r="N756" s="119"/>
      <c r="Q756" s="118"/>
      <c r="R756" s="119"/>
      <c r="U756" s="118"/>
      <c r="V756" s="119"/>
    </row>
    <row r="757" spans="1:22" x14ac:dyDescent="0.3">
      <c r="A757" s="118"/>
      <c r="B757" s="119"/>
      <c r="E757" s="118"/>
      <c r="F757" s="119"/>
      <c r="I757" s="118"/>
      <c r="J757" s="119"/>
      <c r="M757" s="118"/>
      <c r="N757" s="119"/>
      <c r="Q757" s="118"/>
      <c r="R757" s="119"/>
      <c r="U757" s="118"/>
      <c r="V757" s="119"/>
    </row>
    <row r="758" spans="1:22" x14ac:dyDescent="0.3">
      <c r="A758" s="118"/>
      <c r="B758" s="119"/>
      <c r="E758" s="118"/>
      <c r="F758" s="119"/>
      <c r="I758" s="118"/>
      <c r="J758" s="119"/>
      <c r="M758" s="118"/>
      <c r="N758" s="119"/>
      <c r="Q758" s="118"/>
      <c r="R758" s="119"/>
      <c r="U758" s="118"/>
      <c r="V758" s="119"/>
    </row>
    <row r="759" spans="1:22" x14ac:dyDescent="0.3">
      <c r="A759" s="118"/>
      <c r="B759" s="119"/>
      <c r="E759" s="118"/>
      <c r="F759" s="119"/>
      <c r="I759" s="118"/>
      <c r="J759" s="119"/>
      <c r="M759" s="118"/>
      <c r="N759" s="119"/>
      <c r="Q759" s="118"/>
      <c r="R759" s="119"/>
      <c r="U759" s="118"/>
      <c r="V759" s="119"/>
    </row>
    <row r="760" spans="1:22" x14ac:dyDescent="0.3">
      <c r="A760" s="118"/>
      <c r="B760" s="119"/>
      <c r="E760" s="118"/>
      <c r="F760" s="119"/>
      <c r="I760" s="118"/>
      <c r="J760" s="119"/>
      <c r="M760" s="118"/>
      <c r="N760" s="119"/>
      <c r="Q760" s="118"/>
      <c r="R760" s="119"/>
      <c r="U760" s="118"/>
      <c r="V760" s="119"/>
    </row>
    <row r="761" spans="1:22" x14ac:dyDescent="0.3">
      <c r="A761" s="118"/>
      <c r="B761" s="119"/>
      <c r="E761" s="118"/>
      <c r="F761" s="119"/>
      <c r="I761" s="118"/>
      <c r="J761" s="119"/>
      <c r="M761" s="118"/>
      <c r="N761" s="119"/>
      <c r="Q761" s="118"/>
      <c r="R761" s="119"/>
      <c r="U761" s="118"/>
      <c r="V761" s="119"/>
    </row>
    <row r="762" spans="1:22" x14ac:dyDescent="0.3">
      <c r="A762" s="118"/>
      <c r="B762" s="119"/>
      <c r="E762" s="118"/>
      <c r="F762" s="119"/>
      <c r="I762" s="118"/>
      <c r="J762" s="119"/>
      <c r="M762" s="118"/>
      <c r="N762" s="119"/>
      <c r="Q762" s="118"/>
      <c r="R762" s="119"/>
      <c r="U762" s="118"/>
      <c r="V762" s="119"/>
    </row>
    <row r="763" spans="1:22" x14ac:dyDescent="0.3">
      <c r="A763" s="118"/>
      <c r="B763" s="119"/>
      <c r="E763" s="118"/>
      <c r="F763" s="119"/>
      <c r="I763" s="118"/>
      <c r="J763" s="119"/>
      <c r="M763" s="118"/>
      <c r="N763" s="119"/>
      <c r="Q763" s="118"/>
      <c r="R763" s="119"/>
      <c r="U763" s="118"/>
      <c r="V763" s="119"/>
    </row>
    <row r="764" spans="1:22" x14ac:dyDescent="0.3">
      <c r="A764" s="118"/>
      <c r="B764" s="119"/>
      <c r="E764" s="118"/>
      <c r="F764" s="119"/>
      <c r="I764" s="118"/>
      <c r="J764" s="119"/>
      <c r="M764" s="118"/>
      <c r="N764" s="119"/>
      <c r="Q764" s="118"/>
      <c r="R764" s="119"/>
      <c r="U764" s="118"/>
      <c r="V764" s="119"/>
    </row>
    <row r="765" spans="1:22" x14ac:dyDescent="0.3">
      <c r="A765" s="118"/>
      <c r="B765" s="119"/>
      <c r="E765" s="118"/>
      <c r="F765" s="119"/>
      <c r="I765" s="118"/>
      <c r="J765" s="119"/>
      <c r="M765" s="118"/>
      <c r="N765" s="119"/>
      <c r="Q765" s="118"/>
      <c r="R765" s="119"/>
      <c r="U765" s="118"/>
      <c r="V765" s="119"/>
    </row>
    <row r="766" spans="1:22" x14ac:dyDescent="0.3">
      <c r="A766" s="118"/>
      <c r="B766" s="119"/>
      <c r="E766" s="118"/>
      <c r="F766" s="119"/>
      <c r="I766" s="118"/>
      <c r="J766" s="119"/>
      <c r="M766" s="118"/>
      <c r="N766" s="119"/>
      <c r="Q766" s="118"/>
      <c r="R766" s="119"/>
      <c r="U766" s="118"/>
      <c r="V766" s="119"/>
    </row>
    <row r="767" spans="1:22" x14ac:dyDescent="0.3">
      <c r="A767" s="118"/>
      <c r="B767" s="119"/>
      <c r="E767" s="118"/>
      <c r="F767" s="119"/>
      <c r="I767" s="118"/>
      <c r="J767" s="119"/>
      <c r="M767" s="118"/>
      <c r="N767" s="119"/>
      <c r="Q767" s="118"/>
      <c r="R767" s="119"/>
      <c r="U767" s="118"/>
      <c r="V767" s="119"/>
    </row>
    <row r="768" spans="1:22" x14ac:dyDescent="0.3">
      <c r="A768" s="118"/>
      <c r="B768" s="119"/>
      <c r="E768" s="118"/>
      <c r="F768" s="119"/>
      <c r="I768" s="118"/>
      <c r="J768" s="119"/>
      <c r="M768" s="118"/>
      <c r="N768" s="119"/>
      <c r="Q768" s="118"/>
      <c r="R768" s="119"/>
      <c r="U768" s="118"/>
      <c r="V768" s="119"/>
    </row>
    <row r="769" spans="1:22" x14ac:dyDescent="0.3">
      <c r="A769" s="118"/>
      <c r="B769" s="119"/>
      <c r="E769" s="118"/>
      <c r="F769" s="119"/>
      <c r="I769" s="118"/>
      <c r="J769" s="119"/>
      <c r="M769" s="118"/>
      <c r="N769" s="119"/>
      <c r="Q769" s="118"/>
      <c r="R769" s="119"/>
      <c r="U769" s="118"/>
      <c r="V769" s="119"/>
    </row>
    <row r="770" spans="1:22" x14ac:dyDescent="0.3">
      <c r="A770" s="118"/>
      <c r="B770" s="119"/>
      <c r="E770" s="118"/>
      <c r="F770" s="119"/>
      <c r="I770" s="118"/>
      <c r="J770" s="119"/>
      <c r="M770" s="118"/>
      <c r="N770" s="119"/>
      <c r="Q770" s="118"/>
      <c r="R770" s="119"/>
      <c r="U770" s="118"/>
      <c r="V770" s="119"/>
    </row>
    <row r="771" spans="1:22" x14ac:dyDescent="0.3">
      <c r="A771" s="118"/>
      <c r="B771" s="119"/>
      <c r="E771" s="118"/>
      <c r="F771" s="119"/>
      <c r="I771" s="118"/>
      <c r="J771" s="119"/>
      <c r="M771" s="118"/>
      <c r="N771" s="119"/>
      <c r="Q771" s="118"/>
      <c r="R771" s="119"/>
      <c r="U771" s="118"/>
      <c r="V771" s="119"/>
    </row>
    <row r="772" spans="1:22" x14ac:dyDescent="0.3">
      <c r="A772" s="118"/>
      <c r="B772" s="119"/>
      <c r="E772" s="118"/>
      <c r="F772" s="119"/>
      <c r="I772" s="118"/>
      <c r="J772" s="119"/>
      <c r="M772" s="118"/>
      <c r="N772" s="119"/>
      <c r="Q772" s="118"/>
      <c r="R772" s="119"/>
      <c r="U772" s="118"/>
      <c r="V772" s="119"/>
    </row>
    <row r="773" spans="1:22" x14ac:dyDescent="0.3">
      <c r="A773" s="118"/>
      <c r="B773" s="119"/>
      <c r="E773" s="118"/>
      <c r="F773" s="119"/>
      <c r="I773" s="118"/>
      <c r="J773" s="119"/>
      <c r="M773" s="118"/>
      <c r="N773" s="119"/>
      <c r="Q773" s="118"/>
      <c r="R773" s="119"/>
      <c r="U773" s="118"/>
      <c r="V773" s="119"/>
    </row>
    <row r="774" spans="1:22" x14ac:dyDescent="0.3">
      <c r="A774" s="118"/>
      <c r="B774" s="119"/>
      <c r="E774" s="118"/>
      <c r="F774" s="119"/>
      <c r="I774" s="118"/>
      <c r="J774" s="119"/>
      <c r="M774" s="118"/>
      <c r="N774" s="119"/>
      <c r="Q774" s="118"/>
      <c r="R774" s="119"/>
      <c r="U774" s="118"/>
      <c r="V774" s="119"/>
    </row>
    <row r="775" spans="1:22" x14ac:dyDescent="0.3">
      <c r="A775" s="118"/>
      <c r="B775" s="119"/>
      <c r="E775" s="118"/>
      <c r="F775" s="119"/>
      <c r="I775" s="118"/>
      <c r="J775" s="119"/>
      <c r="M775" s="118"/>
      <c r="N775" s="119"/>
      <c r="Q775" s="118"/>
      <c r="R775" s="119"/>
      <c r="U775" s="118"/>
      <c r="V775" s="119"/>
    </row>
    <row r="776" spans="1:22" x14ac:dyDescent="0.3">
      <c r="A776" s="118"/>
      <c r="B776" s="119"/>
      <c r="E776" s="118"/>
      <c r="F776" s="119"/>
      <c r="I776" s="118"/>
      <c r="J776" s="119"/>
      <c r="M776" s="118"/>
      <c r="N776" s="119"/>
      <c r="Q776" s="118"/>
      <c r="R776" s="119"/>
      <c r="U776" s="118"/>
      <c r="V776" s="119"/>
    </row>
    <row r="777" spans="1:22" x14ac:dyDescent="0.3">
      <c r="A777" s="118"/>
      <c r="B777" s="119"/>
      <c r="E777" s="118"/>
      <c r="F777" s="119"/>
      <c r="I777" s="118"/>
      <c r="J777" s="119"/>
      <c r="M777" s="118"/>
      <c r="N777" s="119"/>
      <c r="Q777" s="118"/>
      <c r="R777" s="119"/>
      <c r="U777" s="118"/>
      <c r="V777" s="119"/>
    </row>
    <row r="778" spans="1:22" x14ac:dyDescent="0.3">
      <c r="A778" s="118"/>
      <c r="B778" s="119"/>
      <c r="E778" s="118"/>
      <c r="F778" s="119"/>
      <c r="I778" s="118"/>
      <c r="J778" s="119"/>
      <c r="M778" s="118"/>
      <c r="N778" s="119"/>
      <c r="Q778" s="118"/>
      <c r="R778" s="119"/>
      <c r="U778" s="118"/>
      <c r="V778" s="119"/>
    </row>
    <row r="779" spans="1:22" x14ac:dyDescent="0.3">
      <c r="A779" s="118"/>
      <c r="B779" s="119"/>
      <c r="E779" s="118"/>
      <c r="F779" s="119"/>
      <c r="I779" s="118"/>
      <c r="J779" s="119"/>
      <c r="M779" s="118"/>
      <c r="N779" s="119"/>
      <c r="Q779" s="118"/>
      <c r="R779" s="119"/>
      <c r="U779" s="118"/>
      <c r="V779" s="119"/>
    </row>
    <row r="780" spans="1:22" x14ac:dyDescent="0.3">
      <c r="A780" s="118"/>
      <c r="B780" s="119"/>
      <c r="E780" s="118"/>
      <c r="F780" s="119"/>
      <c r="I780" s="118"/>
      <c r="J780" s="119"/>
      <c r="M780" s="118"/>
      <c r="N780" s="119"/>
      <c r="Q780" s="118"/>
      <c r="R780" s="119"/>
      <c r="U780" s="118"/>
      <c r="V780" s="119"/>
    </row>
    <row r="781" spans="1:22" x14ac:dyDescent="0.3">
      <c r="A781" s="118"/>
      <c r="B781" s="119"/>
      <c r="E781" s="118"/>
      <c r="F781" s="119"/>
      <c r="I781" s="118"/>
      <c r="J781" s="119"/>
      <c r="M781" s="118"/>
      <c r="N781" s="119"/>
      <c r="Q781" s="118"/>
      <c r="R781" s="119"/>
      <c r="U781" s="118"/>
      <c r="V781" s="119"/>
    </row>
    <row r="782" spans="1:22" x14ac:dyDescent="0.3">
      <c r="A782" s="118"/>
      <c r="B782" s="119"/>
      <c r="E782" s="118"/>
      <c r="F782" s="119"/>
      <c r="I782" s="118"/>
      <c r="J782" s="119"/>
      <c r="M782" s="118"/>
      <c r="N782" s="119"/>
      <c r="Q782" s="118"/>
      <c r="R782" s="119"/>
      <c r="U782" s="118"/>
      <c r="V782" s="119"/>
    </row>
    <row r="783" spans="1:22" x14ac:dyDescent="0.3">
      <c r="A783" s="118"/>
      <c r="B783" s="119"/>
      <c r="E783" s="118"/>
      <c r="F783" s="119"/>
      <c r="I783" s="118"/>
      <c r="J783" s="119"/>
      <c r="M783" s="118"/>
      <c r="N783" s="119"/>
      <c r="Q783" s="118"/>
      <c r="R783" s="119"/>
      <c r="U783" s="118"/>
      <c r="V783" s="119"/>
    </row>
    <row r="784" spans="1:22" x14ac:dyDescent="0.3">
      <c r="A784" s="118"/>
      <c r="B784" s="119"/>
      <c r="E784" s="118"/>
      <c r="F784" s="119"/>
      <c r="I784" s="118"/>
      <c r="J784" s="119"/>
      <c r="M784" s="118"/>
      <c r="N784" s="119"/>
      <c r="Q784" s="118"/>
      <c r="R784" s="119"/>
      <c r="U784" s="118"/>
      <c r="V784" s="119"/>
    </row>
    <row r="785" spans="1:22" x14ac:dyDescent="0.3">
      <c r="A785" s="118"/>
      <c r="B785" s="119"/>
      <c r="E785" s="118"/>
      <c r="F785" s="119"/>
      <c r="I785" s="118"/>
      <c r="J785" s="119"/>
      <c r="M785" s="118"/>
      <c r="N785" s="119"/>
      <c r="Q785" s="118"/>
      <c r="R785" s="119"/>
      <c r="U785" s="118"/>
      <c r="V785" s="119"/>
    </row>
    <row r="786" spans="1:22" x14ac:dyDescent="0.3">
      <c r="A786" s="118"/>
      <c r="B786" s="119"/>
      <c r="E786" s="118"/>
      <c r="F786" s="119"/>
      <c r="I786" s="118"/>
      <c r="J786" s="119"/>
      <c r="M786" s="118"/>
      <c r="N786" s="119"/>
      <c r="Q786" s="118"/>
      <c r="R786" s="119"/>
      <c r="U786" s="118"/>
      <c r="V786" s="119"/>
    </row>
    <row r="787" spans="1:22" x14ac:dyDescent="0.3">
      <c r="A787" s="118"/>
      <c r="B787" s="119"/>
      <c r="E787" s="118"/>
      <c r="F787" s="119"/>
      <c r="I787" s="118"/>
      <c r="J787" s="119"/>
      <c r="M787" s="118"/>
      <c r="N787" s="119"/>
      <c r="Q787" s="118"/>
      <c r="R787" s="119"/>
      <c r="U787" s="118"/>
      <c r="V787" s="119"/>
    </row>
    <row r="788" spans="1:22" x14ac:dyDescent="0.3">
      <c r="A788" s="118"/>
      <c r="B788" s="119"/>
      <c r="E788" s="118"/>
      <c r="F788" s="119"/>
      <c r="I788" s="118"/>
      <c r="J788" s="119"/>
      <c r="M788" s="118"/>
      <c r="N788" s="119"/>
      <c r="Q788" s="118"/>
      <c r="R788" s="119"/>
      <c r="U788" s="118"/>
      <c r="V788" s="119"/>
    </row>
    <row r="789" spans="1:22" x14ac:dyDescent="0.3">
      <c r="A789" s="118"/>
      <c r="B789" s="119"/>
      <c r="E789" s="118"/>
      <c r="F789" s="119"/>
      <c r="I789" s="118"/>
      <c r="J789" s="119"/>
      <c r="M789" s="118"/>
      <c r="N789" s="119"/>
      <c r="Q789" s="118"/>
      <c r="R789" s="119"/>
      <c r="U789" s="118"/>
      <c r="V789" s="119"/>
    </row>
    <row r="790" spans="1:22" x14ac:dyDescent="0.3">
      <c r="A790" s="118"/>
      <c r="B790" s="119"/>
      <c r="E790" s="118"/>
      <c r="F790" s="119"/>
      <c r="I790" s="118"/>
      <c r="J790" s="119"/>
      <c r="M790" s="118"/>
      <c r="N790" s="119"/>
      <c r="Q790" s="118"/>
      <c r="R790" s="119"/>
      <c r="U790" s="118"/>
      <c r="V790" s="119"/>
    </row>
    <row r="791" spans="1:22" x14ac:dyDescent="0.3">
      <c r="A791" s="118"/>
      <c r="B791" s="119"/>
      <c r="E791" s="118"/>
      <c r="F791" s="119"/>
      <c r="I791" s="118"/>
      <c r="J791" s="119"/>
      <c r="M791" s="118"/>
      <c r="N791" s="119"/>
      <c r="Q791" s="118"/>
      <c r="R791" s="119"/>
      <c r="U791" s="118"/>
      <c r="V791" s="119"/>
    </row>
    <row r="792" spans="1:22" x14ac:dyDescent="0.3">
      <c r="A792" s="118"/>
      <c r="B792" s="119"/>
      <c r="E792" s="118"/>
      <c r="F792" s="119"/>
      <c r="I792" s="118"/>
      <c r="J792" s="119"/>
      <c r="M792" s="118"/>
      <c r="N792" s="119"/>
      <c r="Q792" s="118"/>
      <c r="R792" s="119"/>
      <c r="U792" s="118"/>
      <c r="V792" s="119"/>
    </row>
    <row r="793" spans="1:22" x14ac:dyDescent="0.3">
      <c r="A793" s="118"/>
      <c r="B793" s="119"/>
      <c r="E793" s="118"/>
      <c r="F793" s="119"/>
      <c r="I793" s="118"/>
      <c r="J793" s="119"/>
      <c r="M793" s="118"/>
      <c r="N793" s="119"/>
      <c r="Q793" s="118"/>
      <c r="R793" s="119"/>
      <c r="U793" s="118"/>
      <c r="V793" s="119"/>
    </row>
    <row r="794" spans="1:22" x14ac:dyDescent="0.3">
      <c r="A794" s="118"/>
      <c r="B794" s="119"/>
      <c r="E794" s="118"/>
      <c r="F794" s="119"/>
      <c r="I794" s="118"/>
      <c r="J794" s="119"/>
      <c r="M794" s="118"/>
      <c r="N794" s="119"/>
      <c r="Q794" s="118"/>
      <c r="R794" s="119"/>
      <c r="U794" s="118"/>
      <c r="V794" s="119"/>
    </row>
    <row r="795" spans="1:22" x14ac:dyDescent="0.3">
      <c r="A795" s="118"/>
      <c r="B795" s="119"/>
      <c r="E795" s="118"/>
      <c r="F795" s="119"/>
      <c r="I795" s="118"/>
      <c r="J795" s="119"/>
      <c r="M795" s="118"/>
      <c r="N795" s="119"/>
      <c r="Q795" s="118"/>
      <c r="R795" s="119"/>
      <c r="U795" s="118"/>
      <c r="V795" s="119"/>
    </row>
    <row r="796" spans="1:22" x14ac:dyDescent="0.3">
      <c r="A796" s="118"/>
      <c r="B796" s="119"/>
      <c r="E796" s="118"/>
      <c r="F796" s="119"/>
      <c r="I796" s="118"/>
      <c r="J796" s="119"/>
      <c r="M796" s="118"/>
      <c r="N796" s="119"/>
      <c r="Q796" s="118"/>
      <c r="R796" s="119"/>
      <c r="U796" s="118"/>
      <c r="V796" s="119"/>
    </row>
    <row r="797" spans="1:22" x14ac:dyDescent="0.3">
      <c r="A797" s="118"/>
      <c r="B797" s="119"/>
      <c r="E797" s="118"/>
      <c r="F797" s="119"/>
      <c r="I797" s="118"/>
      <c r="J797" s="119"/>
      <c r="M797" s="118"/>
      <c r="N797" s="119"/>
      <c r="Q797" s="118"/>
      <c r="R797" s="119"/>
      <c r="U797" s="118"/>
      <c r="V797" s="119"/>
    </row>
    <row r="798" spans="1:22" x14ac:dyDescent="0.3">
      <c r="A798" s="118"/>
      <c r="B798" s="119"/>
      <c r="E798" s="118"/>
      <c r="F798" s="119"/>
      <c r="I798" s="118"/>
      <c r="J798" s="119"/>
      <c r="M798" s="118"/>
      <c r="N798" s="119"/>
      <c r="Q798" s="118"/>
      <c r="R798" s="119"/>
      <c r="U798" s="118"/>
      <c r="V798" s="119"/>
    </row>
    <row r="799" spans="1:22" x14ac:dyDescent="0.3">
      <c r="A799" s="118"/>
      <c r="B799" s="119"/>
      <c r="E799" s="118"/>
      <c r="F799" s="119"/>
      <c r="I799" s="118"/>
      <c r="J799" s="119"/>
      <c r="M799" s="118"/>
      <c r="N799" s="119"/>
      <c r="Q799" s="118"/>
      <c r="R799" s="119"/>
      <c r="U799" s="118"/>
      <c r="V799" s="119"/>
    </row>
    <row r="800" spans="1:22" x14ac:dyDescent="0.3">
      <c r="A800" s="118"/>
      <c r="B800" s="119"/>
      <c r="E800" s="118"/>
      <c r="F800" s="119"/>
      <c r="I800" s="118"/>
      <c r="J800" s="119"/>
      <c r="M800" s="118"/>
      <c r="N800" s="119"/>
      <c r="Q800" s="118"/>
      <c r="R800" s="119"/>
      <c r="U800" s="118"/>
      <c r="V800" s="119"/>
    </row>
    <row r="801" spans="1:22" x14ac:dyDescent="0.3">
      <c r="A801" s="118"/>
      <c r="B801" s="119"/>
      <c r="E801" s="118"/>
      <c r="F801" s="119"/>
      <c r="I801" s="118"/>
      <c r="J801" s="119"/>
      <c r="M801" s="118"/>
      <c r="N801" s="119"/>
      <c r="Q801" s="118"/>
      <c r="R801" s="119"/>
      <c r="U801" s="118"/>
      <c r="V801" s="119"/>
    </row>
    <row r="802" spans="1:22" x14ac:dyDescent="0.3">
      <c r="A802" s="118"/>
      <c r="B802" s="119"/>
      <c r="E802" s="118"/>
      <c r="F802" s="119"/>
      <c r="I802" s="118"/>
      <c r="J802" s="119"/>
      <c r="M802" s="118"/>
      <c r="N802" s="119"/>
      <c r="Q802" s="118"/>
      <c r="R802" s="119"/>
      <c r="U802" s="118"/>
      <c r="V802" s="119"/>
    </row>
    <row r="803" spans="1:22" x14ac:dyDescent="0.3">
      <c r="A803" s="118"/>
      <c r="B803" s="119"/>
      <c r="E803" s="118"/>
      <c r="F803" s="119"/>
      <c r="I803" s="118"/>
      <c r="J803" s="119"/>
      <c r="M803" s="118"/>
      <c r="N803" s="119"/>
      <c r="Q803" s="118"/>
      <c r="R803" s="119"/>
      <c r="U803" s="118"/>
      <c r="V803" s="119"/>
    </row>
    <row r="804" spans="1:22" x14ac:dyDescent="0.3">
      <c r="A804" s="118"/>
      <c r="B804" s="119"/>
      <c r="E804" s="118"/>
      <c r="F804" s="119"/>
      <c r="I804" s="118"/>
      <c r="J804" s="119"/>
      <c r="M804" s="118"/>
      <c r="N804" s="119"/>
      <c r="Q804" s="118"/>
      <c r="R804" s="119"/>
      <c r="U804" s="118"/>
      <c r="V804" s="119"/>
    </row>
    <row r="805" spans="1:22" x14ac:dyDescent="0.3">
      <c r="A805" s="118"/>
      <c r="B805" s="119"/>
      <c r="E805" s="118"/>
      <c r="F805" s="119"/>
      <c r="I805" s="118"/>
      <c r="J805" s="119"/>
      <c r="M805" s="118"/>
      <c r="N805" s="119"/>
      <c r="Q805" s="118"/>
      <c r="R805" s="119"/>
      <c r="U805" s="118"/>
      <c r="V805" s="119"/>
    </row>
    <row r="806" spans="1:22" x14ac:dyDescent="0.3">
      <c r="A806" s="118"/>
      <c r="B806" s="119"/>
      <c r="E806" s="118"/>
      <c r="F806" s="119"/>
      <c r="I806" s="118"/>
      <c r="J806" s="119"/>
      <c r="M806" s="118"/>
      <c r="N806" s="119"/>
      <c r="Q806" s="118"/>
      <c r="R806" s="119"/>
      <c r="U806" s="118"/>
      <c r="V806" s="119"/>
    </row>
    <row r="807" spans="1:22" x14ac:dyDescent="0.3">
      <c r="A807" s="118"/>
      <c r="B807" s="119"/>
      <c r="E807" s="118"/>
      <c r="F807" s="119"/>
      <c r="I807" s="118"/>
      <c r="J807" s="119"/>
      <c r="M807" s="118"/>
      <c r="N807" s="119"/>
      <c r="Q807" s="118"/>
      <c r="R807" s="119"/>
      <c r="U807" s="118"/>
      <c r="V807" s="119"/>
    </row>
    <row r="808" spans="1:22" x14ac:dyDescent="0.3">
      <c r="A808" s="118"/>
      <c r="B808" s="119"/>
      <c r="E808" s="118"/>
      <c r="F808" s="119"/>
      <c r="I808" s="118"/>
      <c r="J808" s="119"/>
      <c r="M808" s="118"/>
      <c r="N808" s="119"/>
      <c r="Q808" s="118"/>
      <c r="R808" s="119"/>
      <c r="U808" s="118"/>
      <c r="V808" s="119"/>
    </row>
    <row r="809" spans="1:22" x14ac:dyDescent="0.3">
      <c r="A809" s="118"/>
      <c r="B809" s="119"/>
      <c r="E809" s="118"/>
      <c r="F809" s="119"/>
      <c r="I809" s="118"/>
      <c r="J809" s="119"/>
      <c r="M809" s="118"/>
      <c r="N809" s="119"/>
      <c r="Q809" s="118"/>
      <c r="R809" s="119"/>
      <c r="U809" s="118"/>
      <c r="V809" s="119"/>
    </row>
    <row r="810" spans="1:22" x14ac:dyDescent="0.3">
      <c r="A810" s="118"/>
      <c r="B810" s="119"/>
      <c r="E810" s="118"/>
      <c r="F810" s="119"/>
      <c r="I810" s="118"/>
      <c r="J810" s="119"/>
      <c r="M810" s="118"/>
      <c r="N810" s="119"/>
      <c r="Q810" s="118"/>
      <c r="R810" s="119"/>
      <c r="U810" s="118"/>
      <c r="V810" s="119"/>
    </row>
    <row r="811" spans="1:22" x14ac:dyDescent="0.3">
      <c r="A811" s="118"/>
      <c r="B811" s="119"/>
      <c r="E811" s="118"/>
      <c r="F811" s="119"/>
      <c r="I811" s="118"/>
      <c r="J811" s="119"/>
      <c r="M811" s="118"/>
      <c r="N811" s="119"/>
      <c r="Q811" s="118"/>
      <c r="R811" s="119"/>
      <c r="U811" s="118"/>
      <c r="V811" s="119"/>
    </row>
    <row r="812" spans="1:22" x14ac:dyDescent="0.3">
      <c r="A812" s="118"/>
      <c r="B812" s="119"/>
      <c r="E812" s="118"/>
      <c r="F812" s="119"/>
      <c r="I812" s="118"/>
      <c r="J812" s="119"/>
      <c r="M812" s="118"/>
      <c r="N812" s="119"/>
      <c r="Q812" s="118"/>
      <c r="R812" s="119"/>
      <c r="U812" s="118"/>
      <c r="V812" s="119"/>
    </row>
    <row r="813" spans="1:22" x14ac:dyDescent="0.3">
      <c r="A813" s="118"/>
      <c r="B813" s="119"/>
      <c r="E813" s="118"/>
      <c r="F813" s="119"/>
      <c r="I813" s="118"/>
      <c r="J813" s="119"/>
      <c r="M813" s="118"/>
      <c r="N813" s="119"/>
      <c r="Q813" s="118"/>
      <c r="R813" s="119"/>
      <c r="U813" s="118"/>
      <c r="V813" s="119"/>
    </row>
    <row r="814" spans="1:22" x14ac:dyDescent="0.3">
      <c r="A814" s="118"/>
      <c r="B814" s="119"/>
      <c r="E814" s="118"/>
      <c r="F814" s="119"/>
      <c r="I814" s="118"/>
      <c r="J814" s="119"/>
      <c r="M814" s="118"/>
      <c r="N814" s="119"/>
      <c r="Q814" s="118"/>
      <c r="R814" s="119"/>
      <c r="U814" s="118"/>
      <c r="V814" s="119"/>
    </row>
    <row r="815" spans="1:22" x14ac:dyDescent="0.3">
      <c r="A815" s="118"/>
      <c r="B815" s="119"/>
      <c r="E815" s="118"/>
      <c r="F815" s="119"/>
      <c r="I815" s="118"/>
      <c r="J815" s="119"/>
      <c r="M815" s="118"/>
      <c r="N815" s="119"/>
      <c r="Q815" s="118"/>
      <c r="R815" s="119"/>
      <c r="U815" s="118"/>
      <c r="V815" s="119"/>
    </row>
    <row r="816" spans="1:22" x14ac:dyDescent="0.3">
      <c r="A816" s="118"/>
      <c r="B816" s="119"/>
      <c r="E816" s="118"/>
      <c r="F816" s="119"/>
      <c r="I816" s="118"/>
      <c r="J816" s="119"/>
      <c r="M816" s="118"/>
      <c r="N816" s="119"/>
      <c r="Q816" s="118"/>
      <c r="R816" s="119"/>
      <c r="U816" s="118"/>
      <c r="V816" s="119"/>
    </row>
    <row r="817" spans="1:22" x14ac:dyDescent="0.3">
      <c r="A817" s="118"/>
      <c r="B817" s="119"/>
      <c r="E817" s="118"/>
      <c r="F817" s="119"/>
      <c r="I817" s="118"/>
      <c r="J817" s="119"/>
      <c r="M817" s="118"/>
      <c r="N817" s="119"/>
      <c r="Q817" s="118"/>
      <c r="R817" s="119"/>
      <c r="U817" s="118"/>
      <c r="V817" s="119"/>
    </row>
    <row r="818" spans="1:22" x14ac:dyDescent="0.3">
      <c r="A818" s="118"/>
      <c r="B818" s="119"/>
      <c r="E818" s="118"/>
      <c r="F818" s="119"/>
      <c r="I818" s="118"/>
      <c r="J818" s="119"/>
      <c r="M818" s="118"/>
      <c r="N818" s="119"/>
      <c r="Q818" s="118"/>
      <c r="R818" s="119"/>
      <c r="U818" s="118"/>
      <c r="V818" s="119"/>
    </row>
    <row r="819" spans="1:22" x14ac:dyDescent="0.3">
      <c r="A819" s="118"/>
      <c r="B819" s="119"/>
      <c r="E819" s="118"/>
      <c r="F819" s="119"/>
      <c r="I819" s="118"/>
      <c r="J819" s="119"/>
      <c r="M819" s="118"/>
      <c r="N819" s="119"/>
      <c r="Q819" s="118"/>
      <c r="R819" s="119"/>
      <c r="U819" s="118"/>
      <c r="V819" s="119"/>
    </row>
    <row r="820" spans="1:22" x14ac:dyDescent="0.3">
      <c r="A820" s="118"/>
      <c r="B820" s="119"/>
      <c r="E820" s="118"/>
      <c r="F820" s="119"/>
      <c r="I820" s="118"/>
      <c r="J820" s="119"/>
      <c r="M820" s="118"/>
      <c r="N820" s="119"/>
      <c r="Q820" s="118"/>
      <c r="R820" s="119"/>
      <c r="U820" s="118"/>
      <c r="V820" s="119"/>
    </row>
    <row r="821" spans="1:22" x14ac:dyDescent="0.3">
      <c r="A821" s="118"/>
      <c r="B821" s="119"/>
      <c r="E821" s="118"/>
      <c r="F821" s="119"/>
      <c r="I821" s="118"/>
      <c r="J821" s="119"/>
      <c r="M821" s="118"/>
      <c r="N821" s="119"/>
      <c r="Q821" s="118"/>
      <c r="R821" s="119"/>
      <c r="U821" s="118"/>
      <c r="V821" s="119"/>
    </row>
    <row r="822" spans="1:22" x14ac:dyDescent="0.3">
      <c r="A822" s="118"/>
      <c r="B822" s="119"/>
      <c r="E822" s="118"/>
      <c r="F822" s="119"/>
      <c r="I822" s="118"/>
      <c r="J822" s="119"/>
      <c r="M822" s="118"/>
      <c r="N822" s="119"/>
      <c r="Q822" s="118"/>
      <c r="R822" s="119"/>
      <c r="U822" s="118"/>
      <c r="V822" s="119"/>
    </row>
    <row r="823" spans="1:22" x14ac:dyDescent="0.3">
      <c r="A823" s="118"/>
      <c r="B823" s="119"/>
      <c r="E823" s="118"/>
      <c r="F823" s="119"/>
      <c r="I823" s="118"/>
      <c r="J823" s="119"/>
      <c r="M823" s="118"/>
      <c r="N823" s="119"/>
      <c r="Q823" s="118"/>
      <c r="R823" s="119"/>
      <c r="U823" s="118"/>
      <c r="V823" s="119"/>
    </row>
    <row r="824" spans="1:22" x14ac:dyDescent="0.3">
      <c r="A824" s="118"/>
      <c r="B824" s="119"/>
      <c r="E824" s="118"/>
      <c r="F824" s="119"/>
      <c r="I824" s="118"/>
      <c r="J824" s="119"/>
      <c r="M824" s="118"/>
      <c r="N824" s="119"/>
      <c r="Q824" s="118"/>
      <c r="R824" s="119"/>
      <c r="U824" s="118"/>
      <c r="V824" s="119"/>
    </row>
    <row r="825" spans="1:22" x14ac:dyDescent="0.3">
      <c r="A825" s="118"/>
      <c r="B825" s="119"/>
      <c r="E825" s="118"/>
      <c r="F825" s="119"/>
      <c r="I825" s="118"/>
      <c r="J825" s="119"/>
      <c r="M825" s="118"/>
      <c r="N825" s="119"/>
      <c r="Q825" s="118"/>
      <c r="R825" s="119"/>
      <c r="U825" s="118"/>
      <c r="V825" s="119"/>
    </row>
    <row r="826" spans="1:22" x14ac:dyDescent="0.3">
      <c r="A826" s="118"/>
      <c r="B826" s="119"/>
      <c r="E826" s="118"/>
      <c r="F826" s="119"/>
      <c r="I826" s="118"/>
      <c r="J826" s="119"/>
      <c r="M826" s="118"/>
      <c r="N826" s="119"/>
      <c r="Q826" s="118"/>
      <c r="R826" s="119"/>
      <c r="U826" s="118"/>
      <c r="V826" s="119"/>
    </row>
    <row r="827" spans="1:22" x14ac:dyDescent="0.3">
      <c r="A827" s="118"/>
      <c r="B827" s="119"/>
      <c r="E827" s="118"/>
      <c r="F827" s="119"/>
      <c r="I827" s="118"/>
      <c r="J827" s="119"/>
      <c r="M827" s="118"/>
      <c r="N827" s="119"/>
      <c r="Q827" s="118"/>
      <c r="R827" s="119"/>
      <c r="U827" s="118"/>
      <c r="V827" s="119"/>
    </row>
    <row r="828" spans="1:22" x14ac:dyDescent="0.3">
      <c r="A828" s="118"/>
      <c r="B828" s="119"/>
      <c r="E828" s="118"/>
      <c r="F828" s="119"/>
      <c r="I828" s="118"/>
      <c r="J828" s="119"/>
      <c r="M828" s="118"/>
      <c r="N828" s="119"/>
      <c r="Q828" s="118"/>
      <c r="R828" s="119"/>
      <c r="U828" s="118"/>
      <c r="V828" s="119"/>
    </row>
    <row r="829" spans="1:22" x14ac:dyDescent="0.3">
      <c r="A829" s="118"/>
      <c r="B829" s="119"/>
      <c r="E829" s="118"/>
      <c r="F829" s="119"/>
      <c r="I829" s="118"/>
      <c r="J829" s="119"/>
      <c r="M829" s="118"/>
      <c r="N829" s="119"/>
      <c r="Q829" s="118"/>
      <c r="R829" s="119"/>
      <c r="U829" s="118"/>
      <c r="V829" s="119"/>
    </row>
    <row r="830" spans="1:22" x14ac:dyDescent="0.3">
      <c r="A830" s="118"/>
      <c r="B830" s="119"/>
      <c r="E830" s="118"/>
      <c r="F830" s="119"/>
      <c r="I830" s="118"/>
      <c r="J830" s="119"/>
      <c r="M830" s="118"/>
      <c r="N830" s="119"/>
      <c r="Q830" s="118"/>
      <c r="R830" s="119"/>
      <c r="U830" s="118"/>
      <c r="V830" s="119"/>
    </row>
    <row r="831" spans="1:22" x14ac:dyDescent="0.3">
      <c r="A831" s="118"/>
      <c r="B831" s="119"/>
      <c r="E831" s="118"/>
      <c r="F831" s="119"/>
      <c r="I831" s="118"/>
      <c r="J831" s="119"/>
      <c r="M831" s="118"/>
      <c r="N831" s="119"/>
      <c r="Q831" s="118"/>
      <c r="R831" s="119"/>
      <c r="U831" s="118"/>
      <c r="V831" s="119"/>
    </row>
    <row r="832" spans="1:22" x14ac:dyDescent="0.3">
      <c r="A832" s="118"/>
      <c r="B832" s="119"/>
      <c r="E832" s="118"/>
      <c r="F832" s="119"/>
      <c r="I832" s="118"/>
      <c r="J832" s="119"/>
      <c r="M832" s="118"/>
      <c r="N832" s="119"/>
      <c r="Q832" s="118"/>
      <c r="R832" s="119"/>
      <c r="U832" s="118"/>
      <c r="V832" s="119"/>
    </row>
    <row r="833" spans="1:22" x14ac:dyDescent="0.3">
      <c r="A833" s="118"/>
      <c r="B833" s="119"/>
      <c r="E833" s="118"/>
      <c r="F833" s="119"/>
      <c r="I833" s="118"/>
      <c r="J833" s="119"/>
      <c r="M833" s="118"/>
      <c r="N833" s="119"/>
      <c r="Q833" s="118"/>
      <c r="R833" s="119"/>
      <c r="U833" s="118"/>
      <c r="V833" s="119"/>
    </row>
    <row r="834" spans="1:22" x14ac:dyDescent="0.3">
      <c r="A834" s="118"/>
      <c r="B834" s="119"/>
      <c r="E834" s="118"/>
      <c r="F834" s="119"/>
      <c r="I834" s="118"/>
      <c r="J834" s="119"/>
      <c r="M834" s="118"/>
      <c r="N834" s="119"/>
      <c r="Q834" s="118"/>
      <c r="R834" s="119"/>
      <c r="U834" s="118"/>
      <c r="V834" s="119"/>
    </row>
    <row r="835" spans="1:22" x14ac:dyDescent="0.3">
      <c r="A835" s="118"/>
      <c r="B835" s="119"/>
      <c r="E835" s="118"/>
      <c r="F835" s="119"/>
      <c r="I835" s="118"/>
      <c r="J835" s="119"/>
      <c r="M835" s="118"/>
      <c r="N835" s="119"/>
      <c r="Q835" s="118"/>
      <c r="R835" s="119"/>
      <c r="U835" s="118"/>
      <c r="V835" s="119"/>
    </row>
    <row r="836" spans="1:22" x14ac:dyDescent="0.3">
      <c r="A836" s="118"/>
      <c r="B836" s="119"/>
      <c r="E836" s="118"/>
      <c r="F836" s="119"/>
      <c r="I836" s="118"/>
      <c r="J836" s="119"/>
      <c r="M836" s="118"/>
      <c r="N836" s="119"/>
      <c r="Q836" s="118"/>
      <c r="R836" s="119"/>
      <c r="U836" s="118"/>
      <c r="V836" s="119"/>
    </row>
    <row r="837" spans="1:22" x14ac:dyDescent="0.3">
      <c r="A837" s="118"/>
      <c r="B837" s="119"/>
      <c r="E837" s="118"/>
      <c r="F837" s="119"/>
      <c r="I837" s="118"/>
      <c r="J837" s="119"/>
      <c r="M837" s="118"/>
      <c r="N837" s="119"/>
      <c r="Q837" s="118"/>
      <c r="R837" s="119"/>
      <c r="U837" s="118"/>
      <c r="V837" s="119"/>
    </row>
    <row r="838" spans="1:22" x14ac:dyDescent="0.3">
      <c r="A838" s="118"/>
      <c r="B838" s="119"/>
      <c r="E838" s="118"/>
      <c r="F838" s="119"/>
      <c r="I838" s="118"/>
      <c r="J838" s="119"/>
      <c r="M838" s="118"/>
      <c r="N838" s="119"/>
      <c r="Q838" s="118"/>
      <c r="R838" s="119"/>
      <c r="U838" s="118"/>
      <c r="V838" s="119"/>
    </row>
    <row r="839" spans="1:22" x14ac:dyDescent="0.3">
      <c r="A839" s="118"/>
      <c r="B839" s="119"/>
      <c r="E839" s="118"/>
      <c r="F839" s="119"/>
      <c r="I839" s="118"/>
      <c r="J839" s="119"/>
      <c r="M839" s="118"/>
      <c r="N839" s="119"/>
      <c r="Q839" s="118"/>
      <c r="R839" s="119"/>
      <c r="U839" s="118"/>
      <c r="V839" s="119"/>
    </row>
    <row r="840" spans="1:22" x14ac:dyDescent="0.3">
      <c r="A840" s="118"/>
      <c r="B840" s="119"/>
      <c r="E840" s="118"/>
      <c r="F840" s="119"/>
      <c r="I840" s="118"/>
      <c r="J840" s="119"/>
      <c r="M840" s="118"/>
      <c r="N840" s="119"/>
      <c r="Q840" s="118"/>
      <c r="R840" s="119"/>
      <c r="U840" s="118"/>
      <c r="V840" s="119"/>
    </row>
    <row r="841" spans="1:22" x14ac:dyDescent="0.3">
      <c r="A841" s="118"/>
      <c r="B841" s="119"/>
      <c r="E841" s="118"/>
      <c r="F841" s="119"/>
      <c r="I841" s="118"/>
      <c r="J841" s="119"/>
      <c r="M841" s="118"/>
      <c r="N841" s="119"/>
      <c r="Q841" s="118"/>
      <c r="R841" s="119"/>
      <c r="U841" s="118"/>
      <c r="V841" s="119"/>
    </row>
    <row r="842" spans="1:22" x14ac:dyDescent="0.3">
      <c r="A842" s="118"/>
      <c r="B842" s="119"/>
      <c r="E842" s="118"/>
      <c r="F842" s="119"/>
      <c r="I842" s="118"/>
      <c r="J842" s="119"/>
      <c r="M842" s="118"/>
      <c r="N842" s="119"/>
      <c r="Q842" s="118"/>
      <c r="R842" s="119"/>
      <c r="U842" s="118"/>
      <c r="V842" s="119"/>
    </row>
    <row r="843" spans="1:22" x14ac:dyDescent="0.3">
      <c r="A843" s="118"/>
      <c r="B843" s="119"/>
      <c r="E843" s="118"/>
      <c r="F843" s="119"/>
      <c r="I843" s="118"/>
      <c r="J843" s="119"/>
      <c r="M843" s="118"/>
      <c r="N843" s="119"/>
      <c r="Q843" s="118"/>
      <c r="R843" s="119"/>
      <c r="U843" s="118"/>
      <c r="V843" s="119"/>
    </row>
    <row r="844" spans="1:22" x14ac:dyDescent="0.3">
      <c r="A844" s="118"/>
      <c r="B844" s="119"/>
      <c r="E844" s="118"/>
      <c r="F844" s="119"/>
      <c r="I844" s="118"/>
      <c r="J844" s="119"/>
      <c r="M844" s="118"/>
      <c r="N844" s="119"/>
      <c r="Q844" s="118"/>
      <c r="R844" s="119"/>
      <c r="U844" s="118"/>
      <c r="V844" s="119"/>
    </row>
    <row r="845" spans="1:22" x14ac:dyDescent="0.3">
      <c r="A845" s="118"/>
      <c r="B845" s="119"/>
      <c r="E845" s="118"/>
      <c r="F845" s="119"/>
      <c r="I845" s="118"/>
      <c r="J845" s="119"/>
      <c r="M845" s="118"/>
      <c r="N845" s="119"/>
      <c r="Q845" s="118"/>
      <c r="R845" s="119"/>
      <c r="U845" s="118"/>
      <c r="V845" s="119"/>
    </row>
    <row r="846" spans="1:22" x14ac:dyDescent="0.3">
      <c r="A846" s="118"/>
      <c r="B846" s="119"/>
      <c r="E846" s="118"/>
      <c r="F846" s="119"/>
      <c r="I846" s="118"/>
      <c r="J846" s="119"/>
      <c r="M846" s="118"/>
      <c r="N846" s="119"/>
      <c r="Q846" s="118"/>
      <c r="R846" s="119"/>
      <c r="U846" s="118"/>
      <c r="V846" s="119"/>
    </row>
    <row r="847" spans="1:22" x14ac:dyDescent="0.3">
      <c r="A847" s="118"/>
      <c r="B847" s="119"/>
      <c r="E847" s="118"/>
      <c r="F847" s="119"/>
      <c r="I847" s="118"/>
      <c r="J847" s="119"/>
      <c r="M847" s="118"/>
      <c r="N847" s="119"/>
      <c r="Q847" s="118"/>
      <c r="R847" s="119"/>
      <c r="U847" s="118"/>
      <c r="V847" s="119"/>
    </row>
    <row r="848" spans="1:22" x14ac:dyDescent="0.3">
      <c r="A848" s="118"/>
      <c r="B848" s="119"/>
      <c r="E848" s="118"/>
      <c r="F848" s="119"/>
      <c r="I848" s="118"/>
      <c r="J848" s="119"/>
      <c r="M848" s="118"/>
      <c r="N848" s="119"/>
      <c r="Q848" s="118"/>
      <c r="R848" s="119"/>
      <c r="U848" s="118"/>
      <c r="V848" s="119"/>
    </row>
    <row r="849" spans="1:22" x14ac:dyDescent="0.3">
      <c r="A849" s="118"/>
      <c r="B849" s="119"/>
      <c r="E849" s="118"/>
      <c r="F849" s="119"/>
      <c r="I849" s="118"/>
      <c r="J849" s="119"/>
      <c r="M849" s="118"/>
      <c r="N849" s="119"/>
      <c r="Q849" s="118"/>
      <c r="R849" s="119"/>
      <c r="U849" s="118"/>
      <c r="V849" s="119"/>
    </row>
    <row r="850" spans="1:22" x14ac:dyDescent="0.3">
      <c r="A850" s="118"/>
      <c r="B850" s="119"/>
      <c r="E850" s="118"/>
      <c r="F850" s="119"/>
      <c r="I850" s="118"/>
      <c r="J850" s="119"/>
      <c r="M850" s="118"/>
      <c r="N850" s="119"/>
      <c r="Q850" s="118"/>
      <c r="R850" s="119"/>
      <c r="U850" s="118"/>
      <c r="V850" s="119"/>
    </row>
    <row r="851" spans="1:22" x14ac:dyDescent="0.3">
      <c r="A851" s="118"/>
      <c r="B851" s="119"/>
      <c r="E851" s="118"/>
      <c r="F851" s="119"/>
      <c r="I851" s="118"/>
      <c r="J851" s="119"/>
      <c r="M851" s="118"/>
      <c r="N851" s="119"/>
      <c r="Q851" s="118"/>
      <c r="R851" s="119"/>
      <c r="U851" s="118"/>
      <c r="V851" s="119"/>
    </row>
    <row r="852" spans="1:22" x14ac:dyDescent="0.3">
      <c r="A852" s="118"/>
      <c r="B852" s="119"/>
      <c r="E852" s="118"/>
      <c r="F852" s="119"/>
      <c r="I852" s="118"/>
      <c r="J852" s="119"/>
      <c r="M852" s="118"/>
      <c r="N852" s="119"/>
      <c r="Q852" s="118"/>
      <c r="R852" s="119"/>
      <c r="U852" s="118"/>
      <c r="V852" s="119"/>
    </row>
    <row r="853" spans="1:22" x14ac:dyDescent="0.3">
      <c r="A853" s="118"/>
      <c r="B853" s="119"/>
      <c r="E853" s="118"/>
      <c r="F853" s="119"/>
      <c r="I853" s="118"/>
      <c r="J853" s="119"/>
      <c r="M853" s="118"/>
      <c r="N853" s="119"/>
      <c r="Q853" s="118"/>
      <c r="R853" s="119"/>
      <c r="U853" s="118"/>
      <c r="V853" s="119"/>
    </row>
    <row r="854" spans="1:22" x14ac:dyDescent="0.3">
      <c r="A854" s="118"/>
      <c r="B854" s="119"/>
      <c r="E854" s="118"/>
      <c r="F854" s="119"/>
      <c r="I854" s="118"/>
      <c r="J854" s="119"/>
      <c r="M854" s="118"/>
      <c r="N854" s="119"/>
      <c r="Q854" s="118"/>
      <c r="R854" s="119"/>
      <c r="U854" s="118"/>
      <c r="V854" s="119"/>
    </row>
    <row r="855" spans="1:22" x14ac:dyDescent="0.3">
      <c r="A855" s="118"/>
      <c r="B855" s="119"/>
      <c r="E855" s="118"/>
      <c r="F855" s="119"/>
      <c r="I855" s="118"/>
      <c r="J855" s="119"/>
      <c r="M855" s="118"/>
      <c r="N855" s="119"/>
      <c r="Q855" s="118"/>
      <c r="R855" s="119"/>
      <c r="U855" s="118"/>
      <c r="V855" s="119"/>
    </row>
    <row r="856" spans="1:22" x14ac:dyDescent="0.3">
      <c r="A856" s="118"/>
      <c r="B856" s="119"/>
      <c r="E856" s="118"/>
      <c r="F856" s="119"/>
      <c r="I856" s="118"/>
      <c r="J856" s="119"/>
      <c r="M856" s="118"/>
      <c r="N856" s="119"/>
      <c r="Q856" s="118"/>
      <c r="R856" s="119"/>
      <c r="U856" s="118"/>
      <c r="V856" s="119"/>
    </row>
    <row r="857" spans="1:22" x14ac:dyDescent="0.3">
      <c r="A857" s="118"/>
      <c r="B857" s="119"/>
      <c r="E857" s="118"/>
      <c r="F857" s="119"/>
      <c r="I857" s="118"/>
      <c r="J857" s="119"/>
      <c r="M857" s="118"/>
      <c r="N857" s="119"/>
      <c r="Q857" s="118"/>
      <c r="R857" s="119"/>
      <c r="U857" s="118"/>
      <c r="V857" s="119"/>
    </row>
    <row r="858" spans="1:22" x14ac:dyDescent="0.3">
      <c r="A858" s="118"/>
      <c r="B858" s="119"/>
      <c r="E858" s="118"/>
      <c r="F858" s="119"/>
      <c r="I858" s="118"/>
      <c r="J858" s="119"/>
      <c r="M858" s="118"/>
      <c r="N858" s="119"/>
      <c r="Q858" s="118"/>
      <c r="R858" s="119"/>
      <c r="U858" s="118"/>
      <c r="V858" s="119"/>
    </row>
    <row r="859" spans="1:22" x14ac:dyDescent="0.3">
      <c r="A859" s="118"/>
      <c r="B859" s="119"/>
      <c r="E859" s="118"/>
      <c r="F859" s="119"/>
      <c r="I859" s="118"/>
      <c r="J859" s="119"/>
      <c r="M859" s="118"/>
      <c r="N859" s="119"/>
      <c r="Q859" s="118"/>
      <c r="R859" s="119"/>
      <c r="U859" s="118"/>
      <c r="V859" s="119"/>
    </row>
    <row r="860" spans="1:22" x14ac:dyDescent="0.3">
      <c r="A860" s="118"/>
      <c r="B860" s="119"/>
      <c r="E860" s="118"/>
      <c r="F860" s="119"/>
      <c r="I860" s="118"/>
      <c r="J860" s="119"/>
      <c r="M860" s="118"/>
      <c r="N860" s="119"/>
      <c r="Q860" s="118"/>
      <c r="R860" s="119"/>
      <c r="U860" s="118"/>
      <c r="V860" s="119"/>
    </row>
    <row r="861" spans="1:22" x14ac:dyDescent="0.3">
      <c r="A861" s="118"/>
      <c r="B861" s="119"/>
      <c r="E861" s="118"/>
      <c r="F861" s="119"/>
      <c r="I861" s="118"/>
      <c r="J861" s="119"/>
      <c r="M861" s="118"/>
      <c r="N861" s="119"/>
      <c r="Q861" s="118"/>
      <c r="R861" s="119"/>
      <c r="U861" s="118"/>
      <c r="V861" s="119"/>
    </row>
    <row r="862" spans="1:22" x14ac:dyDescent="0.3">
      <c r="A862" s="118"/>
      <c r="B862" s="119"/>
      <c r="E862" s="118"/>
      <c r="F862" s="119"/>
      <c r="I862" s="118"/>
      <c r="J862" s="119"/>
      <c r="M862" s="118"/>
      <c r="N862" s="119"/>
      <c r="Q862" s="118"/>
      <c r="R862" s="119"/>
      <c r="U862" s="118"/>
      <c r="V862" s="119"/>
    </row>
    <row r="863" spans="1:22" x14ac:dyDescent="0.3">
      <c r="A863" s="118"/>
      <c r="B863" s="119"/>
      <c r="E863" s="118"/>
      <c r="F863" s="119"/>
      <c r="I863" s="118"/>
      <c r="J863" s="119"/>
      <c r="M863" s="118"/>
      <c r="N863" s="119"/>
      <c r="Q863" s="118"/>
      <c r="R863" s="119"/>
      <c r="U863" s="118"/>
      <c r="V863" s="119"/>
    </row>
    <row r="864" spans="1:22" x14ac:dyDescent="0.3">
      <c r="A864" s="118"/>
      <c r="B864" s="119"/>
      <c r="E864" s="118"/>
      <c r="F864" s="119"/>
      <c r="I864" s="118"/>
      <c r="J864" s="119"/>
      <c r="M864" s="118"/>
      <c r="N864" s="119"/>
      <c r="Q864" s="118"/>
      <c r="R864" s="119"/>
      <c r="U864" s="118"/>
      <c r="V864" s="119"/>
    </row>
    <row r="865" spans="1:22" x14ac:dyDescent="0.3">
      <c r="A865" s="118"/>
      <c r="B865" s="119"/>
      <c r="E865" s="118"/>
      <c r="F865" s="119"/>
      <c r="I865" s="118"/>
      <c r="J865" s="119"/>
      <c r="M865" s="118"/>
      <c r="N865" s="119"/>
      <c r="Q865" s="118"/>
      <c r="R865" s="119"/>
      <c r="U865" s="118"/>
      <c r="V865" s="119"/>
    </row>
    <row r="866" spans="1:22" x14ac:dyDescent="0.3">
      <c r="A866" s="118"/>
      <c r="B866" s="119"/>
      <c r="E866" s="118"/>
      <c r="F866" s="119"/>
      <c r="I866" s="118"/>
      <c r="J866" s="119"/>
      <c r="M866" s="118"/>
      <c r="N866" s="119"/>
      <c r="Q866" s="118"/>
      <c r="R866" s="119"/>
      <c r="U866" s="118"/>
      <c r="V866" s="119"/>
    </row>
    <row r="867" spans="1:22" x14ac:dyDescent="0.3">
      <c r="A867" s="118"/>
      <c r="B867" s="119"/>
      <c r="E867" s="118"/>
      <c r="F867" s="119"/>
      <c r="I867" s="118"/>
      <c r="J867" s="119"/>
      <c r="M867" s="118"/>
      <c r="N867" s="119"/>
      <c r="Q867" s="118"/>
      <c r="R867" s="119"/>
      <c r="U867" s="118"/>
      <c r="V867" s="119"/>
    </row>
    <row r="868" spans="1:22" x14ac:dyDescent="0.3">
      <c r="A868" s="118"/>
      <c r="B868" s="119"/>
      <c r="E868" s="118"/>
      <c r="F868" s="119"/>
      <c r="I868" s="118"/>
      <c r="J868" s="119"/>
      <c r="M868" s="118"/>
      <c r="N868" s="119"/>
      <c r="Q868" s="118"/>
      <c r="R868" s="119"/>
      <c r="U868" s="118"/>
      <c r="V868" s="119"/>
    </row>
    <row r="869" spans="1:22" x14ac:dyDescent="0.3">
      <c r="A869" s="118"/>
      <c r="B869" s="119"/>
      <c r="E869" s="118"/>
      <c r="F869" s="119"/>
      <c r="I869" s="118"/>
      <c r="J869" s="119"/>
      <c r="M869" s="118"/>
      <c r="N869" s="119"/>
      <c r="Q869" s="118"/>
      <c r="R869" s="119"/>
      <c r="U869" s="118"/>
      <c r="V869" s="119"/>
    </row>
    <row r="870" spans="1:22" x14ac:dyDescent="0.3">
      <c r="A870" s="118"/>
      <c r="B870" s="119"/>
      <c r="E870" s="118"/>
      <c r="F870" s="119"/>
      <c r="I870" s="118"/>
      <c r="J870" s="119"/>
      <c r="M870" s="118"/>
      <c r="N870" s="119"/>
      <c r="Q870" s="118"/>
      <c r="R870" s="119"/>
      <c r="U870" s="118"/>
      <c r="V870" s="119"/>
    </row>
    <row r="871" spans="1:22" x14ac:dyDescent="0.3">
      <c r="A871" s="118"/>
      <c r="B871" s="119"/>
      <c r="E871" s="118"/>
      <c r="F871" s="119"/>
      <c r="I871" s="118"/>
      <c r="J871" s="119"/>
      <c r="M871" s="118"/>
      <c r="N871" s="119"/>
      <c r="Q871" s="118"/>
      <c r="R871" s="119"/>
      <c r="U871" s="118"/>
      <c r="V871" s="119"/>
    </row>
    <row r="872" spans="1:22" x14ac:dyDescent="0.3">
      <c r="A872" s="118"/>
      <c r="B872" s="119"/>
      <c r="E872" s="118"/>
      <c r="F872" s="119"/>
      <c r="I872" s="118"/>
      <c r="J872" s="119"/>
      <c r="M872" s="118"/>
      <c r="N872" s="119"/>
      <c r="Q872" s="118"/>
      <c r="R872" s="119"/>
      <c r="U872" s="118"/>
      <c r="V872" s="119"/>
    </row>
    <row r="873" spans="1:22" x14ac:dyDescent="0.3">
      <c r="A873" s="118"/>
      <c r="B873" s="119"/>
      <c r="E873" s="118"/>
      <c r="F873" s="119"/>
      <c r="I873" s="118"/>
      <c r="J873" s="119"/>
      <c r="M873" s="118"/>
      <c r="N873" s="119"/>
      <c r="Q873" s="118"/>
      <c r="R873" s="119"/>
      <c r="U873" s="118"/>
      <c r="V873" s="119"/>
    </row>
    <row r="874" spans="1:22" x14ac:dyDescent="0.3">
      <c r="A874" s="118"/>
      <c r="B874" s="119"/>
      <c r="E874" s="118"/>
      <c r="F874" s="119"/>
      <c r="I874" s="118"/>
      <c r="J874" s="119"/>
      <c r="M874" s="118"/>
      <c r="N874" s="119"/>
      <c r="Q874" s="118"/>
      <c r="R874" s="119"/>
      <c r="U874" s="118"/>
      <c r="V874" s="119"/>
    </row>
    <row r="875" spans="1:22" x14ac:dyDescent="0.3">
      <c r="A875" s="118"/>
      <c r="B875" s="119"/>
      <c r="E875" s="118"/>
      <c r="F875" s="119"/>
      <c r="I875" s="118"/>
      <c r="J875" s="119"/>
      <c r="M875" s="118"/>
      <c r="N875" s="119"/>
      <c r="Q875" s="118"/>
      <c r="R875" s="119"/>
      <c r="U875" s="118"/>
      <c r="V875" s="119"/>
    </row>
    <row r="876" spans="1:22" x14ac:dyDescent="0.3">
      <c r="A876" s="118"/>
      <c r="B876" s="119"/>
      <c r="E876" s="118"/>
      <c r="F876" s="119"/>
      <c r="I876" s="118"/>
      <c r="J876" s="119"/>
      <c r="M876" s="118"/>
      <c r="N876" s="119"/>
      <c r="Q876" s="118"/>
      <c r="R876" s="119"/>
      <c r="U876" s="118"/>
      <c r="V876" s="119"/>
    </row>
    <row r="877" spans="1:22" x14ac:dyDescent="0.3">
      <c r="A877" s="118"/>
      <c r="B877" s="119"/>
      <c r="E877" s="118"/>
      <c r="F877" s="119"/>
      <c r="I877" s="118"/>
      <c r="J877" s="119"/>
      <c r="M877" s="118"/>
      <c r="N877" s="119"/>
      <c r="Q877" s="118"/>
      <c r="R877" s="119"/>
      <c r="U877" s="118"/>
      <c r="V877" s="119"/>
    </row>
    <row r="878" spans="1:22" x14ac:dyDescent="0.3">
      <c r="A878" s="118"/>
      <c r="B878" s="119"/>
      <c r="E878" s="118"/>
      <c r="F878" s="119"/>
      <c r="I878" s="118"/>
      <c r="J878" s="119"/>
      <c r="M878" s="118"/>
      <c r="N878" s="119"/>
      <c r="Q878" s="118"/>
      <c r="R878" s="119"/>
      <c r="U878" s="118"/>
      <c r="V878" s="119"/>
    </row>
    <row r="879" spans="1:22" x14ac:dyDescent="0.3">
      <c r="A879" s="118"/>
      <c r="B879" s="119"/>
      <c r="E879" s="118"/>
      <c r="F879" s="119"/>
      <c r="I879" s="118"/>
      <c r="J879" s="119"/>
      <c r="M879" s="118"/>
      <c r="N879" s="119"/>
      <c r="Q879" s="118"/>
      <c r="R879" s="119"/>
      <c r="U879" s="118"/>
      <c r="V879" s="119"/>
    </row>
    <row r="880" spans="1:22" x14ac:dyDescent="0.3">
      <c r="A880" s="118"/>
      <c r="B880" s="119"/>
      <c r="E880" s="118"/>
      <c r="F880" s="119"/>
      <c r="I880" s="118"/>
      <c r="J880" s="119"/>
      <c r="M880" s="118"/>
      <c r="N880" s="119"/>
      <c r="Q880" s="118"/>
      <c r="R880" s="119"/>
      <c r="U880" s="118"/>
      <c r="V880" s="119"/>
    </row>
    <row r="881" spans="1:22" x14ac:dyDescent="0.3">
      <c r="A881" s="118"/>
      <c r="B881" s="119"/>
      <c r="E881" s="118"/>
      <c r="F881" s="119"/>
      <c r="I881" s="118"/>
      <c r="J881" s="119"/>
      <c r="M881" s="118"/>
      <c r="N881" s="119"/>
      <c r="Q881" s="118"/>
      <c r="R881" s="119"/>
      <c r="U881" s="118"/>
      <c r="V881" s="119"/>
    </row>
    <row r="882" spans="1:22" x14ac:dyDescent="0.3">
      <c r="A882" s="118"/>
      <c r="B882" s="119"/>
      <c r="E882" s="118"/>
      <c r="F882" s="119"/>
      <c r="I882" s="118"/>
      <c r="J882" s="119"/>
      <c r="M882" s="118"/>
      <c r="N882" s="119"/>
      <c r="Q882" s="118"/>
      <c r="R882" s="119"/>
      <c r="U882" s="118"/>
      <c r="V882" s="119"/>
    </row>
    <row r="883" spans="1:22" x14ac:dyDescent="0.3">
      <c r="A883" s="118"/>
      <c r="B883" s="119"/>
      <c r="E883" s="118"/>
      <c r="F883" s="119"/>
      <c r="I883" s="118"/>
      <c r="J883" s="119"/>
      <c r="M883" s="118"/>
      <c r="N883" s="119"/>
      <c r="Q883" s="118"/>
      <c r="R883" s="119"/>
      <c r="U883" s="118"/>
      <c r="V883" s="119"/>
    </row>
    <row r="884" spans="1:22" x14ac:dyDescent="0.3">
      <c r="A884" s="118"/>
      <c r="B884" s="119"/>
      <c r="E884" s="118"/>
      <c r="F884" s="119"/>
      <c r="I884" s="118"/>
      <c r="J884" s="119"/>
      <c r="M884" s="118"/>
      <c r="N884" s="119"/>
      <c r="Q884" s="118"/>
      <c r="R884" s="119"/>
      <c r="U884" s="118"/>
      <c r="V884" s="119"/>
    </row>
    <row r="885" spans="1:22" x14ac:dyDescent="0.3">
      <c r="A885" s="118"/>
      <c r="B885" s="119"/>
      <c r="E885" s="118"/>
      <c r="F885" s="119"/>
      <c r="I885" s="118"/>
      <c r="J885" s="119"/>
      <c r="M885" s="118"/>
      <c r="N885" s="119"/>
      <c r="Q885" s="118"/>
      <c r="R885" s="119"/>
      <c r="U885" s="118"/>
      <c r="V885" s="119"/>
    </row>
    <row r="886" spans="1:22" x14ac:dyDescent="0.3">
      <c r="A886" s="118"/>
      <c r="B886" s="119"/>
      <c r="E886" s="118"/>
      <c r="F886" s="119"/>
      <c r="I886" s="118"/>
      <c r="J886" s="119"/>
      <c r="M886" s="118"/>
      <c r="N886" s="119"/>
      <c r="Q886" s="118"/>
      <c r="R886" s="119"/>
      <c r="U886" s="118"/>
      <c r="V886" s="119"/>
    </row>
    <row r="887" spans="1:22" x14ac:dyDescent="0.3">
      <c r="A887" s="118"/>
      <c r="B887" s="119"/>
      <c r="E887" s="118"/>
      <c r="F887" s="119"/>
      <c r="I887" s="118"/>
      <c r="J887" s="119"/>
      <c r="M887" s="118"/>
      <c r="N887" s="119"/>
      <c r="Q887" s="118"/>
      <c r="R887" s="119"/>
      <c r="U887" s="118"/>
      <c r="V887" s="119"/>
    </row>
    <row r="888" spans="1:22" x14ac:dyDescent="0.3">
      <c r="A888" s="118"/>
      <c r="B888" s="119"/>
      <c r="E888" s="118"/>
      <c r="F888" s="119"/>
      <c r="I888" s="118"/>
      <c r="J888" s="119"/>
      <c r="M888" s="118"/>
      <c r="N888" s="119"/>
      <c r="Q888" s="118"/>
      <c r="R888" s="119"/>
      <c r="U888" s="118"/>
      <c r="V888" s="119"/>
    </row>
    <row r="889" spans="1:22" x14ac:dyDescent="0.3">
      <c r="A889" s="118"/>
      <c r="B889" s="119"/>
      <c r="E889" s="118"/>
      <c r="F889" s="119"/>
      <c r="I889" s="118"/>
      <c r="J889" s="119"/>
      <c r="M889" s="118"/>
      <c r="N889" s="119"/>
      <c r="Q889" s="118"/>
      <c r="R889" s="119"/>
      <c r="U889" s="118"/>
      <c r="V889" s="119"/>
    </row>
    <row r="890" spans="1:22" x14ac:dyDescent="0.3">
      <c r="A890" s="118"/>
      <c r="B890" s="119"/>
      <c r="E890" s="118"/>
      <c r="F890" s="119"/>
      <c r="I890" s="118"/>
      <c r="J890" s="119"/>
      <c r="M890" s="118"/>
      <c r="N890" s="119"/>
      <c r="Q890" s="118"/>
      <c r="R890" s="119"/>
      <c r="U890" s="118"/>
      <c r="V890" s="119"/>
    </row>
    <row r="891" spans="1:22" x14ac:dyDescent="0.3">
      <c r="A891" s="118"/>
      <c r="B891" s="119"/>
      <c r="E891" s="118"/>
      <c r="F891" s="119"/>
      <c r="I891" s="118"/>
      <c r="J891" s="119"/>
      <c r="M891" s="118"/>
      <c r="N891" s="119"/>
      <c r="Q891" s="118"/>
      <c r="R891" s="119"/>
      <c r="U891" s="118"/>
      <c r="V891" s="119"/>
    </row>
    <row r="892" spans="1:22" x14ac:dyDescent="0.3">
      <c r="A892" s="118"/>
      <c r="B892" s="119"/>
      <c r="E892" s="118"/>
      <c r="F892" s="119"/>
      <c r="I892" s="118"/>
      <c r="J892" s="119"/>
      <c r="M892" s="118"/>
      <c r="N892" s="119"/>
      <c r="Q892" s="118"/>
      <c r="R892" s="119"/>
      <c r="U892" s="118"/>
      <c r="V892" s="119"/>
    </row>
    <row r="893" spans="1:22" x14ac:dyDescent="0.3">
      <c r="A893" s="118"/>
      <c r="B893" s="119"/>
      <c r="E893" s="118"/>
      <c r="F893" s="119"/>
      <c r="I893" s="118"/>
      <c r="J893" s="119"/>
      <c r="M893" s="118"/>
      <c r="N893" s="119"/>
      <c r="Q893" s="118"/>
      <c r="R893" s="119"/>
      <c r="U893" s="118"/>
      <c r="V893" s="119"/>
    </row>
    <row r="894" spans="1:22" x14ac:dyDescent="0.3">
      <c r="A894" s="118"/>
      <c r="B894" s="119"/>
      <c r="E894" s="118"/>
      <c r="F894" s="119"/>
      <c r="I894" s="118"/>
      <c r="J894" s="119"/>
      <c r="M894" s="118"/>
      <c r="N894" s="119"/>
      <c r="Q894" s="118"/>
      <c r="R894" s="119"/>
      <c r="U894" s="118"/>
      <c r="V894" s="119"/>
    </row>
    <row r="895" spans="1:22" x14ac:dyDescent="0.3">
      <c r="A895" s="118"/>
      <c r="B895" s="119"/>
      <c r="E895" s="118"/>
      <c r="F895" s="119"/>
      <c r="I895" s="118"/>
      <c r="J895" s="119"/>
      <c r="M895" s="118"/>
      <c r="N895" s="119"/>
      <c r="Q895" s="118"/>
      <c r="R895" s="119"/>
      <c r="U895" s="118"/>
      <c r="V895" s="119"/>
    </row>
    <row r="896" spans="1:22" x14ac:dyDescent="0.3">
      <c r="A896" s="118"/>
      <c r="B896" s="119"/>
      <c r="E896" s="118"/>
      <c r="F896" s="119"/>
      <c r="I896" s="118"/>
      <c r="J896" s="119"/>
      <c r="M896" s="118"/>
      <c r="N896" s="119"/>
      <c r="Q896" s="118"/>
      <c r="R896" s="119"/>
      <c r="U896" s="118"/>
      <c r="V896" s="119"/>
    </row>
    <row r="897" spans="1:22" x14ac:dyDescent="0.3">
      <c r="A897" s="118"/>
      <c r="B897" s="119"/>
      <c r="E897" s="118"/>
      <c r="F897" s="119"/>
      <c r="I897" s="118"/>
      <c r="J897" s="119"/>
      <c r="M897" s="118"/>
      <c r="N897" s="119"/>
      <c r="Q897" s="118"/>
      <c r="R897" s="119"/>
      <c r="U897" s="118"/>
      <c r="V897" s="119"/>
    </row>
    <row r="898" spans="1:22" x14ac:dyDescent="0.3">
      <c r="A898" s="118"/>
      <c r="B898" s="119"/>
      <c r="E898" s="118"/>
      <c r="F898" s="119"/>
      <c r="I898" s="118"/>
      <c r="J898" s="119"/>
      <c r="M898" s="118"/>
      <c r="N898" s="119"/>
      <c r="Q898" s="118"/>
      <c r="R898" s="119"/>
      <c r="U898" s="118"/>
      <c r="V898" s="119"/>
    </row>
    <row r="899" spans="1:22" x14ac:dyDescent="0.3">
      <c r="A899" s="118"/>
      <c r="B899" s="119"/>
      <c r="E899" s="118"/>
      <c r="F899" s="119"/>
      <c r="I899" s="118"/>
      <c r="J899" s="119"/>
      <c r="M899" s="118"/>
      <c r="N899" s="119"/>
      <c r="Q899" s="118"/>
      <c r="R899" s="119"/>
      <c r="U899" s="118"/>
      <c r="V899" s="119"/>
    </row>
    <row r="900" spans="1:22" x14ac:dyDescent="0.3">
      <c r="A900" s="118"/>
      <c r="B900" s="119"/>
      <c r="E900" s="118"/>
      <c r="F900" s="119"/>
      <c r="I900" s="118"/>
      <c r="J900" s="119"/>
      <c r="M900" s="118"/>
      <c r="N900" s="119"/>
      <c r="Q900" s="118"/>
      <c r="R900" s="119"/>
      <c r="U900" s="118"/>
      <c r="V900" s="119"/>
    </row>
    <row r="901" spans="1:22" x14ac:dyDescent="0.3">
      <c r="A901" s="118"/>
      <c r="B901" s="119"/>
      <c r="E901" s="118"/>
      <c r="F901" s="119"/>
      <c r="I901" s="118"/>
      <c r="J901" s="119"/>
      <c r="M901" s="118"/>
      <c r="N901" s="119"/>
      <c r="Q901" s="118"/>
      <c r="R901" s="119"/>
      <c r="U901" s="118"/>
      <c r="V901" s="119"/>
    </row>
    <row r="902" spans="1:22" x14ac:dyDescent="0.3">
      <c r="A902" s="118"/>
      <c r="B902" s="119"/>
      <c r="E902" s="118"/>
      <c r="F902" s="119"/>
      <c r="I902" s="118"/>
      <c r="J902" s="119"/>
      <c r="M902" s="118"/>
      <c r="N902" s="119"/>
      <c r="Q902" s="118"/>
      <c r="R902" s="119"/>
      <c r="U902" s="118"/>
      <c r="V902" s="119"/>
    </row>
    <row r="903" spans="1:22" x14ac:dyDescent="0.3">
      <c r="A903" s="118"/>
      <c r="B903" s="119"/>
      <c r="E903" s="118"/>
      <c r="F903" s="119"/>
      <c r="I903" s="118"/>
      <c r="J903" s="119"/>
      <c r="M903" s="118"/>
      <c r="N903" s="119"/>
      <c r="Q903" s="118"/>
      <c r="R903" s="119"/>
      <c r="U903" s="118"/>
      <c r="V903" s="119"/>
    </row>
    <row r="904" spans="1:22" x14ac:dyDescent="0.3">
      <c r="A904" s="118"/>
      <c r="B904" s="119"/>
      <c r="E904" s="118"/>
      <c r="F904" s="119"/>
      <c r="I904" s="118"/>
      <c r="J904" s="119"/>
      <c r="M904" s="118"/>
      <c r="N904" s="119"/>
      <c r="Q904" s="118"/>
      <c r="R904" s="119"/>
      <c r="U904" s="118"/>
      <c r="V904" s="119"/>
    </row>
    <row r="905" spans="1:22" x14ac:dyDescent="0.3">
      <c r="A905" s="118"/>
      <c r="B905" s="119"/>
      <c r="E905" s="118"/>
      <c r="F905" s="119"/>
      <c r="I905" s="118"/>
      <c r="J905" s="119"/>
      <c r="M905" s="118"/>
      <c r="N905" s="119"/>
      <c r="Q905" s="118"/>
      <c r="R905" s="119"/>
      <c r="U905" s="118"/>
      <c r="V905" s="119"/>
    </row>
    <row r="906" spans="1:22" x14ac:dyDescent="0.3">
      <c r="A906" s="118"/>
      <c r="B906" s="119"/>
      <c r="E906" s="118"/>
      <c r="F906" s="119"/>
      <c r="I906" s="118"/>
      <c r="J906" s="119"/>
      <c r="M906" s="118"/>
      <c r="N906" s="119"/>
      <c r="Q906" s="118"/>
      <c r="R906" s="119"/>
      <c r="U906" s="118"/>
      <c r="V906" s="119"/>
    </row>
    <row r="907" spans="1:22" x14ac:dyDescent="0.3">
      <c r="A907" s="118"/>
      <c r="B907" s="119"/>
      <c r="E907" s="118"/>
      <c r="F907" s="119"/>
      <c r="I907" s="118"/>
      <c r="J907" s="119"/>
      <c r="M907" s="118"/>
      <c r="N907" s="119"/>
      <c r="Q907" s="118"/>
      <c r="R907" s="119"/>
      <c r="U907" s="118"/>
      <c r="V907" s="119"/>
    </row>
    <row r="908" spans="1:22" x14ac:dyDescent="0.3">
      <c r="A908" s="118"/>
      <c r="B908" s="119"/>
      <c r="E908" s="118"/>
      <c r="F908" s="119"/>
      <c r="I908" s="118"/>
      <c r="J908" s="119"/>
      <c r="M908" s="118"/>
      <c r="N908" s="119"/>
      <c r="Q908" s="118"/>
      <c r="R908" s="119"/>
      <c r="U908" s="118"/>
      <c r="V908" s="119"/>
    </row>
    <row r="909" spans="1:22" x14ac:dyDescent="0.3">
      <c r="A909" s="118"/>
      <c r="B909" s="119"/>
      <c r="E909" s="118"/>
      <c r="F909" s="119"/>
      <c r="I909" s="118"/>
      <c r="J909" s="119"/>
      <c r="M909" s="118"/>
      <c r="N909" s="119"/>
      <c r="Q909" s="118"/>
      <c r="R909" s="119"/>
      <c r="U909" s="118"/>
      <c r="V909" s="119"/>
    </row>
    <row r="910" spans="1:22" x14ac:dyDescent="0.3">
      <c r="A910" s="118"/>
      <c r="B910" s="119"/>
      <c r="E910" s="118"/>
      <c r="F910" s="119"/>
      <c r="I910" s="118"/>
      <c r="J910" s="119"/>
      <c r="M910" s="118"/>
      <c r="N910" s="119"/>
      <c r="Q910" s="118"/>
      <c r="R910" s="119"/>
      <c r="U910" s="118"/>
      <c r="V910" s="119"/>
    </row>
    <row r="911" spans="1:22" x14ac:dyDescent="0.3">
      <c r="A911" s="118"/>
      <c r="B911" s="119"/>
      <c r="E911" s="118"/>
      <c r="F911" s="119"/>
      <c r="I911" s="118"/>
      <c r="J911" s="119"/>
      <c r="M911" s="118"/>
      <c r="N911" s="119"/>
      <c r="Q911" s="118"/>
      <c r="R911" s="119"/>
      <c r="U911" s="118"/>
      <c r="V911" s="119"/>
    </row>
    <row r="912" spans="1:22" x14ac:dyDescent="0.3">
      <c r="A912" s="118"/>
      <c r="B912" s="119"/>
      <c r="E912" s="118"/>
      <c r="F912" s="119"/>
      <c r="I912" s="118"/>
      <c r="J912" s="119"/>
      <c r="M912" s="118"/>
      <c r="N912" s="119"/>
      <c r="Q912" s="118"/>
      <c r="R912" s="119"/>
      <c r="U912" s="118"/>
      <c r="V912" s="119"/>
    </row>
    <row r="913" spans="1:22" x14ac:dyDescent="0.3">
      <c r="A913" s="118"/>
      <c r="B913" s="119"/>
      <c r="E913" s="118"/>
      <c r="F913" s="119"/>
      <c r="I913" s="118"/>
      <c r="J913" s="119"/>
      <c r="M913" s="118"/>
      <c r="N913" s="119"/>
      <c r="Q913" s="118"/>
      <c r="R913" s="119"/>
      <c r="U913" s="118"/>
      <c r="V913" s="119"/>
    </row>
    <row r="914" spans="1:22" x14ac:dyDescent="0.3">
      <c r="A914" s="118"/>
      <c r="B914" s="119"/>
      <c r="E914" s="118"/>
      <c r="F914" s="119"/>
      <c r="I914" s="118"/>
      <c r="J914" s="119"/>
      <c r="M914" s="118"/>
      <c r="N914" s="119"/>
      <c r="Q914" s="118"/>
      <c r="R914" s="119"/>
      <c r="U914" s="118"/>
      <c r="V914" s="119"/>
    </row>
    <row r="915" spans="1:22" x14ac:dyDescent="0.3">
      <c r="A915" s="118"/>
      <c r="B915" s="119"/>
      <c r="E915" s="118"/>
      <c r="F915" s="119"/>
      <c r="I915" s="118"/>
      <c r="J915" s="119"/>
      <c r="M915" s="118"/>
      <c r="N915" s="119"/>
      <c r="Q915" s="118"/>
      <c r="R915" s="119"/>
      <c r="U915" s="118"/>
      <c r="V915" s="119"/>
    </row>
    <row r="916" spans="1:22" x14ac:dyDescent="0.3">
      <c r="A916" s="118"/>
      <c r="B916" s="119"/>
      <c r="E916" s="118"/>
      <c r="F916" s="119"/>
      <c r="I916" s="118"/>
      <c r="J916" s="119"/>
      <c r="M916" s="118"/>
      <c r="N916" s="119"/>
      <c r="Q916" s="118"/>
      <c r="R916" s="119"/>
      <c r="U916" s="118"/>
      <c r="V916" s="119"/>
    </row>
    <row r="917" spans="1:22" x14ac:dyDescent="0.3">
      <c r="A917" s="118"/>
      <c r="B917" s="119"/>
      <c r="E917" s="118"/>
      <c r="F917" s="119"/>
      <c r="I917" s="118"/>
      <c r="J917" s="119"/>
      <c r="M917" s="118"/>
      <c r="N917" s="119"/>
      <c r="Q917" s="118"/>
      <c r="R917" s="119"/>
      <c r="U917" s="118"/>
      <c r="V917" s="119"/>
    </row>
    <row r="918" spans="1:22" x14ac:dyDescent="0.3">
      <c r="A918" s="118"/>
      <c r="B918" s="119"/>
      <c r="E918" s="118"/>
      <c r="F918" s="119"/>
      <c r="I918" s="118"/>
      <c r="J918" s="119"/>
      <c r="M918" s="118"/>
      <c r="N918" s="119"/>
      <c r="Q918" s="118"/>
      <c r="R918" s="119"/>
      <c r="U918" s="118"/>
      <c r="V918" s="119"/>
    </row>
    <row r="919" spans="1:22" x14ac:dyDescent="0.3">
      <c r="A919" s="118"/>
      <c r="B919" s="119"/>
      <c r="E919" s="118"/>
      <c r="F919" s="119"/>
      <c r="I919" s="118"/>
      <c r="J919" s="119"/>
      <c r="M919" s="118"/>
      <c r="N919" s="119"/>
      <c r="Q919" s="118"/>
      <c r="R919" s="119"/>
      <c r="U919" s="118"/>
      <c r="V919" s="119"/>
    </row>
    <row r="920" spans="1:22" x14ac:dyDescent="0.3">
      <c r="A920" s="118"/>
      <c r="B920" s="119"/>
      <c r="E920" s="118"/>
      <c r="F920" s="119"/>
      <c r="I920" s="118"/>
      <c r="J920" s="119"/>
      <c r="M920" s="118"/>
      <c r="N920" s="119"/>
      <c r="Q920" s="118"/>
      <c r="R920" s="119"/>
      <c r="U920" s="118"/>
      <c r="V920" s="119"/>
    </row>
    <row r="921" spans="1:22" x14ac:dyDescent="0.3">
      <c r="A921" s="118"/>
      <c r="B921" s="119"/>
      <c r="E921" s="118"/>
      <c r="F921" s="119"/>
      <c r="I921" s="118"/>
      <c r="J921" s="119"/>
      <c r="M921" s="118"/>
      <c r="N921" s="119"/>
      <c r="Q921" s="118"/>
      <c r="R921" s="119"/>
      <c r="U921" s="118"/>
      <c r="V921" s="119"/>
    </row>
    <row r="922" spans="1:22" x14ac:dyDescent="0.3">
      <c r="A922" s="118"/>
      <c r="B922" s="119"/>
      <c r="E922" s="118"/>
      <c r="F922" s="119"/>
      <c r="I922" s="118"/>
      <c r="J922" s="119"/>
      <c r="M922" s="118"/>
      <c r="N922" s="119"/>
      <c r="Q922" s="118"/>
      <c r="R922" s="119"/>
      <c r="U922" s="118"/>
      <c r="V922" s="119"/>
    </row>
    <row r="923" spans="1:22" x14ac:dyDescent="0.3">
      <c r="A923" s="118"/>
      <c r="B923" s="119"/>
      <c r="E923" s="118"/>
      <c r="F923" s="119"/>
      <c r="I923" s="118"/>
      <c r="J923" s="119"/>
      <c r="M923" s="118"/>
      <c r="N923" s="119"/>
      <c r="Q923" s="118"/>
      <c r="R923" s="119"/>
      <c r="U923" s="118"/>
      <c r="V923" s="119"/>
    </row>
    <row r="924" spans="1:22" x14ac:dyDescent="0.3">
      <c r="A924" s="118"/>
      <c r="B924" s="119"/>
      <c r="E924" s="118"/>
      <c r="F924" s="119"/>
      <c r="I924" s="118"/>
      <c r="J924" s="119"/>
      <c r="M924" s="118"/>
      <c r="N924" s="119"/>
      <c r="Q924" s="118"/>
      <c r="R924" s="119"/>
      <c r="U924" s="118"/>
      <c r="V924" s="119"/>
    </row>
    <row r="925" spans="1:22" x14ac:dyDescent="0.3">
      <c r="A925" s="118"/>
      <c r="B925" s="119"/>
      <c r="E925" s="118"/>
      <c r="F925" s="119"/>
      <c r="I925" s="118"/>
      <c r="J925" s="119"/>
      <c r="M925" s="118"/>
      <c r="N925" s="119"/>
      <c r="Q925" s="118"/>
      <c r="R925" s="119"/>
      <c r="U925" s="118"/>
      <c r="V925" s="119"/>
    </row>
    <row r="926" spans="1:22" x14ac:dyDescent="0.3">
      <c r="A926" s="118"/>
      <c r="B926" s="119"/>
      <c r="E926" s="118"/>
      <c r="F926" s="119"/>
      <c r="I926" s="118"/>
      <c r="J926" s="119"/>
      <c r="M926" s="118"/>
      <c r="N926" s="119"/>
      <c r="Q926" s="118"/>
      <c r="R926" s="119"/>
      <c r="U926" s="118"/>
      <c r="V926" s="119"/>
    </row>
    <row r="927" spans="1:22" x14ac:dyDescent="0.3">
      <c r="A927" s="118"/>
      <c r="B927" s="119"/>
      <c r="E927" s="118"/>
      <c r="F927" s="119"/>
      <c r="I927" s="118"/>
      <c r="J927" s="119"/>
      <c r="M927" s="118"/>
      <c r="N927" s="119"/>
      <c r="Q927" s="118"/>
      <c r="R927" s="119"/>
      <c r="U927" s="118"/>
      <c r="V927" s="119"/>
    </row>
    <row r="928" spans="1:22" x14ac:dyDescent="0.3">
      <c r="A928" s="118"/>
      <c r="B928" s="119"/>
      <c r="E928" s="118"/>
      <c r="F928" s="119"/>
      <c r="I928" s="118"/>
      <c r="J928" s="119"/>
      <c r="M928" s="118"/>
      <c r="N928" s="119"/>
      <c r="Q928" s="118"/>
      <c r="R928" s="119"/>
      <c r="U928" s="118"/>
      <c r="V928" s="119"/>
    </row>
    <row r="929" spans="1:22" x14ac:dyDescent="0.3">
      <c r="A929" s="118"/>
      <c r="B929" s="119"/>
      <c r="E929" s="118"/>
      <c r="F929" s="119"/>
      <c r="I929" s="118"/>
      <c r="J929" s="119"/>
      <c r="M929" s="118"/>
      <c r="N929" s="119"/>
      <c r="Q929" s="118"/>
      <c r="R929" s="119"/>
      <c r="U929" s="118"/>
      <c r="V929" s="119"/>
    </row>
    <row r="930" spans="1:22" x14ac:dyDescent="0.3">
      <c r="A930" s="118"/>
      <c r="B930" s="119"/>
      <c r="E930" s="118"/>
      <c r="F930" s="119"/>
      <c r="I930" s="118"/>
      <c r="J930" s="119"/>
      <c r="M930" s="118"/>
      <c r="N930" s="119"/>
      <c r="Q930" s="118"/>
      <c r="R930" s="119"/>
      <c r="U930" s="118"/>
      <c r="V930" s="119"/>
    </row>
    <row r="931" spans="1:22" x14ac:dyDescent="0.3">
      <c r="A931" s="118"/>
      <c r="B931" s="119"/>
      <c r="E931" s="118"/>
      <c r="F931" s="119"/>
      <c r="I931" s="118"/>
      <c r="J931" s="119"/>
      <c r="M931" s="118"/>
      <c r="N931" s="119"/>
      <c r="Q931" s="118"/>
      <c r="R931" s="119"/>
      <c r="U931" s="118"/>
      <c r="V931" s="119"/>
    </row>
    <row r="932" spans="1:22" x14ac:dyDescent="0.3">
      <c r="A932" s="118"/>
      <c r="B932" s="119"/>
      <c r="E932" s="118"/>
      <c r="F932" s="119"/>
      <c r="I932" s="118"/>
      <c r="J932" s="119"/>
      <c r="M932" s="118"/>
      <c r="N932" s="119"/>
      <c r="Q932" s="118"/>
      <c r="R932" s="119"/>
      <c r="U932" s="118"/>
      <c r="V932" s="119"/>
    </row>
    <row r="933" spans="1:22" x14ac:dyDescent="0.3">
      <c r="A933" s="118"/>
      <c r="B933" s="119"/>
      <c r="E933" s="118"/>
      <c r="F933" s="119"/>
      <c r="I933" s="118"/>
      <c r="J933" s="119"/>
      <c r="M933" s="118"/>
      <c r="N933" s="119"/>
      <c r="Q933" s="118"/>
      <c r="R933" s="119"/>
      <c r="U933" s="118"/>
      <c r="V933" s="119"/>
    </row>
    <row r="934" spans="1:22" x14ac:dyDescent="0.3">
      <c r="A934" s="118"/>
      <c r="B934" s="119"/>
      <c r="E934" s="118"/>
      <c r="F934" s="119"/>
      <c r="I934" s="118"/>
      <c r="J934" s="119"/>
      <c r="M934" s="118"/>
      <c r="N934" s="119"/>
      <c r="Q934" s="118"/>
      <c r="R934" s="119"/>
      <c r="U934" s="118"/>
      <c r="V934" s="119"/>
    </row>
    <row r="935" spans="1:22" x14ac:dyDescent="0.3">
      <c r="A935" s="118"/>
      <c r="B935" s="119"/>
      <c r="E935" s="118"/>
      <c r="F935" s="119"/>
      <c r="I935" s="118"/>
      <c r="J935" s="119"/>
      <c r="M935" s="118"/>
      <c r="N935" s="119"/>
      <c r="Q935" s="118"/>
      <c r="R935" s="119"/>
      <c r="U935" s="118"/>
      <c r="V935" s="119"/>
    </row>
    <row r="936" spans="1:22" x14ac:dyDescent="0.3">
      <c r="A936" s="118"/>
      <c r="B936" s="119"/>
      <c r="E936" s="118"/>
      <c r="F936" s="119"/>
      <c r="I936" s="118"/>
      <c r="J936" s="119"/>
      <c r="M936" s="118"/>
      <c r="N936" s="119"/>
      <c r="Q936" s="118"/>
      <c r="R936" s="119"/>
      <c r="U936" s="118"/>
      <c r="V936" s="119"/>
    </row>
    <row r="937" spans="1:22" x14ac:dyDescent="0.3">
      <c r="A937" s="118"/>
      <c r="B937" s="119"/>
      <c r="E937" s="118"/>
      <c r="F937" s="119"/>
      <c r="I937" s="118"/>
      <c r="J937" s="119"/>
      <c r="M937" s="118"/>
      <c r="N937" s="119"/>
      <c r="Q937" s="118"/>
      <c r="R937" s="119"/>
      <c r="U937" s="118"/>
      <c r="V937" s="119"/>
    </row>
    <row r="938" spans="1:22" x14ac:dyDescent="0.3">
      <c r="A938" s="118"/>
      <c r="B938" s="119"/>
      <c r="E938" s="118"/>
      <c r="F938" s="119"/>
      <c r="I938" s="118"/>
      <c r="J938" s="119"/>
      <c r="M938" s="118"/>
      <c r="N938" s="119"/>
      <c r="Q938" s="118"/>
      <c r="R938" s="119"/>
      <c r="U938" s="118"/>
      <c r="V938" s="119"/>
    </row>
    <row r="939" spans="1:22" x14ac:dyDescent="0.3">
      <c r="A939" s="118"/>
      <c r="B939" s="119"/>
      <c r="E939" s="118"/>
      <c r="F939" s="119"/>
      <c r="I939" s="118"/>
      <c r="J939" s="119"/>
      <c r="M939" s="118"/>
      <c r="N939" s="119"/>
      <c r="Q939" s="118"/>
      <c r="R939" s="119"/>
      <c r="U939" s="118"/>
      <c r="V939" s="119"/>
    </row>
    <row r="940" spans="1:22" x14ac:dyDescent="0.3">
      <c r="A940" s="118"/>
      <c r="B940" s="119"/>
      <c r="E940" s="118"/>
      <c r="F940" s="119"/>
      <c r="I940" s="118"/>
      <c r="J940" s="119"/>
      <c r="M940" s="118"/>
      <c r="N940" s="119"/>
      <c r="Q940" s="118"/>
      <c r="R940" s="119"/>
      <c r="U940" s="118"/>
      <c r="V940" s="119"/>
    </row>
    <row r="941" spans="1:22" x14ac:dyDescent="0.3">
      <c r="A941" s="118"/>
      <c r="B941" s="119"/>
      <c r="E941" s="118"/>
      <c r="F941" s="119"/>
      <c r="I941" s="118"/>
      <c r="J941" s="119"/>
      <c r="M941" s="118"/>
      <c r="N941" s="119"/>
      <c r="Q941" s="118"/>
      <c r="R941" s="119"/>
      <c r="U941" s="118"/>
      <c r="V941" s="119"/>
    </row>
    <row r="942" spans="1:22" x14ac:dyDescent="0.3">
      <c r="A942" s="118"/>
      <c r="B942" s="119"/>
      <c r="E942" s="118"/>
      <c r="F942" s="119"/>
      <c r="I942" s="118"/>
      <c r="J942" s="119"/>
      <c r="M942" s="118"/>
      <c r="N942" s="119"/>
      <c r="Q942" s="118"/>
      <c r="R942" s="119"/>
      <c r="U942" s="118"/>
      <c r="V942" s="119"/>
    </row>
    <row r="943" spans="1:22" x14ac:dyDescent="0.3">
      <c r="A943" s="118"/>
      <c r="B943" s="119"/>
      <c r="E943" s="118"/>
      <c r="F943" s="119"/>
      <c r="I943" s="118"/>
      <c r="J943" s="119"/>
      <c r="M943" s="118"/>
      <c r="N943" s="119"/>
      <c r="Q943" s="118"/>
      <c r="R943" s="119"/>
      <c r="U943" s="118"/>
      <c r="V943" s="119"/>
    </row>
    <row r="944" spans="1:22" x14ac:dyDescent="0.3">
      <c r="A944" s="118"/>
      <c r="B944" s="119"/>
      <c r="E944" s="118"/>
      <c r="F944" s="119"/>
      <c r="I944" s="118"/>
      <c r="J944" s="119"/>
      <c r="M944" s="118"/>
      <c r="N944" s="119"/>
      <c r="Q944" s="118"/>
      <c r="R944" s="119"/>
      <c r="U944" s="118"/>
      <c r="V944" s="119"/>
    </row>
    <row r="945" spans="1:22" x14ac:dyDescent="0.3">
      <c r="A945" s="118"/>
      <c r="B945" s="119"/>
      <c r="E945" s="118"/>
      <c r="F945" s="119"/>
      <c r="I945" s="118"/>
      <c r="J945" s="119"/>
      <c r="M945" s="118"/>
      <c r="N945" s="119"/>
      <c r="Q945" s="118"/>
      <c r="R945" s="119"/>
      <c r="U945" s="118"/>
      <c r="V945" s="119"/>
    </row>
    <row r="946" spans="1:22" x14ac:dyDescent="0.3">
      <c r="A946" s="118"/>
      <c r="B946" s="119"/>
      <c r="E946" s="118"/>
      <c r="F946" s="119"/>
      <c r="I946" s="118"/>
      <c r="J946" s="119"/>
      <c r="M946" s="118"/>
      <c r="N946" s="119"/>
      <c r="Q946" s="118"/>
      <c r="R946" s="119"/>
      <c r="U946" s="118"/>
      <c r="V946" s="119"/>
    </row>
    <row r="947" spans="1:22" x14ac:dyDescent="0.3">
      <c r="A947" s="118"/>
      <c r="B947" s="119"/>
      <c r="E947" s="118"/>
      <c r="F947" s="119"/>
      <c r="I947" s="118"/>
      <c r="J947" s="119"/>
      <c r="M947" s="118"/>
      <c r="N947" s="119"/>
      <c r="Q947" s="118"/>
      <c r="R947" s="119"/>
      <c r="U947" s="118"/>
      <c r="V947" s="119"/>
    </row>
    <row r="948" spans="1:22" x14ac:dyDescent="0.3">
      <c r="A948" s="118"/>
      <c r="B948" s="119"/>
      <c r="E948" s="118"/>
      <c r="F948" s="119"/>
      <c r="I948" s="118"/>
      <c r="J948" s="119"/>
      <c r="M948" s="118"/>
      <c r="N948" s="119"/>
      <c r="Q948" s="118"/>
      <c r="R948" s="119"/>
      <c r="U948" s="118"/>
      <c r="V948" s="119"/>
    </row>
    <row r="949" spans="1:22" x14ac:dyDescent="0.3">
      <c r="A949" s="118"/>
      <c r="B949" s="119"/>
      <c r="E949" s="118"/>
      <c r="F949" s="119"/>
      <c r="I949" s="118"/>
      <c r="J949" s="119"/>
      <c r="M949" s="118"/>
      <c r="N949" s="119"/>
      <c r="Q949" s="118"/>
      <c r="R949" s="119"/>
      <c r="U949" s="118"/>
      <c r="V949" s="119"/>
    </row>
    <row r="950" spans="1:22" x14ac:dyDescent="0.3">
      <c r="A950" s="118"/>
      <c r="B950" s="119"/>
      <c r="E950" s="118"/>
      <c r="F950" s="119"/>
      <c r="I950" s="118"/>
      <c r="J950" s="119"/>
      <c r="M950" s="118"/>
      <c r="N950" s="119"/>
      <c r="Q950" s="118"/>
      <c r="R950" s="119"/>
      <c r="U950" s="118"/>
      <c r="V950" s="119"/>
    </row>
    <row r="951" spans="1:22" x14ac:dyDescent="0.3">
      <c r="A951" s="118"/>
      <c r="B951" s="119"/>
      <c r="E951" s="118"/>
      <c r="F951" s="119"/>
      <c r="I951" s="118"/>
      <c r="J951" s="119"/>
      <c r="M951" s="118"/>
      <c r="N951" s="119"/>
      <c r="Q951" s="118"/>
      <c r="R951" s="119"/>
      <c r="U951" s="118"/>
      <c r="V951" s="119"/>
    </row>
    <row r="952" spans="1:22" x14ac:dyDescent="0.3">
      <c r="A952" s="118"/>
      <c r="B952" s="119"/>
      <c r="E952" s="118"/>
      <c r="F952" s="119"/>
      <c r="I952" s="118"/>
      <c r="J952" s="119"/>
      <c r="M952" s="118"/>
      <c r="N952" s="119"/>
      <c r="Q952" s="118"/>
      <c r="R952" s="119"/>
      <c r="U952" s="118"/>
      <c r="V952" s="119"/>
    </row>
    <row r="953" spans="1:22" x14ac:dyDescent="0.3">
      <c r="A953" s="118"/>
      <c r="B953" s="119"/>
      <c r="E953" s="118"/>
      <c r="F953" s="119"/>
      <c r="I953" s="118"/>
      <c r="J953" s="119"/>
      <c r="M953" s="118"/>
      <c r="N953" s="119"/>
      <c r="Q953" s="118"/>
      <c r="R953" s="119"/>
      <c r="U953" s="118"/>
      <c r="V953" s="119"/>
    </row>
    <row r="954" spans="1:22" x14ac:dyDescent="0.3">
      <c r="A954" s="118"/>
      <c r="B954" s="119"/>
      <c r="E954" s="118"/>
      <c r="F954" s="119"/>
      <c r="I954" s="118"/>
      <c r="J954" s="119"/>
      <c r="M954" s="118"/>
      <c r="N954" s="119"/>
      <c r="Q954" s="118"/>
      <c r="R954" s="119"/>
      <c r="U954" s="118"/>
      <c r="V954" s="119"/>
    </row>
    <row r="955" spans="1:22" x14ac:dyDescent="0.3">
      <c r="A955" s="118"/>
      <c r="B955" s="119"/>
      <c r="E955" s="118"/>
      <c r="F955" s="119"/>
      <c r="I955" s="118"/>
      <c r="J955" s="119"/>
      <c r="M955" s="118"/>
      <c r="N955" s="119"/>
      <c r="Q955" s="118"/>
      <c r="R955" s="119"/>
      <c r="U955" s="118"/>
      <c r="V955" s="119"/>
    </row>
    <row r="956" spans="1:22" x14ac:dyDescent="0.3">
      <c r="A956" s="118"/>
      <c r="B956" s="119"/>
      <c r="E956" s="118"/>
      <c r="F956" s="119"/>
      <c r="I956" s="118"/>
      <c r="J956" s="119"/>
      <c r="M956" s="118"/>
      <c r="N956" s="119"/>
      <c r="Q956" s="118"/>
      <c r="R956" s="119"/>
      <c r="U956" s="118"/>
      <c r="V956" s="119"/>
    </row>
    <row r="957" spans="1:22" x14ac:dyDescent="0.3">
      <c r="A957" s="118"/>
      <c r="B957" s="119"/>
      <c r="E957" s="118"/>
      <c r="F957" s="119"/>
      <c r="I957" s="118"/>
      <c r="J957" s="119"/>
      <c r="M957" s="118"/>
      <c r="N957" s="119"/>
      <c r="Q957" s="118"/>
      <c r="R957" s="119"/>
      <c r="U957" s="118"/>
      <c r="V957" s="119"/>
    </row>
    <row r="958" spans="1:22" x14ac:dyDescent="0.3">
      <c r="A958" s="118"/>
      <c r="B958" s="119"/>
      <c r="E958" s="118"/>
      <c r="F958" s="119"/>
      <c r="I958" s="118"/>
      <c r="J958" s="119"/>
      <c r="M958" s="118"/>
      <c r="N958" s="119"/>
      <c r="Q958" s="118"/>
      <c r="R958" s="119"/>
      <c r="U958" s="118"/>
      <c r="V958" s="119"/>
    </row>
    <row r="959" spans="1:22" x14ac:dyDescent="0.3">
      <c r="A959" s="118"/>
      <c r="B959" s="119"/>
      <c r="E959" s="118"/>
      <c r="F959" s="119"/>
      <c r="I959" s="118"/>
      <c r="J959" s="119"/>
      <c r="M959" s="118"/>
      <c r="N959" s="119"/>
      <c r="Q959" s="118"/>
      <c r="R959" s="119"/>
      <c r="U959" s="118"/>
      <c r="V959" s="119"/>
    </row>
    <row r="960" spans="1:22" x14ac:dyDescent="0.3">
      <c r="A960" s="118"/>
      <c r="B960" s="119"/>
      <c r="E960" s="118"/>
      <c r="F960" s="119"/>
      <c r="I960" s="118"/>
      <c r="J960" s="119"/>
      <c r="M960" s="118"/>
      <c r="N960" s="119"/>
      <c r="Q960" s="118"/>
      <c r="R960" s="119"/>
      <c r="U960" s="118"/>
      <c r="V960" s="119"/>
    </row>
    <row r="961" spans="1:22" x14ac:dyDescent="0.3">
      <c r="A961" s="118"/>
      <c r="B961" s="119"/>
      <c r="E961" s="118"/>
      <c r="F961" s="119"/>
      <c r="I961" s="118"/>
      <c r="J961" s="119"/>
      <c r="M961" s="118"/>
      <c r="N961" s="119"/>
      <c r="Q961" s="118"/>
      <c r="R961" s="119"/>
      <c r="U961" s="118"/>
      <c r="V961" s="119"/>
    </row>
    <row r="962" spans="1:22" x14ac:dyDescent="0.3">
      <c r="A962" s="118"/>
      <c r="B962" s="119"/>
      <c r="E962" s="118"/>
      <c r="F962" s="119"/>
      <c r="I962" s="118"/>
      <c r="J962" s="119"/>
      <c r="M962" s="118"/>
      <c r="N962" s="119"/>
      <c r="Q962" s="118"/>
      <c r="R962" s="119"/>
      <c r="U962" s="118"/>
      <c r="V962" s="119"/>
    </row>
    <row r="963" spans="1:22" x14ac:dyDescent="0.3">
      <c r="A963" s="118"/>
      <c r="B963" s="119"/>
      <c r="E963" s="118"/>
      <c r="F963" s="119"/>
      <c r="I963" s="118"/>
      <c r="J963" s="119"/>
      <c r="M963" s="118"/>
      <c r="N963" s="119"/>
      <c r="Q963" s="118"/>
      <c r="R963" s="119"/>
      <c r="U963" s="118"/>
      <c r="V963" s="119"/>
    </row>
    <row r="964" spans="1:22" x14ac:dyDescent="0.3">
      <c r="A964" s="118"/>
      <c r="B964" s="119"/>
      <c r="E964" s="118"/>
      <c r="F964" s="119"/>
      <c r="I964" s="118"/>
      <c r="J964" s="119"/>
      <c r="M964" s="118"/>
      <c r="N964" s="119"/>
      <c r="Q964" s="118"/>
      <c r="R964" s="119"/>
      <c r="U964" s="118"/>
      <c r="V964" s="119"/>
    </row>
    <row r="965" spans="1:22" x14ac:dyDescent="0.3">
      <c r="A965" s="118"/>
      <c r="B965" s="119"/>
      <c r="E965" s="118"/>
      <c r="F965" s="119"/>
      <c r="I965" s="118"/>
      <c r="J965" s="119"/>
      <c r="M965" s="118"/>
      <c r="N965" s="119"/>
      <c r="Q965" s="118"/>
      <c r="R965" s="119"/>
      <c r="U965" s="118"/>
      <c r="V965" s="119"/>
    </row>
    <row r="966" spans="1:22" x14ac:dyDescent="0.3">
      <c r="A966" s="118"/>
      <c r="B966" s="119"/>
      <c r="E966" s="118"/>
      <c r="F966" s="119"/>
      <c r="I966" s="118"/>
      <c r="J966" s="119"/>
      <c r="M966" s="118"/>
      <c r="N966" s="119"/>
      <c r="Q966" s="118"/>
      <c r="R966" s="119"/>
      <c r="U966" s="118"/>
      <c r="V966" s="119"/>
    </row>
    <row r="967" spans="1:22" x14ac:dyDescent="0.3">
      <c r="A967" s="118"/>
      <c r="B967" s="119"/>
      <c r="E967" s="118"/>
      <c r="F967" s="119"/>
      <c r="I967" s="118"/>
      <c r="J967" s="119"/>
      <c r="M967" s="118"/>
      <c r="N967" s="119"/>
      <c r="Q967" s="118"/>
      <c r="R967" s="119"/>
      <c r="U967" s="118"/>
      <c r="V967" s="119"/>
    </row>
    <row r="968" spans="1:22" x14ac:dyDescent="0.3">
      <c r="A968" s="118"/>
      <c r="B968" s="119"/>
      <c r="E968" s="118"/>
      <c r="F968" s="119"/>
      <c r="I968" s="118"/>
      <c r="J968" s="119"/>
      <c r="M968" s="118"/>
      <c r="N968" s="119"/>
      <c r="Q968" s="118"/>
      <c r="R968" s="119"/>
      <c r="U968" s="118"/>
      <c r="V968" s="119"/>
    </row>
    <row r="969" spans="1:22" x14ac:dyDescent="0.3">
      <c r="A969" s="118"/>
      <c r="B969" s="119"/>
      <c r="E969" s="118"/>
      <c r="F969" s="119"/>
      <c r="I969" s="118"/>
      <c r="J969" s="119"/>
      <c r="M969" s="118"/>
      <c r="N969" s="119"/>
      <c r="Q969" s="118"/>
      <c r="R969" s="119"/>
      <c r="U969" s="118"/>
      <c r="V969" s="119"/>
    </row>
    <row r="970" spans="1:22" x14ac:dyDescent="0.3">
      <c r="A970" s="118"/>
      <c r="B970" s="119"/>
      <c r="E970" s="118"/>
      <c r="F970" s="119"/>
      <c r="I970" s="118"/>
      <c r="J970" s="119"/>
      <c r="M970" s="118"/>
      <c r="N970" s="119"/>
      <c r="Q970" s="118"/>
      <c r="R970" s="119"/>
      <c r="U970" s="118"/>
      <c r="V970" s="119"/>
    </row>
    <row r="971" spans="1:22" x14ac:dyDescent="0.3">
      <c r="A971" s="118"/>
      <c r="B971" s="119"/>
      <c r="E971" s="118"/>
      <c r="F971" s="119"/>
      <c r="I971" s="118"/>
      <c r="J971" s="119"/>
      <c r="M971" s="118"/>
      <c r="N971" s="119"/>
      <c r="Q971" s="118"/>
      <c r="R971" s="119"/>
      <c r="U971" s="118"/>
      <c r="V971" s="119"/>
    </row>
    <row r="972" spans="1:22" x14ac:dyDescent="0.3">
      <c r="A972" s="118"/>
      <c r="B972" s="119"/>
      <c r="E972" s="118"/>
      <c r="F972" s="119"/>
      <c r="I972" s="118"/>
      <c r="J972" s="119"/>
      <c r="M972" s="118"/>
      <c r="N972" s="119"/>
      <c r="Q972" s="118"/>
      <c r="R972" s="119"/>
      <c r="U972" s="118"/>
      <c r="V972" s="119"/>
    </row>
    <row r="973" spans="1:22" x14ac:dyDescent="0.3">
      <c r="A973" s="118"/>
      <c r="B973" s="119"/>
      <c r="E973" s="118"/>
      <c r="F973" s="119"/>
      <c r="I973" s="118"/>
      <c r="J973" s="119"/>
      <c r="M973" s="118"/>
      <c r="N973" s="119"/>
      <c r="Q973" s="118"/>
      <c r="R973" s="119"/>
      <c r="U973" s="118"/>
      <c r="V973" s="119"/>
    </row>
    <row r="974" spans="1:22" x14ac:dyDescent="0.3">
      <c r="A974" s="118"/>
      <c r="B974" s="119"/>
      <c r="E974" s="118"/>
      <c r="F974" s="119"/>
      <c r="I974" s="118"/>
      <c r="J974" s="119"/>
      <c r="M974" s="118"/>
      <c r="N974" s="119"/>
      <c r="Q974" s="118"/>
      <c r="R974" s="119"/>
      <c r="U974" s="118"/>
      <c r="V974" s="119"/>
    </row>
    <row r="975" spans="1:22" x14ac:dyDescent="0.3">
      <c r="A975" s="118"/>
      <c r="B975" s="119"/>
      <c r="E975" s="118"/>
      <c r="F975" s="119"/>
      <c r="I975" s="118"/>
      <c r="J975" s="119"/>
      <c r="M975" s="118"/>
      <c r="N975" s="119"/>
      <c r="Q975" s="118"/>
      <c r="R975" s="119"/>
      <c r="U975" s="118"/>
      <c r="V975" s="119"/>
    </row>
    <row r="976" spans="1:22" x14ac:dyDescent="0.3">
      <c r="A976" s="118"/>
      <c r="B976" s="119"/>
      <c r="E976" s="118"/>
      <c r="F976" s="119"/>
      <c r="I976" s="118"/>
      <c r="J976" s="119"/>
      <c r="M976" s="118"/>
      <c r="N976" s="119"/>
      <c r="Q976" s="118"/>
      <c r="R976" s="119"/>
      <c r="U976" s="118"/>
      <c r="V976" s="119"/>
    </row>
    <row r="977" spans="1:22" x14ac:dyDescent="0.3">
      <c r="A977" s="118"/>
      <c r="B977" s="119"/>
      <c r="E977" s="118"/>
      <c r="F977" s="119"/>
      <c r="I977" s="118"/>
      <c r="J977" s="119"/>
      <c r="M977" s="118"/>
      <c r="N977" s="119"/>
      <c r="Q977" s="118"/>
      <c r="R977" s="119"/>
      <c r="U977" s="118"/>
      <c r="V977" s="119"/>
    </row>
    <row r="978" spans="1:22" x14ac:dyDescent="0.3">
      <c r="A978" s="118"/>
      <c r="B978" s="119"/>
      <c r="E978" s="118"/>
      <c r="F978" s="119"/>
      <c r="I978" s="118"/>
      <c r="J978" s="119"/>
      <c r="M978" s="118"/>
      <c r="N978" s="119"/>
      <c r="Q978" s="118"/>
      <c r="R978" s="119"/>
      <c r="U978" s="118"/>
      <c r="V978" s="119"/>
    </row>
    <row r="979" spans="1:22" x14ac:dyDescent="0.3">
      <c r="A979" s="118"/>
      <c r="B979" s="119"/>
      <c r="E979" s="118"/>
      <c r="F979" s="119"/>
      <c r="I979" s="118"/>
      <c r="J979" s="119"/>
      <c r="M979" s="118"/>
      <c r="N979" s="119"/>
      <c r="Q979" s="118"/>
      <c r="R979" s="119"/>
      <c r="U979" s="118"/>
      <c r="V979" s="119"/>
    </row>
    <row r="980" spans="1:22" x14ac:dyDescent="0.3">
      <c r="A980" s="118"/>
      <c r="B980" s="119"/>
      <c r="E980" s="118"/>
      <c r="F980" s="119"/>
      <c r="I980" s="118"/>
      <c r="J980" s="119"/>
      <c r="M980" s="118"/>
      <c r="N980" s="119"/>
      <c r="Q980" s="118"/>
      <c r="R980" s="119"/>
      <c r="U980" s="118"/>
      <c r="V980" s="119"/>
    </row>
    <row r="981" spans="1:22" x14ac:dyDescent="0.3">
      <c r="A981" s="118"/>
      <c r="B981" s="119"/>
      <c r="E981" s="118"/>
      <c r="F981" s="119"/>
      <c r="I981" s="118"/>
      <c r="J981" s="119"/>
      <c r="M981" s="118"/>
      <c r="N981" s="119"/>
      <c r="Q981" s="118"/>
      <c r="R981" s="119"/>
      <c r="U981" s="118"/>
      <c r="V981" s="119"/>
    </row>
    <row r="982" spans="1:22" x14ac:dyDescent="0.3">
      <c r="A982" s="118"/>
      <c r="B982" s="119"/>
      <c r="E982" s="118"/>
      <c r="F982" s="119"/>
      <c r="I982" s="118"/>
      <c r="J982" s="119"/>
      <c r="M982" s="118"/>
      <c r="N982" s="119"/>
      <c r="Q982" s="118"/>
      <c r="R982" s="119"/>
      <c r="U982" s="118"/>
      <c r="V982" s="119"/>
    </row>
    <row r="983" spans="1:22" x14ac:dyDescent="0.3">
      <c r="A983" s="118"/>
      <c r="B983" s="119"/>
      <c r="E983" s="118"/>
      <c r="F983" s="119"/>
      <c r="I983" s="118"/>
      <c r="J983" s="119"/>
      <c r="M983" s="118"/>
      <c r="N983" s="119"/>
      <c r="Q983" s="118"/>
      <c r="R983" s="119"/>
      <c r="U983" s="118"/>
      <c r="V983" s="119"/>
    </row>
    <row r="984" spans="1:22" x14ac:dyDescent="0.3">
      <c r="A984" s="118"/>
      <c r="B984" s="119"/>
      <c r="E984" s="118"/>
      <c r="F984" s="119"/>
      <c r="I984" s="118"/>
      <c r="J984" s="119"/>
      <c r="M984" s="118"/>
      <c r="N984" s="119"/>
      <c r="Q984" s="118"/>
      <c r="R984" s="119"/>
      <c r="U984" s="118"/>
      <c r="V984" s="119"/>
    </row>
    <row r="985" spans="1:22" x14ac:dyDescent="0.3">
      <c r="A985" s="118"/>
      <c r="B985" s="119"/>
      <c r="E985" s="118"/>
      <c r="F985" s="119"/>
      <c r="I985" s="118"/>
      <c r="J985" s="119"/>
      <c r="M985" s="118"/>
      <c r="N985" s="119"/>
      <c r="Q985" s="118"/>
      <c r="R985" s="119"/>
      <c r="U985" s="118"/>
      <c r="V985" s="119"/>
    </row>
    <row r="986" spans="1:22" x14ac:dyDescent="0.3">
      <c r="A986" s="118"/>
      <c r="B986" s="119"/>
      <c r="E986" s="118"/>
      <c r="F986" s="119"/>
      <c r="I986" s="118"/>
      <c r="J986" s="119"/>
      <c r="M986" s="118"/>
      <c r="N986" s="119"/>
      <c r="Q986" s="118"/>
      <c r="R986" s="119"/>
      <c r="U986" s="118"/>
      <c r="V986" s="119"/>
    </row>
    <row r="987" spans="1:22" x14ac:dyDescent="0.3">
      <c r="A987" s="118"/>
      <c r="B987" s="119"/>
      <c r="E987" s="118"/>
      <c r="F987" s="119"/>
      <c r="I987" s="118"/>
      <c r="J987" s="119"/>
      <c r="M987" s="118"/>
      <c r="N987" s="119"/>
      <c r="Q987" s="118"/>
      <c r="R987" s="119"/>
      <c r="U987" s="118"/>
      <c r="V987" s="119"/>
    </row>
    <row r="988" spans="1:22" x14ac:dyDescent="0.3">
      <c r="A988" s="118"/>
      <c r="B988" s="119"/>
      <c r="E988" s="118"/>
      <c r="F988" s="119"/>
      <c r="I988" s="118"/>
      <c r="J988" s="119"/>
      <c r="M988" s="118"/>
      <c r="N988" s="119"/>
      <c r="Q988" s="118"/>
      <c r="R988" s="119"/>
      <c r="U988" s="118"/>
      <c r="V988" s="119"/>
    </row>
    <row r="989" spans="1:22" x14ac:dyDescent="0.3">
      <c r="A989" s="118"/>
      <c r="B989" s="119"/>
      <c r="E989" s="118"/>
      <c r="F989" s="119"/>
      <c r="I989" s="118"/>
      <c r="J989" s="119"/>
      <c r="M989" s="118"/>
      <c r="N989" s="119"/>
      <c r="Q989" s="118"/>
      <c r="R989" s="119"/>
      <c r="U989" s="118"/>
      <c r="V989" s="119"/>
    </row>
    <row r="990" spans="1:22" x14ac:dyDescent="0.3">
      <c r="A990" s="118"/>
      <c r="B990" s="119"/>
      <c r="E990" s="118"/>
      <c r="F990" s="119"/>
      <c r="I990" s="118"/>
      <c r="J990" s="119"/>
      <c r="M990" s="118"/>
      <c r="N990" s="119"/>
      <c r="Q990" s="118"/>
      <c r="R990" s="119"/>
      <c r="U990" s="118"/>
      <c r="V990" s="119"/>
    </row>
    <row r="991" spans="1:22" x14ac:dyDescent="0.3">
      <c r="A991" s="118"/>
      <c r="B991" s="119"/>
      <c r="E991" s="118"/>
      <c r="F991" s="119"/>
      <c r="I991" s="118"/>
      <c r="J991" s="119"/>
      <c r="M991" s="118"/>
      <c r="N991" s="119"/>
      <c r="Q991" s="118"/>
      <c r="R991" s="119"/>
      <c r="U991" s="118"/>
      <c r="V991" s="119"/>
    </row>
    <row r="992" spans="1:22" x14ac:dyDescent="0.3">
      <c r="A992" s="118"/>
      <c r="B992" s="119"/>
      <c r="E992" s="118"/>
      <c r="F992" s="119"/>
      <c r="I992" s="118"/>
      <c r="J992" s="119"/>
      <c r="M992" s="118"/>
      <c r="N992" s="119"/>
      <c r="Q992" s="118"/>
      <c r="R992" s="119"/>
      <c r="U992" s="118"/>
      <c r="V992" s="119"/>
    </row>
    <row r="993" spans="1:22" x14ac:dyDescent="0.3">
      <c r="A993" s="118"/>
      <c r="B993" s="119"/>
      <c r="E993" s="118"/>
      <c r="F993" s="119"/>
      <c r="I993" s="118"/>
      <c r="J993" s="119"/>
      <c r="M993" s="118"/>
      <c r="N993" s="119"/>
      <c r="Q993" s="118"/>
      <c r="R993" s="119"/>
      <c r="U993" s="118"/>
      <c r="V993" s="119"/>
    </row>
    <row r="994" spans="1:22" x14ac:dyDescent="0.3">
      <c r="A994" s="118"/>
      <c r="B994" s="119"/>
      <c r="E994" s="118"/>
      <c r="F994" s="119"/>
      <c r="I994" s="118"/>
      <c r="J994" s="119"/>
      <c r="M994" s="118"/>
      <c r="N994" s="119"/>
      <c r="Q994" s="118"/>
      <c r="R994" s="119"/>
      <c r="U994" s="118"/>
      <c r="V994" s="119"/>
    </row>
    <row r="995" spans="1:22" x14ac:dyDescent="0.3">
      <c r="A995" s="118"/>
      <c r="B995" s="119"/>
      <c r="E995" s="118"/>
      <c r="F995" s="119"/>
      <c r="I995" s="118"/>
      <c r="J995" s="119"/>
      <c r="M995" s="118"/>
      <c r="N995" s="119"/>
      <c r="Q995" s="118"/>
      <c r="R995" s="119"/>
      <c r="U995" s="118"/>
      <c r="V995" s="119"/>
    </row>
    <row r="996" spans="1:22" x14ac:dyDescent="0.3">
      <c r="A996" s="118"/>
      <c r="B996" s="119"/>
      <c r="E996" s="118"/>
      <c r="F996" s="119"/>
      <c r="I996" s="118"/>
      <c r="J996" s="119"/>
      <c r="M996" s="118"/>
      <c r="N996" s="119"/>
      <c r="Q996" s="118"/>
      <c r="R996" s="119"/>
      <c r="U996" s="118"/>
      <c r="V996" s="119"/>
    </row>
    <row r="997" spans="1:22" x14ac:dyDescent="0.3">
      <c r="A997" s="118"/>
      <c r="B997" s="119"/>
      <c r="E997" s="118"/>
      <c r="F997" s="119"/>
      <c r="I997" s="118"/>
      <c r="J997" s="119"/>
      <c r="M997" s="118"/>
      <c r="N997" s="119"/>
      <c r="Q997" s="118"/>
      <c r="R997" s="119"/>
      <c r="U997" s="118"/>
      <c r="V997" s="119"/>
    </row>
    <row r="998" spans="1:22" x14ac:dyDescent="0.3">
      <c r="A998" s="118"/>
      <c r="B998" s="119"/>
      <c r="E998" s="118"/>
      <c r="F998" s="119"/>
      <c r="I998" s="118"/>
      <c r="J998" s="119"/>
      <c r="M998" s="118"/>
      <c r="N998" s="119"/>
      <c r="Q998" s="118"/>
      <c r="R998" s="119"/>
      <c r="U998" s="118"/>
      <c r="V998" s="119"/>
    </row>
    <row r="999" spans="1:22" x14ac:dyDescent="0.3">
      <c r="A999" s="118"/>
      <c r="B999" s="119"/>
      <c r="E999" s="118"/>
      <c r="F999" s="119"/>
      <c r="I999" s="118"/>
      <c r="J999" s="119"/>
      <c r="M999" s="118"/>
      <c r="N999" s="119"/>
      <c r="Q999" s="118"/>
      <c r="R999" s="119"/>
      <c r="U999" s="118"/>
      <c r="V999" s="119"/>
    </row>
    <row r="1000" spans="1:22" x14ac:dyDescent="0.3">
      <c r="A1000" s="118"/>
      <c r="B1000" s="119"/>
      <c r="E1000" s="118"/>
      <c r="F1000" s="119"/>
      <c r="I1000" s="118"/>
      <c r="J1000" s="119"/>
      <c r="M1000" s="118"/>
      <c r="N1000" s="119"/>
      <c r="Q1000" s="118"/>
      <c r="R1000" s="119"/>
      <c r="U1000" s="118"/>
      <c r="V1000" s="119"/>
    </row>
  </sheetData>
  <mergeCells count="30">
    <mergeCell ref="E1:H1"/>
    <mergeCell ref="E2:F2"/>
    <mergeCell ref="G2:H2"/>
    <mergeCell ref="E3:F3"/>
    <mergeCell ref="G3:H3"/>
    <mergeCell ref="A1:D1"/>
    <mergeCell ref="A2:B2"/>
    <mergeCell ref="C2:D2"/>
    <mergeCell ref="A3:B3"/>
    <mergeCell ref="C3:D3"/>
    <mergeCell ref="M1:P1"/>
    <mergeCell ref="M2:N2"/>
    <mergeCell ref="O2:P2"/>
    <mergeCell ref="M3:N3"/>
    <mergeCell ref="O3:P3"/>
    <mergeCell ref="I1:L1"/>
    <mergeCell ref="I2:J2"/>
    <mergeCell ref="K2:L2"/>
    <mergeCell ref="I3:J3"/>
    <mergeCell ref="K3:L3"/>
    <mergeCell ref="U1:X1"/>
    <mergeCell ref="U2:V2"/>
    <mergeCell ref="W2:X2"/>
    <mergeCell ref="U3:V3"/>
    <mergeCell ref="W3:X3"/>
    <mergeCell ref="Q1:T1"/>
    <mergeCell ref="Q2:R2"/>
    <mergeCell ref="S2:T2"/>
    <mergeCell ref="Q3:R3"/>
    <mergeCell ref="S3:T3"/>
  </mergeCells>
  <pageMargins left="0.511811024" right="0.511811024" top="0.78740157499999996" bottom="0.78740157499999996" header="0.31496062000000002" footer="0.31496062000000002"/>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2"/>
  <dimension ref="A1:X1000"/>
  <sheetViews>
    <sheetView workbookViewId="0">
      <selection activeCell="A3" sqref="A3:B3"/>
    </sheetView>
  </sheetViews>
  <sheetFormatPr defaultRowHeight="14.4" x14ac:dyDescent="0.3"/>
  <cols>
    <col min="1" max="1" width="7.6640625" customWidth="1"/>
    <col min="2" max="3" width="18.6640625" customWidth="1"/>
    <col min="4" max="5" width="7.6640625" customWidth="1"/>
    <col min="6" max="7" width="18.6640625" customWidth="1"/>
    <col min="8" max="9" width="7.6640625" customWidth="1"/>
    <col min="10" max="11" width="18.6640625" customWidth="1"/>
    <col min="12" max="13" width="7.6640625" customWidth="1"/>
    <col min="14" max="15" width="18.6640625" customWidth="1"/>
    <col min="16" max="17" width="7.6640625" customWidth="1"/>
    <col min="18" max="19" width="18.6640625" customWidth="1"/>
    <col min="20" max="21" width="7.6640625" customWidth="1"/>
    <col min="22" max="23" width="18.6640625" customWidth="1"/>
    <col min="24" max="24" width="7.6640625" customWidth="1"/>
    <col min="25" max="25" width="10.77734375" bestFit="1" customWidth="1"/>
    <col min="26" max="26" width="19.5546875" bestFit="1" customWidth="1"/>
    <col min="27" max="27" width="10.77734375" bestFit="1" customWidth="1"/>
    <col min="28" max="28" width="19.44140625" bestFit="1" customWidth="1"/>
    <col min="29" max="29" width="18.5546875" bestFit="1" customWidth="1"/>
    <col min="30" max="30" width="8.44140625" bestFit="1" customWidth="1"/>
    <col min="31" max="31" width="18.44140625" bestFit="1" customWidth="1"/>
    <col min="32" max="32" width="8.44140625" bestFit="1" customWidth="1"/>
    <col min="33" max="33" width="10.77734375" bestFit="1" customWidth="1"/>
    <col min="34" max="34" width="19.5546875" bestFit="1" customWidth="1"/>
    <col min="35" max="35" width="10.77734375" bestFit="1" customWidth="1"/>
    <col min="36" max="36" width="19.44140625" bestFit="1" customWidth="1"/>
    <col min="37" max="37" width="18.5546875" bestFit="1" customWidth="1"/>
    <col min="38" max="38" width="8.44140625" bestFit="1" customWidth="1"/>
    <col min="39" max="39" width="18.44140625" bestFit="1" customWidth="1"/>
    <col min="40" max="40" width="8.44140625" bestFit="1" customWidth="1"/>
    <col min="41" max="41" width="10.77734375" bestFit="1" customWidth="1"/>
    <col min="42" max="42" width="19.5546875" bestFit="1" customWidth="1"/>
    <col min="43" max="43" width="10.77734375" bestFit="1" customWidth="1"/>
    <col min="44" max="44" width="19.44140625" bestFit="1" customWidth="1"/>
    <col min="45" max="45" width="18.5546875" bestFit="1" customWidth="1"/>
    <col min="46" max="46" width="8.44140625" bestFit="1" customWidth="1"/>
    <col min="47" max="47" width="18.44140625" bestFit="1" customWidth="1"/>
    <col min="48" max="48" width="8.44140625" bestFit="1" customWidth="1"/>
  </cols>
  <sheetData>
    <row r="1" spans="1:24" x14ac:dyDescent="0.3">
      <c r="A1" s="145" t="s">
        <v>7241</v>
      </c>
      <c r="B1" s="145"/>
      <c r="C1" s="145"/>
      <c r="D1" s="145"/>
      <c r="E1" s="145" t="s">
        <v>7241</v>
      </c>
      <c r="F1" s="145"/>
      <c r="G1" s="145"/>
      <c r="H1" s="145"/>
      <c r="I1" s="145" t="s">
        <v>7241</v>
      </c>
      <c r="J1" s="145"/>
      <c r="K1" s="145"/>
      <c r="L1" s="145"/>
      <c r="M1" s="145" t="s">
        <v>7241</v>
      </c>
      <c r="N1" s="145"/>
      <c r="O1" s="145"/>
      <c r="P1" s="145"/>
      <c r="Q1" s="145" t="s">
        <v>7241</v>
      </c>
      <c r="R1" s="145"/>
      <c r="S1" s="145"/>
      <c r="T1" s="145"/>
      <c r="U1" s="145" t="s">
        <v>7241</v>
      </c>
      <c r="V1" s="145"/>
      <c r="W1" s="145"/>
      <c r="X1" s="145"/>
    </row>
    <row r="2" spans="1:24" x14ac:dyDescent="0.3">
      <c r="A2" s="150" t="s">
        <v>7242</v>
      </c>
      <c r="B2" s="151"/>
      <c r="C2" s="145"/>
      <c r="D2" s="145"/>
      <c r="E2" s="150" t="s">
        <v>7242</v>
      </c>
      <c r="F2" s="151"/>
      <c r="G2" s="145"/>
      <c r="H2" s="145"/>
      <c r="I2" s="150" t="s">
        <v>7242</v>
      </c>
      <c r="J2" s="151"/>
      <c r="K2" s="145"/>
      <c r="L2" s="145"/>
      <c r="M2" s="150" t="s">
        <v>7242</v>
      </c>
      <c r="N2" s="151"/>
      <c r="O2" s="145"/>
      <c r="P2" s="151"/>
      <c r="Q2" s="150" t="s">
        <v>7242</v>
      </c>
      <c r="R2" s="151"/>
      <c r="S2" s="145"/>
      <c r="T2" s="145"/>
      <c r="U2" s="150" t="s">
        <v>7242</v>
      </c>
      <c r="V2" s="151"/>
      <c r="W2" s="145"/>
      <c r="X2" s="145"/>
    </row>
    <row r="3" spans="1:24" x14ac:dyDescent="0.3">
      <c r="A3" s="150" t="s">
        <v>7244</v>
      </c>
      <c r="B3" s="151"/>
      <c r="C3" s="145" t="s">
        <v>7245</v>
      </c>
      <c r="D3" s="145"/>
      <c r="E3" s="150" t="s">
        <v>7282</v>
      </c>
      <c r="F3" s="151"/>
      <c r="G3" s="145" t="s">
        <v>7283</v>
      </c>
      <c r="H3" s="145"/>
      <c r="I3" s="150" t="s">
        <v>7320</v>
      </c>
      <c r="J3" s="151"/>
      <c r="K3" s="145" t="s">
        <v>7321</v>
      </c>
      <c r="L3" s="145"/>
      <c r="M3" s="150" t="s">
        <v>7358</v>
      </c>
      <c r="N3" s="151"/>
      <c r="O3" s="145" t="s">
        <v>7359</v>
      </c>
      <c r="P3" s="151"/>
      <c r="Q3" s="150" t="s">
        <v>7396</v>
      </c>
      <c r="R3" s="151"/>
      <c r="S3" s="145" t="s">
        <v>7397</v>
      </c>
      <c r="T3" s="145"/>
      <c r="U3" s="150" t="s">
        <v>7434</v>
      </c>
      <c r="V3" s="151"/>
      <c r="W3" s="145" t="s">
        <v>7435</v>
      </c>
      <c r="X3" s="145"/>
    </row>
    <row r="4" spans="1:24" x14ac:dyDescent="0.3">
      <c r="A4" s="126" t="s">
        <v>961</v>
      </c>
      <c r="B4" s="127" t="s">
        <v>962</v>
      </c>
      <c r="C4" s="66" t="s">
        <v>961</v>
      </c>
      <c r="D4" s="66" t="s">
        <v>962</v>
      </c>
      <c r="E4" s="126" t="s">
        <v>961</v>
      </c>
      <c r="F4" s="127" t="s">
        <v>962</v>
      </c>
      <c r="G4" s="66" t="s">
        <v>961</v>
      </c>
      <c r="H4" s="66" t="s">
        <v>962</v>
      </c>
      <c r="I4" s="126" t="s">
        <v>961</v>
      </c>
      <c r="J4" s="127" t="s">
        <v>962</v>
      </c>
      <c r="K4" s="66" t="s">
        <v>961</v>
      </c>
      <c r="L4" s="66" t="s">
        <v>962</v>
      </c>
      <c r="M4" s="126" t="s">
        <v>961</v>
      </c>
      <c r="N4" s="127" t="s">
        <v>962</v>
      </c>
      <c r="O4" s="66" t="s">
        <v>961</v>
      </c>
      <c r="P4" s="66" t="s">
        <v>962</v>
      </c>
      <c r="Q4" s="126" t="s">
        <v>961</v>
      </c>
      <c r="R4" s="127" t="s">
        <v>962</v>
      </c>
      <c r="S4" s="66" t="s">
        <v>961</v>
      </c>
      <c r="T4" s="66" t="s">
        <v>962</v>
      </c>
      <c r="U4" s="126" t="s">
        <v>961</v>
      </c>
      <c r="V4" s="127" t="s">
        <v>962</v>
      </c>
      <c r="W4" s="66" t="s">
        <v>961</v>
      </c>
      <c r="X4" s="66" t="s">
        <v>962</v>
      </c>
    </row>
    <row r="5" spans="1:24" x14ac:dyDescent="0.3">
      <c r="A5" s="118"/>
      <c r="B5" s="119" t="s">
        <v>7250</v>
      </c>
      <c r="C5" t="s">
        <v>7256</v>
      </c>
      <c r="E5" s="118"/>
      <c r="F5" s="119" t="s">
        <v>7288</v>
      </c>
      <c r="G5" t="s">
        <v>7294</v>
      </c>
      <c r="I5" s="118"/>
      <c r="J5" s="119" t="s">
        <v>7326</v>
      </c>
      <c r="K5" t="s">
        <v>7332</v>
      </c>
      <c r="M5" s="118"/>
      <c r="N5" s="119" t="s">
        <v>7364</v>
      </c>
      <c r="O5" t="s">
        <v>7370</v>
      </c>
      <c r="Q5" s="118"/>
      <c r="R5" s="119" t="s">
        <v>7402</v>
      </c>
      <c r="S5" t="s">
        <v>7408</v>
      </c>
      <c r="U5" s="118"/>
      <c r="V5" s="119" t="s">
        <v>7440</v>
      </c>
      <c r="W5" t="s">
        <v>7446</v>
      </c>
    </row>
    <row r="6" spans="1:24" x14ac:dyDescent="0.3">
      <c r="A6" s="118"/>
      <c r="B6" s="119" t="s">
        <v>7251</v>
      </c>
      <c r="C6" t="s">
        <v>7257</v>
      </c>
      <c r="E6" s="118"/>
      <c r="F6" s="119" t="s">
        <v>7289</v>
      </c>
      <c r="G6" t="s">
        <v>7295</v>
      </c>
      <c r="I6" s="118"/>
      <c r="J6" s="119" t="s">
        <v>7327</v>
      </c>
      <c r="K6" t="s">
        <v>7333</v>
      </c>
      <c r="M6" s="118"/>
      <c r="N6" s="119" t="s">
        <v>7365</v>
      </c>
      <c r="O6" t="s">
        <v>7371</v>
      </c>
      <c r="Q6" s="118"/>
      <c r="R6" s="119" t="s">
        <v>7403</v>
      </c>
      <c r="S6" t="s">
        <v>7409</v>
      </c>
      <c r="U6" s="118"/>
      <c r="V6" s="119" t="s">
        <v>7441</v>
      </c>
      <c r="W6" t="s">
        <v>7447</v>
      </c>
    </row>
    <row r="7" spans="1:24" x14ac:dyDescent="0.3">
      <c r="A7" s="118"/>
      <c r="B7" s="119" t="s">
        <v>7262</v>
      </c>
      <c r="C7" t="s">
        <v>7268</v>
      </c>
      <c r="E7" s="118"/>
      <c r="F7" s="119" t="s">
        <v>7300</v>
      </c>
      <c r="G7" t="s">
        <v>7306</v>
      </c>
      <c r="I7" s="118"/>
      <c r="J7" s="119" t="s">
        <v>7338</v>
      </c>
      <c r="K7" t="s">
        <v>7344</v>
      </c>
      <c r="M7" s="118"/>
      <c r="N7" s="119" t="s">
        <v>7376</v>
      </c>
      <c r="O7" t="s">
        <v>7382</v>
      </c>
      <c r="Q7" s="118"/>
      <c r="R7" s="119" t="s">
        <v>7414</v>
      </c>
      <c r="S7" t="s">
        <v>7420</v>
      </c>
      <c r="U7" s="118"/>
      <c r="V7" s="119" t="s">
        <v>7452</v>
      </c>
      <c r="W7" t="s">
        <v>7458</v>
      </c>
    </row>
    <row r="8" spans="1:24" x14ac:dyDescent="0.3">
      <c r="A8" s="118"/>
      <c r="B8" s="119" t="s">
        <v>7263</v>
      </c>
      <c r="C8" t="s">
        <v>7269</v>
      </c>
      <c r="E8" s="118"/>
      <c r="F8" s="119" t="s">
        <v>7301</v>
      </c>
      <c r="G8" t="s">
        <v>7307</v>
      </c>
      <c r="I8" s="118"/>
      <c r="J8" s="119" t="s">
        <v>7339</v>
      </c>
      <c r="K8" t="s">
        <v>7345</v>
      </c>
      <c r="M8" s="118"/>
      <c r="N8" s="119" t="s">
        <v>7377</v>
      </c>
      <c r="O8" t="s">
        <v>7383</v>
      </c>
      <c r="Q8" s="118"/>
      <c r="R8" s="119" t="s">
        <v>7415</v>
      </c>
      <c r="S8" t="s">
        <v>7421</v>
      </c>
      <c r="U8" s="118"/>
      <c r="V8" s="119" t="s">
        <v>7453</v>
      </c>
      <c r="W8" t="s">
        <v>7459</v>
      </c>
    </row>
    <row r="9" spans="1:24" x14ac:dyDescent="0.3">
      <c r="A9" s="118"/>
      <c r="B9" s="119" t="s">
        <v>7274</v>
      </c>
      <c r="C9" t="s">
        <v>7280</v>
      </c>
      <c r="E9" s="118"/>
      <c r="F9" s="119" t="s">
        <v>7312</v>
      </c>
      <c r="G9" t="s">
        <v>7318</v>
      </c>
      <c r="I9" s="118"/>
      <c r="J9" s="119" t="s">
        <v>7350</v>
      </c>
      <c r="K9" t="s">
        <v>7356</v>
      </c>
      <c r="M9" s="118"/>
      <c r="N9" s="119" t="s">
        <v>7388</v>
      </c>
      <c r="O9" t="s">
        <v>7394</v>
      </c>
      <c r="Q9" s="118"/>
      <c r="R9" s="119" t="s">
        <v>7426</v>
      </c>
      <c r="S9" t="s">
        <v>7432</v>
      </c>
      <c r="U9" s="118"/>
      <c r="V9" s="119" t="s">
        <v>7464</v>
      </c>
      <c r="W9" t="s">
        <v>7470</v>
      </c>
    </row>
    <row r="10" spans="1:24" x14ac:dyDescent="0.3">
      <c r="A10" s="118"/>
      <c r="B10" s="119" t="s">
        <v>7275</v>
      </c>
      <c r="C10" t="s">
        <v>7281</v>
      </c>
      <c r="E10" s="118"/>
      <c r="F10" s="119" t="s">
        <v>7313</v>
      </c>
      <c r="G10" t="s">
        <v>7319</v>
      </c>
      <c r="I10" s="118"/>
      <c r="J10" s="119" t="s">
        <v>7351</v>
      </c>
      <c r="K10" t="s">
        <v>7357</v>
      </c>
      <c r="M10" s="118"/>
      <c r="N10" s="119" t="s">
        <v>7389</v>
      </c>
      <c r="O10" t="s">
        <v>7395</v>
      </c>
      <c r="Q10" s="118"/>
      <c r="R10" s="119" t="s">
        <v>7427</v>
      </c>
      <c r="S10" t="s">
        <v>7433</v>
      </c>
      <c r="U10" s="118"/>
      <c r="V10" s="119" t="s">
        <v>7465</v>
      </c>
      <c r="W10" t="s">
        <v>7471</v>
      </c>
    </row>
    <row r="11" spans="1:24" x14ac:dyDescent="0.3">
      <c r="A11" s="118"/>
      <c r="B11" s="119" t="s">
        <v>7476</v>
      </c>
      <c r="C11" t="s">
        <v>7482</v>
      </c>
      <c r="E11" s="118"/>
      <c r="F11" s="119" t="s">
        <v>7512</v>
      </c>
      <c r="G11" t="s">
        <v>7518</v>
      </c>
      <c r="I11" s="118"/>
      <c r="J11" s="119" t="s">
        <v>7548</v>
      </c>
      <c r="K11" t="s">
        <v>7554</v>
      </c>
      <c r="M11" s="118"/>
      <c r="N11" s="119" t="s">
        <v>7584</v>
      </c>
      <c r="O11" t="s">
        <v>7590</v>
      </c>
      <c r="Q11" s="118"/>
      <c r="R11" s="119" t="s">
        <v>7620</v>
      </c>
      <c r="S11" t="s">
        <v>7626</v>
      </c>
      <c r="U11" s="118"/>
      <c r="V11" s="119" t="s">
        <v>7656</v>
      </c>
      <c r="W11" t="s">
        <v>7662</v>
      </c>
    </row>
    <row r="12" spans="1:24" x14ac:dyDescent="0.3">
      <c r="A12" s="118"/>
      <c r="B12" s="119" t="s">
        <v>7477</v>
      </c>
      <c r="C12" t="s">
        <v>7483</v>
      </c>
      <c r="E12" s="118"/>
      <c r="F12" s="119" t="s">
        <v>7513</v>
      </c>
      <c r="G12" t="s">
        <v>7519</v>
      </c>
      <c r="I12" s="118"/>
      <c r="J12" s="119" t="s">
        <v>7549</v>
      </c>
      <c r="K12" t="s">
        <v>7555</v>
      </c>
      <c r="M12" s="118"/>
      <c r="N12" s="119" t="s">
        <v>7585</v>
      </c>
      <c r="O12" t="s">
        <v>7591</v>
      </c>
      <c r="Q12" s="118"/>
      <c r="R12" s="119" t="s">
        <v>7621</v>
      </c>
      <c r="S12" t="s">
        <v>7627</v>
      </c>
      <c r="U12" s="118"/>
      <c r="V12" s="119" t="s">
        <v>7657</v>
      </c>
      <c r="W12" t="s">
        <v>7663</v>
      </c>
    </row>
    <row r="13" spans="1:24" x14ac:dyDescent="0.3">
      <c r="A13" s="118"/>
      <c r="B13" s="119" t="s">
        <v>7488</v>
      </c>
      <c r="C13" t="s">
        <v>7494</v>
      </c>
      <c r="E13" s="118"/>
      <c r="F13" s="119" t="s">
        <v>7524</v>
      </c>
      <c r="G13" t="s">
        <v>7530</v>
      </c>
      <c r="I13" s="118"/>
      <c r="J13" s="119" t="s">
        <v>7560</v>
      </c>
      <c r="K13" t="s">
        <v>7566</v>
      </c>
      <c r="M13" s="118"/>
      <c r="N13" s="119" t="s">
        <v>7596</v>
      </c>
      <c r="O13" t="s">
        <v>7602</v>
      </c>
      <c r="Q13" s="118"/>
      <c r="R13" s="119" t="s">
        <v>7632</v>
      </c>
      <c r="S13" t="s">
        <v>7638</v>
      </c>
      <c r="U13" s="118"/>
      <c r="V13" s="119" t="s">
        <v>7668</v>
      </c>
      <c r="W13" t="s">
        <v>7674</v>
      </c>
    </row>
    <row r="14" spans="1:24" x14ac:dyDescent="0.3">
      <c r="A14" s="118"/>
      <c r="B14" s="119" t="s">
        <v>7489</v>
      </c>
      <c r="C14" t="s">
        <v>7495</v>
      </c>
      <c r="E14" s="118"/>
      <c r="F14" s="119" t="s">
        <v>7525</v>
      </c>
      <c r="G14" t="s">
        <v>7531</v>
      </c>
      <c r="I14" s="118"/>
      <c r="J14" s="119" t="s">
        <v>7561</v>
      </c>
      <c r="K14" t="s">
        <v>7567</v>
      </c>
      <c r="M14" s="118"/>
      <c r="N14" s="119" t="s">
        <v>7597</v>
      </c>
      <c r="O14" t="s">
        <v>7603</v>
      </c>
      <c r="Q14" s="118"/>
      <c r="R14" s="119" t="s">
        <v>7633</v>
      </c>
      <c r="S14" t="s">
        <v>7639</v>
      </c>
      <c r="U14" s="118"/>
      <c r="V14" s="119" t="s">
        <v>7669</v>
      </c>
      <c r="W14" t="s">
        <v>7675</v>
      </c>
    </row>
    <row r="15" spans="1:24" x14ac:dyDescent="0.3">
      <c r="A15" s="118"/>
      <c r="B15" s="119" t="s">
        <v>7500</v>
      </c>
      <c r="C15" t="s">
        <v>7506</v>
      </c>
      <c r="E15" s="118"/>
      <c r="F15" s="119" t="s">
        <v>7536</v>
      </c>
      <c r="G15" t="s">
        <v>7542</v>
      </c>
      <c r="I15" s="118"/>
      <c r="J15" s="119" t="s">
        <v>7572</v>
      </c>
      <c r="K15" t="s">
        <v>7578</v>
      </c>
      <c r="M15" s="118"/>
      <c r="N15" s="119" t="s">
        <v>7608</v>
      </c>
      <c r="O15" t="s">
        <v>7614</v>
      </c>
      <c r="Q15" s="118"/>
      <c r="R15" s="119" t="s">
        <v>7644</v>
      </c>
      <c r="S15" t="s">
        <v>7650</v>
      </c>
      <c r="U15" s="118"/>
      <c r="V15" s="119" t="s">
        <v>7680</v>
      </c>
      <c r="W15" t="s">
        <v>7686</v>
      </c>
    </row>
    <row r="16" spans="1:24" x14ac:dyDescent="0.3">
      <c r="A16" s="118"/>
      <c r="B16" s="119" t="s">
        <v>7501</v>
      </c>
      <c r="C16" t="s">
        <v>7507</v>
      </c>
      <c r="E16" s="118"/>
      <c r="F16" s="119" t="s">
        <v>7537</v>
      </c>
      <c r="G16" t="s">
        <v>7543</v>
      </c>
      <c r="I16" s="118"/>
      <c r="J16" s="119" t="s">
        <v>7573</v>
      </c>
      <c r="K16" t="s">
        <v>7579</v>
      </c>
      <c r="M16" s="118"/>
      <c r="N16" s="119" t="s">
        <v>7609</v>
      </c>
      <c r="O16" t="s">
        <v>7615</v>
      </c>
      <c r="Q16" s="118"/>
      <c r="R16" s="119" t="s">
        <v>7645</v>
      </c>
      <c r="S16" t="s">
        <v>7651</v>
      </c>
      <c r="U16" s="118"/>
      <c r="V16" s="119" t="s">
        <v>7681</v>
      </c>
      <c r="W16" t="s">
        <v>7687</v>
      </c>
    </row>
    <row r="17" spans="1:23" x14ac:dyDescent="0.3">
      <c r="A17" s="118"/>
      <c r="B17" s="119" t="s">
        <v>7692</v>
      </c>
      <c r="C17" t="s">
        <v>7698</v>
      </c>
      <c r="E17" s="118"/>
      <c r="F17" s="119" t="s">
        <v>7728</v>
      </c>
      <c r="G17" t="s">
        <v>7734</v>
      </c>
      <c r="I17" s="118"/>
      <c r="J17" s="119" t="s">
        <v>7764</v>
      </c>
      <c r="K17" t="s">
        <v>7770</v>
      </c>
      <c r="M17" s="118"/>
      <c r="N17" s="119" t="s">
        <v>7800</v>
      </c>
      <c r="O17" t="s">
        <v>7806</v>
      </c>
      <c r="Q17" s="118"/>
      <c r="R17" s="119" t="s">
        <v>7836</v>
      </c>
      <c r="S17" t="s">
        <v>7842</v>
      </c>
      <c r="U17" s="118"/>
      <c r="V17" s="119" t="s">
        <v>7872</v>
      </c>
      <c r="W17" t="s">
        <v>7878</v>
      </c>
    </row>
    <row r="18" spans="1:23" x14ac:dyDescent="0.3">
      <c r="A18" s="118"/>
      <c r="B18" s="119" t="s">
        <v>7693</v>
      </c>
      <c r="C18" t="s">
        <v>7699</v>
      </c>
      <c r="E18" s="118"/>
      <c r="F18" s="119" t="s">
        <v>7729</v>
      </c>
      <c r="G18" t="s">
        <v>7735</v>
      </c>
      <c r="I18" s="118"/>
      <c r="J18" s="119" t="s">
        <v>7765</v>
      </c>
      <c r="K18" t="s">
        <v>7771</v>
      </c>
      <c r="M18" s="118"/>
      <c r="N18" s="119" t="s">
        <v>7801</v>
      </c>
      <c r="O18" t="s">
        <v>7807</v>
      </c>
      <c r="Q18" s="118"/>
      <c r="R18" s="119" t="s">
        <v>7837</v>
      </c>
      <c r="S18" t="s">
        <v>7843</v>
      </c>
      <c r="U18" s="118"/>
      <c r="V18" s="119" t="s">
        <v>7873</v>
      </c>
      <c r="W18" t="s">
        <v>7879</v>
      </c>
    </row>
    <row r="19" spans="1:23" x14ac:dyDescent="0.3">
      <c r="A19" s="118"/>
      <c r="B19" s="119" t="s">
        <v>7704</v>
      </c>
      <c r="C19" t="s">
        <v>7710</v>
      </c>
      <c r="E19" s="118"/>
      <c r="F19" s="119" t="s">
        <v>7740</v>
      </c>
      <c r="G19" t="s">
        <v>7746</v>
      </c>
      <c r="I19" s="118"/>
      <c r="J19" s="119" t="s">
        <v>7776</v>
      </c>
      <c r="K19" t="s">
        <v>7782</v>
      </c>
      <c r="M19" s="118"/>
      <c r="N19" s="119" t="s">
        <v>7812</v>
      </c>
      <c r="O19" t="s">
        <v>7818</v>
      </c>
      <c r="Q19" s="118"/>
      <c r="R19" s="119" t="s">
        <v>7848</v>
      </c>
      <c r="S19" t="s">
        <v>7854</v>
      </c>
      <c r="U19" s="118"/>
      <c r="V19" s="119" t="s">
        <v>7884</v>
      </c>
      <c r="W19" t="s">
        <v>7890</v>
      </c>
    </row>
    <row r="20" spans="1:23" x14ac:dyDescent="0.3">
      <c r="A20" s="118"/>
      <c r="B20" s="119" t="s">
        <v>7705</v>
      </c>
      <c r="C20" t="s">
        <v>7711</v>
      </c>
      <c r="E20" s="118"/>
      <c r="F20" s="119" t="s">
        <v>7741</v>
      </c>
      <c r="G20" t="s">
        <v>7747</v>
      </c>
      <c r="I20" s="118"/>
      <c r="J20" s="119" t="s">
        <v>7777</v>
      </c>
      <c r="K20" t="s">
        <v>7783</v>
      </c>
      <c r="M20" s="118"/>
      <c r="N20" s="119" t="s">
        <v>7813</v>
      </c>
      <c r="O20" t="s">
        <v>7819</v>
      </c>
      <c r="Q20" s="118"/>
      <c r="R20" s="119" t="s">
        <v>7849</v>
      </c>
      <c r="S20" t="s">
        <v>7855</v>
      </c>
      <c r="U20" s="118"/>
      <c r="V20" s="119" t="s">
        <v>7885</v>
      </c>
      <c r="W20" t="s">
        <v>7891</v>
      </c>
    </row>
    <row r="21" spans="1:23" x14ac:dyDescent="0.3">
      <c r="A21" s="118"/>
      <c r="B21" s="119" t="s">
        <v>7716</v>
      </c>
      <c r="C21" t="s">
        <v>7722</v>
      </c>
      <c r="E21" s="118"/>
      <c r="F21" s="119" t="s">
        <v>7752</v>
      </c>
      <c r="G21" t="s">
        <v>7758</v>
      </c>
      <c r="I21" s="118"/>
      <c r="J21" s="119" t="s">
        <v>7788</v>
      </c>
      <c r="K21" t="s">
        <v>7794</v>
      </c>
      <c r="M21" s="118"/>
      <c r="N21" s="119" t="s">
        <v>7824</v>
      </c>
      <c r="O21" t="s">
        <v>7830</v>
      </c>
      <c r="Q21" s="118"/>
      <c r="R21" s="119" t="s">
        <v>7860</v>
      </c>
      <c r="S21" t="s">
        <v>7866</v>
      </c>
      <c r="U21" s="118"/>
      <c r="V21" s="119" t="s">
        <v>7896</v>
      </c>
      <c r="W21" t="s">
        <v>7902</v>
      </c>
    </row>
    <row r="22" spans="1:23" x14ac:dyDescent="0.3">
      <c r="A22" s="118"/>
      <c r="B22" s="119" t="s">
        <v>7717</v>
      </c>
      <c r="C22" t="s">
        <v>7723</v>
      </c>
      <c r="E22" s="118"/>
      <c r="F22" s="119" t="s">
        <v>7753</v>
      </c>
      <c r="G22" t="s">
        <v>7759</v>
      </c>
      <c r="I22" s="118"/>
      <c r="J22" s="119" t="s">
        <v>7789</v>
      </c>
      <c r="K22" t="s">
        <v>7795</v>
      </c>
      <c r="M22" s="118"/>
      <c r="N22" s="119" t="s">
        <v>7825</v>
      </c>
      <c r="O22" t="s">
        <v>7831</v>
      </c>
      <c r="Q22" s="118"/>
      <c r="R22" s="119" t="s">
        <v>7861</v>
      </c>
      <c r="S22" t="s">
        <v>7867</v>
      </c>
      <c r="U22" s="118"/>
      <c r="V22" s="119" t="s">
        <v>7897</v>
      </c>
      <c r="W22" t="s">
        <v>7903</v>
      </c>
    </row>
    <row r="23" spans="1:23" x14ac:dyDescent="0.3">
      <c r="A23" s="118"/>
      <c r="B23" s="119" t="s">
        <v>7908</v>
      </c>
      <c r="C23" t="s">
        <v>7914</v>
      </c>
      <c r="E23" s="118"/>
      <c r="F23" s="119" t="s">
        <v>7944</v>
      </c>
      <c r="G23" t="s">
        <v>7950</v>
      </c>
      <c r="I23" s="118"/>
      <c r="J23" s="119" t="s">
        <v>7980</v>
      </c>
      <c r="K23" t="s">
        <v>7986</v>
      </c>
      <c r="M23" s="118"/>
      <c r="N23" s="119" t="s">
        <v>8016</v>
      </c>
      <c r="O23" t="s">
        <v>8022</v>
      </c>
      <c r="Q23" s="118"/>
      <c r="R23" s="119" t="s">
        <v>8052</v>
      </c>
      <c r="S23" t="s">
        <v>8058</v>
      </c>
      <c r="U23" s="118"/>
      <c r="V23" s="119" t="s">
        <v>8088</v>
      </c>
      <c r="W23" t="s">
        <v>8094</v>
      </c>
    </row>
    <row r="24" spans="1:23" x14ac:dyDescent="0.3">
      <c r="A24" s="118"/>
      <c r="B24" s="119" t="s">
        <v>7909</v>
      </c>
      <c r="C24" t="s">
        <v>7915</v>
      </c>
      <c r="E24" s="118"/>
      <c r="F24" s="119" t="s">
        <v>7945</v>
      </c>
      <c r="G24" t="s">
        <v>7951</v>
      </c>
      <c r="I24" s="118"/>
      <c r="J24" s="119" t="s">
        <v>7981</v>
      </c>
      <c r="K24" t="s">
        <v>7987</v>
      </c>
      <c r="M24" s="118"/>
      <c r="N24" s="119" t="s">
        <v>8017</v>
      </c>
      <c r="O24" t="s">
        <v>8023</v>
      </c>
      <c r="Q24" s="118"/>
      <c r="R24" s="119" t="s">
        <v>8053</v>
      </c>
      <c r="S24" t="s">
        <v>8059</v>
      </c>
      <c r="U24" s="118"/>
      <c r="V24" s="119" t="s">
        <v>8089</v>
      </c>
      <c r="W24" t="s">
        <v>8095</v>
      </c>
    </row>
    <row r="25" spans="1:23" x14ac:dyDescent="0.3">
      <c r="A25" s="118"/>
      <c r="B25" s="119" t="s">
        <v>7920</v>
      </c>
      <c r="C25" t="s">
        <v>7926</v>
      </c>
      <c r="E25" s="118"/>
      <c r="F25" s="119" t="s">
        <v>7956</v>
      </c>
      <c r="G25" t="s">
        <v>7962</v>
      </c>
      <c r="I25" s="118"/>
      <c r="J25" s="119" t="s">
        <v>7992</v>
      </c>
      <c r="K25" t="s">
        <v>7998</v>
      </c>
      <c r="M25" s="118"/>
      <c r="N25" s="119" t="s">
        <v>8028</v>
      </c>
      <c r="O25" t="s">
        <v>8034</v>
      </c>
      <c r="Q25" s="118"/>
      <c r="R25" s="119" t="s">
        <v>8064</v>
      </c>
      <c r="S25" t="s">
        <v>8070</v>
      </c>
      <c r="U25" s="118"/>
      <c r="V25" s="119" t="s">
        <v>8100</v>
      </c>
      <c r="W25" t="s">
        <v>8106</v>
      </c>
    </row>
    <row r="26" spans="1:23" x14ac:dyDescent="0.3">
      <c r="A26" s="118"/>
      <c r="B26" s="119" t="s">
        <v>7921</v>
      </c>
      <c r="C26" t="s">
        <v>7927</v>
      </c>
      <c r="E26" s="118"/>
      <c r="F26" s="119" t="s">
        <v>7957</v>
      </c>
      <c r="G26" t="s">
        <v>7963</v>
      </c>
      <c r="I26" s="118"/>
      <c r="J26" s="119" t="s">
        <v>7993</v>
      </c>
      <c r="K26" t="s">
        <v>7999</v>
      </c>
      <c r="M26" s="118"/>
      <c r="N26" s="119" t="s">
        <v>8029</v>
      </c>
      <c r="O26" t="s">
        <v>8035</v>
      </c>
      <c r="Q26" s="118"/>
      <c r="R26" s="119" t="s">
        <v>8065</v>
      </c>
      <c r="S26" t="s">
        <v>8071</v>
      </c>
      <c r="U26" s="118"/>
      <c r="V26" s="119" t="s">
        <v>8101</v>
      </c>
      <c r="W26" t="s">
        <v>8107</v>
      </c>
    </row>
    <row r="27" spans="1:23" x14ac:dyDescent="0.3">
      <c r="A27" s="118"/>
      <c r="B27" s="119" t="s">
        <v>7932</v>
      </c>
      <c r="C27" t="s">
        <v>7938</v>
      </c>
      <c r="E27" s="118"/>
      <c r="F27" s="119" t="s">
        <v>7968</v>
      </c>
      <c r="G27" t="s">
        <v>7974</v>
      </c>
      <c r="I27" s="118"/>
      <c r="J27" s="119" t="s">
        <v>8004</v>
      </c>
      <c r="K27" t="s">
        <v>8010</v>
      </c>
      <c r="M27" s="118"/>
      <c r="N27" s="119" t="s">
        <v>8040</v>
      </c>
      <c r="O27" t="s">
        <v>8046</v>
      </c>
      <c r="Q27" s="118"/>
      <c r="R27" s="119" t="s">
        <v>8076</v>
      </c>
      <c r="S27" t="s">
        <v>8082</v>
      </c>
      <c r="U27" s="118"/>
      <c r="V27" s="119" t="s">
        <v>8112</v>
      </c>
      <c r="W27" t="s">
        <v>8118</v>
      </c>
    </row>
    <row r="28" spans="1:23" x14ac:dyDescent="0.3">
      <c r="A28" s="118"/>
      <c r="B28" s="119" t="s">
        <v>7933</v>
      </c>
      <c r="C28" t="s">
        <v>7939</v>
      </c>
      <c r="E28" s="118"/>
      <c r="F28" s="119" t="s">
        <v>7969</v>
      </c>
      <c r="G28" t="s">
        <v>7975</v>
      </c>
      <c r="I28" s="118"/>
      <c r="J28" s="119" t="s">
        <v>8005</v>
      </c>
      <c r="K28" t="s">
        <v>8011</v>
      </c>
      <c r="M28" s="118"/>
      <c r="N28" s="119" t="s">
        <v>8041</v>
      </c>
      <c r="O28" t="s">
        <v>8047</v>
      </c>
      <c r="Q28" s="118"/>
      <c r="R28" s="119" t="s">
        <v>8077</v>
      </c>
      <c r="S28" t="s">
        <v>8083</v>
      </c>
      <c r="U28" s="118"/>
      <c r="V28" s="119" t="s">
        <v>8113</v>
      </c>
      <c r="W28" t="s">
        <v>8119</v>
      </c>
    </row>
    <row r="29" spans="1:23" x14ac:dyDescent="0.3">
      <c r="A29" s="118"/>
      <c r="B29" s="119" t="s">
        <v>8124</v>
      </c>
      <c r="C29" t="s">
        <v>8130</v>
      </c>
      <c r="E29" s="118"/>
      <c r="F29" s="119" t="s">
        <v>8160</v>
      </c>
      <c r="G29" t="s">
        <v>8166</v>
      </c>
      <c r="I29" s="118"/>
      <c r="J29" s="119" t="s">
        <v>8196</v>
      </c>
      <c r="K29" t="s">
        <v>8202</v>
      </c>
      <c r="M29" s="118"/>
      <c r="N29" s="119" t="s">
        <v>8232</v>
      </c>
      <c r="O29" t="s">
        <v>8238</v>
      </c>
      <c r="Q29" s="118"/>
      <c r="R29" s="119" t="s">
        <v>8268</v>
      </c>
      <c r="S29" t="s">
        <v>8274</v>
      </c>
      <c r="U29" s="118"/>
      <c r="V29" s="119" t="s">
        <v>8304</v>
      </c>
      <c r="W29" t="s">
        <v>8310</v>
      </c>
    </row>
    <row r="30" spans="1:23" x14ac:dyDescent="0.3">
      <c r="A30" s="118"/>
      <c r="B30" s="119" t="s">
        <v>8125</v>
      </c>
      <c r="C30" t="s">
        <v>8131</v>
      </c>
      <c r="E30" s="118"/>
      <c r="F30" s="119" t="s">
        <v>8161</v>
      </c>
      <c r="G30" t="s">
        <v>8167</v>
      </c>
      <c r="I30" s="118"/>
      <c r="J30" s="119" t="s">
        <v>8197</v>
      </c>
      <c r="K30" t="s">
        <v>8203</v>
      </c>
      <c r="M30" s="118"/>
      <c r="N30" s="119" t="s">
        <v>8233</v>
      </c>
      <c r="O30" t="s">
        <v>8239</v>
      </c>
      <c r="Q30" s="118"/>
      <c r="R30" s="119" t="s">
        <v>8269</v>
      </c>
      <c r="S30" t="s">
        <v>8275</v>
      </c>
      <c r="U30" s="118"/>
      <c r="V30" s="119" t="s">
        <v>8305</v>
      </c>
      <c r="W30" t="s">
        <v>8311</v>
      </c>
    </row>
    <row r="31" spans="1:23" x14ac:dyDescent="0.3">
      <c r="A31" s="118"/>
      <c r="B31" s="119" t="s">
        <v>8136</v>
      </c>
      <c r="C31" t="s">
        <v>8142</v>
      </c>
      <c r="E31" s="118"/>
      <c r="F31" s="119" t="s">
        <v>8172</v>
      </c>
      <c r="G31" t="s">
        <v>8178</v>
      </c>
      <c r="I31" s="118"/>
      <c r="J31" s="119" t="s">
        <v>8208</v>
      </c>
      <c r="K31" t="s">
        <v>8214</v>
      </c>
      <c r="M31" s="118"/>
      <c r="N31" s="119" t="s">
        <v>8244</v>
      </c>
      <c r="O31" t="s">
        <v>8250</v>
      </c>
      <c r="Q31" s="118"/>
      <c r="R31" s="119" t="s">
        <v>8280</v>
      </c>
      <c r="S31" t="s">
        <v>8286</v>
      </c>
      <c r="U31" s="118"/>
      <c r="V31" s="119" t="s">
        <v>8316</v>
      </c>
      <c r="W31" t="s">
        <v>8322</v>
      </c>
    </row>
    <row r="32" spans="1:23" x14ac:dyDescent="0.3">
      <c r="A32" s="118"/>
      <c r="B32" s="119" t="s">
        <v>8137</v>
      </c>
      <c r="C32" t="s">
        <v>8143</v>
      </c>
      <c r="E32" s="118"/>
      <c r="F32" s="119" t="s">
        <v>8173</v>
      </c>
      <c r="G32" t="s">
        <v>8179</v>
      </c>
      <c r="I32" s="118"/>
      <c r="J32" s="119" t="s">
        <v>8209</v>
      </c>
      <c r="K32" t="s">
        <v>8215</v>
      </c>
      <c r="M32" s="118"/>
      <c r="N32" s="119" t="s">
        <v>8245</v>
      </c>
      <c r="O32" t="s">
        <v>8251</v>
      </c>
      <c r="Q32" s="118"/>
      <c r="R32" s="119" t="s">
        <v>8281</v>
      </c>
      <c r="S32" t="s">
        <v>8287</v>
      </c>
      <c r="U32" s="118"/>
      <c r="V32" s="119" t="s">
        <v>8317</v>
      </c>
      <c r="W32" t="s">
        <v>8323</v>
      </c>
    </row>
    <row r="33" spans="1:23" x14ac:dyDescent="0.3">
      <c r="A33" s="118"/>
      <c r="B33" s="119" t="s">
        <v>8148</v>
      </c>
      <c r="C33" t="s">
        <v>8154</v>
      </c>
      <c r="E33" s="118"/>
      <c r="F33" s="119" t="s">
        <v>8184</v>
      </c>
      <c r="G33" t="s">
        <v>8190</v>
      </c>
      <c r="I33" s="118"/>
      <c r="J33" s="119" t="s">
        <v>8220</v>
      </c>
      <c r="K33" t="s">
        <v>8226</v>
      </c>
      <c r="M33" s="118"/>
      <c r="N33" s="119" t="s">
        <v>8256</v>
      </c>
      <c r="O33" t="s">
        <v>8262</v>
      </c>
      <c r="Q33" s="118"/>
      <c r="R33" s="119" t="s">
        <v>8292</v>
      </c>
      <c r="S33" t="s">
        <v>8298</v>
      </c>
      <c r="U33" s="118"/>
      <c r="V33" s="119" t="s">
        <v>8328</v>
      </c>
      <c r="W33" t="s">
        <v>8334</v>
      </c>
    </row>
    <row r="34" spans="1:23" x14ac:dyDescent="0.3">
      <c r="A34" s="118"/>
      <c r="B34" s="119" t="s">
        <v>8149</v>
      </c>
      <c r="C34" t="s">
        <v>8155</v>
      </c>
      <c r="E34" s="118"/>
      <c r="F34" s="119" t="s">
        <v>8185</v>
      </c>
      <c r="G34" t="s">
        <v>8191</v>
      </c>
      <c r="I34" s="118"/>
      <c r="J34" s="119" t="s">
        <v>8221</v>
      </c>
      <c r="K34" t="s">
        <v>8227</v>
      </c>
      <c r="M34" s="118"/>
      <c r="N34" s="119" t="s">
        <v>8257</v>
      </c>
      <c r="O34" t="s">
        <v>8263</v>
      </c>
      <c r="Q34" s="118"/>
      <c r="R34" s="119" t="s">
        <v>8293</v>
      </c>
      <c r="S34" t="s">
        <v>8299</v>
      </c>
      <c r="U34" s="118"/>
      <c r="V34" s="119" t="s">
        <v>8329</v>
      </c>
      <c r="W34" t="s">
        <v>8335</v>
      </c>
    </row>
    <row r="35" spans="1:23" x14ac:dyDescent="0.3">
      <c r="A35" s="118"/>
      <c r="B35" s="119" t="s">
        <v>8340</v>
      </c>
      <c r="C35" t="s">
        <v>8346</v>
      </c>
      <c r="E35" s="118"/>
      <c r="F35" s="119" t="s">
        <v>8376</v>
      </c>
      <c r="G35" t="s">
        <v>8382</v>
      </c>
      <c r="I35" s="118"/>
      <c r="J35" s="119" t="s">
        <v>8412</v>
      </c>
      <c r="K35" t="s">
        <v>8418</v>
      </c>
      <c r="M35" s="118"/>
      <c r="N35" s="119" t="s">
        <v>8448</v>
      </c>
      <c r="O35" t="s">
        <v>8454</v>
      </c>
      <c r="Q35" s="118"/>
      <c r="R35" s="119" t="s">
        <v>8484</v>
      </c>
      <c r="S35" t="s">
        <v>8490</v>
      </c>
      <c r="U35" s="118"/>
      <c r="V35" s="119" t="s">
        <v>8520</v>
      </c>
      <c r="W35" t="s">
        <v>8526</v>
      </c>
    </row>
    <row r="36" spans="1:23" x14ac:dyDescent="0.3">
      <c r="A36" s="118"/>
      <c r="B36" s="119" t="s">
        <v>8341</v>
      </c>
      <c r="C36" t="s">
        <v>8347</v>
      </c>
      <c r="E36" s="118"/>
      <c r="F36" s="119" t="s">
        <v>8377</v>
      </c>
      <c r="G36" t="s">
        <v>8383</v>
      </c>
      <c r="I36" s="118"/>
      <c r="J36" s="119" t="s">
        <v>8413</v>
      </c>
      <c r="K36" t="s">
        <v>8419</v>
      </c>
      <c r="M36" s="118"/>
      <c r="N36" s="119" t="s">
        <v>8449</v>
      </c>
      <c r="O36" t="s">
        <v>8455</v>
      </c>
      <c r="Q36" s="118"/>
      <c r="R36" s="119" t="s">
        <v>8485</v>
      </c>
      <c r="S36" t="s">
        <v>8491</v>
      </c>
      <c r="U36" s="118"/>
      <c r="V36" s="119" t="s">
        <v>8521</v>
      </c>
      <c r="W36" t="s">
        <v>8527</v>
      </c>
    </row>
    <row r="37" spans="1:23" x14ac:dyDescent="0.3">
      <c r="A37" s="118"/>
      <c r="B37" s="119" t="s">
        <v>8352</v>
      </c>
      <c r="C37" t="s">
        <v>8358</v>
      </c>
      <c r="E37" s="118"/>
      <c r="F37" s="119" t="s">
        <v>8388</v>
      </c>
      <c r="G37" t="s">
        <v>8394</v>
      </c>
      <c r="I37" s="118"/>
      <c r="J37" s="119" t="s">
        <v>8424</v>
      </c>
      <c r="K37" t="s">
        <v>8430</v>
      </c>
      <c r="M37" s="118"/>
      <c r="N37" s="119" t="s">
        <v>8460</v>
      </c>
      <c r="O37" t="s">
        <v>8466</v>
      </c>
      <c r="Q37" s="118"/>
      <c r="R37" s="119" t="s">
        <v>8496</v>
      </c>
      <c r="S37" t="s">
        <v>8502</v>
      </c>
      <c r="U37" s="118"/>
      <c r="V37" s="119" t="s">
        <v>8532</v>
      </c>
      <c r="W37" t="s">
        <v>8538</v>
      </c>
    </row>
    <row r="38" spans="1:23" x14ac:dyDescent="0.3">
      <c r="A38" s="118"/>
      <c r="B38" s="119" t="s">
        <v>8353</v>
      </c>
      <c r="C38" t="s">
        <v>8359</v>
      </c>
      <c r="E38" s="118"/>
      <c r="F38" s="119" t="s">
        <v>8389</v>
      </c>
      <c r="G38" t="s">
        <v>8395</v>
      </c>
      <c r="I38" s="118"/>
      <c r="J38" s="119" t="s">
        <v>8425</v>
      </c>
      <c r="K38" t="s">
        <v>8431</v>
      </c>
      <c r="M38" s="118"/>
      <c r="N38" s="119" t="s">
        <v>8461</v>
      </c>
      <c r="O38" t="s">
        <v>8467</v>
      </c>
      <c r="Q38" s="118"/>
      <c r="R38" s="119" t="s">
        <v>8497</v>
      </c>
      <c r="S38" t="s">
        <v>8503</v>
      </c>
      <c r="U38" s="118"/>
      <c r="V38" s="119" t="s">
        <v>8533</v>
      </c>
      <c r="W38" t="s">
        <v>8539</v>
      </c>
    </row>
    <row r="39" spans="1:23" x14ac:dyDescent="0.3">
      <c r="A39" s="118"/>
      <c r="B39" s="119" t="s">
        <v>8364</v>
      </c>
      <c r="C39" t="s">
        <v>8370</v>
      </c>
      <c r="E39" s="118"/>
      <c r="F39" s="119" t="s">
        <v>8400</v>
      </c>
      <c r="G39" t="s">
        <v>8406</v>
      </c>
      <c r="I39" s="118"/>
      <c r="J39" s="119" t="s">
        <v>8436</v>
      </c>
      <c r="K39" t="s">
        <v>8442</v>
      </c>
      <c r="M39" s="118"/>
      <c r="N39" s="119" t="s">
        <v>8472</v>
      </c>
      <c r="O39" t="s">
        <v>8478</v>
      </c>
      <c r="Q39" s="118"/>
      <c r="R39" s="119" t="s">
        <v>8508</v>
      </c>
      <c r="S39" t="s">
        <v>8514</v>
      </c>
      <c r="U39" s="118"/>
      <c r="V39" s="119" t="s">
        <v>8544</v>
      </c>
      <c r="W39" t="s">
        <v>8550</v>
      </c>
    </row>
    <row r="40" spans="1:23" x14ac:dyDescent="0.3">
      <c r="A40" s="118"/>
      <c r="B40" s="119" t="s">
        <v>8365</v>
      </c>
      <c r="C40" t="s">
        <v>8371</v>
      </c>
      <c r="E40" s="118"/>
      <c r="F40" s="119" t="s">
        <v>8401</v>
      </c>
      <c r="G40" t="s">
        <v>8407</v>
      </c>
      <c r="I40" s="118"/>
      <c r="J40" s="119" t="s">
        <v>8437</v>
      </c>
      <c r="K40" t="s">
        <v>8443</v>
      </c>
      <c r="M40" s="118"/>
      <c r="N40" s="119" t="s">
        <v>8473</v>
      </c>
      <c r="O40" t="s">
        <v>8479</v>
      </c>
      <c r="Q40" s="118"/>
      <c r="R40" s="119" t="s">
        <v>8509</v>
      </c>
      <c r="S40" t="s">
        <v>8515</v>
      </c>
      <c r="U40" s="118"/>
      <c r="V40" s="119" t="s">
        <v>8545</v>
      </c>
      <c r="W40" t="s">
        <v>8551</v>
      </c>
    </row>
    <row r="41" spans="1:23" x14ac:dyDescent="0.3">
      <c r="A41" s="118"/>
      <c r="B41" s="119" t="s">
        <v>8556</v>
      </c>
      <c r="C41" t="s">
        <v>8562</v>
      </c>
      <c r="E41" s="118"/>
      <c r="F41" s="119" t="s">
        <v>8592</v>
      </c>
      <c r="G41" t="s">
        <v>8598</v>
      </c>
      <c r="I41" s="118"/>
      <c r="J41" s="119" t="s">
        <v>8628</v>
      </c>
      <c r="K41" t="s">
        <v>8634</v>
      </c>
      <c r="M41" s="118"/>
      <c r="N41" s="119" t="s">
        <v>8664</v>
      </c>
      <c r="O41" t="s">
        <v>8670</v>
      </c>
      <c r="Q41" s="118"/>
      <c r="R41" s="119" t="s">
        <v>8700</v>
      </c>
      <c r="S41" t="s">
        <v>8706</v>
      </c>
      <c r="U41" s="118"/>
      <c r="V41" s="119" t="s">
        <v>8736</v>
      </c>
      <c r="W41" t="s">
        <v>8742</v>
      </c>
    </row>
    <row r="42" spans="1:23" x14ac:dyDescent="0.3">
      <c r="A42" s="118"/>
      <c r="B42" s="119" t="s">
        <v>8557</v>
      </c>
      <c r="C42" t="s">
        <v>8563</v>
      </c>
      <c r="E42" s="118"/>
      <c r="F42" s="119" t="s">
        <v>8593</v>
      </c>
      <c r="G42" t="s">
        <v>8599</v>
      </c>
      <c r="I42" s="118"/>
      <c r="J42" s="119" t="s">
        <v>8629</v>
      </c>
      <c r="K42" t="s">
        <v>8635</v>
      </c>
      <c r="M42" s="118"/>
      <c r="N42" s="119" t="s">
        <v>8665</v>
      </c>
      <c r="O42" t="s">
        <v>8671</v>
      </c>
      <c r="Q42" s="118"/>
      <c r="R42" s="119" t="s">
        <v>8701</v>
      </c>
      <c r="S42" t="s">
        <v>8707</v>
      </c>
      <c r="U42" s="118"/>
      <c r="V42" s="119" t="s">
        <v>8737</v>
      </c>
      <c r="W42" t="s">
        <v>8743</v>
      </c>
    </row>
    <row r="43" spans="1:23" x14ac:dyDescent="0.3">
      <c r="A43" s="118"/>
      <c r="B43" s="119" t="s">
        <v>8568</v>
      </c>
      <c r="C43" t="s">
        <v>8574</v>
      </c>
      <c r="E43" s="118"/>
      <c r="F43" s="119" t="s">
        <v>8604</v>
      </c>
      <c r="G43" t="s">
        <v>8610</v>
      </c>
      <c r="I43" s="118"/>
      <c r="J43" s="119" t="s">
        <v>8640</v>
      </c>
      <c r="K43" t="s">
        <v>8646</v>
      </c>
      <c r="M43" s="118"/>
      <c r="N43" s="119" t="s">
        <v>8676</v>
      </c>
      <c r="O43" t="s">
        <v>8682</v>
      </c>
      <c r="Q43" s="118"/>
      <c r="R43" s="119" t="s">
        <v>8712</v>
      </c>
      <c r="S43" t="s">
        <v>8718</v>
      </c>
      <c r="U43" s="118"/>
      <c r="V43" s="119" t="s">
        <v>8748</v>
      </c>
      <c r="W43" t="s">
        <v>8754</v>
      </c>
    </row>
    <row r="44" spans="1:23" x14ac:dyDescent="0.3">
      <c r="A44" s="118"/>
      <c r="B44" s="119" t="s">
        <v>8569</v>
      </c>
      <c r="C44" t="s">
        <v>8575</v>
      </c>
      <c r="E44" s="118"/>
      <c r="F44" s="119" t="s">
        <v>8605</v>
      </c>
      <c r="G44" t="s">
        <v>8611</v>
      </c>
      <c r="I44" s="118"/>
      <c r="J44" s="119" t="s">
        <v>8641</v>
      </c>
      <c r="K44" t="s">
        <v>8647</v>
      </c>
      <c r="M44" s="118"/>
      <c r="N44" s="119" t="s">
        <v>8677</v>
      </c>
      <c r="O44" t="s">
        <v>8683</v>
      </c>
      <c r="Q44" s="118"/>
      <c r="R44" s="119" t="s">
        <v>8713</v>
      </c>
      <c r="S44" t="s">
        <v>8719</v>
      </c>
      <c r="U44" s="118"/>
      <c r="V44" s="119" t="s">
        <v>8749</v>
      </c>
      <c r="W44" t="s">
        <v>8755</v>
      </c>
    </row>
    <row r="45" spans="1:23" x14ac:dyDescent="0.3">
      <c r="A45" s="118"/>
      <c r="B45" s="119" t="s">
        <v>8580</v>
      </c>
      <c r="C45" t="s">
        <v>8586</v>
      </c>
      <c r="E45" s="118"/>
      <c r="F45" s="119" t="s">
        <v>8616</v>
      </c>
      <c r="G45" t="s">
        <v>8622</v>
      </c>
      <c r="I45" s="118"/>
      <c r="J45" s="119" t="s">
        <v>8652</v>
      </c>
      <c r="K45" t="s">
        <v>8658</v>
      </c>
      <c r="M45" s="118"/>
      <c r="N45" s="119" t="s">
        <v>8688</v>
      </c>
      <c r="O45" t="s">
        <v>8694</v>
      </c>
      <c r="Q45" s="118"/>
      <c r="R45" s="119" t="s">
        <v>8724</v>
      </c>
      <c r="S45" t="s">
        <v>8730</v>
      </c>
      <c r="U45" s="118"/>
      <c r="V45" s="119" t="s">
        <v>8760</v>
      </c>
      <c r="W45" t="s">
        <v>8766</v>
      </c>
    </row>
    <row r="46" spans="1:23" x14ac:dyDescent="0.3">
      <c r="A46" s="118"/>
      <c r="B46" s="119" t="s">
        <v>8581</v>
      </c>
      <c r="C46" t="s">
        <v>8587</v>
      </c>
      <c r="E46" s="118"/>
      <c r="F46" s="119" t="s">
        <v>8617</v>
      </c>
      <c r="G46" t="s">
        <v>8623</v>
      </c>
      <c r="I46" s="118"/>
      <c r="J46" s="119" t="s">
        <v>8653</v>
      </c>
      <c r="K46" t="s">
        <v>8659</v>
      </c>
      <c r="M46" s="118"/>
      <c r="N46" s="119" t="s">
        <v>8689</v>
      </c>
      <c r="O46" t="s">
        <v>8695</v>
      </c>
      <c r="Q46" s="118"/>
      <c r="R46" s="119" t="s">
        <v>8725</v>
      </c>
      <c r="S46" t="s">
        <v>8731</v>
      </c>
      <c r="U46" s="118"/>
      <c r="V46" s="119" t="s">
        <v>8761</v>
      </c>
      <c r="W46" t="s">
        <v>8767</v>
      </c>
    </row>
    <row r="47" spans="1:23" x14ac:dyDescent="0.3">
      <c r="A47" s="118"/>
      <c r="B47" s="119" t="s">
        <v>8772</v>
      </c>
      <c r="C47" t="s">
        <v>8778</v>
      </c>
      <c r="E47" s="118"/>
      <c r="F47" s="119" t="s">
        <v>8808</v>
      </c>
      <c r="G47" t="s">
        <v>8814</v>
      </c>
      <c r="I47" s="118"/>
      <c r="J47" s="119" t="s">
        <v>8844</v>
      </c>
      <c r="K47" t="s">
        <v>8850</v>
      </c>
      <c r="M47" s="118"/>
      <c r="N47" s="119" t="s">
        <v>8880</v>
      </c>
      <c r="O47" t="s">
        <v>8886</v>
      </c>
      <c r="Q47" s="118"/>
      <c r="R47" s="119" t="s">
        <v>8916</v>
      </c>
      <c r="S47" t="s">
        <v>8922</v>
      </c>
      <c r="U47" s="118"/>
      <c r="V47" s="119" t="s">
        <v>8952</v>
      </c>
      <c r="W47" t="s">
        <v>8958</v>
      </c>
    </row>
    <row r="48" spans="1:23" x14ac:dyDescent="0.3">
      <c r="A48" s="118"/>
      <c r="B48" s="119" t="s">
        <v>8773</v>
      </c>
      <c r="C48" t="s">
        <v>8779</v>
      </c>
      <c r="E48" s="118"/>
      <c r="F48" s="119" t="s">
        <v>8809</v>
      </c>
      <c r="G48" t="s">
        <v>8815</v>
      </c>
      <c r="I48" s="118"/>
      <c r="J48" s="119" t="s">
        <v>8845</v>
      </c>
      <c r="K48" t="s">
        <v>8851</v>
      </c>
      <c r="M48" s="118"/>
      <c r="N48" s="119" t="s">
        <v>8881</v>
      </c>
      <c r="O48" t="s">
        <v>8887</v>
      </c>
      <c r="Q48" s="118"/>
      <c r="R48" s="119" t="s">
        <v>8917</v>
      </c>
      <c r="S48" t="s">
        <v>8923</v>
      </c>
      <c r="U48" s="118"/>
      <c r="V48" s="119" t="s">
        <v>8953</v>
      </c>
      <c r="W48" t="s">
        <v>8959</v>
      </c>
    </row>
    <row r="49" spans="1:23" x14ac:dyDescent="0.3">
      <c r="A49" s="118"/>
      <c r="B49" s="119" t="s">
        <v>8784</v>
      </c>
      <c r="C49" t="s">
        <v>8790</v>
      </c>
      <c r="E49" s="118"/>
      <c r="F49" s="119" t="s">
        <v>8820</v>
      </c>
      <c r="G49" t="s">
        <v>8826</v>
      </c>
      <c r="I49" s="118"/>
      <c r="J49" s="119" t="s">
        <v>8856</v>
      </c>
      <c r="K49" t="s">
        <v>8862</v>
      </c>
      <c r="M49" s="118"/>
      <c r="N49" s="119" t="s">
        <v>8892</v>
      </c>
      <c r="O49" t="s">
        <v>8898</v>
      </c>
      <c r="Q49" s="118"/>
      <c r="R49" s="119" t="s">
        <v>8928</v>
      </c>
      <c r="S49" t="s">
        <v>8934</v>
      </c>
      <c r="U49" s="118"/>
      <c r="V49" s="119" t="s">
        <v>8964</v>
      </c>
      <c r="W49" t="s">
        <v>8970</v>
      </c>
    </row>
    <row r="50" spans="1:23" x14ac:dyDescent="0.3">
      <c r="A50" s="118"/>
      <c r="B50" s="119" t="s">
        <v>8785</v>
      </c>
      <c r="C50" t="s">
        <v>8791</v>
      </c>
      <c r="E50" s="118"/>
      <c r="F50" s="119" t="s">
        <v>8821</v>
      </c>
      <c r="G50" t="s">
        <v>8827</v>
      </c>
      <c r="I50" s="118"/>
      <c r="J50" s="119" t="s">
        <v>8857</v>
      </c>
      <c r="K50" t="s">
        <v>8863</v>
      </c>
      <c r="M50" s="118"/>
      <c r="N50" s="119" t="s">
        <v>8893</v>
      </c>
      <c r="O50" t="s">
        <v>8899</v>
      </c>
      <c r="Q50" s="118"/>
      <c r="R50" s="119" t="s">
        <v>8929</v>
      </c>
      <c r="S50" t="s">
        <v>8935</v>
      </c>
      <c r="U50" s="118"/>
      <c r="V50" s="119" t="s">
        <v>8965</v>
      </c>
      <c r="W50" t="s">
        <v>8971</v>
      </c>
    </row>
    <row r="51" spans="1:23" x14ac:dyDescent="0.3">
      <c r="A51" s="118"/>
      <c r="B51" s="119" t="s">
        <v>8796</v>
      </c>
      <c r="C51" t="s">
        <v>8802</v>
      </c>
      <c r="E51" s="118"/>
      <c r="F51" s="119" t="s">
        <v>8832</v>
      </c>
      <c r="G51" t="s">
        <v>8838</v>
      </c>
      <c r="I51" s="118"/>
      <c r="J51" s="119" t="s">
        <v>8868</v>
      </c>
      <c r="K51" t="s">
        <v>8874</v>
      </c>
      <c r="M51" s="118"/>
      <c r="N51" s="119" t="s">
        <v>8904</v>
      </c>
      <c r="O51" t="s">
        <v>8910</v>
      </c>
      <c r="Q51" s="118"/>
      <c r="R51" s="119" t="s">
        <v>8940</v>
      </c>
      <c r="S51" t="s">
        <v>8946</v>
      </c>
      <c r="U51" s="118"/>
      <c r="V51" s="119" t="s">
        <v>8976</v>
      </c>
      <c r="W51" t="s">
        <v>8982</v>
      </c>
    </row>
    <row r="52" spans="1:23" x14ac:dyDescent="0.3">
      <c r="A52" s="118"/>
      <c r="B52" s="119" t="s">
        <v>8797</v>
      </c>
      <c r="C52" t="s">
        <v>8803</v>
      </c>
      <c r="E52" s="118"/>
      <c r="F52" s="119" t="s">
        <v>8833</v>
      </c>
      <c r="G52" t="s">
        <v>8839</v>
      </c>
      <c r="I52" s="118"/>
      <c r="J52" s="119" t="s">
        <v>8869</v>
      </c>
      <c r="K52" t="s">
        <v>8875</v>
      </c>
      <c r="M52" s="118"/>
      <c r="N52" s="119" t="s">
        <v>8905</v>
      </c>
      <c r="O52" t="s">
        <v>8911</v>
      </c>
      <c r="Q52" s="118"/>
      <c r="R52" s="119" t="s">
        <v>8941</v>
      </c>
      <c r="S52" t="s">
        <v>8947</v>
      </c>
      <c r="U52" s="118"/>
      <c r="V52" s="119" t="s">
        <v>8977</v>
      </c>
      <c r="W52" t="s">
        <v>8983</v>
      </c>
    </row>
    <row r="53" spans="1:23" x14ac:dyDescent="0.3">
      <c r="A53" s="118"/>
      <c r="B53" s="119" t="s">
        <v>8988</v>
      </c>
      <c r="C53" t="s">
        <v>8994</v>
      </c>
      <c r="E53" s="118"/>
      <c r="F53" s="119" t="s">
        <v>9024</v>
      </c>
      <c r="G53" t="s">
        <v>9030</v>
      </c>
      <c r="I53" s="118"/>
      <c r="J53" s="119" t="s">
        <v>9060</v>
      </c>
      <c r="K53" t="s">
        <v>9066</v>
      </c>
      <c r="M53" s="118"/>
      <c r="N53" s="119" t="s">
        <v>9096</v>
      </c>
      <c r="O53" t="s">
        <v>9102</v>
      </c>
      <c r="Q53" s="118"/>
      <c r="R53" s="119" t="s">
        <v>9132</v>
      </c>
      <c r="S53" t="s">
        <v>9138</v>
      </c>
      <c r="U53" s="118"/>
      <c r="V53" s="119" t="s">
        <v>9168</v>
      </c>
      <c r="W53" t="s">
        <v>9174</v>
      </c>
    </row>
    <row r="54" spans="1:23" x14ac:dyDescent="0.3">
      <c r="A54" s="118"/>
      <c r="B54" s="119" t="s">
        <v>8989</v>
      </c>
      <c r="C54" t="s">
        <v>8995</v>
      </c>
      <c r="E54" s="118"/>
      <c r="F54" s="119" t="s">
        <v>9025</v>
      </c>
      <c r="G54" t="s">
        <v>9031</v>
      </c>
      <c r="I54" s="118"/>
      <c r="J54" s="119" t="s">
        <v>9061</v>
      </c>
      <c r="K54" t="s">
        <v>9067</v>
      </c>
      <c r="M54" s="118"/>
      <c r="N54" s="119" t="s">
        <v>9097</v>
      </c>
      <c r="O54" t="s">
        <v>9103</v>
      </c>
      <c r="Q54" s="118"/>
      <c r="R54" s="119" t="s">
        <v>9133</v>
      </c>
      <c r="S54" t="s">
        <v>9139</v>
      </c>
      <c r="U54" s="118"/>
      <c r="V54" s="119" t="s">
        <v>9169</v>
      </c>
      <c r="W54" t="s">
        <v>9175</v>
      </c>
    </row>
    <row r="55" spans="1:23" x14ac:dyDescent="0.3">
      <c r="A55" s="118"/>
      <c r="B55" s="119" t="s">
        <v>9000</v>
      </c>
      <c r="C55" t="s">
        <v>9006</v>
      </c>
      <c r="E55" s="118"/>
      <c r="F55" s="119" t="s">
        <v>9036</v>
      </c>
      <c r="G55" t="s">
        <v>9042</v>
      </c>
      <c r="I55" s="118"/>
      <c r="J55" s="119" t="s">
        <v>9072</v>
      </c>
      <c r="K55" t="s">
        <v>9078</v>
      </c>
      <c r="M55" s="118"/>
      <c r="N55" s="119" t="s">
        <v>9108</v>
      </c>
      <c r="O55" t="s">
        <v>9114</v>
      </c>
      <c r="Q55" s="118"/>
      <c r="R55" s="119" t="s">
        <v>9144</v>
      </c>
      <c r="S55" t="s">
        <v>9150</v>
      </c>
      <c r="U55" s="118"/>
      <c r="V55" s="119" t="s">
        <v>9180</v>
      </c>
      <c r="W55" t="s">
        <v>9186</v>
      </c>
    </row>
    <row r="56" spans="1:23" x14ac:dyDescent="0.3">
      <c r="A56" s="118"/>
      <c r="B56" s="119" t="s">
        <v>9001</v>
      </c>
      <c r="C56" t="s">
        <v>9007</v>
      </c>
      <c r="E56" s="118"/>
      <c r="F56" s="119" t="s">
        <v>9037</v>
      </c>
      <c r="G56" t="s">
        <v>9043</v>
      </c>
      <c r="I56" s="118"/>
      <c r="J56" s="119" t="s">
        <v>9073</v>
      </c>
      <c r="K56" t="s">
        <v>9079</v>
      </c>
      <c r="M56" s="118"/>
      <c r="N56" s="119" t="s">
        <v>9109</v>
      </c>
      <c r="O56" t="s">
        <v>9115</v>
      </c>
      <c r="Q56" s="118"/>
      <c r="R56" s="119" t="s">
        <v>9145</v>
      </c>
      <c r="S56" t="s">
        <v>9151</v>
      </c>
      <c r="U56" s="118"/>
      <c r="V56" s="119" t="s">
        <v>9181</v>
      </c>
      <c r="W56" t="s">
        <v>9187</v>
      </c>
    </row>
    <row r="57" spans="1:23" x14ac:dyDescent="0.3">
      <c r="A57" s="118"/>
      <c r="B57" s="119" t="s">
        <v>9012</v>
      </c>
      <c r="C57" t="s">
        <v>9018</v>
      </c>
      <c r="E57" s="118"/>
      <c r="F57" s="119" t="s">
        <v>9048</v>
      </c>
      <c r="G57" t="s">
        <v>9054</v>
      </c>
      <c r="I57" s="118"/>
      <c r="J57" s="119" t="s">
        <v>9084</v>
      </c>
      <c r="K57" t="s">
        <v>9090</v>
      </c>
      <c r="M57" s="118"/>
      <c r="N57" s="119" t="s">
        <v>9120</v>
      </c>
      <c r="O57" t="s">
        <v>9126</v>
      </c>
      <c r="Q57" s="118"/>
      <c r="R57" s="119" t="s">
        <v>9156</v>
      </c>
      <c r="S57" t="s">
        <v>9162</v>
      </c>
      <c r="U57" s="118"/>
      <c r="V57" s="119" t="s">
        <v>9192</v>
      </c>
      <c r="W57" t="s">
        <v>9198</v>
      </c>
    </row>
    <row r="58" spans="1:23" x14ac:dyDescent="0.3">
      <c r="A58" s="118"/>
      <c r="B58" s="119" t="s">
        <v>9013</v>
      </c>
      <c r="C58" t="s">
        <v>9019</v>
      </c>
      <c r="E58" s="118"/>
      <c r="F58" s="119" t="s">
        <v>9049</v>
      </c>
      <c r="G58" t="s">
        <v>9055</v>
      </c>
      <c r="I58" s="118"/>
      <c r="J58" s="119" t="s">
        <v>9085</v>
      </c>
      <c r="K58" t="s">
        <v>9091</v>
      </c>
      <c r="M58" s="118"/>
      <c r="N58" s="119" t="s">
        <v>9121</v>
      </c>
      <c r="O58" t="s">
        <v>9127</v>
      </c>
      <c r="Q58" s="118"/>
      <c r="R58" s="119" t="s">
        <v>9157</v>
      </c>
      <c r="S58" t="s">
        <v>9163</v>
      </c>
      <c r="U58" s="118"/>
      <c r="V58" s="119" t="s">
        <v>9193</v>
      </c>
      <c r="W58" t="s">
        <v>9199</v>
      </c>
    </row>
    <row r="59" spans="1:23" x14ac:dyDescent="0.3">
      <c r="A59" s="118"/>
      <c r="B59" s="119" t="s">
        <v>9204</v>
      </c>
      <c r="C59" t="s">
        <v>9210</v>
      </c>
      <c r="E59" s="118"/>
      <c r="F59" s="119" t="s">
        <v>9240</v>
      </c>
      <c r="G59" t="s">
        <v>9246</v>
      </c>
      <c r="I59" s="118"/>
      <c r="J59" s="119" t="s">
        <v>9276</v>
      </c>
      <c r="K59" t="s">
        <v>9282</v>
      </c>
      <c r="M59" s="118"/>
      <c r="N59" s="119" t="s">
        <v>9312</v>
      </c>
      <c r="O59" t="s">
        <v>9318</v>
      </c>
      <c r="Q59" s="118"/>
      <c r="R59" s="119" t="s">
        <v>9348</v>
      </c>
      <c r="S59" t="s">
        <v>9354</v>
      </c>
      <c r="U59" s="118"/>
      <c r="V59" s="119" t="s">
        <v>9384</v>
      </c>
      <c r="W59" t="s">
        <v>9390</v>
      </c>
    </row>
    <row r="60" spans="1:23" x14ac:dyDescent="0.3">
      <c r="A60" s="118"/>
      <c r="B60" s="119" t="s">
        <v>9205</v>
      </c>
      <c r="C60" t="s">
        <v>9211</v>
      </c>
      <c r="E60" s="118"/>
      <c r="F60" s="119" t="s">
        <v>9241</v>
      </c>
      <c r="G60" t="s">
        <v>9247</v>
      </c>
      <c r="I60" s="118"/>
      <c r="J60" s="119" t="s">
        <v>9277</v>
      </c>
      <c r="K60" t="s">
        <v>9283</v>
      </c>
      <c r="M60" s="118"/>
      <c r="N60" s="119" t="s">
        <v>9313</v>
      </c>
      <c r="O60" t="s">
        <v>9319</v>
      </c>
      <c r="Q60" s="118"/>
      <c r="R60" s="119" t="s">
        <v>9349</v>
      </c>
      <c r="S60" t="s">
        <v>9355</v>
      </c>
      <c r="U60" s="118"/>
      <c r="V60" s="119" t="s">
        <v>9385</v>
      </c>
      <c r="W60" t="s">
        <v>9391</v>
      </c>
    </row>
    <row r="61" spans="1:23" x14ac:dyDescent="0.3">
      <c r="A61" s="118"/>
      <c r="B61" s="119" t="s">
        <v>9216</v>
      </c>
      <c r="C61" t="s">
        <v>9222</v>
      </c>
      <c r="E61" s="118"/>
      <c r="F61" s="119" t="s">
        <v>9252</v>
      </c>
      <c r="G61" t="s">
        <v>9258</v>
      </c>
      <c r="I61" s="118"/>
      <c r="J61" s="119" t="s">
        <v>9288</v>
      </c>
      <c r="K61" t="s">
        <v>9294</v>
      </c>
      <c r="M61" s="118"/>
      <c r="N61" s="119" t="s">
        <v>9324</v>
      </c>
      <c r="O61" t="s">
        <v>9330</v>
      </c>
      <c r="Q61" s="118"/>
      <c r="R61" s="119" t="s">
        <v>9360</v>
      </c>
      <c r="S61" t="s">
        <v>9366</v>
      </c>
      <c r="U61" s="118"/>
      <c r="V61" s="119" t="s">
        <v>9396</v>
      </c>
      <c r="W61" t="s">
        <v>9402</v>
      </c>
    </row>
    <row r="62" spans="1:23" x14ac:dyDescent="0.3">
      <c r="A62" s="118"/>
      <c r="B62" s="119" t="s">
        <v>9217</v>
      </c>
      <c r="C62" t="s">
        <v>9223</v>
      </c>
      <c r="E62" s="118"/>
      <c r="F62" s="119" t="s">
        <v>9253</v>
      </c>
      <c r="G62" t="s">
        <v>9259</v>
      </c>
      <c r="I62" s="118"/>
      <c r="J62" s="119" t="s">
        <v>9289</v>
      </c>
      <c r="K62" t="s">
        <v>9295</v>
      </c>
      <c r="M62" s="118"/>
      <c r="N62" s="119" t="s">
        <v>9325</v>
      </c>
      <c r="O62" t="s">
        <v>9331</v>
      </c>
      <c r="Q62" s="118"/>
      <c r="R62" s="119" t="s">
        <v>9361</v>
      </c>
      <c r="S62" t="s">
        <v>9367</v>
      </c>
      <c r="U62" s="118"/>
      <c r="V62" s="119" t="s">
        <v>9397</v>
      </c>
      <c r="W62" t="s">
        <v>9403</v>
      </c>
    </row>
    <row r="63" spans="1:23" x14ac:dyDescent="0.3">
      <c r="A63" s="118"/>
      <c r="B63" s="119" t="s">
        <v>9228</v>
      </c>
      <c r="C63" t="s">
        <v>9234</v>
      </c>
      <c r="E63" s="118"/>
      <c r="F63" s="119" t="s">
        <v>9264</v>
      </c>
      <c r="G63" t="s">
        <v>9270</v>
      </c>
      <c r="I63" s="118"/>
      <c r="J63" s="119" t="s">
        <v>9300</v>
      </c>
      <c r="K63" t="s">
        <v>9306</v>
      </c>
      <c r="M63" s="118"/>
      <c r="N63" s="119" t="s">
        <v>9336</v>
      </c>
      <c r="O63" t="s">
        <v>9342</v>
      </c>
      <c r="Q63" s="118"/>
      <c r="R63" s="119" t="s">
        <v>9372</v>
      </c>
      <c r="S63" t="s">
        <v>9378</v>
      </c>
      <c r="U63" s="118"/>
      <c r="V63" s="119" t="s">
        <v>9408</v>
      </c>
      <c r="W63" t="s">
        <v>9414</v>
      </c>
    </row>
    <row r="64" spans="1:23" x14ac:dyDescent="0.3">
      <c r="A64" s="118"/>
      <c r="B64" s="119" t="s">
        <v>9229</v>
      </c>
      <c r="C64" t="s">
        <v>9235</v>
      </c>
      <c r="E64" s="118"/>
      <c r="F64" s="119" t="s">
        <v>9265</v>
      </c>
      <c r="G64" t="s">
        <v>9271</v>
      </c>
      <c r="I64" s="118"/>
      <c r="J64" s="119" t="s">
        <v>9301</v>
      </c>
      <c r="K64" t="s">
        <v>9307</v>
      </c>
      <c r="M64" s="118"/>
      <c r="N64" s="119" t="s">
        <v>9337</v>
      </c>
      <c r="O64" t="s">
        <v>9343</v>
      </c>
      <c r="Q64" s="118"/>
      <c r="R64" s="119" t="s">
        <v>9373</v>
      </c>
      <c r="S64" t="s">
        <v>9379</v>
      </c>
      <c r="U64" s="118"/>
      <c r="V64" s="119" t="s">
        <v>9409</v>
      </c>
      <c r="W64" t="s">
        <v>9415</v>
      </c>
    </row>
    <row r="65" spans="1:23" x14ac:dyDescent="0.3">
      <c r="A65" s="118"/>
      <c r="B65" s="119" t="s">
        <v>9420</v>
      </c>
      <c r="C65" t="s">
        <v>9426</v>
      </c>
      <c r="E65" s="118"/>
      <c r="F65" s="119" t="s">
        <v>9456</v>
      </c>
      <c r="G65" t="s">
        <v>9462</v>
      </c>
      <c r="I65" s="118"/>
      <c r="J65" s="119" t="s">
        <v>9492</v>
      </c>
      <c r="K65" t="s">
        <v>9498</v>
      </c>
      <c r="M65" s="118"/>
      <c r="N65" s="119" t="s">
        <v>9528</v>
      </c>
      <c r="O65" t="s">
        <v>9534</v>
      </c>
      <c r="Q65" s="118"/>
      <c r="R65" s="119" t="s">
        <v>9564</v>
      </c>
      <c r="S65" t="s">
        <v>9570</v>
      </c>
      <c r="U65" s="118"/>
      <c r="V65" s="119" t="s">
        <v>9600</v>
      </c>
      <c r="W65" t="s">
        <v>9606</v>
      </c>
    </row>
    <row r="66" spans="1:23" x14ac:dyDescent="0.3">
      <c r="A66" s="118"/>
      <c r="B66" s="119" t="s">
        <v>9421</v>
      </c>
      <c r="C66" t="s">
        <v>9427</v>
      </c>
      <c r="E66" s="118"/>
      <c r="F66" s="119" t="s">
        <v>9457</v>
      </c>
      <c r="G66" t="s">
        <v>9463</v>
      </c>
      <c r="I66" s="118"/>
      <c r="J66" s="119" t="s">
        <v>9493</v>
      </c>
      <c r="K66" t="s">
        <v>9499</v>
      </c>
      <c r="M66" s="118"/>
      <c r="N66" s="119" t="s">
        <v>9529</v>
      </c>
      <c r="O66" t="s">
        <v>9535</v>
      </c>
      <c r="Q66" s="118"/>
      <c r="R66" s="119" t="s">
        <v>9565</v>
      </c>
      <c r="S66" t="s">
        <v>9571</v>
      </c>
      <c r="U66" s="118"/>
      <c r="V66" s="119" t="s">
        <v>9601</v>
      </c>
      <c r="W66" t="s">
        <v>9607</v>
      </c>
    </row>
    <row r="67" spans="1:23" x14ac:dyDescent="0.3">
      <c r="A67" s="118"/>
      <c r="B67" s="119" t="s">
        <v>9432</v>
      </c>
      <c r="C67" t="s">
        <v>9438</v>
      </c>
      <c r="E67" s="118"/>
      <c r="F67" s="119" t="s">
        <v>9468</v>
      </c>
      <c r="G67" t="s">
        <v>9474</v>
      </c>
      <c r="I67" s="118"/>
      <c r="J67" s="119" t="s">
        <v>9504</v>
      </c>
      <c r="K67" t="s">
        <v>9510</v>
      </c>
      <c r="M67" s="118"/>
      <c r="N67" s="119" t="s">
        <v>9540</v>
      </c>
      <c r="O67" t="s">
        <v>9546</v>
      </c>
      <c r="Q67" s="118"/>
      <c r="R67" s="119" t="s">
        <v>9576</v>
      </c>
      <c r="S67" t="s">
        <v>9582</v>
      </c>
      <c r="U67" s="118"/>
      <c r="V67" s="119" t="s">
        <v>9612</v>
      </c>
      <c r="W67" t="s">
        <v>9618</v>
      </c>
    </row>
    <row r="68" spans="1:23" x14ac:dyDescent="0.3">
      <c r="A68" s="118"/>
      <c r="B68" s="119" t="s">
        <v>9433</v>
      </c>
      <c r="C68" t="s">
        <v>9439</v>
      </c>
      <c r="E68" s="118"/>
      <c r="F68" s="119" t="s">
        <v>9469</v>
      </c>
      <c r="G68" t="s">
        <v>9475</v>
      </c>
      <c r="I68" s="118"/>
      <c r="J68" s="119" t="s">
        <v>9505</v>
      </c>
      <c r="K68" t="s">
        <v>9511</v>
      </c>
      <c r="M68" s="118"/>
      <c r="N68" s="119" t="s">
        <v>9541</v>
      </c>
      <c r="O68" t="s">
        <v>9547</v>
      </c>
      <c r="Q68" s="118"/>
      <c r="R68" s="119" t="s">
        <v>9577</v>
      </c>
      <c r="S68" t="s">
        <v>9583</v>
      </c>
      <c r="U68" s="118"/>
      <c r="V68" s="119" t="s">
        <v>9613</v>
      </c>
      <c r="W68" t="s">
        <v>9619</v>
      </c>
    </row>
    <row r="69" spans="1:23" x14ac:dyDescent="0.3">
      <c r="A69" s="118"/>
      <c r="B69" s="119" t="s">
        <v>9444</v>
      </c>
      <c r="C69" t="s">
        <v>9450</v>
      </c>
      <c r="E69" s="118"/>
      <c r="F69" s="119" t="s">
        <v>9480</v>
      </c>
      <c r="G69" t="s">
        <v>9486</v>
      </c>
      <c r="I69" s="118"/>
      <c r="J69" s="119" t="s">
        <v>9516</v>
      </c>
      <c r="K69" t="s">
        <v>9522</v>
      </c>
      <c r="M69" s="118"/>
      <c r="N69" s="119" t="s">
        <v>9552</v>
      </c>
      <c r="O69" t="s">
        <v>9558</v>
      </c>
      <c r="Q69" s="118"/>
      <c r="R69" s="119" t="s">
        <v>9588</v>
      </c>
      <c r="S69" t="s">
        <v>9594</v>
      </c>
      <c r="U69" s="118"/>
      <c r="V69" s="119" t="s">
        <v>9624</v>
      </c>
      <c r="W69" t="s">
        <v>9630</v>
      </c>
    </row>
    <row r="70" spans="1:23" x14ac:dyDescent="0.3">
      <c r="A70" s="118"/>
      <c r="B70" s="119" t="s">
        <v>9445</v>
      </c>
      <c r="C70" t="s">
        <v>9451</v>
      </c>
      <c r="E70" s="118"/>
      <c r="F70" s="119" t="s">
        <v>9481</v>
      </c>
      <c r="G70" t="s">
        <v>9487</v>
      </c>
      <c r="I70" s="118"/>
      <c r="J70" s="119" t="s">
        <v>9517</v>
      </c>
      <c r="K70" t="s">
        <v>9523</v>
      </c>
      <c r="M70" s="118"/>
      <c r="N70" s="119" t="s">
        <v>9553</v>
      </c>
      <c r="O70" t="s">
        <v>9559</v>
      </c>
      <c r="Q70" s="118"/>
      <c r="R70" s="119" t="s">
        <v>9589</v>
      </c>
      <c r="S70" t="s">
        <v>9595</v>
      </c>
      <c r="U70" s="118"/>
      <c r="V70" s="119" t="s">
        <v>9625</v>
      </c>
      <c r="W70" t="s">
        <v>9631</v>
      </c>
    </row>
    <row r="71" spans="1:23" x14ac:dyDescent="0.3">
      <c r="A71" s="118"/>
      <c r="B71" s="119" t="s">
        <v>9636</v>
      </c>
      <c r="C71" t="s">
        <v>9642</v>
      </c>
      <c r="E71" s="118"/>
      <c r="F71" s="119" t="s">
        <v>9672</v>
      </c>
      <c r="G71" t="s">
        <v>9678</v>
      </c>
      <c r="I71" s="118"/>
      <c r="J71" s="119" t="s">
        <v>9708</v>
      </c>
      <c r="K71" t="s">
        <v>9714</v>
      </c>
      <c r="M71" s="118"/>
      <c r="N71" s="119" t="s">
        <v>9744</v>
      </c>
      <c r="O71" t="s">
        <v>9750</v>
      </c>
      <c r="Q71" s="118"/>
      <c r="R71" s="119" t="s">
        <v>9780</v>
      </c>
      <c r="S71" t="s">
        <v>9786</v>
      </c>
      <c r="U71" s="118"/>
      <c r="V71" s="119" t="s">
        <v>9816</v>
      </c>
      <c r="W71" t="s">
        <v>9822</v>
      </c>
    </row>
    <row r="72" spans="1:23" x14ac:dyDescent="0.3">
      <c r="A72" s="118"/>
      <c r="B72" s="119" t="s">
        <v>9637</v>
      </c>
      <c r="C72" t="s">
        <v>9643</v>
      </c>
      <c r="E72" s="118"/>
      <c r="F72" s="119" t="s">
        <v>9673</v>
      </c>
      <c r="G72" t="s">
        <v>9679</v>
      </c>
      <c r="I72" s="118"/>
      <c r="J72" s="119" t="s">
        <v>9709</v>
      </c>
      <c r="K72" t="s">
        <v>9715</v>
      </c>
      <c r="M72" s="118"/>
      <c r="N72" s="119" t="s">
        <v>9745</v>
      </c>
      <c r="O72" t="s">
        <v>9751</v>
      </c>
      <c r="Q72" s="118"/>
      <c r="R72" s="119" t="s">
        <v>9781</v>
      </c>
      <c r="S72" t="s">
        <v>9787</v>
      </c>
      <c r="U72" s="118"/>
      <c r="V72" s="119" t="s">
        <v>9817</v>
      </c>
      <c r="W72" t="s">
        <v>9823</v>
      </c>
    </row>
    <row r="73" spans="1:23" x14ac:dyDescent="0.3">
      <c r="A73" s="118"/>
      <c r="B73" s="119" t="s">
        <v>9648</v>
      </c>
      <c r="C73" t="s">
        <v>9654</v>
      </c>
      <c r="E73" s="118"/>
      <c r="F73" s="119" t="s">
        <v>9684</v>
      </c>
      <c r="G73" t="s">
        <v>9690</v>
      </c>
      <c r="I73" s="118"/>
      <c r="J73" s="119" t="s">
        <v>9720</v>
      </c>
      <c r="K73" t="s">
        <v>9726</v>
      </c>
      <c r="M73" s="118"/>
      <c r="N73" s="119" t="s">
        <v>9756</v>
      </c>
      <c r="O73" t="s">
        <v>9762</v>
      </c>
      <c r="Q73" s="118"/>
      <c r="R73" s="119" t="s">
        <v>9792</v>
      </c>
      <c r="S73" t="s">
        <v>9798</v>
      </c>
      <c r="U73" s="118"/>
      <c r="V73" s="119" t="s">
        <v>9828</v>
      </c>
      <c r="W73" t="s">
        <v>9834</v>
      </c>
    </row>
    <row r="74" spans="1:23" x14ac:dyDescent="0.3">
      <c r="A74" s="118"/>
      <c r="B74" s="119" t="s">
        <v>9649</v>
      </c>
      <c r="C74" t="s">
        <v>9655</v>
      </c>
      <c r="E74" s="118"/>
      <c r="F74" s="119" t="s">
        <v>9685</v>
      </c>
      <c r="G74" t="s">
        <v>9691</v>
      </c>
      <c r="I74" s="118"/>
      <c r="J74" s="119" t="s">
        <v>9721</v>
      </c>
      <c r="K74" t="s">
        <v>9727</v>
      </c>
      <c r="M74" s="118"/>
      <c r="N74" s="119" t="s">
        <v>9757</v>
      </c>
      <c r="O74" t="s">
        <v>9763</v>
      </c>
      <c r="Q74" s="118"/>
      <c r="R74" s="119" t="s">
        <v>9793</v>
      </c>
      <c r="S74" t="s">
        <v>9799</v>
      </c>
      <c r="U74" s="118"/>
      <c r="V74" s="119" t="s">
        <v>9829</v>
      </c>
      <c r="W74" t="s">
        <v>9835</v>
      </c>
    </row>
    <row r="75" spans="1:23" x14ac:dyDescent="0.3">
      <c r="A75" s="118"/>
      <c r="B75" s="119" t="s">
        <v>9660</v>
      </c>
      <c r="C75" t="s">
        <v>9666</v>
      </c>
      <c r="E75" s="118"/>
      <c r="F75" s="119" t="s">
        <v>9696</v>
      </c>
      <c r="G75" t="s">
        <v>9702</v>
      </c>
      <c r="I75" s="118"/>
      <c r="J75" s="119" t="s">
        <v>9732</v>
      </c>
      <c r="K75" t="s">
        <v>9738</v>
      </c>
      <c r="M75" s="118"/>
      <c r="N75" s="119" t="s">
        <v>9768</v>
      </c>
      <c r="O75" t="s">
        <v>9774</v>
      </c>
      <c r="Q75" s="118"/>
      <c r="R75" s="119" t="s">
        <v>9804</v>
      </c>
      <c r="S75" t="s">
        <v>9810</v>
      </c>
      <c r="U75" s="118"/>
      <c r="V75" s="119" t="s">
        <v>9840</v>
      </c>
      <c r="W75" t="s">
        <v>9846</v>
      </c>
    </row>
    <row r="76" spans="1:23" x14ac:dyDescent="0.3">
      <c r="A76" s="118"/>
      <c r="B76" s="119" t="s">
        <v>9661</v>
      </c>
      <c r="C76" t="s">
        <v>9667</v>
      </c>
      <c r="E76" s="118"/>
      <c r="F76" s="119" t="s">
        <v>9697</v>
      </c>
      <c r="G76" t="s">
        <v>9703</v>
      </c>
      <c r="I76" s="118"/>
      <c r="J76" s="119" t="s">
        <v>9733</v>
      </c>
      <c r="K76" t="s">
        <v>9739</v>
      </c>
      <c r="M76" s="118"/>
      <c r="N76" s="119" t="s">
        <v>9769</v>
      </c>
      <c r="O76" t="s">
        <v>9775</v>
      </c>
      <c r="Q76" s="118"/>
      <c r="R76" s="119" t="s">
        <v>9805</v>
      </c>
      <c r="S76" t="s">
        <v>9811</v>
      </c>
      <c r="U76" s="118"/>
      <c r="V76" s="119" t="s">
        <v>9841</v>
      </c>
      <c r="W76" t="s">
        <v>9847</v>
      </c>
    </row>
    <row r="77" spans="1:23" x14ac:dyDescent="0.3">
      <c r="A77" s="118"/>
      <c r="B77" s="119" t="s">
        <v>9852</v>
      </c>
      <c r="C77" t="s">
        <v>9858</v>
      </c>
      <c r="E77" s="118"/>
      <c r="F77" s="119" t="s">
        <v>9888</v>
      </c>
      <c r="G77" t="s">
        <v>9894</v>
      </c>
      <c r="I77" s="118"/>
      <c r="J77" s="119" t="s">
        <v>9924</v>
      </c>
      <c r="K77" t="s">
        <v>9930</v>
      </c>
      <c r="M77" s="118"/>
      <c r="N77" s="119" t="s">
        <v>9960</v>
      </c>
      <c r="O77" t="s">
        <v>9966</v>
      </c>
      <c r="Q77" s="118"/>
      <c r="R77" s="119" t="s">
        <v>9996</v>
      </c>
      <c r="S77" t="s">
        <v>10002</v>
      </c>
      <c r="U77" s="118"/>
      <c r="V77" s="119" t="s">
        <v>10032</v>
      </c>
      <c r="W77" t="s">
        <v>10038</v>
      </c>
    </row>
    <row r="78" spans="1:23" x14ac:dyDescent="0.3">
      <c r="A78" s="118"/>
      <c r="B78" s="119" t="s">
        <v>9853</v>
      </c>
      <c r="C78" t="s">
        <v>9859</v>
      </c>
      <c r="E78" s="118"/>
      <c r="F78" s="119" t="s">
        <v>9889</v>
      </c>
      <c r="G78" t="s">
        <v>9895</v>
      </c>
      <c r="I78" s="118"/>
      <c r="J78" s="119" t="s">
        <v>9925</v>
      </c>
      <c r="K78" t="s">
        <v>9931</v>
      </c>
      <c r="M78" s="118"/>
      <c r="N78" s="119" t="s">
        <v>9961</v>
      </c>
      <c r="O78" t="s">
        <v>9967</v>
      </c>
      <c r="Q78" s="118"/>
      <c r="R78" s="119" t="s">
        <v>9997</v>
      </c>
      <c r="S78" t="s">
        <v>10003</v>
      </c>
      <c r="U78" s="118"/>
      <c r="V78" s="119" t="s">
        <v>10033</v>
      </c>
      <c r="W78" t="s">
        <v>10039</v>
      </c>
    </row>
    <row r="79" spans="1:23" x14ac:dyDescent="0.3">
      <c r="A79" s="118"/>
      <c r="B79" s="119" t="s">
        <v>9864</v>
      </c>
      <c r="C79" t="s">
        <v>9870</v>
      </c>
      <c r="E79" s="118"/>
      <c r="F79" s="119" t="s">
        <v>9900</v>
      </c>
      <c r="G79" t="s">
        <v>9906</v>
      </c>
      <c r="I79" s="118"/>
      <c r="J79" s="119" t="s">
        <v>9936</v>
      </c>
      <c r="K79" t="s">
        <v>9942</v>
      </c>
      <c r="M79" s="118"/>
      <c r="N79" s="119" t="s">
        <v>9972</v>
      </c>
      <c r="O79" t="s">
        <v>9978</v>
      </c>
      <c r="Q79" s="118"/>
      <c r="R79" s="119" t="s">
        <v>10008</v>
      </c>
      <c r="S79" t="s">
        <v>10014</v>
      </c>
      <c r="U79" s="118"/>
      <c r="V79" s="119" t="s">
        <v>10044</v>
      </c>
      <c r="W79" t="s">
        <v>10050</v>
      </c>
    </row>
    <row r="80" spans="1:23" x14ac:dyDescent="0.3">
      <c r="A80" s="118"/>
      <c r="B80" s="119" t="s">
        <v>9865</v>
      </c>
      <c r="C80" t="s">
        <v>9871</v>
      </c>
      <c r="E80" s="118"/>
      <c r="F80" s="119" t="s">
        <v>9901</v>
      </c>
      <c r="G80" t="s">
        <v>9907</v>
      </c>
      <c r="I80" s="118"/>
      <c r="J80" s="119" t="s">
        <v>9937</v>
      </c>
      <c r="K80" t="s">
        <v>9943</v>
      </c>
      <c r="M80" s="118"/>
      <c r="N80" s="119" t="s">
        <v>9973</v>
      </c>
      <c r="O80" t="s">
        <v>9979</v>
      </c>
      <c r="Q80" s="118"/>
      <c r="R80" s="119" t="s">
        <v>10009</v>
      </c>
      <c r="S80" t="s">
        <v>10015</v>
      </c>
      <c r="U80" s="118"/>
      <c r="V80" s="119" t="s">
        <v>10045</v>
      </c>
      <c r="W80" t="s">
        <v>10051</v>
      </c>
    </row>
    <row r="81" spans="1:23" x14ac:dyDescent="0.3">
      <c r="A81" s="118"/>
      <c r="B81" s="119" t="s">
        <v>9876</v>
      </c>
      <c r="C81" t="s">
        <v>9882</v>
      </c>
      <c r="E81" s="118"/>
      <c r="F81" s="119" t="s">
        <v>9912</v>
      </c>
      <c r="G81" t="s">
        <v>9918</v>
      </c>
      <c r="I81" s="118"/>
      <c r="J81" s="119" t="s">
        <v>9948</v>
      </c>
      <c r="K81" t="s">
        <v>9954</v>
      </c>
      <c r="M81" s="118"/>
      <c r="N81" s="119" t="s">
        <v>9984</v>
      </c>
      <c r="O81" t="s">
        <v>9990</v>
      </c>
      <c r="Q81" s="118"/>
      <c r="R81" s="119" t="s">
        <v>10020</v>
      </c>
      <c r="S81" t="s">
        <v>10026</v>
      </c>
      <c r="U81" s="118"/>
      <c r="V81" s="119" t="s">
        <v>10056</v>
      </c>
      <c r="W81" t="s">
        <v>10062</v>
      </c>
    </row>
    <row r="82" spans="1:23" x14ac:dyDescent="0.3">
      <c r="A82" s="118"/>
      <c r="B82" s="119" t="s">
        <v>9877</v>
      </c>
      <c r="C82" t="s">
        <v>9883</v>
      </c>
      <c r="E82" s="118"/>
      <c r="F82" s="119" t="s">
        <v>9913</v>
      </c>
      <c r="G82" t="s">
        <v>9919</v>
      </c>
      <c r="I82" s="118"/>
      <c r="J82" s="119" t="s">
        <v>9949</v>
      </c>
      <c r="K82" t="s">
        <v>9955</v>
      </c>
      <c r="M82" s="118"/>
      <c r="N82" s="119" t="s">
        <v>9985</v>
      </c>
      <c r="O82" t="s">
        <v>9991</v>
      </c>
      <c r="Q82" s="118"/>
      <c r="R82" s="119" t="s">
        <v>10021</v>
      </c>
      <c r="S82" t="s">
        <v>10027</v>
      </c>
      <c r="U82" s="118"/>
      <c r="V82" s="119" t="s">
        <v>10057</v>
      </c>
      <c r="W82" t="s">
        <v>10063</v>
      </c>
    </row>
    <row r="83" spans="1:23" x14ac:dyDescent="0.3">
      <c r="A83" s="118"/>
      <c r="B83" s="119" t="s">
        <v>10068</v>
      </c>
      <c r="C83" t="s">
        <v>10074</v>
      </c>
      <c r="E83" s="118"/>
      <c r="F83" s="119" t="s">
        <v>10104</v>
      </c>
      <c r="G83" t="s">
        <v>10110</v>
      </c>
      <c r="I83" s="118"/>
      <c r="J83" s="119" t="s">
        <v>10140</v>
      </c>
      <c r="K83" t="s">
        <v>10146</v>
      </c>
      <c r="M83" s="118"/>
      <c r="N83" s="119" t="s">
        <v>10176</v>
      </c>
      <c r="O83" t="s">
        <v>10182</v>
      </c>
      <c r="Q83" s="118"/>
      <c r="R83" s="119" t="s">
        <v>10212</v>
      </c>
      <c r="S83" t="s">
        <v>10218</v>
      </c>
      <c r="U83" s="118"/>
      <c r="V83" s="119" t="s">
        <v>10248</v>
      </c>
      <c r="W83" t="s">
        <v>10254</v>
      </c>
    </row>
    <row r="84" spans="1:23" x14ac:dyDescent="0.3">
      <c r="A84" s="118"/>
      <c r="B84" s="119" t="s">
        <v>10069</v>
      </c>
      <c r="C84" t="s">
        <v>10075</v>
      </c>
      <c r="E84" s="118"/>
      <c r="F84" s="119" t="s">
        <v>10105</v>
      </c>
      <c r="G84" t="s">
        <v>10111</v>
      </c>
      <c r="I84" s="118"/>
      <c r="J84" s="119" t="s">
        <v>10141</v>
      </c>
      <c r="K84" t="s">
        <v>10147</v>
      </c>
      <c r="M84" s="118"/>
      <c r="N84" s="119" t="s">
        <v>10177</v>
      </c>
      <c r="O84" t="s">
        <v>10183</v>
      </c>
      <c r="Q84" s="118"/>
      <c r="R84" s="119" t="s">
        <v>10213</v>
      </c>
      <c r="S84" t="s">
        <v>10219</v>
      </c>
      <c r="U84" s="118"/>
      <c r="V84" s="119" t="s">
        <v>10249</v>
      </c>
      <c r="W84" t="s">
        <v>10255</v>
      </c>
    </row>
    <row r="85" spans="1:23" x14ac:dyDescent="0.3">
      <c r="A85" s="118"/>
      <c r="B85" s="119" t="s">
        <v>10080</v>
      </c>
      <c r="C85" t="s">
        <v>10086</v>
      </c>
      <c r="E85" s="118"/>
      <c r="F85" s="119" t="s">
        <v>10116</v>
      </c>
      <c r="G85" t="s">
        <v>10122</v>
      </c>
      <c r="I85" s="118"/>
      <c r="J85" s="119" t="s">
        <v>10152</v>
      </c>
      <c r="K85" t="s">
        <v>10158</v>
      </c>
      <c r="M85" s="118"/>
      <c r="N85" s="119" t="s">
        <v>10188</v>
      </c>
      <c r="O85" t="s">
        <v>10194</v>
      </c>
      <c r="Q85" s="118"/>
      <c r="R85" s="119" t="s">
        <v>10224</v>
      </c>
      <c r="S85" t="s">
        <v>10230</v>
      </c>
      <c r="U85" s="118"/>
      <c r="V85" s="119" t="s">
        <v>10260</v>
      </c>
      <c r="W85" t="s">
        <v>10266</v>
      </c>
    </row>
    <row r="86" spans="1:23" x14ac:dyDescent="0.3">
      <c r="A86" s="118"/>
      <c r="B86" s="119" t="s">
        <v>10081</v>
      </c>
      <c r="C86" t="s">
        <v>10087</v>
      </c>
      <c r="E86" s="118"/>
      <c r="F86" s="119" t="s">
        <v>10117</v>
      </c>
      <c r="G86" t="s">
        <v>10123</v>
      </c>
      <c r="I86" s="118"/>
      <c r="J86" s="119" t="s">
        <v>10153</v>
      </c>
      <c r="K86" t="s">
        <v>10159</v>
      </c>
      <c r="M86" s="118"/>
      <c r="N86" s="119" t="s">
        <v>10189</v>
      </c>
      <c r="O86" t="s">
        <v>10195</v>
      </c>
      <c r="Q86" s="118"/>
      <c r="R86" s="119" t="s">
        <v>10225</v>
      </c>
      <c r="S86" t="s">
        <v>10231</v>
      </c>
      <c r="U86" s="118"/>
      <c r="V86" s="119" t="s">
        <v>10261</v>
      </c>
      <c r="W86" t="s">
        <v>10267</v>
      </c>
    </row>
    <row r="87" spans="1:23" x14ac:dyDescent="0.3">
      <c r="A87" s="118"/>
      <c r="B87" s="119" t="s">
        <v>10092</v>
      </c>
      <c r="C87" t="s">
        <v>10098</v>
      </c>
      <c r="E87" s="118"/>
      <c r="F87" s="119" t="s">
        <v>10128</v>
      </c>
      <c r="G87" t="s">
        <v>10134</v>
      </c>
      <c r="I87" s="118"/>
      <c r="J87" s="119" t="s">
        <v>10164</v>
      </c>
      <c r="K87" t="s">
        <v>10170</v>
      </c>
      <c r="M87" s="118"/>
      <c r="N87" s="119" t="s">
        <v>10200</v>
      </c>
      <c r="O87" t="s">
        <v>10206</v>
      </c>
      <c r="Q87" s="118"/>
      <c r="R87" s="119" t="s">
        <v>10236</v>
      </c>
      <c r="S87" t="s">
        <v>10242</v>
      </c>
      <c r="U87" s="118"/>
      <c r="V87" s="119" t="s">
        <v>10272</v>
      </c>
      <c r="W87" t="s">
        <v>10278</v>
      </c>
    </row>
    <row r="88" spans="1:23" x14ac:dyDescent="0.3">
      <c r="A88" s="118"/>
      <c r="B88" s="119" t="s">
        <v>10093</v>
      </c>
      <c r="C88" t="s">
        <v>10099</v>
      </c>
      <c r="E88" s="118"/>
      <c r="F88" s="119" t="s">
        <v>10129</v>
      </c>
      <c r="G88" t="s">
        <v>10135</v>
      </c>
      <c r="I88" s="118"/>
      <c r="J88" s="119" t="s">
        <v>10165</v>
      </c>
      <c r="K88" t="s">
        <v>10171</v>
      </c>
      <c r="M88" s="118"/>
      <c r="N88" s="119" t="s">
        <v>10201</v>
      </c>
      <c r="O88" t="s">
        <v>10207</v>
      </c>
      <c r="Q88" s="118"/>
      <c r="R88" s="119" t="s">
        <v>10237</v>
      </c>
      <c r="S88" t="s">
        <v>10243</v>
      </c>
      <c r="U88" s="118"/>
      <c r="V88" s="119" t="s">
        <v>10273</v>
      </c>
      <c r="W88" t="s">
        <v>10279</v>
      </c>
    </row>
    <row r="89" spans="1:23" x14ac:dyDescent="0.3">
      <c r="A89" s="118"/>
      <c r="B89" s="119" t="s">
        <v>10284</v>
      </c>
      <c r="C89" t="s">
        <v>10290</v>
      </c>
      <c r="E89" s="118"/>
      <c r="F89" s="119" t="s">
        <v>10320</v>
      </c>
      <c r="G89" t="s">
        <v>10326</v>
      </c>
      <c r="I89" s="118"/>
      <c r="J89" s="119" t="s">
        <v>10356</v>
      </c>
      <c r="K89" t="s">
        <v>10362</v>
      </c>
      <c r="M89" s="118"/>
      <c r="N89" s="119" t="s">
        <v>10392</v>
      </c>
      <c r="O89" t="s">
        <v>10398</v>
      </c>
      <c r="Q89" s="118"/>
      <c r="R89" s="119" t="s">
        <v>10428</v>
      </c>
      <c r="S89" t="s">
        <v>10434</v>
      </c>
      <c r="U89" s="118"/>
      <c r="V89" s="119" t="s">
        <v>10464</v>
      </c>
      <c r="W89" t="s">
        <v>10470</v>
      </c>
    </row>
    <row r="90" spans="1:23" x14ac:dyDescent="0.3">
      <c r="A90" s="118"/>
      <c r="B90" s="119" t="s">
        <v>10285</v>
      </c>
      <c r="C90" t="s">
        <v>10291</v>
      </c>
      <c r="E90" s="118"/>
      <c r="F90" s="119" t="s">
        <v>10321</v>
      </c>
      <c r="G90" t="s">
        <v>10327</v>
      </c>
      <c r="I90" s="118"/>
      <c r="J90" s="119" t="s">
        <v>10357</v>
      </c>
      <c r="K90" t="s">
        <v>10363</v>
      </c>
      <c r="M90" s="118"/>
      <c r="N90" s="119" t="s">
        <v>10393</v>
      </c>
      <c r="O90" t="s">
        <v>10399</v>
      </c>
      <c r="Q90" s="118"/>
      <c r="R90" s="119" t="s">
        <v>10429</v>
      </c>
      <c r="S90" t="s">
        <v>10435</v>
      </c>
      <c r="U90" s="118"/>
      <c r="V90" s="119" t="s">
        <v>10465</v>
      </c>
      <c r="W90" t="s">
        <v>10471</v>
      </c>
    </row>
    <row r="91" spans="1:23" x14ac:dyDescent="0.3">
      <c r="A91" s="118"/>
      <c r="B91" s="119" t="s">
        <v>10296</v>
      </c>
      <c r="C91" t="s">
        <v>10302</v>
      </c>
      <c r="E91" s="118"/>
      <c r="F91" s="119" t="s">
        <v>10332</v>
      </c>
      <c r="G91" t="s">
        <v>10338</v>
      </c>
      <c r="I91" s="118"/>
      <c r="J91" s="119" t="s">
        <v>10368</v>
      </c>
      <c r="K91" t="s">
        <v>10374</v>
      </c>
      <c r="M91" s="118"/>
      <c r="N91" s="119" t="s">
        <v>10404</v>
      </c>
      <c r="O91" t="s">
        <v>10410</v>
      </c>
      <c r="Q91" s="118"/>
      <c r="R91" s="119" t="s">
        <v>10440</v>
      </c>
      <c r="S91" t="s">
        <v>10446</v>
      </c>
      <c r="U91" s="118"/>
      <c r="V91" s="119" t="s">
        <v>10476</v>
      </c>
      <c r="W91" t="s">
        <v>10482</v>
      </c>
    </row>
    <row r="92" spans="1:23" x14ac:dyDescent="0.3">
      <c r="A92" s="118"/>
      <c r="B92" s="119" t="s">
        <v>10297</v>
      </c>
      <c r="C92" t="s">
        <v>10303</v>
      </c>
      <c r="E92" s="118"/>
      <c r="F92" s="119" t="s">
        <v>10333</v>
      </c>
      <c r="G92" t="s">
        <v>10339</v>
      </c>
      <c r="I92" s="118"/>
      <c r="J92" s="119" t="s">
        <v>10369</v>
      </c>
      <c r="K92" t="s">
        <v>10375</v>
      </c>
      <c r="M92" s="118"/>
      <c r="N92" s="119" t="s">
        <v>10405</v>
      </c>
      <c r="O92" t="s">
        <v>10411</v>
      </c>
      <c r="Q92" s="118"/>
      <c r="R92" s="119" t="s">
        <v>10441</v>
      </c>
      <c r="S92" t="s">
        <v>10447</v>
      </c>
      <c r="U92" s="118"/>
      <c r="V92" s="119" t="s">
        <v>10477</v>
      </c>
      <c r="W92" t="s">
        <v>10483</v>
      </c>
    </row>
    <row r="93" spans="1:23" x14ac:dyDescent="0.3">
      <c r="A93" s="118"/>
      <c r="B93" s="119" t="s">
        <v>10308</v>
      </c>
      <c r="C93" t="s">
        <v>10314</v>
      </c>
      <c r="E93" s="118"/>
      <c r="F93" s="119" t="s">
        <v>10344</v>
      </c>
      <c r="G93" t="s">
        <v>10350</v>
      </c>
      <c r="I93" s="118"/>
      <c r="J93" s="119" t="s">
        <v>10380</v>
      </c>
      <c r="K93" t="s">
        <v>10386</v>
      </c>
      <c r="M93" s="118"/>
      <c r="N93" s="119" t="s">
        <v>10416</v>
      </c>
      <c r="O93" t="s">
        <v>10422</v>
      </c>
      <c r="Q93" s="118"/>
      <c r="R93" s="119" t="s">
        <v>10452</v>
      </c>
      <c r="S93" t="s">
        <v>10458</v>
      </c>
      <c r="U93" s="118"/>
      <c r="V93" s="119" t="s">
        <v>10488</v>
      </c>
      <c r="W93" t="s">
        <v>10494</v>
      </c>
    </row>
    <row r="94" spans="1:23" x14ac:dyDescent="0.3">
      <c r="A94" s="118"/>
      <c r="B94" s="119" t="s">
        <v>10309</v>
      </c>
      <c r="C94" t="s">
        <v>10315</v>
      </c>
      <c r="E94" s="118"/>
      <c r="F94" s="119" t="s">
        <v>10345</v>
      </c>
      <c r="G94" t="s">
        <v>10351</v>
      </c>
      <c r="I94" s="118"/>
      <c r="J94" s="119" t="s">
        <v>10381</v>
      </c>
      <c r="K94" t="s">
        <v>10387</v>
      </c>
      <c r="M94" s="118"/>
      <c r="N94" s="119" t="s">
        <v>10417</v>
      </c>
      <c r="O94" t="s">
        <v>10423</v>
      </c>
      <c r="Q94" s="118"/>
      <c r="R94" s="119" t="s">
        <v>10453</v>
      </c>
      <c r="S94" t="s">
        <v>10459</v>
      </c>
      <c r="U94" s="118"/>
      <c r="V94" s="119" t="s">
        <v>10489</v>
      </c>
      <c r="W94" t="s">
        <v>10495</v>
      </c>
    </row>
    <row r="95" spans="1:23" x14ac:dyDescent="0.3">
      <c r="A95" s="118"/>
      <c r="B95" s="119" t="s">
        <v>10500</v>
      </c>
      <c r="C95" t="s">
        <v>10506</v>
      </c>
      <c r="E95" s="118"/>
      <c r="F95" s="119" t="s">
        <v>10536</v>
      </c>
      <c r="G95" t="s">
        <v>10542</v>
      </c>
      <c r="I95" s="118"/>
      <c r="J95" s="119" t="s">
        <v>10572</v>
      </c>
      <c r="K95" t="s">
        <v>10578</v>
      </c>
      <c r="M95" s="118"/>
      <c r="N95" s="119" t="s">
        <v>10608</v>
      </c>
      <c r="O95" t="s">
        <v>10614</v>
      </c>
      <c r="Q95" s="118"/>
      <c r="R95" s="119" t="s">
        <v>10644</v>
      </c>
      <c r="S95" t="s">
        <v>10650</v>
      </c>
      <c r="U95" s="118"/>
      <c r="V95" s="119" t="s">
        <v>10680</v>
      </c>
      <c r="W95" t="s">
        <v>10686</v>
      </c>
    </row>
    <row r="96" spans="1:23" x14ac:dyDescent="0.3">
      <c r="A96" s="118"/>
      <c r="B96" s="119" t="s">
        <v>10501</v>
      </c>
      <c r="C96" t="s">
        <v>10507</v>
      </c>
      <c r="E96" s="118"/>
      <c r="F96" s="119" t="s">
        <v>10537</v>
      </c>
      <c r="G96" t="s">
        <v>10543</v>
      </c>
      <c r="I96" s="118"/>
      <c r="J96" s="119" t="s">
        <v>10573</v>
      </c>
      <c r="K96" t="s">
        <v>10579</v>
      </c>
      <c r="M96" s="118"/>
      <c r="N96" s="119" t="s">
        <v>10609</v>
      </c>
      <c r="O96" t="s">
        <v>10615</v>
      </c>
      <c r="Q96" s="118"/>
      <c r="R96" s="119" t="s">
        <v>10645</v>
      </c>
      <c r="S96" t="s">
        <v>10651</v>
      </c>
      <c r="U96" s="118"/>
      <c r="V96" s="119" t="s">
        <v>10681</v>
      </c>
      <c r="W96" t="s">
        <v>10687</v>
      </c>
    </row>
    <row r="97" spans="1:23" x14ac:dyDescent="0.3">
      <c r="A97" s="118"/>
      <c r="B97" s="119" t="s">
        <v>10512</v>
      </c>
      <c r="C97" t="s">
        <v>10518</v>
      </c>
      <c r="E97" s="118"/>
      <c r="F97" s="119" t="s">
        <v>10548</v>
      </c>
      <c r="G97" t="s">
        <v>10554</v>
      </c>
      <c r="I97" s="118"/>
      <c r="J97" s="119" t="s">
        <v>10584</v>
      </c>
      <c r="K97" t="s">
        <v>10590</v>
      </c>
      <c r="M97" s="118"/>
      <c r="N97" s="119" t="s">
        <v>10620</v>
      </c>
      <c r="O97" t="s">
        <v>10626</v>
      </c>
      <c r="Q97" s="118"/>
      <c r="R97" s="119" t="s">
        <v>10656</v>
      </c>
      <c r="S97" t="s">
        <v>10662</v>
      </c>
      <c r="U97" s="118"/>
      <c r="V97" s="119" t="s">
        <v>10692</v>
      </c>
      <c r="W97" t="s">
        <v>10698</v>
      </c>
    </row>
    <row r="98" spans="1:23" x14ac:dyDescent="0.3">
      <c r="A98" s="118"/>
      <c r="B98" s="119" t="s">
        <v>10513</v>
      </c>
      <c r="C98" t="s">
        <v>10519</v>
      </c>
      <c r="E98" s="118"/>
      <c r="F98" s="119" t="s">
        <v>10549</v>
      </c>
      <c r="G98" t="s">
        <v>10555</v>
      </c>
      <c r="I98" s="118"/>
      <c r="J98" s="119" t="s">
        <v>10585</v>
      </c>
      <c r="K98" t="s">
        <v>10591</v>
      </c>
      <c r="M98" s="118"/>
      <c r="N98" s="119" t="s">
        <v>10621</v>
      </c>
      <c r="O98" t="s">
        <v>10627</v>
      </c>
      <c r="Q98" s="118"/>
      <c r="R98" s="119" t="s">
        <v>10657</v>
      </c>
      <c r="S98" t="s">
        <v>10663</v>
      </c>
      <c r="U98" s="118"/>
      <c r="V98" s="119" t="s">
        <v>10693</v>
      </c>
      <c r="W98" t="s">
        <v>10699</v>
      </c>
    </row>
    <row r="99" spans="1:23" x14ac:dyDescent="0.3">
      <c r="A99" s="118"/>
      <c r="B99" s="119" t="s">
        <v>10524</v>
      </c>
      <c r="C99" t="s">
        <v>10530</v>
      </c>
      <c r="E99" s="118"/>
      <c r="F99" s="119" t="s">
        <v>10560</v>
      </c>
      <c r="G99" t="s">
        <v>10566</v>
      </c>
      <c r="I99" s="118"/>
      <c r="J99" s="119" t="s">
        <v>10596</v>
      </c>
      <c r="K99" t="s">
        <v>10602</v>
      </c>
      <c r="M99" s="118"/>
      <c r="N99" s="119" t="s">
        <v>10632</v>
      </c>
      <c r="O99" t="s">
        <v>10638</v>
      </c>
      <c r="Q99" s="118"/>
      <c r="R99" s="119" t="s">
        <v>10668</v>
      </c>
      <c r="S99" t="s">
        <v>10674</v>
      </c>
      <c r="U99" s="118"/>
      <c r="V99" s="119" t="s">
        <v>10704</v>
      </c>
      <c r="W99" t="s">
        <v>10710</v>
      </c>
    </row>
    <row r="100" spans="1:23" x14ac:dyDescent="0.3">
      <c r="A100" s="118"/>
      <c r="B100" s="119" t="s">
        <v>10525</v>
      </c>
      <c r="C100" t="s">
        <v>10531</v>
      </c>
      <c r="E100" s="118"/>
      <c r="F100" s="119" t="s">
        <v>10561</v>
      </c>
      <c r="G100" t="s">
        <v>10567</v>
      </c>
      <c r="I100" s="118"/>
      <c r="J100" s="119" t="s">
        <v>10597</v>
      </c>
      <c r="K100" t="s">
        <v>10603</v>
      </c>
      <c r="M100" s="118"/>
      <c r="N100" s="119" t="s">
        <v>10633</v>
      </c>
      <c r="O100" t="s">
        <v>10639</v>
      </c>
      <c r="Q100" s="118"/>
      <c r="R100" s="119" t="s">
        <v>10669</v>
      </c>
      <c r="S100" t="s">
        <v>10675</v>
      </c>
      <c r="U100" s="118"/>
      <c r="V100" s="119" t="s">
        <v>10705</v>
      </c>
      <c r="W100" t="s">
        <v>10711</v>
      </c>
    </row>
    <row r="101" spans="1:23" x14ac:dyDescent="0.3">
      <c r="A101" s="118"/>
      <c r="B101" s="119" t="s">
        <v>10716</v>
      </c>
      <c r="C101" t="s">
        <v>10722</v>
      </c>
      <c r="E101" s="118"/>
      <c r="F101" s="119" t="s">
        <v>10752</v>
      </c>
      <c r="G101" t="s">
        <v>10758</v>
      </c>
      <c r="I101" s="118"/>
      <c r="J101" s="119" t="s">
        <v>10788</v>
      </c>
      <c r="K101" t="s">
        <v>10794</v>
      </c>
      <c r="M101" s="118"/>
      <c r="N101" s="119" t="s">
        <v>10824</v>
      </c>
      <c r="O101" t="s">
        <v>10830</v>
      </c>
      <c r="Q101" s="118"/>
      <c r="R101" s="119" t="s">
        <v>10860</v>
      </c>
      <c r="S101" t="s">
        <v>10866</v>
      </c>
      <c r="U101" s="118"/>
      <c r="V101" s="119" t="s">
        <v>10896</v>
      </c>
      <c r="W101" t="s">
        <v>10902</v>
      </c>
    </row>
    <row r="102" spans="1:23" x14ac:dyDescent="0.3">
      <c r="A102" s="118"/>
      <c r="B102" s="119" t="s">
        <v>10717</v>
      </c>
      <c r="C102" t="s">
        <v>10723</v>
      </c>
      <c r="E102" s="118"/>
      <c r="F102" s="119" t="s">
        <v>10753</v>
      </c>
      <c r="G102" t="s">
        <v>10759</v>
      </c>
      <c r="I102" s="118"/>
      <c r="J102" s="119" t="s">
        <v>10789</v>
      </c>
      <c r="K102" t="s">
        <v>10795</v>
      </c>
      <c r="M102" s="118"/>
      <c r="N102" s="119" t="s">
        <v>10825</v>
      </c>
      <c r="O102" t="s">
        <v>10831</v>
      </c>
      <c r="Q102" s="118"/>
      <c r="R102" s="119" t="s">
        <v>10861</v>
      </c>
      <c r="S102" t="s">
        <v>10867</v>
      </c>
      <c r="U102" s="118"/>
      <c r="V102" s="119" t="s">
        <v>10897</v>
      </c>
      <c r="W102" t="s">
        <v>10903</v>
      </c>
    </row>
    <row r="103" spans="1:23" x14ac:dyDescent="0.3">
      <c r="A103" s="118"/>
      <c r="B103" s="119" t="s">
        <v>10728</v>
      </c>
      <c r="C103" t="s">
        <v>10734</v>
      </c>
      <c r="E103" s="118"/>
      <c r="F103" s="119" t="s">
        <v>10764</v>
      </c>
      <c r="G103" t="s">
        <v>10770</v>
      </c>
      <c r="I103" s="118"/>
      <c r="J103" s="119" t="s">
        <v>10800</v>
      </c>
      <c r="K103" t="s">
        <v>10806</v>
      </c>
      <c r="M103" s="118"/>
      <c r="N103" s="119" t="s">
        <v>10836</v>
      </c>
      <c r="O103" t="s">
        <v>10842</v>
      </c>
      <c r="Q103" s="118"/>
      <c r="R103" s="119" t="s">
        <v>10872</v>
      </c>
      <c r="S103" t="s">
        <v>10878</v>
      </c>
      <c r="U103" s="118"/>
      <c r="V103" s="119" t="s">
        <v>10908</v>
      </c>
      <c r="W103" t="s">
        <v>10914</v>
      </c>
    </row>
    <row r="104" spans="1:23" x14ac:dyDescent="0.3">
      <c r="A104" s="118"/>
      <c r="B104" s="119" t="s">
        <v>10729</v>
      </c>
      <c r="C104" t="s">
        <v>10735</v>
      </c>
      <c r="E104" s="118"/>
      <c r="F104" s="119" t="s">
        <v>10765</v>
      </c>
      <c r="G104" t="s">
        <v>10771</v>
      </c>
      <c r="I104" s="118"/>
      <c r="J104" s="119" t="s">
        <v>10801</v>
      </c>
      <c r="K104" t="s">
        <v>10807</v>
      </c>
      <c r="M104" s="118"/>
      <c r="N104" s="119" t="s">
        <v>10837</v>
      </c>
      <c r="O104" t="s">
        <v>10843</v>
      </c>
      <c r="Q104" s="118"/>
      <c r="R104" s="119" t="s">
        <v>10873</v>
      </c>
      <c r="S104" t="s">
        <v>10879</v>
      </c>
      <c r="U104" s="118"/>
      <c r="V104" s="119" t="s">
        <v>10909</v>
      </c>
      <c r="W104" t="s">
        <v>10915</v>
      </c>
    </row>
    <row r="105" spans="1:23" x14ac:dyDescent="0.3">
      <c r="A105" s="118"/>
      <c r="B105" s="119" t="s">
        <v>10740</v>
      </c>
      <c r="C105" t="s">
        <v>10746</v>
      </c>
      <c r="E105" s="118"/>
      <c r="F105" s="119" t="s">
        <v>10776</v>
      </c>
      <c r="G105" t="s">
        <v>10782</v>
      </c>
      <c r="I105" s="118"/>
      <c r="J105" s="119" t="s">
        <v>10812</v>
      </c>
      <c r="K105" t="s">
        <v>10818</v>
      </c>
      <c r="M105" s="118"/>
      <c r="N105" s="119" t="s">
        <v>10848</v>
      </c>
      <c r="O105" t="s">
        <v>10854</v>
      </c>
      <c r="Q105" s="118"/>
      <c r="R105" s="119" t="s">
        <v>10884</v>
      </c>
      <c r="S105" t="s">
        <v>10890</v>
      </c>
      <c r="U105" s="118"/>
      <c r="V105" s="119" t="s">
        <v>10920</v>
      </c>
      <c r="W105" t="s">
        <v>10926</v>
      </c>
    </row>
    <row r="106" spans="1:23" x14ac:dyDescent="0.3">
      <c r="A106" s="118"/>
      <c r="B106" s="119" t="s">
        <v>10741</v>
      </c>
      <c r="C106" t="s">
        <v>10747</v>
      </c>
      <c r="E106" s="118"/>
      <c r="F106" s="119" t="s">
        <v>10777</v>
      </c>
      <c r="G106" t="s">
        <v>10783</v>
      </c>
      <c r="I106" s="118"/>
      <c r="J106" s="119" t="s">
        <v>10813</v>
      </c>
      <c r="K106" t="s">
        <v>10819</v>
      </c>
      <c r="M106" s="118"/>
      <c r="N106" s="119" t="s">
        <v>10849</v>
      </c>
      <c r="O106" t="s">
        <v>10855</v>
      </c>
      <c r="Q106" s="118"/>
      <c r="R106" s="119" t="s">
        <v>10885</v>
      </c>
      <c r="S106" t="s">
        <v>10891</v>
      </c>
      <c r="U106" s="118"/>
      <c r="V106" s="119" t="s">
        <v>10921</v>
      </c>
      <c r="W106" t="s">
        <v>10927</v>
      </c>
    </row>
    <row r="107" spans="1:23" x14ac:dyDescent="0.3">
      <c r="A107" s="118"/>
      <c r="B107" s="119" t="s">
        <v>10932</v>
      </c>
      <c r="C107" t="s">
        <v>10938</v>
      </c>
      <c r="E107" s="118"/>
      <c r="F107" s="119" t="s">
        <v>10968</v>
      </c>
      <c r="G107" t="s">
        <v>10974</v>
      </c>
      <c r="I107" s="118"/>
      <c r="J107" s="119" t="s">
        <v>11004</v>
      </c>
      <c r="K107" t="s">
        <v>11010</v>
      </c>
      <c r="M107" s="118"/>
      <c r="N107" s="119" t="s">
        <v>11040</v>
      </c>
      <c r="O107" t="s">
        <v>11046</v>
      </c>
      <c r="Q107" s="118"/>
      <c r="R107" s="119" t="s">
        <v>11076</v>
      </c>
      <c r="S107" t="s">
        <v>11082</v>
      </c>
      <c r="U107" s="118"/>
      <c r="V107" s="119" t="s">
        <v>11112</v>
      </c>
      <c r="W107" t="s">
        <v>11118</v>
      </c>
    </row>
    <row r="108" spans="1:23" x14ac:dyDescent="0.3">
      <c r="A108" s="118"/>
      <c r="B108" s="119" t="s">
        <v>10933</v>
      </c>
      <c r="C108" t="s">
        <v>10939</v>
      </c>
      <c r="E108" s="118"/>
      <c r="F108" s="119" t="s">
        <v>10969</v>
      </c>
      <c r="G108" t="s">
        <v>10975</v>
      </c>
      <c r="I108" s="118"/>
      <c r="J108" s="119" t="s">
        <v>11005</v>
      </c>
      <c r="K108" t="s">
        <v>11011</v>
      </c>
      <c r="M108" s="118"/>
      <c r="N108" s="119" t="s">
        <v>11041</v>
      </c>
      <c r="O108" t="s">
        <v>11047</v>
      </c>
      <c r="Q108" s="118"/>
      <c r="R108" s="119" t="s">
        <v>11077</v>
      </c>
      <c r="S108" t="s">
        <v>11083</v>
      </c>
      <c r="U108" s="118"/>
      <c r="V108" s="119" t="s">
        <v>11113</v>
      </c>
      <c r="W108" t="s">
        <v>11119</v>
      </c>
    </row>
    <row r="109" spans="1:23" x14ac:dyDescent="0.3">
      <c r="A109" s="118"/>
      <c r="B109" s="119" t="s">
        <v>10944</v>
      </c>
      <c r="C109" t="s">
        <v>10950</v>
      </c>
      <c r="E109" s="118"/>
      <c r="F109" s="119" t="s">
        <v>10980</v>
      </c>
      <c r="G109" t="s">
        <v>10986</v>
      </c>
      <c r="I109" s="118"/>
      <c r="J109" s="119" t="s">
        <v>11016</v>
      </c>
      <c r="K109" t="s">
        <v>11022</v>
      </c>
      <c r="M109" s="118"/>
      <c r="N109" s="119" t="s">
        <v>11052</v>
      </c>
      <c r="O109" t="s">
        <v>11058</v>
      </c>
      <c r="Q109" s="118"/>
      <c r="R109" s="119" t="s">
        <v>11088</v>
      </c>
      <c r="S109" t="s">
        <v>11094</v>
      </c>
      <c r="U109" s="118"/>
      <c r="V109" s="119" t="s">
        <v>11124</v>
      </c>
      <c r="W109" t="s">
        <v>11130</v>
      </c>
    </row>
    <row r="110" spans="1:23" x14ac:dyDescent="0.3">
      <c r="A110" s="118"/>
      <c r="B110" s="119" t="s">
        <v>10945</v>
      </c>
      <c r="C110" t="s">
        <v>10951</v>
      </c>
      <c r="E110" s="118"/>
      <c r="F110" s="119" t="s">
        <v>10981</v>
      </c>
      <c r="G110" t="s">
        <v>10987</v>
      </c>
      <c r="I110" s="118"/>
      <c r="J110" s="119" t="s">
        <v>11017</v>
      </c>
      <c r="K110" t="s">
        <v>11023</v>
      </c>
      <c r="M110" s="118"/>
      <c r="N110" s="119" t="s">
        <v>11053</v>
      </c>
      <c r="O110" t="s">
        <v>11059</v>
      </c>
      <c r="Q110" s="118"/>
      <c r="R110" s="119" t="s">
        <v>11089</v>
      </c>
      <c r="S110" t="s">
        <v>11095</v>
      </c>
      <c r="U110" s="118"/>
      <c r="V110" s="119" t="s">
        <v>11125</v>
      </c>
      <c r="W110" t="s">
        <v>11131</v>
      </c>
    </row>
    <row r="111" spans="1:23" x14ac:dyDescent="0.3">
      <c r="A111" s="118"/>
      <c r="B111" s="119" t="s">
        <v>10956</v>
      </c>
      <c r="C111" t="s">
        <v>10962</v>
      </c>
      <c r="E111" s="118"/>
      <c r="F111" s="119" t="s">
        <v>10992</v>
      </c>
      <c r="G111" t="s">
        <v>10998</v>
      </c>
      <c r="I111" s="118"/>
      <c r="J111" s="119" t="s">
        <v>11028</v>
      </c>
      <c r="K111" t="s">
        <v>11034</v>
      </c>
      <c r="M111" s="118"/>
      <c r="N111" s="119" t="s">
        <v>11064</v>
      </c>
      <c r="O111" t="s">
        <v>11070</v>
      </c>
      <c r="Q111" s="118"/>
      <c r="R111" s="119" t="s">
        <v>11100</v>
      </c>
      <c r="S111" t="s">
        <v>11106</v>
      </c>
      <c r="U111" s="118"/>
      <c r="V111" s="119" t="s">
        <v>11136</v>
      </c>
      <c r="W111" t="s">
        <v>11142</v>
      </c>
    </row>
    <row r="112" spans="1:23" x14ac:dyDescent="0.3">
      <c r="A112" s="118"/>
      <c r="B112" s="119" t="s">
        <v>10957</v>
      </c>
      <c r="C112" t="s">
        <v>10963</v>
      </c>
      <c r="E112" s="118"/>
      <c r="F112" s="119" t="s">
        <v>10993</v>
      </c>
      <c r="G112" t="s">
        <v>10999</v>
      </c>
      <c r="I112" s="118"/>
      <c r="J112" s="119" t="s">
        <v>11029</v>
      </c>
      <c r="K112" t="s">
        <v>11035</v>
      </c>
      <c r="M112" s="118"/>
      <c r="N112" s="119" t="s">
        <v>11065</v>
      </c>
      <c r="O112" t="s">
        <v>11071</v>
      </c>
      <c r="Q112" s="118"/>
      <c r="R112" s="119" t="s">
        <v>11101</v>
      </c>
      <c r="S112" t="s">
        <v>11107</v>
      </c>
      <c r="U112" s="118"/>
      <c r="V112" s="119" t="s">
        <v>11137</v>
      </c>
      <c r="W112" t="s">
        <v>11143</v>
      </c>
    </row>
    <row r="113" spans="1:23" x14ac:dyDescent="0.3">
      <c r="A113" s="118"/>
      <c r="B113" s="119" t="s">
        <v>11148</v>
      </c>
      <c r="C113" t="s">
        <v>11154</v>
      </c>
      <c r="E113" s="118"/>
      <c r="F113" s="119" t="s">
        <v>11184</v>
      </c>
      <c r="G113" t="s">
        <v>11190</v>
      </c>
      <c r="I113" s="118"/>
      <c r="J113" s="119" t="s">
        <v>11220</v>
      </c>
      <c r="K113" t="s">
        <v>11226</v>
      </c>
      <c r="M113" s="118"/>
      <c r="N113" s="119" t="s">
        <v>11256</v>
      </c>
      <c r="O113" t="s">
        <v>11262</v>
      </c>
      <c r="Q113" s="118"/>
      <c r="R113" s="119" t="s">
        <v>11292</v>
      </c>
      <c r="S113" t="s">
        <v>11298</v>
      </c>
      <c r="U113" s="118"/>
      <c r="V113" s="119" t="s">
        <v>11328</v>
      </c>
      <c r="W113" t="s">
        <v>11334</v>
      </c>
    </row>
    <row r="114" spans="1:23" x14ac:dyDescent="0.3">
      <c r="A114" s="118"/>
      <c r="B114" s="119" t="s">
        <v>11149</v>
      </c>
      <c r="C114" t="s">
        <v>11155</v>
      </c>
      <c r="E114" s="118"/>
      <c r="F114" s="119" t="s">
        <v>11185</v>
      </c>
      <c r="G114" t="s">
        <v>11191</v>
      </c>
      <c r="I114" s="118"/>
      <c r="J114" s="119" t="s">
        <v>11221</v>
      </c>
      <c r="K114" t="s">
        <v>11227</v>
      </c>
      <c r="M114" s="118"/>
      <c r="N114" s="119" t="s">
        <v>11257</v>
      </c>
      <c r="O114" t="s">
        <v>11263</v>
      </c>
      <c r="Q114" s="118"/>
      <c r="R114" s="119" t="s">
        <v>11293</v>
      </c>
      <c r="S114" t="s">
        <v>11299</v>
      </c>
      <c r="U114" s="118"/>
      <c r="V114" s="119" t="s">
        <v>11329</v>
      </c>
      <c r="W114" t="s">
        <v>11335</v>
      </c>
    </row>
    <row r="115" spans="1:23" x14ac:dyDescent="0.3">
      <c r="A115" s="118"/>
      <c r="B115" s="119" t="s">
        <v>11160</v>
      </c>
      <c r="C115" t="s">
        <v>11166</v>
      </c>
      <c r="E115" s="118"/>
      <c r="F115" s="119" t="s">
        <v>11196</v>
      </c>
      <c r="G115" t="s">
        <v>11202</v>
      </c>
      <c r="I115" s="118"/>
      <c r="J115" s="119" t="s">
        <v>11232</v>
      </c>
      <c r="K115" t="s">
        <v>11238</v>
      </c>
      <c r="M115" s="118"/>
      <c r="N115" s="119" t="s">
        <v>11268</v>
      </c>
      <c r="O115" t="s">
        <v>11274</v>
      </c>
      <c r="Q115" s="118"/>
      <c r="R115" s="119" t="s">
        <v>11304</v>
      </c>
      <c r="S115" t="s">
        <v>11310</v>
      </c>
      <c r="U115" s="118"/>
      <c r="V115" s="119" t="s">
        <v>11340</v>
      </c>
      <c r="W115" t="s">
        <v>11346</v>
      </c>
    </row>
    <row r="116" spans="1:23" x14ac:dyDescent="0.3">
      <c r="A116" s="118"/>
      <c r="B116" s="119" t="s">
        <v>11161</v>
      </c>
      <c r="C116" t="s">
        <v>11167</v>
      </c>
      <c r="E116" s="118"/>
      <c r="F116" s="119" t="s">
        <v>11197</v>
      </c>
      <c r="G116" t="s">
        <v>11203</v>
      </c>
      <c r="I116" s="118"/>
      <c r="J116" s="119" t="s">
        <v>11233</v>
      </c>
      <c r="K116" t="s">
        <v>11239</v>
      </c>
      <c r="M116" s="118"/>
      <c r="N116" s="119" t="s">
        <v>11269</v>
      </c>
      <c r="O116" t="s">
        <v>11275</v>
      </c>
      <c r="Q116" s="118"/>
      <c r="R116" s="119" t="s">
        <v>11305</v>
      </c>
      <c r="S116" t="s">
        <v>11311</v>
      </c>
      <c r="U116" s="118"/>
      <c r="V116" s="119" t="s">
        <v>11341</v>
      </c>
      <c r="W116" t="s">
        <v>11347</v>
      </c>
    </row>
    <row r="117" spans="1:23" x14ac:dyDescent="0.3">
      <c r="A117" s="118"/>
      <c r="B117" s="119" t="s">
        <v>11172</v>
      </c>
      <c r="C117" t="s">
        <v>11178</v>
      </c>
      <c r="E117" s="118"/>
      <c r="F117" s="119" t="s">
        <v>11208</v>
      </c>
      <c r="G117" t="s">
        <v>11214</v>
      </c>
      <c r="I117" s="118"/>
      <c r="J117" s="119" t="s">
        <v>11244</v>
      </c>
      <c r="K117" t="s">
        <v>11250</v>
      </c>
      <c r="M117" s="118"/>
      <c r="N117" s="119" t="s">
        <v>11280</v>
      </c>
      <c r="O117" t="s">
        <v>11286</v>
      </c>
      <c r="Q117" s="118"/>
      <c r="R117" s="119" t="s">
        <v>11316</v>
      </c>
      <c r="S117" t="s">
        <v>11322</v>
      </c>
      <c r="U117" s="118"/>
      <c r="V117" s="119" t="s">
        <v>11352</v>
      </c>
      <c r="W117" t="s">
        <v>11358</v>
      </c>
    </row>
    <row r="118" spans="1:23" x14ac:dyDescent="0.3">
      <c r="A118" s="118"/>
      <c r="B118" s="119" t="s">
        <v>11173</v>
      </c>
      <c r="C118" t="s">
        <v>11179</v>
      </c>
      <c r="E118" s="118"/>
      <c r="F118" s="119" t="s">
        <v>11209</v>
      </c>
      <c r="G118" t="s">
        <v>11215</v>
      </c>
      <c r="I118" s="118"/>
      <c r="J118" s="119" t="s">
        <v>11245</v>
      </c>
      <c r="K118" t="s">
        <v>11251</v>
      </c>
      <c r="M118" s="118"/>
      <c r="N118" s="119" t="s">
        <v>11281</v>
      </c>
      <c r="O118" t="s">
        <v>11287</v>
      </c>
      <c r="Q118" s="118"/>
      <c r="R118" s="119" t="s">
        <v>11317</v>
      </c>
      <c r="S118" t="s">
        <v>11323</v>
      </c>
      <c r="U118" s="118"/>
      <c r="V118" s="119" t="s">
        <v>11353</v>
      </c>
      <c r="W118" t="s">
        <v>11359</v>
      </c>
    </row>
    <row r="119" spans="1:23" x14ac:dyDescent="0.3">
      <c r="A119" s="118"/>
      <c r="B119" s="119" t="s">
        <v>11364</v>
      </c>
      <c r="C119" t="s">
        <v>11370</v>
      </c>
      <c r="E119" s="118"/>
      <c r="F119" s="119" t="s">
        <v>11400</v>
      </c>
      <c r="G119" t="s">
        <v>11406</v>
      </c>
      <c r="I119" s="118"/>
      <c r="J119" s="119" t="s">
        <v>11436</v>
      </c>
      <c r="K119" t="s">
        <v>11442</v>
      </c>
      <c r="M119" s="118"/>
      <c r="N119" s="119" t="s">
        <v>11472</v>
      </c>
      <c r="O119" t="s">
        <v>11478</v>
      </c>
      <c r="Q119" s="118"/>
      <c r="R119" s="119" t="s">
        <v>11508</v>
      </c>
      <c r="S119" t="s">
        <v>11514</v>
      </c>
      <c r="U119" s="118"/>
      <c r="V119" s="119" t="s">
        <v>11544</v>
      </c>
      <c r="W119" t="s">
        <v>11550</v>
      </c>
    </row>
    <row r="120" spans="1:23" x14ac:dyDescent="0.3">
      <c r="A120" s="118"/>
      <c r="B120" s="119" t="s">
        <v>11365</v>
      </c>
      <c r="C120" t="s">
        <v>11371</v>
      </c>
      <c r="E120" s="118"/>
      <c r="F120" s="119" t="s">
        <v>11401</v>
      </c>
      <c r="G120" t="s">
        <v>11407</v>
      </c>
      <c r="I120" s="118"/>
      <c r="J120" s="119" t="s">
        <v>11437</v>
      </c>
      <c r="K120" t="s">
        <v>11443</v>
      </c>
      <c r="M120" s="118"/>
      <c r="N120" s="119" t="s">
        <v>11473</v>
      </c>
      <c r="O120" t="s">
        <v>11479</v>
      </c>
      <c r="Q120" s="118"/>
      <c r="R120" s="119" t="s">
        <v>11509</v>
      </c>
      <c r="S120" t="s">
        <v>11515</v>
      </c>
      <c r="U120" s="118"/>
      <c r="V120" s="119" t="s">
        <v>11545</v>
      </c>
      <c r="W120" t="s">
        <v>11551</v>
      </c>
    </row>
    <row r="121" spans="1:23" x14ac:dyDescent="0.3">
      <c r="A121" s="118"/>
      <c r="B121" s="119" t="s">
        <v>11376</v>
      </c>
      <c r="C121" t="s">
        <v>11382</v>
      </c>
      <c r="E121" s="118"/>
      <c r="F121" s="119" t="s">
        <v>11412</v>
      </c>
      <c r="G121" t="s">
        <v>11418</v>
      </c>
      <c r="I121" s="118"/>
      <c r="J121" s="119" t="s">
        <v>11448</v>
      </c>
      <c r="K121" t="s">
        <v>11454</v>
      </c>
      <c r="M121" s="118"/>
      <c r="N121" s="119" t="s">
        <v>11484</v>
      </c>
      <c r="O121" t="s">
        <v>11490</v>
      </c>
      <c r="Q121" s="118"/>
      <c r="R121" s="119" t="s">
        <v>11520</v>
      </c>
      <c r="S121" t="s">
        <v>11526</v>
      </c>
      <c r="U121" s="118"/>
      <c r="V121" s="119" t="s">
        <v>11556</v>
      </c>
      <c r="W121" t="s">
        <v>11562</v>
      </c>
    </row>
    <row r="122" spans="1:23" x14ac:dyDescent="0.3">
      <c r="A122" s="118"/>
      <c r="B122" s="119" t="s">
        <v>11377</v>
      </c>
      <c r="C122" t="s">
        <v>11383</v>
      </c>
      <c r="E122" s="118"/>
      <c r="F122" s="119" t="s">
        <v>11413</v>
      </c>
      <c r="G122" t="s">
        <v>11419</v>
      </c>
      <c r="I122" s="118"/>
      <c r="J122" s="119" t="s">
        <v>11449</v>
      </c>
      <c r="K122" t="s">
        <v>11455</v>
      </c>
      <c r="M122" s="118"/>
      <c r="N122" s="119" t="s">
        <v>11485</v>
      </c>
      <c r="O122" t="s">
        <v>11491</v>
      </c>
      <c r="Q122" s="118"/>
      <c r="R122" s="119" t="s">
        <v>11521</v>
      </c>
      <c r="S122" t="s">
        <v>11527</v>
      </c>
      <c r="U122" s="118"/>
      <c r="V122" s="119" t="s">
        <v>11557</v>
      </c>
      <c r="W122" t="s">
        <v>11563</v>
      </c>
    </row>
    <row r="123" spans="1:23" x14ac:dyDescent="0.3">
      <c r="A123" s="118"/>
      <c r="B123" s="119" t="s">
        <v>11388</v>
      </c>
      <c r="C123" t="s">
        <v>11394</v>
      </c>
      <c r="E123" s="118"/>
      <c r="F123" s="119" t="s">
        <v>11424</v>
      </c>
      <c r="G123" t="s">
        <v>11430</v>
      </c>
      <c r="I123" s="118"/>
      <c r="J123" s="119" t="s">
        <v>11460</v>
      </c>
      <c r="K123" t="s">
        <v>11466</v>
      </c>
      <c r="M123" s="118"/>
      <c r="N123" s="119" t="s">
        <v>11496</v>
      </c>
      <c r="O123" t="s">
        <v>11502</v>
      </c>
      <c r="Q123" s="118"/>
      <c r="R123" s="119" t="s">
        <v>11532</v>
      </c>
      <c r="S123" t="s">
        <v>11538</v>
      </c>
      <c r="U123" s="118"/>
      <c r="V123" s="119" t="s">
        <v>11568</v>
      </c>
      <c r="W123" t="s">
        <v>11574</v>
      </c>
    </row>
    <row r="124" spans="1:23" x14ac:dyDescent="0.3">
      <c r="A124" s="118"/>
      <c r="B124" s="119" t="s">
        <v>11389</v>
      </c>
      <c r="C124" t="s">
        <v>11395</v>
      </c>
      <c r="E124" s="118"/>
      <c r="F124" s="119" t="s">
        <v>11425</v>
      </c>
      <c r="G124" t="s">
        <v>11431</v>
      </c>
      <c r="I124" s="118"/>
      <c r="J124" s="119" t="s">
        <v>11461</v>
      </c>
      <c r="K124" t="s">
        <v>11467</v>
      </c>
      <c r="M124" s="118"/>
      <c r="N124" s="119" t="s">
        <v>11497</v>
      </c>
      <c r="O124" t="s">
        <v>11503</v>
      </c>
      <c r="Q124" s="118"/>
      <c r="R124" s="119" t="s">
        <v>11533</v>
      </c>
      <c r="S124" t="s">
        <v>11539</v>
      </c>
      <c r="U124" s="118"/>
      <c r="V124" s="119" t="s">
        <v>11569</v>
      </c>
      <c r="W124" t="s">
        <v>11575</v>
      </c>
    </row>
    <row r="125" spans="1:23" x14ac:dyDescent="0.3">
      <c r="A125" s="118"/>
      <c r="B125" s="119" t="s">
        <v>11580</v>
      </c>
      <c r="C125" t="s">
        <v>11586</v>
      </c>
      <c r="E125" s="118"/>
      <c r="F125" s="119" t="s">
        <v>11616</v>
      </c>
      <c r="G125" t="s">
        <v>11622</v>
      </c>
      <c r="I125" s="118"/>
      <c r="J125" s="119" t="s">
        <v>11652</v>
      </c>
      <c r="K125" t="s">
        <v>11658</v>
      </c>
      <c r="M125" s="118"/>
      <c r="N125" s="119" t="s">
        <v>11688</v>
      </c>
      <c r="O125" t="s">
        <v>11694</v>
      </c>
      <c r="Q125" s="118"/>
      <c r="R125" s="119" t="s">
        <v>11724</v>
      </c>
      <c r="S125" t="s">
        <v>11730</v>
      </c>
      <c r="U125" s="118"/>
      <c r="V125" s="119" t="s">
        <v>11760</v>
      </c>
      <c r="W125" t="s">
        <v>11766</v>
      </c>
    </row>
    <row r="126" spans="1:23" x14ac:dyDescent="0.3">
      <c r="A126" s="118"/>
      <c r="B126" s="119" t="s">
        <v>11581</v>
      </c>
      <c r="C126" t="s">
        <v>11587</v>
      </c>
      <c r="E126" s="118"/>
      <c r="F126" s="119" t="s">
        <v>11617</v>
      </c>
      <c r="G126" t="s">
        <v>11623</v>
      </c>
      <c r="I126" s="118"/>
      <c r="J126" s="119" t="s">
        <v>11653</v>
      </c>
      <c r="K126" t="s">
        <v>11659</v>
      </c>
      <c r="M126" s="118"/>
      <c r="N126" s="119" t="s">
        <v>11689</v>
      </c>
      <c r="O126" t="s">
        <v>11695</v>
      </c>
      <c r="Q126" s="118"/>
      <c r="R126" s="119" t="s">
        <v>11725</v>
      </c>
      <c r="S126" t="s">
        <v>11731</v>
      </c>
      <c r="U126" s="118"/>
      <c r="V126" s="119" t="s">
        <v>11761</v>
      </c>
      <c r="W126" t="s">
        <v>11767</v>
      </c>
    </row>
    <row r="127" spans="1:23" x14ac:dyDescent="0.3">
      <c r="A127" s="118"/>
      <c r="B127" s="119" t="s">
        <v>11592</v>
      </c>
      <c r="C127" t="s">
        <v>11598</v>
      </c>
      <c r="E127" s="118"/>
      <c r="F127" s="119" t="s">
        <v>11628</v>
      </c>
      <c r="G127" t="s">
        <v>11634</v>
      </c>
      <c r="I127" s="118"/>
      <c r="J127" s="119" t="s">
        <v>11664</v>
      </c>
      <c r="K127" t="s">
        <v>11670</v>
      </c>
      <c r="M127" s="118"/>
      <c r="N127" s="119" t="s">
        <v>11700</v>
      </c>
      <c r="O127" t="s">
        <v>11706</v>
      </c>
      <c r="Q127" s="118"/>
      <c r="R127" s="119" t="s">
        <v>11736</v>
      </c>
      <c r="S127" t="s">
        <v>11742</v>
      </c>
      <c r="U127" s="118"/>
      <c r="V127" s="119" t="s">
        <v>11772</v>
      </c>
      <c r="W127" t="s">
        <v>11778</v>
      </c>
    </row>
    <row r="128" spans="1:23" x14ac:dyDescent="0.3">
      <c r="A128" s="118"/>
      <c r="B128" s="119" t="s">
        <v>11593</v>
      </c>
      <c r="C128" t="s">
        <v>11599</v>
      </c>
      <c r="E128" s="118"/>
      <c r="F128" s="119" t="s">
        <v>11629</v>
      </c>
      <c r="G128" t="s">
        <v>11635</v>
      </c>
      <c r="I128" s="118"/>
      <c r="J128" s="119" t="s">
        <v>11665</v>
      </c>
      <c r="K128" t="s">
        <v>11671</v>
      </c>
      <c r="M128" s="118"/>
      <c r="N128" s="119" t="s">
        <v>11701</v>
      </c>
      <c r="O128" t="s">
        <v>11707</v>
      </c>
      <c r="Q128" s="118"/>
      <c r="R128" s="119" t="s">
        <v>11737</v>
      </c>
      <c r="S128" t="s">
        <v>11743</v>
      </c>
      <c r="U128" s="118"/>
      <c r="V128" s="119" t="s">
        <v>11773</v>
      </c>
      <c r="W128" t="s">
        <v>11779</v>
      </c>
    </row>
    <row r="129" spans="1:23" x14ac:dyDescent="0.3">
      <c r="A129" s="118"/>
      <c r="B129" s="119" t="s">
        <v>11604</v>
      </c>
      <c r="C129" t="s">
        <v>11610</v>
      </c>
      <c r="E129" s="118"/>
      <c r="F129" s="119" t="s">
        <v>11640</v>
      </c>
      <c r="G129" t="s">
        <v>11646</v>
      </c>
      <c r="I129" s="118"/>
      <c r="J129" s="119" t="s">
        <v>11676</v>
      </c>
      <c r="K129" t="s">
        <v>11682</v>
      </c>
      <c r="M129" s="118"/>
      <c r="N129" s="119" t="s">
        <v>11712</v>
      </c>
      <c r="O129" t="s">
        <v>11718</v>
      </c>
      <c r="Q129" s="118"/>
      <c r="R129" s="119" t="s">
        <v>11748</v>
      </c>
      <c r="S129" t="s">
        <v>11754</v>
      </c>
      <c r="U129" s="118"/>
      <c r="V129" s="119" t="s">
        <v>11784</v>
      </c>
      <c r="W129" t="s">
        <v>11790</v>
      </c>
    </row>
    <row r="130" spans="1:23" x14ac:dyDescent="0.3">
      <c r="A130" s="118"/>
      <c r="B130" s="119" t="s">
        <v>11605</v>
      </c>
      <c r="C130" t="s">
        <v>11611</v>
      </c>
      <c r="E130" s="118"/>
      <c r="F130" s="119" t="s">
        <v>11641</v>
      </c>
      <c r="G130" t="s">
        <v>11647</v>
      </c>
      <c r="I130" s="118"/>
      <c r="J130" s="119" t="s">
        <v>11677</v>
      </c>
      <c r="K130" t="s">
        <v>11683</v>
      </c>
      <c r="M130" s="118"/>
      <c r="N130" s="119" t="s">
        <v>11713</v>
      </c>
      <c r="O130" t="s">
        <v>11719</v>
      </c>
      <c r="Q130" s="118"/>
      <c r="R130" s="119" t="s">
        <v>11749</v>
      </c>
      <c r="S130" t="s">
        <v>11755</v>
      </c>
      <c r="U130" s="118"/>
      <c r="V130" s="119" t="s">
        <v>11785</v>
      </c>
      <c r="W130" t="s">
        <v>11791</v>
      </c>
    </row>
    <row r="131" spans="1:23" x14ac:dyDescent="0.3">
      <c r="A131" s="118"/>
      <c r="B131" s="119" t="s">
        <v>11796</v>
      </c>
      <c r="C131" t="s">
        <v>11802</v>
      </c>
      <c r="E131" s="118"/>
      <c r="F131" s="119" t="s">
        <v>11832</v>
      </c>
      <c r="G131" t="s">
        <v>11838</v>
      </c>
      <c r="I131" s="118"/>
      <c r="J131" s="119" t="s">
        <v>11868</v>
      </c>
      <c r="K131" t="s">
        <v>11874</v>
      </c>
      <c r="M131" s="118"/>
      <c r="N131" s="119" t="s">
        <v>11904</v>
      </c>
      <c r="O131" t="s">
        <v>11910</v>
      </c>
      <c r="Q131" s="118"/>
      <c r="R131" s="119" t="s">
        <v>11940</v>
      </c>
      <c r="S131" t="s">
        <v>11946</v>
      </c>
      <c r="U131" s="118"/>
      <c r="V131" s="119" t="s">
        <v>11976</v>
      </c>
      <c r="W131" t="s">
        <v>11982</v>
      </c>
    </row>
    <row r="132" spans="1:23" x14ac:dyDescent="0.3">
      <c r="A132" s="118"/>
      <c r="B132" s="119" t="s">
        <v>11797</v>
      </c>
      <c r="C132" t="s">
        <v>11803</v>
      </c>
      <c r="E132" s="118"/>
      <c r="F132" s="119" t="s">
        <v>11833</v>
      </c>
      <c r="G132" t="s">
        <v>11839</v>
      </c>
      <c r="I132" s="118"/>
      <c r="J132" s="119" t="s">
        <v>11869</v>
      </c>
      <c r="K132" t="s">
        <v>11875</v>
      </c>
      <c r="M132" s="118"/>
      <c r="N132" s="119" t="s">
        <v>11905</v>
      </c>
      <c r="O132" t="s">
        <v>11911</v>
      </c>
      <c r="Q132" s="118"/>
      <c r="R132" s="119" t="s">
        <v>11941</v>
      </c>
      <c r="S132" t="s">
        <v>11947</v>
      </c>
      <c r="U132" s="118"/>
      <c r="V132" s="119" t="s">
        <v>11977</v>
      </c>
      <c r="W132" t="s">
        <v>11983</v>
      </c>
    </row>
    <row r="133" spans="1:23" x14ac:dyDescent="0.3">
      <c r="A133" s="118"/>
      <c r="B133" s="119" t="s">
        <v>11808</v>
      </c>
      <c r="C133" t="s">
        <v>11814</v>
      </c>
      <c r="E133" s="118"/>
      <c r="F133" s="119" t="s">
        <v>11844</v>
      </c>
      <c r="G133" t="s">
        <v>11850</v>
      </c>
      <c r="I133" s="118"/>
      <c r="J133" s="119" t="s">
        <v>11880</v>
      </c>
      <c r="K133" t="s">
        <v>11886</v>
      </c>
      <c r="M133" s="118"/>
      <c r="N133" s="119" t="s">
        <v>11916</v>
      </c>
      <c r="O133" t="s">
        <v>11922</v>
      </c>
      <c r="Q133" s="118"/>
      <c r="R133" s="119" t="s">
        <v>11952</v>
      </c>
      <c r="S133" t="s">
        <v>11958</v>
      </c>
      <c r="U133" s="118"/>
      <c r="V133" s="119" t="s">
        <v>11988</v>
      </c>
      <c r="W133" t="s">
        <v>11994</v>
      </c>
    </row>
    <row r="134" spans="1:23" x14ac:dyDescent="0.3">
      <c r="A134" s="118"/>
      <c r="B134" s="119" t="s">
        <v>11809</v>
      </c>
      <c r="C134" t="s">
        <v>11815</v>
      </c>
      <c r="E134" s="118"/>
      <c r="F134" s="119" t="s">
        <v>11845</v>
      </c>
      <c r="G134" t="s">
        <v>11851</v>
      </c>
      <c r="I134" s="118"/>
      <c r="J134" s="119" t="s">
        <v>11881</v>
      </c>
      <c r="K134" t="s">
        <v>11887</v>
      </c>
      <c r="M134" s="118"/>
      <c r="N134" s="119" t="s">
        <v>11917</v>
      </c>
      <c r="O134" t="s">
        <v>11923</v>
      </c>
      <c r="Q134" s="118"/>
      <c r="R134" s="119" t="s">
        <v>11953</v>
      </c>
      <c r="S134" t="s">
        <v>11959</v>
      </c>
      <c r="U134" s="118"/>
      <c r="V134" s="119" t="s">
        <v>11989</v>
      </c>
      <c r="W134" t="s">
        <v>11995</v>
      </c>
    </row>
    <row r="135" spans="1:23" x14ac:dyDescent="0.3">
      <c r="A135" s="118"/>
      <c r="B135" s="119" t="s">
        <v>11820</v>
      </c>
      <c r="C135" t="s">
        <v>11826</v>
      </c>
      <c r="E135" s="118"/>
      <c r="F135" s="119" t="s">
        <v>11856</v>
      </c>
      <c r="G135" t="s">
        <v>11862</v>
      </c>
      <c r="I135" s="118"/>
      <c r="J135" s="119" t="s">
        <v>11892</v>
      </c>
      <c r="K135" t="s">
        <v>11898</v>
      </c>
      <c r="M135" s="118"/>
      <c r="N135" s="119" t="s">
        <v>11928</v>
      </c>
      <c r="O135" t="s">
        <v>11934</v>
      </c>
      <c r="Q135" s="118"/>
      <c r="R135" s="119" t="s">
        <v>11964</v>
      </c>
      <c r="S135" t="s">
        <v>11970</v>
      </c>
      <c r="U135" s="118"/>
      <c r="V135" s="119" t="s">
        <v>12000</v>
      </c>
      <c r="W135" t="s">
        <v>12006</v>
      </c>
    </row>
    <row r="136" spans="1:23" x14ac:dyDescent="0.3">
      <c r="A136" s="118"/>
      <c r="B136" s="119" t="s">
        <v>11821</v>
      </c>
      <c r="C136" t="s">
        <v>11827</v>
      </c>
      <c r="E136" s="118"/>
      <c r="F136" s="119" t="s">
        <v>11857</v>
      </c>
      <c r="G136" t="s">
        <v>11863</v>
      </c>
      <c r="I136" s="118"/>
      <c r="J136" s="119" t="s">
        <v>11893</v>
      </c>
      <c r="K136" t="s">
        <v>11899</v>
      </c>
      <c r="M136" s="118"/>
      <c r="N136" s="119" t="s">
        <v>11929</v>
      </c>
      <c r="O136" t="s">
        <v>11935</v>
      </c>
      <c r="Q136" s="118"/>
      <c r="R136" s="119" t="s">
        <v>11965</v>
      </c>
      <c r="S136" t="s">
        <v>11971</v>
      </c>
      <c r="U136" s="118"/>
      <c r="V136" s="119" t="s">
        <v>12001</v>
      </c>
      <c r="W136" t="s">
        <v>12007</v>
      </c>
    </row>
    <row r="137" spans="1:23" x14ac:dyDescent="0.3">
      <c r="A137" s="118"/>
      <c r="B137" s="119" t="s">
        <v>12012</v>
      </c>
      <c r="C137" t="s">
        <v>12018</v>
      </c>
      <c r="E137" s="118"/>
      <c r="F137" s="119" t="s">
        <v>12048</v>
      </c>
      <c r="G137" t="s">
        <v>12054</v>
      </c>
      <c r="I137" s="118"/>
      <c r="J137" s="119" t="s">
        <v>12084</v>
      </c>
      <c r="K137" t="s">
        <v>12090</v>
      </c>
      <c r="M137" s="118"/>
      <c r="N137" s="119" t="s">
        <v>12120</v>
      </c>
      <c r="O137" t="s">
        <v>12126</v>
      </c>
      <c r="Q137" s="118"/>
      <c r="R137" s="119" t="s">
        <v>12156</v>
      </c>
      <c r="S137" t="s">
        <v>12162</v>
      </c>
      <c r="U137" s="118"/>
      <c r="V137" s="119" t="s">
        <v>12192</v>
      </c>
      <c r="W137" t="s">
        <v>12198</v>
      </c>
    </row>
    <row r="138" spans="1:23" x14ac:dyDescent="0.3">
      <c r="A138" s="118"/>
      <c r="B138" s="119" t="s">
        <v>12013</v>
      </c>
      <c r="C138" t="s">
        <v>12019</v>
      </c>
      <c r="E138" s="118"/>
      <c r="F138" s="119" t="s">
        <v>12049</v>
      </c>
      <c r="G138" t="s">
        <v>12055</v>
      </c>
      <c r="I138" s="118"/>
      <c r="J138" s="119" t="s">
        <v>12085</v>
      </c>
      <c r="K138" t="s">
        <v>12091</v>
      </c>
      <c r="M138" s="118"/>
      <c r="N138" s="119" t="s">
        <v>12121</v>
      </c>
      <c r="O138" t="s">
        <v>12127</v>
      </c>
      <c r="Q138" s="118"/>
      <c r="R138" s="119" t="s">
        <v>12157</v>
      </c>
      <c r="S138" t="s">
        <v>12163</v>
      </c>
      <c r="U138" s="118"/>
      <c r="V138" s="119" t="s">
        <v>12193</v>
      </c>
      <c r="W138" t="s">
        <v>12199</v>
      </c>
    </row>
    <row r="139" spans="1:23" x14ac:dyDescent="0.3">
      <c r="A139" s="118"/>
      <c r="B139" s="119" t="s">
        <v>12024</v>
      </c>
      <c r="C139" t="s">
        <v>12030</v>
      </c>
      <c r="E139" s="118"/>
      <c r="F139" s="119" t="s">
        <v>12060</v>
      </c>
      <c r="G139" t="s">
        <v>12066</v>
      </c>
      <c r="I139" s="118"/>
      <c r="J139" s="119" t="s">
        <v>12096</v>
      </c>
      <c r="K139" t="s">
        <v>12102</v>
      </c>
      <c r="M139" s="118"/>
      <c r="N139" s="119" t="s">
        <v>12132</v>
      </c>
      <c r="O139" t="s">
        <v>12138</v>
      </c>
      <c r="Q139" s="118"/>
      <c r="R139" s="119" t="s">
        <v>12168</v>
      </c>
      <c r="S139" t="s">
        <v>12174</v>
      </c>
      <c r="U139" s="118"/>
      <c r="V139" s="119" t="s">
        <v>12204</v>
      </c>
      <c r="W139" t="s">
        <v>12210</v>
      </c>
    </row>
    <row r="140" spans="1:23" x14ac:dyDescent="0.3">
      <c r="A140" s="118"/>
      <c r="B140" s="119" t="s">
        <v>12025</v>
      </c>
      <c r="C140" t="s">
        <v>12031</v>
      </c>
      <c r="E140" s="118"/>
      <c r="F140" s="119" t="s">
        <v>12061</v>
      </c>
      <c r="G140" t="s">
        <v>12067</v>
      </c>
      <c r="I140" s="118"/>
      <c r="J140" s="119" t="s">
        <v>12097</v>
      </c>
      <c r="K140" t="s">
        <v>12103</v>
      </c>
      <c r="M140" s="118"/>
      <c r="N140" s="119" t="s">
        <v>12133</v>
      </c>
      <c r="O140" t="s">
        <v>12139</v>
      </c>
      <c r="Q140" s="118"/>
      <c r="R140" s="119" t="s">
        <v>12169</v>
      </c>
      <c r="S140" t="s">
        <v>12175</v>
      </c>
      <c r="U140" s="118"/>
      <c r="V140" s="119" t="s">
        <v>12205</v>
      </c>
      <c r="W140" t="s">
        <v>12211</v>
      </c>
    </row>
    <row r="141" spans="1:23" x14ac:dyDescent="0.3">
      <c r="A141" s="118"/>
      <c r="B141" s="119" t="s">
        <v>12036</v>
      </c>
      <c r="C141" t="s">
        <v>12042</v>
      </c>
      <c r="E141" s="118"/>
      <c r="F141" s="119" t="s">
        <v>12072</v>
      </c>
      <c r="G141" t="s">
        <v>12078</v>
      </c>
      <c r="I141" s="118"/>
      <c r="J141" s="119" t="s">
        <v>12108</v>
      </c>
      <c r="K141" t="s">
        <v>12114</v>
      </c>
      <c r="M141" s="118"/>
      <c r="N141" s="119" t="s">
        <v>12144</v>
      </c>
      <c r="O141" t="s">
        <v>12150</v>
      </c>
      <c r="Q141" s="118"/>
      <c r="R141" s="119" t="s">
        <v>12180</v>
      </c>
      <c r="S141" t="s">
        <v>12186</v>
      </c>
      <c r="U141" s="118"/>
      <c r="V141" s="119" t="s">
        <v>12216</v>
      </c>
      <c r="W141" t="s">
        <v>12222</v>
      </c>
    </row>
    <row r="142" spans="1:23" x14ac:dyDescent="0.3">
      <c r="A142" s="118"/>
      <c r="B142" s="119" t="s">
        <v>12037</v>
      </c>
      <c r="C142" t="s">
        <v>12043</v>
      </c>
      <c r="E142" s="118"/>
      <c r="F142" s="119" t="s">
        <v>12073</v>
      </c>
      <c r="G142" t="s">
        <v>12079</v>
      </c>
      <c r="I142" s="118"/>
      <c r="J142" s="119" t="s">
        <v>12109</v>
      </c>
      <c r="K142" t="s">
        <v>12115</v>
      </c>
      <c r="M142" s="118"/>
      <c r="N142" s="119" t="s">
        <v>12145</v>
      </c>
      <c r="O142" t="s">
        <v>12151</v>
      </c>
      <c r="Q142" s="118"/>
      <c r="R142" s="119" t="s">
        <v>12181</v>
      </c>
      <c r="S142" t="s">
        <v>12187</v>
      </c>
      <c r="U142" s="118"/>
      <c r="V142" s="119" t="s">
        <v>12217</v>
      </c>
      <c r="W142" t="s">
        <v>12223</v>
      </c>
    </row>
    <row r="143" spans="1:23" x14ac:dyDescent="0.3">
      <c r="A143" s="118"/>
      <c r="B143" s="119" t="s">
        <v>12228</v>
      </c>
      <c r="C143" t="s">
        <v>12234</v>
      </c>
      <c r="E143" s="118"/>
      <c r="F143" s="119" t="s">
        <v>12264</v>
      </c>
      <c r="G143" t="s">
        <v>12270</v>
      </c>
      <c r="I143" s="118"/>
      <c r="J143" s="119" t="s">
        <v>12300</v>
      </c>
      <c r="K143" t="s">
        <v>12306</v>
      </c>
      <c r="M143" s="118"/>
      <c r="N143" s="119" t="s">
        <v>12336</v>
      </c>
      <c r="O143" t="s">
        <v>12342</v>
      </c>
      <c r="Q143" s="118"/>
      <c r="R143" s="119" t="s">
        <v>12372</v>
      </c>
      <c r="S143" t="s">
        <v>12378</v>
      </c>
      <c r="U143" s="118"/>
      <c r="V143" s="119" t="s">
        <v>12408</v>
      </c>
      <c r="W143" t="s">
        <v>12414</v>
      </c>
    </row>
    <row r="144" spans="1:23" x14ac:dyDescent="0.3">
      <c r="A144" s="118"/>
      <c r="B144" s="119" t="s">
        <v>12229</v>
      </c>
      <c r="C144" t="s">
        <v>12235</v>
      </c>
      <c r="E144" s="118"/>
      <c r="F144" s="119" t="s">
        <v>12265</v>
      </c>
      <c r="G144" t="s">
        <v>12271</v>
      </c>
      <c r="I144" s="118"/>
      <c r="J144" s="119" t="s">
        <v>12301</v>
      </c>
      <c r="K144" t="s">
        <v>12307</v>
      </c>
      <c r="M144" s="118"/>
      <c r="N144" s="119" t="s">
        <v>12337</v>
      </c>
      <c r="O144" t="s">
        <v>12343</v>
      </c>
      <c r="Q144" s="118"/>
      <c r="R144" s="119" t="s">
        <v>12373</v>
      </c>
      <c r="S144" t="s">
        <v>12379</v>
      </c>
      <c r="U144" s="118"/>
      <c r="V144" s="119" t="s">
        <v>12409</v>
      </c>
      <c r="W144" t="s">
        <v>12415</v>
      </c>
    </row>
    <row r="145" spans="1:23" x14ac:dyDescent="0.3">
      <c r="A145" s="118"/>
      <c r="B145" s="119" t="s">
        <v>12240</v>
      </c>
      <c r="C145" t="s">
        <v>12246</v>
      </c>
      <c r="E145" s="118"/>
      <c r="F145" s="119" t="s">
        <v>12276</v>
      </c>
      <c r="G145" t="s">
        <v>12282</v>
      </c>
      <c r="I145" s="118"/>
      <c r="J145" s="119" t="s">
        <v>12312</v>
      </c>
      <c r="K145" t="s">
        <v>12318</v>
      </c>
      <c r="M145" s="118"/>
      <c r="N145" s="119" t="s">
        <v>12348</v>
      </c>
      <c r="O145" t="s">
        <v>12354</v>
      </c>
      <c r="Q145" s="118"/>
      <c r="R145" s="119" t="s">
        <v>12384</v>
      </c>
      <c r="S145" t="s">
        <v>12390</v>
      </c>
      <c r="U145" s="118"/>
      <c r="V145" s="119" t="s">
        <v>12420</v>
      </c>
      <c r="W145" t="s">
        <v>12426</v>
      </c>
    </row>
    <row r="146" spans="1:23" x14ac:dyDescent="0.3">
      <c r="A146" s="118"/>
      <c r="B146" s="119" t="s">
        <v>12241</v>
      </c>
      <c r="C146" t="s">
        <v>12247</v>
      </c>
      <c r="E146" s="118"/>
      <c r="F146" s="119" t="s">
        <v>12277</v>
      </c>
      <c r="G146" t="s">
        <v>12283</v>
      </c>
      <c r="I146" s="118"/>
      <c r="J146" s="119" t="s">
        <v>12313</v>
      </c>
      <c r="K146" t="s">
        <v>12319</v>
      </c>
      <c r="M146" s="118"/>
      <c r="N146" s="119" t="s">
        <v>12349</v>
      </c>
      <c r="O146" t="s">
        <v>12355</v>
      </c>
      <c r="Q146" s="118"/>
      <c r="R146" s="119" t="s">
        <v>12385</v>
      </c>
      <c r="S146" t="s">
        <v>12391</v>
      </c>
      <c r="U146" s="118"/>
      <c r="V146" s="119" t="s">
        <v>12421</v>
      </c>
      <c r="W146" t="s">
        <v>12427</v>
      </c>
    </row>
    <row r="147" spans="1:23" x14ac:dyDescent="0.3">
      <c r="A147" s="118"/>
      <c r="B147" s="119" t="s">
        <v>12252</v>
      </c>
      <c r="C147" t="s">
        <v>12258</v>
      </c>
      <c r="E147" s="118"/>
      <c r="F147" s="119" t="s">
        <v>12288</v>
      </c>
      <c r="G147" t="s">
        <v>12294</v>
      </c>
      <c r="I147" s="118"/>
      <c r="J147" s="119" t="s">
        <v>12324</v>
      </c>
      <c r="K147" t="s">
        <v>12330</v>
      </c>
      <c r="M147" s="118"/>
      <c r="N147" s="119" t="s">
        <v>12360</v>
      </c>
      <c r="O147" t="s">
        <v>12366</v>
      </c>
      <c r="Q147" s="118"/>
      <c r="R147" s="119" t="s">
        <v>12396</v>
      </c>
      <c r="S147" t="s">
        <v>12402</v>
      </c>
      <c r="U147" s="118"/>
      <c r="V147" s="119" t="s">
        <v>12432</v>
      </c>
      <c r="W147" t="s">
        <v>12438</v>
      </c>
    </row>
    <row r="148" spans="1:23" x14ac:dyDescent="0.3">
      <c r="A148" s="118"/>
      <c r="B148" s="119" t="s">
        <v>12253</v>
      </c>
      <c r="C148" t="s">
        <v>12259</v>
      </c>
      <c r="E148" s="118"/>
      <c r="F148" s="119" t="s">
        <v>12289</v>
      </c>
      <c r="G148" t="s">
        <v>12295</v>
      </c>
      <c r="I148" s="118"/>
      <c r="J148" s="119" t="s">
        <v>12325</v>
      </c>
      <c r="K148" t="s">
        <v>12331</v>
      </c>
      <c r="M148" s="118"/>
      <c r="N148" s="119" t="s">
        <v>12361</v>
      </c>
      <c r="O148" t="s">
        <v>12367</v>
      </c>
      <c r="Q148" s="118"/>
      <c r="R148" s="119" t="s">
        <v>12397</v>
      </c>
      <c r="S148" t="s">
        <v>12403</v>
      </c>
      <c r="U148" s="118"/>
      <c r="V148" s="119" t="s">
        <v>12433</v>
      </c>
      <c r="W148" t="s">
        <v>12439</v>
      </c>
    </row>
    <row r="149" spans="1:23" x14ac:dyDescent="0.3">
      <c r="A149" s="118"/>
      <c r="B149" s="119" t="s">
        <v>12444</v>
      </c>
      <c r="C149" t="s">
        <v>12450</v>
      </c>
      <c r="E149" s="118"/>
      <c r="F149" s="119" t="s">
        <v>12480</v>
      </c>
      <c r="G149" t="s">
        <v>12486</v>
      </c>
      <c r="I149" s="118"/>
      <c r="J149" s="119" t="s">
        <v>12516</v>
      </c>
      <c r="K149" t="s">
        <v>12522</v>
      </c>
      <c r="M149" s="118"/>
      <c r="N149" s="119" t="s">
        <v>12552</v>
      </c>
      <c r="O149" t="s">
        <v>12558</v>
      </c>
      <c r="Q149" s="118"/>
      <c r="R149" s="119" t="s">
        <v>12588</v>
      </c>
      <c r="S149" t="s">
        <v>12594</v>
      </c>
      <c r="U149" s="118"/>
      <c r="V149" s="119" t="s">
        <v>12624</v>
      </c>
      <c r="W149" t="s">
        <v>12630</v>
      </c>
    </row>
    <row r="150" spans="1:23" x14ac:dyDescent="0.3">
      <c r="A150" s="118"/>
      <c r="B150" s="119" t="s">
        <v>12445</v>
      </c>
      <c r="C150" t="s">
        <v>12451</v>
      </c>
      <c r="E150" s="118"/>
      <c r="F150" s="119" t="s">
        <v>12481</v>
      </c>
      <c r="G150" t="s">
        <v>12487</v>
      </c>
      <c r="I150" s="118"/>
      <c r="J150" s="119" t="s">
        <v>12517</v>
      </c>
      <c r="K150" t="s">
        <v>12523</v>
      </c>
      <c r="M150" s="118"/>
      <c r="N150" s="119" t="s">
        <v>12553</v>
      </c>
      <c r="O150" t="s">
        <v>12559</v>
      </c>
      <c r="Q150" s="118"/>
      <c r="R150" s="119" t="s">
        <v>12589</v>
      </c>
      <c r="S150" t="s">
        <v>12595</v>
      </c>
      <c r="U150" s="118"/>
      <c r="V150" s="119" t="s">
        <v>12625</v>
      </c>
      <c r="W150" t="s">
        <v>12631</v>
      </c>
    </row>
    <row r="151" spans="1:23" x14ac:dyDescent="0.3">
      <c r="A151" s="118"/>
      <c r="B151" s="119" t="s">
        <v>12456</v>
      </c>
      <c r="C151" t="s">
        <v>12462</v>
      </c>
      <c r="E151" s="118"/>
      <c r="F151" s="119" t="s">
        <v>12492</v>
      </c>
      <c r="G151" t="s">
        <v>12498</v>
      </c>
      <c r="I151" s="118"/>
      <c r="J151" s="119" t="s">
        <v>12528</v>
      </c>
      <c r="K151" t="s">
        <v>12534</v>
      </c>
      <c r="M151" s="118"/>
      <c r="N151" s="119" t="s">
        <v>12564</v>
      </c>
      <c r="O151" t="s">
        <v>12570</v>
      </c>
      <c r="Q151" s="118"/>
      <c r="R151" s="119" t="s">
        <v>12600</v>
      </c>
      <c r="S151" t="s">
        <v>12606</v>
      </c>
      <c r="U151" s="118"/>
      <c r="V151" s="119" t="s">
        <v>12636</v>
      </c>
      <c r="W151" t="s">
        <v>12642</v>
      </c>
    </row>
    <row r="152" spans="1:23" x14ac:dyDescent="0.3">
      <c r="A152" s="118"/>
      <c r="B152" s="119" t="s">
        <v>12457</v>
      </c>
      <c r="C152" t="s">
        <v>12463</v>
      </c>
      <c r="E152" s="118"/>
      <c r="F152" s="119" t="s">
        <v>12493</v>
      </c>
      <c r="G152" t="s">
        <v>12499</v>
      </c>
      <c r="I152" s="118"/>
      <c r="J152" s="119" t="s">
        <v>12529</v>
      </c>
      <c r="K152" t="s">
        <v>12535</v>
      </c>
      <c r="M152" s="118"/>
      <c r="N152" s="119" t="s">
        <v>12565</v>
      </c>
      <c r="O152" t="s">
        <v>12571</v>
      </c>
      <c r="Q152" s="118"/>
      <c r="R152" s="119" t="s">
        <v>12601</v>
      </c>
      <c r="S152" t="s">
        <v>12607</v>
      </c>
      <c r="U152" s="118"/>
      <c r="V152" s="119" t="s">
        <v>12637</v>
      </c>
      <c r="W152" t="s">
        <v>12643</v>
      </c>
    </row>
    <row r="153" spans="1:23" x14ac:dyDescent="0.3">
      <c r="A153" s="118"/>
      <c r="B153" s="119" t="s">
        <v>12468</v>
      </c>
      <c r="C153" t="s">
        <v>12474</v>
      </c>
      <c r="E153" s="118"/>
      <c r="F153" s="119" t="s">
        <v>12504</v>
      </c>
      <c r="G153" t="s">
        <v>12510</v>
      </c>
      <c r="I153" s="118"/>
      <c r="J153" s="119" t="s">
        <v>12540</v>
      </c>
      <c r="K153" t="s">
        <v>12546</v>
      </c>
      <c r="M153" s="118"/>
      <c r="N153" s="119" t="s">
        <v>12576</v>
      </c>
      <c r="O153" t="s">
        <v>12582</v>
      </c>
      <c r="Q153" s="118"/>
      <c r="R153" s="119" t="s">
        <v>12612</v>
      </c>
      <c r="S153" t="s">
        <v>12618</v>
      </c>
      <c r="U153" s="118"/>
      <c r="V153" s="119" t="s">
        <v>12648</v>
      </c>
      <c r="W153" t="s">
        <v>12654</v>
      </c>
    </row>
    <row r="154" spans="1:23" x14ac:dyDescent="0.3">
      <c r="A154" s="118"/>
      <c r="B154" s="119" t="s">
        <v>12469</v>
      </c>
      <c r="C154" t="s">
        <v>12475</v>
      </c>
      <c r="E154" s="118"/>
      <c r="F154" s="119" t="s">
        <v>12505</v>
      </c>
      <c r="G154" t="s">
        <v>12511</v>
      </c>
      <c r="I154" s="118"/>
      <c r="J154" s="119" t="s">
        <v>12541</v>
      </c>
      <c r="K154" t="s">
        <v>12547</v>
      </c>
      <c r="M154" s="118"/>
      <c r="N154" s="119" t="s">
        <v>12577</v>
      </c>
      <c r="O154" t="s">
        <v>12583</v>
      </c>
      <c r="Q154" s="118"/>
      <c r="R154" s="119" t="s">
        <v>12613</v>
      </c>
      <c r="S154" t="s">
        <v>12619</v>
      </c>
      <c r="U154" s="118"/>
      <c r="V154" s="119" t="s">
        <v>12649</v>
      </c>
      <c r="W154" t="s">
        <v>12655</v>
      </c>
    </row>
    <row r="155" spans="1:23" x14ac:dyDescent="0.3">
      <c r="A155" s="118"/>
      <c r="B155" s="119" t="s">
        <v>12660</v>
      </c>
      <c r="C155" t="s">
        <v>12666</v>
      </c>
      <c r="E155" s="118"/>
      <c r="F155" s="119" t="s">
        <v>12696</v>
      </c>
      <c r="G155" t="s">
        <v>12702</v>
      </c>
      <c r="I155" s="118"/>
      <c r="J155" s="119" t="s">
        <v>12732</v>
      </c>
      <c r="K155" t="s">
        <v>12738</v>
      </c>
      <c r="M155" s="118"/>
      <c r="N155" s="119" t="s">
        <v>12768</v>
      </c>
      <c r="O155" t="s">
        <v>12774</v>
      </c>
      <c r="Q155" s="118"/>
      <c r="R155" s="119" t="s">
        <v>12804</v>
      </c>
      <c r="S155" t="s">
        <v>12810</v>
      </c>
      <c r="U155" s="118"/>
      <c r="V155" s="119" t="s">
        <v>12840</v>
      </c>
      <c r="W155" t="s">
        <v>12846</v>
      </c>
    </row>
    <row r="156" spans="1:23" x14ac:dyDescent="0.3">
      <c r="A156" s="118"/>
      <c r="B156" s="119" t="s">
        <v>12661</v>
      </c>
      <c r="C156" t="s">
        <v>12667</v>
      </c>
      <c r="E156" s="118"/>
      <c r="F156" s="119" t="s">
        <v>12697</v>
      </c>
      <c r="G156" t="s">
        <v>12703</v>
      </c>
      <c r="I156" s="118"/>
      <c r="J156" s="119" t="s">
        <v>12733</v>
      </c>
      <c r="K156" t="s">
        <v>12739</v>
      </c>
      <c r="M156" s="118"/>
      <c r="N156" s="119" t="s">
        <v>12769</v>
      </c>
      <c r="O156" t="s">
        <v>12775</v>
      </c>
      <c r="Q156" s="118"/>
      <c r="R156" s="119" t="s">
        <v>12805</v>
      </c>
      <c r="S156" t="s">
        <v>12811</v>
      </c>
      <c r="U156" s="118"/>
      <c r="V156" s="119" t="s">
        <v>12841</v>
      </c>
      <c r="W156" t="s">
        <v>12847</v>
      </c>
    </row>
    <row r="157" spans="1:23" x14ac:dyDescent="0.3">
      <c r="A157" s="118"/>
      <c r="B157" s="119" t="s">
        <v>12672</v>
      </c>
      <c r="C157" t="s">
        <v>12678</v>
      </c>
      <c r="E157" s="118"/>
      <c r="F157" s="119" t="s">
        <v>12708</v>
      </c>
      <c r="G157" t="s">
        <v>12714</v>
      </c>
      <c r="I157" s="118"/>
      <c r="J157" s="119" t="s">
        <v>12744</v>
      </c>
      <c r="K157" t="s">
        <v>12750</v>
      </c>
      <c r="M157" s="118"/>
      <c r="N157" s="119" t="s">
        <v>12780</v>
      </c>
      <c r="O157" t="s">
        <v>12786</v>
      </c>
      <c r="Q157" s="118"/>
      <c r="R157" s="119" t="s">
        <v>12816</v>
      </c>
      <c r="S157" t="s">
        <v>12822</v>
      </c>
      <c r="U157" s="118"/>
      <c r="V157" s="119" t="s">
        <v>12852</v>
      </c>
      <c r="W157" t="s">
        <v>12858</v>
      </c>
    </row>
    <row r="158" spans="1:23" x14ac:dyDescent="0.3">
      <c r="A158" s="118"/>
      <c r="B158" s="119" t="s">
        <v>12673</v>
      </c>
      <c r="C158" t="s">
        <v>12679</v>
      </c>
      <c r="E158" s="118"/>
      <c r="F158" s="119" t="s">
        <v>12709</v>
      </c>
      <c r="G158" t="s">
        <v>12715</v>
      </c>
      <c r="I158" s="118"/>
      <c r="J158" s="119" t="s">
        <v>12745</v>
      </c>
      <c r="K158" t="s">
        <v>12751</v>
      </c>
      <c r="M158" s="118"/>
      <c r="N158" s="119" t="s">
        <v>12781</v>
      </c>
      <c r="O158" t="s">
        <v>12787</v>
      </c>
      <c r="Q158" s="118"/>
      <c r="R158" s="119" t="s">
        <v>12817</v>
      </c>
      <c r="S158" t="s">
        <v>12823</v>
      </c>
      <c r="U158" s="118"/>
      <c r="V158" s="119" t="s">
        <v>12853</v>
      </c>
      <c r="W158" t="s">
        <v>12859</v>
      </c>
    </row>
    <row r="159" spans="1:23" x14ac:dyDescent="0.3">
      <c r="A159" s="118"/>
      <c r="B159" s="119" t="s">
        <v>12684</v>
      </c>
      <c r="C159" t="s">
        <v>12690</v>
      </c>
      <c r="E159" s="118"/>
      <c r="F159" s="119" t="s">
        <v>12720</v>
      </c>
      <c r="G159" t="s">
        <v>12726</v>
      </c>
      <c r="I159" s="118"/>
      <c r="J159" s="119" t="s">
        <v>12756</v>
      </c>
      <c r="K159" t="s">
        <v>12762</v>
      </c>
      <c r="M159" s="118"/>
      <c r="N159" s="119" t="s">
        <v>12792</v>
      </c>
      <c r="O159" t="s">
        <v>12798</v>
      </c>
      <c r="Q159" s="118"/>
      <c r="R159" s="119" t="s">
        <v>12828</v>
      </c>
      <c r="S159" t="s">
        <v>12834</v>
      </c>
      <c r="U159" s="118"/>
      <c r="V159" s="119" t="s">
        <v>12864</v>
      </c>
      <c r="W159" t="s">
        <v>12870</v>
      </c>
    </row>
    <row r="160" spans="1:23" x14ac:dyDescent="0.3">
      <c r="A160" s="118"/>
      <c r="B160" s="119" t="s">
        <v>12685</v>
      </c>
      <c r="C160" t="s">
        <v>12691</v>
      </c>
      <c r="E160" s="118"/>
      <c r="F160" s="119" t="s">
        <v>12721</v>
      </c>
      <c r="G160" t="s">
        <v>12727</v>
      </c>
      <c r="I160" s="118"/>
      <c r="J160" s="119" t="s">
        <v>12757</v>
      </c>
      <c r="K160" t="s">
        <v>12763</v>
      </c>
      <c r="M160" s="118"/>
      <c r="N160" s="119" t="s">
        <v>12793</v>
      </c>
      <c r="O160" t="s">
        <v>12799</v>
      </c>
      <c r="Q160" s="118"/>
      <c r="R160" s="119" t="s">
        <v>12829</v>
      </c>
      <c r="S160" t="s">
        <v>12835</v>
      </c>
      <c r="U160" s="118"/>
      <c r="V160" s="119" t="s">
        <v>12865</v>
      </c>
      <c r="W160" t="s">
        <v>12871</v>
      </c>
    </row>
    <row r="161" spans="1:23" x14ac:dyDescent="0.3">
      <c r="A161" s="118"/>
      <c r="B161" s="119" t="s">
        <v>12876</v>
      </c>
      <c r="C161" t="s">
        <v>12882</v>
      </c>
      <c r="E161" s="118"/>
      <c r="F161" s="119" t="s">
        <v>12912</v>
      </c>
      <c r="G161" t="s">
        <v>12918</v>
      </c>
      <c r="I161" s="118"/>
      <c r="J161" s="119" t="s">
        <v>12948</v>
      </c>
      <c r="K161" t="s">
        <v>12954</v>
      </c>
      <c r="M161" s="118"/>
      <c r="N161" s="119" t="s">
        <v>12984</v>
      </c>
      <c r="O161" t="s">
        <v>12990</v>
      </c>
      <c r="Q161" s="118"/>
      <c r="R161" s="119" t="s">
        <v>13020</v>
      </c>
      <c r="S161" t="s">
        <v>13026</v>
      </c>
      <c r="U161" s="118"/>
      <c r="V161" s="119" t="s">
        <v>13056</v>
      </c>
      <c r="W161" t="s">
        <v>13062</v>
      </c>
    </row>
    <row r="162" spans="1:23" x14ac:dyDescent="0.3">
      <c r="A162" s="118"/>
      <c r="B162" s="119" t="s">
        <v>12877</v>
      </c>
      <c r="C162" t="s">
        <v>12883</v>
      </c>
      <c r="E162" s="118"/>
      <c r="F162" s="119" t="s">
        <v>12913</v>
      </c>
      <c r="G162" t="s">
        <v>12919</v>
      </c>
      <c r="I162" s="118"/>
      <c r="J162" s="119" t="s">
        <v>12949</v>
      </c>
      <c r="K162" t="s">
        <v>12955</v>
      </c>
      <c r="M162" s="118"/>
      <c r="N162" s="119" t="s">
        <v>12985</v>
      </c>
      <c r="O162" t="s">
        <v>12991</v>
      </c>
      <c r="Q162" s="118"/>
      <c r="R162" s="119" t="s">
        <v>13021</v>
      </c>
      <c r="S162" t="s">
        <v>13027</v>
      </c>
      <c r="U162" s="118"/>
      <c r="V162" s="119" t="s">
        <v>13057</v>
      </c>
      <c r="W162" t="s">
        <v>13063</v>
      </c>
    </row>
    <row r="163" spans="1:23" x14ac:dyDescent="0.3">
      <c r="A163" s="118"/>
      <c r="B163" s="119" t="s">
        <v>12888</v>
      </c>
      <c r="C163" t="s">
        <v>12894</v>
      </c>
      <c r="E163" s="118"/>
      <c r="F163" s="119" t="s">
        <v>12924</v>
      </c>
      <c r="G163" t="s">
        <v>12930</v>
      </c>
      <c r="I163" s="118"/>
      <c r="J163" s="119" t="s">
        <v>12960</v>
      </c>
      <c r="K163" t="s">
        <v>12966</v>
      </c>
      <c r="M163" s="118"/>
      <c r="N163" s="119" t="s">
        <v>12996</v>
      </c>
      <c r="O163" t="s">
        <v>13002</v>
      </c>
      <c r="Q163" s="118"/>
      <c r="R163" s="119" t="s">
        <v>13032</v>
      </c>
      <c r="S163" t="s">
        <v>13038</v>
      </c>
      <c r="U163" s="118"/>
      <c r="V163" s="119" t="s">
        <v>13068</v>
      </c>
      <c r="W163" t="s">
        <v>13074</v>
      </c>
    </row>
    <row r="164" spans="1:23" x14ac:dyDescent="0.3">
      <c r="A164" s="118"/>
      <c r="B164" s="119" t="s">
        <v>12889</v>
      </c>
      <c r="C164" t="s">
        <v>12895</v>
      </c>
      <c r="E164" s="118"/>
      <c r="F164" s="119" t="s">
        <v>12925</v>
      </c>
      <c r="G164" t="s">
        <v>12931</v>
      </c>
      <c r="I164" s="118"/>
      <c r="J164" s="119" t="s">
        <v>12961</v>
      </c>
      <c r="K164" t="s">
        <v>12967</v>
      </c>
      <c r="M164" s="118"/>
      <c r="N164" s="119" t="s">
        <v>12997</v>
      </c>
      <c r="O164" t="s">
        <v>13003</v>
      </c>
      <c r="Q164" s="118"/>
      <c r="R164" s="119" t="s">
        <v>13033</v>
      </c>
      <c r="S164" t="s">
        <v>13039</v>
      </c>
      <c r="U164" s="118"/>
      <c r="V164" s="119" t="s">
        <v>13069</v>
      </c>
      <c r="W164" t="s">
        <v>13075</v>
      </c>
    </row>
    <row r="165" spans="1:23" x14ac:dyDescent="0.3">
      <c r="A165" s="118"/>
      <c r="B165" s="119" t="s">
        <v>12900</v>
      </c>
      <c r="C165" t="s">
        <v>12906</v>
      </c>
      <c r="E165" s="118"/>
      <c r="F165" s="119" t="s">
        <v>12936</v>
      </c>
      <c r="G165" t="s">
        <v>12942</v>
      </c>
      <c r="I165" s="118"/>
      <c r="J165" s="119" t="s">
        <v>12972</v>
      </c>
      <c r="K165" t="s">
        <v>12978</v>
      </c>
      <c r="M165" s="118"/>
      <c r="N165" s="119" t="s">
        <v>13008</v>
      </c>
      <c r="O165" t="s">
        <v>13014</v>
      </c>
      <c r="Q165" s="118"/>
      <c r="R165" s="119" t="s">
        <v>13044</v>
      </c>
      <c r="S165" t="s">
        <v>13050</v>
      </c>
      <c r="U165" s="118"/>
      <c r="V165" s="119" t="s">
        <v>13080</v>
      </c>
      <c r="W165" t="s">
        <v>13086</v>
      </c>
    </row>
    <row r="166" spans="1:23" x14ac:dyDescent="0.3">
      <c r="A166" s="118"/>
      <c r="B166" s="119" t="s">
        <v>12901</v>
      </c>
      <c r="C166" t="s">
        <v>12907</v>
      </c>
      <c r="E166" s="118"/>
      <c r="F166" s="119" t="s">
        <v>12937</v>
      </c>
      <c r="G166" t="s">
        <v>12943</v>
      </c>
      <c r="I166" s="118"/>
      <c r="J166" s="119" t="s">
        <v>12973</v>
      </c>
      <c r="K166" t="s">
        <v>12979</v>
      </c>
      <c r="M166" s="118"/>
      <c r="N166" s="119" t="s">
        <v>13009</v>
      </c>
      <c r="O166" t="s">
        <v>13015</v>
      </c>
      <c r="Q166" s="118"/>
      <c r="R166" s="119" t="s">
        <v>13045</v>
      </c>
      <c r="S166" t="s">
        <v>13051</v>
      </c>
      <c r="U166" s="118"/>
      <c r="V166" s="119" t="s">
        <v>13081</v>
      </c>
      <c r="W166" t="s">
        <v>13087</v>
      </c>
    </row>
    <row r="167" spans="1:23" x14ac:dyDescent="0.3">
      <c r="A167" s="118"/>
      <c r="B167" s="119" t="s">
        <v>13092</v>
      </c>
      <c r="C167" t="s">
        <v>13098</v>
      </c>
      <c r="E167" s="118"/>
      <c r="F167" s="119" t="s">
        <v>13128</v>
      </c>
      <c r="G167" t="s">
        <v>13134</v>
      </c>
      <c r="I167" s="118"/>
      <c r="J167" s="119" t="s">
        <v>13164</v>
      </c>
      <c r="K167" t="s">
        <v>13170</v>
      </c>
      <c r="M167" s="118"/>
      <c r="N167" s="119" t="s">
        <v>13200</v>
      </c>
      <c r="O167" t="s">
        <v>13206</v>
      </c>
      <c r="Q167" s="118"/>
      <c r="R167" s="119" t="s">
        <v>13236</v>
      </c>
      <c r="S167" t="s">
        <v>13242</v>
      </c>
      <c r="U167" s="118"/>
      <c r="V167" s="119" t="s">
        <v>13272</v>
      </c>
      <c r="W167" t="s">
        <v>13278</v>
      </c>
    </row>
    <row r="168" spans="1:23" x14ac:dyDescent="0.3">
      <c r="A168" s="118"/>
      <c r="B168" s="119" t="s">
        <v>13093</v>
      </c>
      <c r="C168" t="s">
        <v>13099</v>
      </c>
      <c r="E168" s="118"/>
      <c r="F168" s="119" t="s">
        <v>13129</v>
      </c>
      <c r="G168" t="s">
        <v>13135</v>
      </c>
      <c r="I168" s="118"/>
      <c r="J168" s="119" t="s">
        <v>13165</v>
      </c>
      <c r="K168" t="s">
        <v>13171</v>
      </c>
      <c r="M168" s="118"/>
      <c r="N168" s="119" t="s">
        <v>13201</v>
      </c>
      <c r="O168" t="s">
        <v>13207</v>
      </c>
      <c r="Q168" s="118"/>
      <c r="R168" s="119" t="s">
        <v>13237</v>
      </c>
      <c r="S168" t="s">
        <v>13243</v>
      </c>
      <c r="U168" s="118"/>
      <c r="V168" s="119" t="s">
        <v>13273</v>
      </c>
      <c r="W168" t="s">
        <v>13279</v>
      </c>
    </row>
    <row r="169" spans="1:23" x14ac:dyDescent="0.3">
      <c r="A169" s="118"/>
      <c r="B169" s="119" t="s">
        <v>13104</v>
      </c>
      <c r="C169" t="s">
        <v>13110</v>
      </c>
      <c r="E169" s="118"/>
      <c r="F169" s="119" t="s">
        <v>13140</v>
      </c>
      <c r="G169" t="s">
        <v>13146</v>
      </c>
      <c r="I169" s="118"/>
      <c r="J169" s="119" t="s">
        <v>13176</v>
      </c>
      <c r="K169" t="s">
        <v>13182</v>
      </c>
      <c r="M169" s="118"/>
      <c r="N169" s="119" t="s">
        <v>13212</v>
      </c>
      <c r="O169" t="s">
        <v>13218</v>
      </c>
      <c r="Q169" s="118"/>
      <c r="R169" s="119" t="s">
        <v>13248</v>
      </c>
      <c r="S169" t="s">
        <v>13254</v>
      </c>
      <c r="U169" s="118"/>
      <c r="V169" s="119" t="s">
        <v>13284</v>
      </c>
      <c r="W169" t="s">
        <v>13290</v>
      </c>
    </row>
    <row r="170" spans="1:23" x14ac:dyDescent="0.3">
      <c r="A170" s="118"/>
      <c r="B170" s="119" t="s">
        <v>13105</v>
      </c>
      <c r="C170" t="s">
        <v>13111</v>
      </c>
      <c r="E170" s="118"/>
      <c r="F170" s="119" t="s">
        <v>13141</v>
      </c>
      <c r="G170" t="s">
        <v>13147</v>
      </c>
      <c r="I170" s="118"/>
      <c r="J170" s="119" t="s">
        <v>13177</v>
      </c>
      <c r="K170" t="s">
        <v>13183</v>
      </c>
      <c r="M170" s="118"/>
      <c r="N170" s="119" t="s">
        <v>13213</v>
      </c>
      <c r="O170" t="s">
        <v>13219</v>
      </c>
      <c r="Q170" s="118"/>
      <c r="R170" s="119" t="s">
        <v>13249</v>
      </c>
      <c r="S170" t="s">
        <v>13255</v>
      </c>
      <c r="U170" s="118"/>
      <c r="V170" s="119" t="s">
        <v>13285</v>
      </c>
      <c r="W170" t="s">
        <v>13291</v>
      </c>
    </row>
    <row r="171" spans="1:23" x14ac:dyDescent="0.3">
      <c r="A171" s="118"/>
      <c r="B171" s="119" t="s">
        <v>13116</v>
      </c>
      <c r="C171" t="s">
        <v>13122</v>
      </c>
      <c r="E171" s="118"/>
      <c r="F171" s="119" t="s">
        <v>13152</v>
      </c>
      <c r="G171" t="s">
        <v>13158</v>
      </c>
      <c r="I171" s="118"/>
      <c r="J171" s="119" t="s">
        <v>13188</v>
      </c>
      <c r="K171" t="s">
        <v>13194</v>
      </c>
      <c r="M171" s="118"/>
      <c r="N171" s="119" t="s">
        <v>13224</v>
      </c>
      <c r="O171" t="s">
        <v>13230</v>
      </c>
      <c r="Q171" s="118"/>
      <c r="R171" s="119" t="s">
        <v>13260</v>
      </c>
      <c r="S171" t="s">
        <v>13266</v>
      </c>
      <c r="U171" s="118"/>
      <c r="V171" s="119" t="s">
        <v>13296</v>
      </c>
      <c r="W171" t="s">
        <v>13302</v>
      </c>
    </row>
    <row r="172" spans="1:23" x14ac:dyDescent="0.3">
      <c r="A172" s="118"/>
      <c r="B172" s="119" t="s">
        <v>13117</v>
      </c>
      <c r="C172" t="s">
        <v>13123</v>
      </c>
      <c r="E172" s="118"/>
      <c r="F172" s="119" t="s">
        <v>13153</v>
      </c>
      <c r="G172" t="s">
        <v>13159</v>
      </c>
      <c r="I172" s="118"/>
      <c r="J172" s="119" t="s">
        <v>13189</v>
      </c>
      <c r="K172" t="s">
        <v>13195</v>
      </c>
      <c r="M172" s="118"/>
      <c r="N172" s="119" t="s">
        <v>13225</v>
      </c>
      <c r="O172" t="s">
        <v>13231</v>
      </c>
      <c r="Q172" s="118"/>
      <c r="R172" s="119" t="s">
        <v>13261</v>
      </c>
      <c r="S172" t="s">
        <v>13267</v>
      </c>
      <c r="U172" s="118"/>
      <c r="V172" s="119" t="s">
        <v>13297</v>
      </c>
      <c r="W172" t="s">
        <v>13303</v>
      </c>
    </row>
    <row r="173" spans="1:23" x14ac:dyDescent="0.3">
      <c r="A173" s="118"/>
      <c r="B173" s="119" t="s">
        <v>13308</v>
      </c>
      <c r="C173" t="s">
        <v>13314</v>
      </c>
      <c r="E173" s="118"/>
      <c r="F173" s="119" t="s">
        <v>13344</v>
      </c>
      <c r="G173" t="s">
        <v>13350</v>
      </c>
      <c r="I173" s="118"/>
      <c r="J173" s="119" t="s">
        <v>13380</v>
      </c>
      <c r="K173" t="s">
        <v>13386</v>
      </c>
      <c r="M173" s="118"/>
      <c r="N173" s="119" t="s">
        <v>13416</v>
      </c>
      <c r="O173" t="s">
        <v>13422</v>
      </c>
      <c r="Q173" s="118"/>
      <c r="R173" s="119" t="s">
        <v>13452</v>
      </c>
      <c r="S173" t="s">
        <v>13458</v>
      </c>
      <c r="U173" s="118"/>
      <c r="V173" s="119" t="s">
        <v>13488</v>
      </c>
      <c r="W173" t="s">
        <v>13494</v>
      </c>
    </row>
    <row r="174" spans="1:23" x14ac:dyDescent="0.3">
      <c r="A174" s="118"/>
      <c r="B174" s="119" t="s">
        <v>13309</v>
      </c>
      <c r="C174" t="s">
        <v>13315</v>
      </c>
      <c r="E174" s="118"/>
      <c r="F174" s="119" t="s">
        <v>13345</v>
      </c>
      <c r="G174" t="s">
        <v>13351</v>
      </c>
      <c r="I174" s="118"/>
      <c r="J174" s="119" t="s">
        <v>13381</v>
      </c>
      <c r="K174" t="s">
        <v>13387</v>
      </c>
      <c r="M174" s="118"/>
      <c r="N174" s="119" t="s">
        <v>13417</v>
      </c>
      <c r="O174" t="s">
        <v>13423</v>
      </c>
      <c r="Q174" s="118"/>
      <c r="R174" s="119" t="s">
        <v>13453</v>
      </c>
      <c r="S174" t="s">
        <v>13459</v>
      </c>
      <c r="U174" s="118"/>
      <c r="V174" s="119" t="s">
        <v>13489</v>
      </c>
      <c r="W174" t="s">
        <v>13495</v>
      </c>
    </row>
    <row r="175" spans="1:23" x14ac:dyDescent="0.3">
      <c r="A175" s="118"/>
      <c r="B175" s="119" t="s">
        <v>13320</v>
      </c>
      <c r="C175" t="s">
        <v>13326</v>
      </c>
      <c r="E175" s="118"/>
      <c r="F175" s="119" t="s">
        <v>13356</v>
      </c>
      <c r="G175" t="s">
        <v>13362</v>
      </c>
      <c r="I175" s="118"/>
      <c r="J175" s="119" t="s">
        <v>13392</v>
      </c>
      <c r="K175" t="s">
        <v>13398</v>
      </c>
      <c r="M175" s="118"/>
      <c r="N175" s="119" t="s">
        <v>13428</v>
      </c>
      <c r="O175" t="s">
        <v>13434</v>
      </c>
      <c r="Q175" s="118"/>
      <c r="R175" s="119" t="s">
        <v>13464</v>
      </c>
      <c r="S175" t="s">
        <v>13470</v>
      </c>
      <c r="U175" s="118"/>
      <c r="V175" s="119" t="s">
        <v>13500</v>
      </c>
      <c r="W175" t="s">
        <v>13506</v>
      </c>
    </row>
    <row r="176" spans="1:23" x14ac:dyDescent="0.3">
      <c r="A176" s="118"/>
      <c r="B176" s="119" t="s">
        <v>13321</v>
      </c>
      <c r="C176" t="s">
        <v>13327</v>
      </c>
      <c r="E176" s="118"/>
      <c r="F176" s="119" t="s">
        <v>13357</v>
      </c>
      <c r="G176" t="s">
        <v>13363</v>
      </c>
      <c r="I176" s="118"/>
      <c r="J176" s="119" t="s">
        <v>13393</v>
      </c>
      <c r="K176" t="s">
        <v>13399</v>
      </c>
      <c r="M176" s="118"/>
      <c r="N176" s="119" t="s">
        <v>13429</v>
      </c>
      <c r="O176" t="s">
        <v>13435</v>
      </c>
      <c r="Q176" s="118"/>
      <c r="R176" s="119" t="s">
        <v>13465</v>
      </c>
      <c r="S176" t="s">
        <v>13471</v>
      </c>
      <c r="U176" s="118"/>
      <c r="V176" s="119" t="s">
        <v>13501</v>
      </c>
      <c r="W176" t="s">
        <v>13507</v>
      </c>
    </row>
    <row r="177" spans="1:23" x14ac:dyDescent="0.3">
      <c r="A177" s="118"/>
      <c r="B177" s="119" t="s">
        <v>13332</v>
      </c>
      <c r="C177" t="s">
        <v>13338</v>
      </c>
      <c r="E177" s="118"/>
      <c r="F177" s="119" t="s">
        <v>13368</v>
      </c>
      <c r="G177" t="s">
        <v>13374</v>
      </c>
      <c r="I177" s="118"/>
      <c r="J177" s="119" t="s">
        <v>13404</v>
      </c>
      <c r="K177" t="s">
        <v>13410</v>
      </c>
      <c r="M177" s="118"/>
      <c r="N177" s="119" t="s">
        <v>13440</v>
      </c>
      <c r="O177" t="s">
        <v>13446</v>
      </c>
      <c r="Q177" s="118"/>
      <c r="R177" s="119" t="s">
        <v>13476</v>
      </c>
      <c r="S177" t="s">
        <v>13482</v>
      </c>
      <c r="U177" s="118"/>
      <c r="V177" s="119" t="s">
        <v>13512</v>
      </c>
      <c r="W177" t="s">
        <v>13518</v>
      </c>
    </row>
    <row r="178" spans="1:23" x14ac:dyDescent="0.3">
      <c r="A178" s="118"/>
      <c r="B178" s="119" t="s">
        <v>13333</v>
      </c>
      <c r="C178" t="s">
        <v>13339</v>
      </c>
      <c r="E178" s="118"/>
      <c r="F178" s="119" t="s">
        <v>13369</v>
      </c>
      <c r="G178" t="s">
        <v>13375</v>
      </c>
      <c r="I178" s="118"/>
      <c r="J178" s="119" t="s">
        <v>13405</v>
      </c>
      <c r="K178" t="s">
        <v>13411</v>
      </c>
      <c r="M178" s="118"/>
      <c r="N178" s="119" t="s">
        <v>13441</v>
      </c>
      <c r="O178" t="s">
        <v>13447</v>
      </c>
      <c r="Q178" s="118"/>
      <c r="R178" s="119" t="s">
        <v>13477</v>
      </c>
      <c r="S178" t="s">
        <v>13483</v>
      </c>
      <c r="U178" s="118"/>
      <c r="V178" s="119" t="s">
        <v>13513</v>
      </c>
      <c r="W178" t="s">
        <v>13519</v>
      </c>
    </row>
    <row r="179" spans="1:23" x14ac:dyDescent="0.3">
      <c r="A179" s="118"/>
      <c r="B179" s="119" t="s">
        <v>13524</v>
      </c>
      <c r="C179" t="s">
        <v>13530</v>
      </c>
      <c r="E179" s="118"/>
      <c r="F179" s="119" t="s">
        <v>13560</v>
      </c>
      <c r="G179" t="s">
        <v>13566</v>
      </c>
      <c r="I179" s="118"/>
      <c r="J179" s="119" t="s">
        <v>13596</v>
      </c>
      <c r="K179" t="s">
        <v>13602</v>
      </c>
      <c r="M179" s="118"/>
      <c r="N179" s="119" t="s">
        <v>13632</v>
      </c>
      <c r="O179" t="s">
        <v>13638</v>
      </c>
      <c r="Q179" s="118"/>
      <c r="R179" s="119" t="s">
        <v>13668</v>
      </c>
      <c r="S179" t="s">
        <v>13674</v>
      </c>
      <c r="U179" s="118"/>
      <c r="V179" s="119" t="s">
        <v>13704</v>
      </c>
      <c r="W179" t="s">
        <v>13710</v>
      </c>
    </row>
    <row r="180" spans="1:23" x14ac:dyDescent="0.3">
      <c r="A180" s="118"/>
      <c r="B180" s="119" t="s">
        <v>13525</v>
      </c>
      <c r="C180" t="s">
        <v>13531</v>
      </c>
      <c r="E180" s="118"/>
      <c r="F180" s="119" t="s">
        <v>13561</v>
      </c>
      <c r="G180" t="s">
        <v>13567</v>
      </c>
      <c r="I180" s="118"/>
      <c r="J180" s="119" t="s">
        <v>13597</v>
      </c>
      <c r="K180" t="s">
        <v>13603</v>
      </c>
      <c r="M180" s="118"/>
      <c r="N180" s="119" t="s">
        <v>13633</v>
      </c>
      <c r="O180" t="s">
        <v>13639</v>
      </c>
      <c r="Q180" s="118"/>
      <c r="R180" s="119" t="s">
        <v>13669</v>
      </c>
      <c r="S180" t="s">
        <v>13675</v>
      </c>
      <c r="U180" s="118"/>
      <c r="V180" s="119" t="s">
        <v>13705</v>
      </c>
      <c r="W180" t="s">
        <v>13711</v>
      </c>
    </row>
    <row r="181" spans="1:23" x14ac:dyDescent="0.3">
      <c r="A181" s="118"/>
      <c r="B181" s="119" t="s">
        <v>13536</v>
      </c>
      <c r="C181" t="s">
        <v>13542</v>
      </c>
      <c r="E181" s="118"/>
      <c r="F181" s="119" t="s">
        <v>13572</v>
      </c>
      <c r="G181" t="s">
        <v>13578</v>
      </c>
      <c r="I181" s="118"/>
      <c r="J181" s="119" t="s">
        <v>13608</v>
      </c>
      <c r="K181" t="s">
        <v>13614</v>
      </c>
      <c r="M181" s="118"/>
      <c r="N181" s="119" t="s">
        <v>13644</v>
      </c>
      <c r="O181" t="s">
        <v>13650</v>
      </c>
      <c r="Q181" s="118"/>
      <c r="R181" s="119" t="s">
        <v>13680</v>
      </c>
      <c r="S181" t="s">
        <v>13686</v>
      </c>
      <c r="U181" s="118"/>
      <c r="V181" s="119" t="s">
        <v>13716</v>
      </c>
      <c r="W181" t="s">
        <v>13722</v>
      </c>
    </row>
    <row r="182" spans="1:23" x14ac:dyDescent="0.3">
      <c r="A182" s="118"/>
      <c r="B182" s="119" t="s">
        <v>13537</v>
      </c>
      <c r="C182" t="s">
        <v>13543</v>
      </c>
      <c r="E182" s="118"/>
      <c r="F182" s="119" t="s">
        <v>13573</v>
      </c>
      <c r="G182" t="s">
        <v>13579</v>
      </c>
      <c r="I182" s="118"/>
      <c r="J182" s="119" t="s">
        <v>13609</v>
      </c>
      <c r="K182" t="s">
        <v>13615</v>
      </c>
      <c r="M182" s="118"/>
      <c r="N182" s="119" t="s">
        <v>13645</v>
      </c>
      <c r="O182" t="s">
        <v>13651</v>
      </c>
      <c r="Q182" s="118"/>
      <c r="R182" s="119" t="s">
        <v>13681</v>
      </c>
      <c r="S182" t="s">
        <v>13687</v>
      </c>
      <c r="U182" s="118"/>
      <c r="V182" s="119" t="s">
        <v>13717</v>
      </c>
      <c r="W182" t="s">
        <v>13723</v>
      </c>
    </row>
    <row r="183" spans="1:23" x14ac:dyDescent="0.3">
      <c r="A183" s="118"/>
      <c r="B183" s="119" t="s">
        <v>13548</v>
      </c>
      <c r="C183" t="s">
        <v>13554</v>
      </c>
      <c r="E183" s="118"/>
      <c r="F183" s="119" t="s">
        <v>13584</v>
      </c>
      <c r="G183" t="s">
        <v>13590</v>
      </c>
      <c r="I183" s="118"/>
      <c r="J183" s="119" t="s">
        <v>13620</v>
      </c>
      <c r="K183" t="s">
        <v>13626</v>
      </c>
      <c r="M183" s="118"/>
      <c r="N183" s="119" t="s">
        <v>13656</v>
      </c>
      <c r="O183" t="s">
        <v>13662</v>
      </c>
      <c r="Q183" s="118"/>
      <c r="R183" s="119" t="s">
        <v>13692</v>
      </c>
      <c r="S183" t="s">
        <v>13698</v>
      </c>
      <c r="U183" s="118"/>
      <c r="V183" s="119" t="s">
        <v>13728</v>
      </c>
      <c r="W183" t="s">
        <v>13734</v>
      </c>
    </row>
    <row r="184" spans="1:23" x14ac:dyDescent="0.3">
      <c r="A184" s="118"/>
      <c r="B184" s="119" t="s">
        <v>13549</v>
      </c>
      <c r="C184" t="s">
        <v>13555</v>
      </c>
      <c r="E184" s="118"/>
      <c r="F184" s="119" t="s">
        <v>13585</v>
      </c>
      <c r="G184" t="s">
        <v>13591</v>
      </c>
      <c r="I184" s="118"/>
      <c r="J184" s="119" t="s">
        <v>13621</v>
      </c>
      <c r="K184" t="s">
        <v>13627</v>
      </c>
      <c r="M184" s="118"/>
      <c r="N184" s="119" t="s">
        <v>13657</v>
      </c>
      <c r="O184" t="s">
        <v>13663</v>
      </c>
      <c r="Q184" s="118"/>
      <c r="R184" s="119" t="s">
        <v>13693</v>
      </c>
      <c r="S184" t="s">
        <v>13699</v>
      </c>
      <c r="U184" s="118"/>
      <c r="V184" s="119" t="s">
        <v>13729</v>
      </c>
      <c r="W184" t="s">
        <v>13735</v>
      </c>
    </row>
    <row r="185" spans="1:23" x14ac:dyDescent="0.3">
      <c r="A185" s="118"/>
      <c r="B185" s="119" t="s">
        <v>13740</v>
      </c>
      <c r="C185" t="s">
        <v>13746</v>
      </c>
      <c r="E185" s="118"/>
      <c r="F185" s="119" t="s">
        <v>13776</v>
      </c>
      <c r="G185" t="s">
        <v>13782</v>
      </c>
      <c r="I185" s="118"/>
      <c r="J185" s="119" t="s">
        <v>13812</v>
      </c>
      <c r="K185" t="s">
        <v>13818</v>
      </c>
      <c r="M185" s="118"/>
      <c r="N185" s="119" t="s">
        <v>13848</v>
      </c>
      <c r="O185" t="s">
        <v>13854</v>
      </c>
      <c r="Q185" s="118"/>
      <c r="R185" s="119" t="s">
        <v>13884</v>
      </c>
      <c r="S185" t="s">
        <v>13890</v>
      </c>
      <c r="U185" s="118"/>
      <c r="V185" s="119" t="s">
        <v>13920</v>
      </c>
      <c r="W185" t="s">
        <v>13926</v>
      </c>
    </row>
    <row r="186" spans="1:23" x14ac:dyDescent="0.3">
      <c r="A186" s="118"/>
      <c r="B186" s="119" t="s">
        <v>13741</v>
      </c>
      <c r="C186" t="s">
        <v>13747</v>
      </c>
      <c r="E186" s="118"/>
      <c r="F186" s="119" t="s">
        <v>13777</v>
      </c>
      <c r="G186" t="s">
        <v>13783</v>
      </c>
      <c r="I186" s="118"/>
      <c r="J186" s="119" t="s">
        <v>13813</v>
      </c>
      <c r="K186" t="s">
        <v>13819</v>
      </c>
      <c r="M186" s="118"/>
      <c r="N186" s="119" t="s">
        <v>13849</v>
      </c>
      <c r="O186" t="s">
        <v>13855</v>
      </c>
      <c r="Q186" s="118"/>
      <c r="R186" s="119" t="s">
        <v>13885</v>
      </c>
      <c r="S186" t="s">
        <v>13891</v>
      </c>
      <c r="U186" s="118"/>
      <c r="V186" s="119" t="s">
        <v>13921</v>
      </c>
      <c r="W186" t="s">
        <v>13927</v>
      </c>
    </row>
    <row r="187" spans="1:23" x14ac:dyDescent="0.3">
      <c r="A187" s="118"/>
      <c r="B187" s="119" t="s">
        <v>13752</v>
      </c>
      <c r="C187" t="s">
        <v>13758</v>
      </c>
      <c r="E187" s="118"/>
      <c r="F187" s="119" t="s">
        <v>13788</v>
      </c>
      <c r="G187" t="s">
        <v>13794</v>
      </c>
      <c r="I187" s="118"/>
      <c r="J187" s="119" t="s">
        <v>13824</v>
      </c>
      <c r="K187" t="s">
        <v>13830</v>
      </c>
      <c r="M187" s="118"/>
      <c r="N187" s="119" t="s">
        <v>13860</v>
      </c>
      <c r="O187" t="s">
        <v>13866</v>
      </c>
      <c r="Q187" s="118"/>
      <c r="R187" s="119" t="s">
        <v>13896</v>
      </c>
      <c r="S187" t="s">
        <v>13902</v>
      </c>
      <c r="U187" s="118"/>
      <c r="V187" s="119" t="s">
        <v>13932</v>
      </c>
      <c r="W187" t="s">
        <v>13938</v>
      </c>
    </row>
    <row r="188" spans="1:23" x14ac:dyDescent="0.3">
      <c r="A188" s="118"/>
      <c r="B188" s="119" t="s">
        <v>13753</v>
      </c>
      <c r="C188" t="s">
        <v>13759</v>
      </c>
      <c r="E188" s="118"/>
      <c r="F188" s="119" t="s">
        <v>13789</v>
      </c>
      <c r="G188" t="s">
        <v>13795</v>
      </c>
      <c r="I188" s="118"/>
      <c r="J188" s="119" t="s">
        <v>13825</v>
      </c>
      <c r="K188" t="s">
        <v>13831</v>
      </c>
      <c r="M188" s="118"/>
      <c r="N188" s="119" t="s">
        <v>13861</v>
      </c>
      <c r="O188" t="s">
        <v>13867</v>
      </c>
      <c r="Q188" s="118"/>
      <c r="R188" s="119" t="s">
        <v>13897</v>
      </c>
      <c r="S188" t="s">
        <v>13903</v>
      </c>
      <c r="U188" s="118"/>
      <c r="V188" s="119" t="s">
        <v>13933</v>
      </c>
      <c r="W188" t="s">
        <v>13939</v>
      </c>
    </row>
    <row r="189" spans="1:23" x14ac:dyDescent="0.3">
      <c r="A189" s="118"/>
      <c r="B189" s="119" t="s">
        <v>13764</v>
      </c>
      <c r="C189" t="s">
        <v>13770</v>
      </c>
      <c r="E189" s="118"/>
      <c r="F189" s="119" t="s">
        <v>13800</v>
      </c>
      <c r="G189" t="s">
        <v>13806</v>
      </c>
      <c r="I189" s="118"/>
      <c r="J189" s="119" t="s">
        <v>13836</v>
      </c>
      <c r="K189" t="s">
        <v>13842</v>
      </c>
      <c r="M189" s="118"/>
      <c r="N189" s="119" t="s">
        <v>13872</v>
      </c>
      <c r="O189" t="s">
        <v>13878</v>
      </c>
      <c r="Q189" s="118"/>
      <c r="R189" s="119" t="s">
        <v>13908</v>
      </c>
      <c r="S189" t="s">
        <v>13914</v>
      </c>
      <c r="U189" s="118"/>
      <c r="V189" s="119" t="s">
        <v>13944</v>
      </c>
      <c r="W189" t="s">
        <v>13950</v>
      </c>
    </row>
    <row r="190" spans="1:23" x14ac:dyDescent="0.3">
      <c r="A190" s="118"/>
      <c r="B190" s="119" t="s">
        <v>13765</v>
      </c>
      <c r="C190" t="s">
        <v>13771</v>
      </c>
      <c r="E190" s="118"/>
      <c r="F190" s="119" t="s">
        <v>13801</v>
      </c>
      <c r="G190" t="s">
        <v>13807</v>
      </c>
      <c r="I190" s="118"/>
      <c r="J190" s="119" t="s">
        <v>13837</v>
      </c>
      <c r="K190" t="s">
        <v>13843</v>
      </c>
      <c r="M190" s="118"/>
      <c r="N190" s="119" t="s">
        <v>13873</v>
      </c>
      <c r="O190" t="s">
        <v>13879</v>
      </c>
      <c r="Q190" s="118"/>
      <c r="R190" s="119" t="s">
        <v>13909</v>
      </c>
      <c r="S190" t="s">
        <v>13915</v>
      </c>
      <c r="U190" s="118"/>
      <c r="V190" s="119" t="s">
        <v>13945</v>
      </c>
      <c r="W190" t="s">
        <v>13951</v>
      </c>
    </row>
    <row r="191" spans="1:23" x14ac:dyDescent="0.3">
      <c r="A191" s="118"/>
      <c r="B191" s="119" t="s">
        <v>13956</v>
      </c>
      <c r="C191" t="s">
        <v>13962</v>
      </c>
      <c r="E191" s="118"/>
      <c r="F191" s="119" t="s">
        <v>13992</v>
      </c>
      <c r="G191" t="s">
        <v>13998</v>
      </c>
      <c r="I191" s="118"/>
      <c r="J191" s="119" t="s">
        <v>14028</v>
      </c>
      <c r="K191" t="s">
        <v>14034</v>
      </c>
      <c r="M191" s="118"/>
      <c r="N191" s="119" t="s">
        <v>14064</v>
      </c>
      <c r="O191" t="s">
        <v>14070</v>
      </c>
      <c r="Q191" s="118"/>
      <c r="R191" s="119" t="s">
        <v>14100</v>
      </c>
      <c r="S191" t="s">
        <v>14106</v>
      </c>
      <c r="U191" s="118"/>
      <c r="V191" s="119" t="s">
        <v>14136</v>
      </c>
      <c r="W191" t="s">
        <v>14142</v>
      </c>
    </row>
    <row r="192" spans="1:23" x14ac:dyDescent="0.3">
      <c r="A192" s="118"/>
      <c r="B192" s="119" t="s">
        <v>13957</v>
      </c>
      <c r="C192" t="s">
        <v>13963</v>
      </c>
      <c r="E192" s="118"/>
      <c r="F192" s="119" t="s">
        <v>13993</v>
      </c>
      <c r="G192" t="s">
        <v>13999</v>
      </c>
      <c r="I192" s="118"/>
      <c r="J192" s="119" t="s">
        <v>14029</v>
      </c>
      <c r="K192" t="s">
        <v>14035</v>
      </c>
      <c r="M192" s="118"/>
      <c r="N192" s="119" t="s">
        <v>14065</v>
      </c>
      <c r="O192" t="s">
        <v>14071</v>
      </c>
      <c r="Q192" s="118"/>
      <c r="R192" s="119" t="s">
        <v>14101</v>
      </c>
      <c r="S192" t="s">
        <v>14107</v>
      </c>
      <c r="U192" s="118"/>
      <c r="V192" s="119" t="s">
        <v>14137</v>
      </c>
      <c r="W192" t="s">
        <v>14143</v>
      </c>
    </row>
    <row r="193" spans="1:23" x14ac:dyDescent="0.3">
      <c r="A193" s="118"/>
      <c r="B193" s="119" t="s">
        <v>13968</v>
      </c>
      <c r="C193" t="s">
        <v>13974</v>
      </c>
      <c r="E193" s="118"/>
      <c r="F193" s="119" t="s">
        <v>14004</v>
      </c>
      <c r="G193" t="s">
        <v>14010</v>
      </c>
      <c r="I193" s="118"/>
      <c r="J193" s="119" t="s">
        <v>14040</v>
      </c>
      <c r="K193" t="s">
        <v>14046</v>
      </c>
      <c r="M193" s="118"/>
      <c r="N193" s="119" t="s">
        <v>14076</v>
      </c>
      <c r="O193" t="s">
        <v>14082</v>
      </c>
      <c r="Q193" s="118"/>
      <c r="R193" s="119" t="s">
        <v>14112</v>
      </c>
      <c r="S193" t="s">
        <v>14118</v>
      </c>
      <c r="U193" s="118"/>
      <c r="V193" s="119" t="s">
        <v>14148</v>
      </c>
      <c r="W193" t="s">
        <v>14154</v>
      </c>
    </row>
    <row r="194" spans="1:23" x14ac:dyDescent="0.3">
      <c r="A194" s="118"/>
      <c r="B194" s="119" t="s">
        <v>13969</v>
      </c>
      <c r="C194" t="s">
        <v>13975</v>
      </c>
      <c r="E194" s="118"/>
      <c r="F194" s="119" t="s">
        <v>14005</v>
      </c>
      <c r="G194" t="s">
        <v>14011</v>
      </c>
      <c r="I194" s="118"/>
      <c r="J194" s="119" t="s">
        <v>14041</v>
      </c>
      <c r="K194" t="s">
        <v>14047</v>
      </c>
      <c r="M194" s="118"/>
      <c r="N194" s="119" t="s">
        <v>14077</v>
      </c>
      <c r="O194" t="s">
        <v>14083</v>
      </c>
      <c r="Q194" s="118"/>
      <c r="R194" s="119" t="s">
        <v>14113</v>
      </c>
      <c r="S194" t="s">
        <v>14119</v>
      </c>
      <c r="U194" s="118"/>
      <c r="V194" s="119" t="s">
        <v>14149</v>
      </c>
      <c r="W194" t="s">
        <v>14155</v>
      </c>
    </row>
    <row r="195" spans="1:23" x14ac:dyDescent="0.3">
      <c r="A195" s="118"/>
      <c r="B195" s="119" t="s">
        <v>13980</v>
      </c>
      <c r="C195" t="s">
        <v>13986</v>
      </c>
      <c r="E195" s="118"/>
      <c r="F195" s="119" t="s">
        <v>14016</v>
      </c>
      <c r="G195" t="s">
        <v>14022</v>
      </c>
      <c r="I195" s="118"/>
      <c r="J195" s="119" t="s">
        <v>14052</v>
      </c>
      <c r="K195" t="s">
        <v>14058</v>
      </c>
      <c r="M195" s="118"/>
      <c r="N195" s="119" t="s">
        <v>14088</v>
      </c>
      <c r="O195" t="s">
        <v>14094</v>
      </c>
      <c r="Q195" s="118"/>
      <c r="R195" s="119" t="s">
        <v>14124</v>
      </c>
      <c r="S195" t="s">
        <v>14130</v>
      </c>
      <c r="U195" s="118"/>
      <c r="V195" s="119" t="s">
        <v>14160</v>
      </c>
      <c r="W195" t="s">
        <v>14166</v>
      </c>
    </row>
    <row r="196" spans="1:23" x14ac:dyDescent="0.3">
      <c r="A196" s="118"/>
      <c r="B196" s="119" t="s">
        <v>13981</v>
      </c>
      <c r="C196" t="s">
        <v>13987</v>
      </c>
      <c r="E196" s="118"/>
      <c r="F196" s="119" t="s">
        <v>14017</v>
      </c>
      <c r="G196" t="s">
        <v>14023</v>
      </c>
      <c r="I196" s="118"/>
      <c r="J196" s="119" t="s">
        <v>14053</v>
      </c>
      <c r="K196" t="s">
        <v>14059</v>
      </c>
      <c r="M196" s="118"/>
      <c r="N196" s="119" t="s">
        <v>14089</v>
      </c>
      <c r="O196" t="s">
        <v>14095</v>
      </c>
      <c r="Q196" s="118"/>
      <c r="R196" s="119" t="s">
        <v>14125</v>
      </c>
      <c r="S196" t="s">
        <v>14131</v>
      </c>
      <c r="U196" s="118"/>
      <c r="V196" s="119" t="s">
        <v>14161</v>
      </c>
      <c r="W196" t="s">
        <v>14167</v>
      </c>
    </row>
    <row r="197" spans="1:23" x14ac:dyDescent="0.3">
      <c r="A197" s="118"/>
      <c r="B197" s="119" t="s">
        <v>14172</v>
      </c>
      <c r="C197" t="s">
        <v>14178</v>
      </c>
      <c r="E197" s="118"/>
      <c r="F197" s="119" t="s">
        <v>14208</v>
      </c>
      <c r="G197" t="s">
        <v>14214</v>
      </c>
      <c r="I197" s="118"/>
      <c r="J197" s="119" t="s">
        <v>14244</v>
      </c>
      <c r="K197" t="s">
        <v>14250</v>
      </c>
      <c r="M197" s="118"/>
      <c r="N197" s="119" t="s">
        <v>14280</v>
      </c>
      <c r="O197" t="s">
        <v>14286</v>
      </c>
      <c r="Q197" s="118"/>
      <c r="R197" s="119" t="s">
        <v>14316</v>
      </c>
      <c r="S197" t="s">
        <v>14322</v>
      </c>
      <c r="U197" s="118"/>
      <c r="V197" s="119" t="s">
        <v>14352</v>
      </c>
      <c r="W197" t="s">
        <v>14358</v>
      </c>
    </row>
    <row r="198" spans="1:23" x14ac:dyDescent="0.3">
      <c r="A198" s="118"/>
      <c r="B198" s="119" t="s">
        <v>14173</v>
      </c>
      <c r="C198" t="s">
        <v>14179</v>
      </c>
      <c r="E198" s="118"/>
      <c r="F198" s="119" t="s">
        <v>14209</v>
      </c>
      <c r="G198" t="s">
        <v>14215</v>
      </c>
      <c r="I198" s="118"/>
      <c r="J198" s="119" t="s">
        <v>14245</v>
      </c>
      <c r="K198" t="s">
        <v>14251</v>
      </c>
      <c r="M198" s="118"/>
      <c r="N198" s="119" t="s">
        <v>14281</v>
      </c>
      <c r="O198" t="s">
        <v>14287</v>
      </c>
      <c r="Q198" s="118"/>
      <c r="R198" s="119" t="s">
        <v>14317</v>
      </c>
      <c r="S198" t="s">
        <v>14323</v>
      </c>
      <c r="U198" s="118"/>
      <c r="V198" s="119" t="s">
        <v>14353</v>
      </c>
      <c r="W198" t="s">
        <v>14359</v>
      </c>
    </row>
    <row r="199" spans="1:23" x14ac:dyDescent="0.3">
      <c r="A199" s="118"/>
      <c r="B199" s="119" t="s">
        <v>14184</v>
      </c>
      <c r="C199" t="s">
        <v>14190</v>
      </c>
      <c r="E199" s="118"/>
      <c r="F199" s="119" t="s">
        <v>14220</v>
      </c>
      <c r="G199" t="s">
        <v>14226</v>
      </c>
      <c r="I199" s="118"/>
      <c r="J199" s="119" t="s">
        <v>14256</v>
      </c>
      <c r="K199" t="s">
        <v>14262</v>
      </c>
      <c r="M199" s="118"/>
      <c r="N199" s="119" t="s">
        <v>14292</v>
      </c>
      <c r="O199" t="s">
        <v>14298</v>
      </c>
      <c r="Q199" s="118"/>
      <c r="R199" s="119" t="s">
        <v>14328</v>
      </c>
      <c r="S199" t="s">
        <v>14334</v>
      </c>
      <c r="U199" s="118"/>
      <c r="V199" s="119" t="s">
        <v>14364</v>
      </c>
      <c r="W199" t="s">
        <v>14370</v>
      </c>
    </row>
    <row r="200" spans="1:23" x14ac:dyDescent="0.3">
      <c r="A200" s="118"/>
      <c r="B200" s="119" t="s">
        <v>14185</v>
      </c>
      <c r="C200" t="s">
        <v>14191</v>
      </c>
      <c r="E200" s="118"/>
      <c r="F200" s="119" t="s">
        <v>14221</v>
      </c>
      <c r="G200" t="s">
        <v>14227</v>
      </c>
      <c r="I200" s="118"/>
      <c r="J200" s="119" t="s">
        <v>14257</v>
      </c>
      <c r="K200" t="s">
        <v>14263</v>
      </c>
      <c r="M200" s="118"/>
      <c r="N200" s="119" t="s">
        <v>14293</v>
      </c>
      <c r="O200" t="s">
        <v>14299</v>
      </c>
      <c r="Q200" s="118"/>
      <c r="R200" s="119" t="s">
        <v>14329</v>
      </c>
      <c r="S200" t="s">
        <v>14335</v>
      </c>
      <c r="U200" s="118"/>
      <c r="V200" s="119" t="s">
        <v>14365</v>
      </c>
      <c r="W200" t="s">
        <v>14371</v>
      </c>
    </row>
    <row r="201" spans="1:23" x14ac:dyDescent="0.3">
      <c r="A201" s="118"/>
      <c r="B201" s="119" t="s">
        <v>14196</v>
      </c>
      <c r="C201" t="s">
        <v>14202</v>
      </c>
      <c r="E201" s="118"/>
      <c r="F201" s="119" t="s">
        <v>14232</v>
      </c>
      <c r="G201" t="s">
        <v>14238</v>
      </c>
      <c r="I201" s="118"/>
      <c r="J201" s="119" t="s">
        <v>14268</v>
      </c>
      <c r="K201" t="s">
        <v>14274</v>
      </c>
      <c r="M201" s="118"/>
      <c r="N201" s="119" t="s">
        <v>14304</v>
      </c>
      <c r="O201" t="s">
        <v>14310</v>
      </c>
      <c r="Q201" s="118"/>
      <c r="R201" s="119" t="s">
        <v>14340</v>
      </c>
      <c r="S201" t="s">
        <v>14346</v>
      </c>
      <c r="U201" s="118"/>
      <c r="V201" s="119" t="s">
        <v>14376</v>
      </c>
      <c r="W201" t="s">
        <v>14382</v>
      </c>
    </row>
    <row r="202" spans="1:23" x14ac:dyDescent="0.3">
      <c r="A202" s="118"/>
      <c r="B202" s="119" t="s">
        <v>14197</v>
      </c>
      <c r="C202" t="s">
        <v>14203</v>
      </c>
      <c r="E202" s="118"/>
      <c r="F202" s="119" t="s">
        <v>14233</v>
      </c>
      <c r="G202" t="s">
        <v>14239</v>
      </c>
      <c r="I202" s="118"/>
      <c r="J202" s="119" t="s">
        <v>14269</v>
      </c>
      <c r="K202" t="s">
        <v>14275</v>
      </c>
      <c r="M202" s="118"/>
      <c r="N202" s="119" t="s">
        <v>14305</v>
      </c>
      <c r="O202" t="s">
        <v>14311</v>
      </c>
      <c r="Q202" s="118"/>
      <c r="R202" s="119" t="s">
        <v>14341</v>
      </c>
      <c r="S202" t="s">
        <v>14347</v>
      </c>
      <c r="U202" s="118"/>
      <c r="V202" s="119" t="s">
        <v>14377</v>
      </c>
      <c r="W202" t="s">
        <v>14383</v>
      </c>
    </row>
    <row r="203" spans="1:23" x14ac:dyDescent="0.3">
      <c r="A203" s="118"/>
      <c r="B203" s="119" t="s">
        <v>14388</v>
      </c>
      <c r="C203" t="s">
        <v>14394</v>
      </c>
      <c r="E203" s="118"/>
      <c r="F203" s="119" t="s">
        <v>14424</v>
      </c>
      <c r="G203" t="s">
        <v>14430</v>
      </c>
      <c r="I203" s="118"/>
      <c r="J203" s="119" t="s">
        <v>14460</v>
      </c>
      <c r="K203" t="s">
        <v>14466</v>
      </c>
      <c r="M203" s="118"/>
      <c r="N203" s="119" t="s">
        <v>14496</v>
      </c>
      <c r="O203" t="s">
        <v>14502</v>
      </c>
      <c r="Q203" s="118"/>
      <c r="R203" s="119" t="s">
        <v>14532</v>
      </c>
      <c r="S203" t="s">
        <v>14538</v>
      </c>
      <c r="U203" s="118"/>
      <c r="V203" s="119" t="s">
        <v>14568</v>
      </c>
      <c r="W203" t="s">
        <v>14574</v>
      </c>
    </row>
    <row r="204" spans="1:23" x14ac:dyDescent="0.3">
      <c r="A204" s="118"/>
      <c r="B204" s="119" t="s">
        <v>14389</v>
      </c>
      <c r="C204" t="s">
        <v>14395</v>
      </c>
      <c r="E204" s="118"/>
      <c r="F204" s="119" t="s">
        <v>14425</v>
      </c>
      <c r="G204" t="s">
        <v>14431</v>
      </c>
      <c r="I204" s="118"/>
      <c r="J204" s="119" t="s">
        <v>14461</v>
      </c>
      <c r="K204" t="s">
        <v>14467</v>
      </c>
      <c r="M204" s="118"/>
      <c r="N204" s="119" t="s">
        <v>14497</v>
      </c>
      <c r="O204" t="s">
        <v>14503</v>
      </c>
      <c r="Q204" s="118"/>
      <c r="R204" s="119" t="s">
        <v>14533</v>
      </c>
      <c r="S204" t="s">
        <v>14539</v>
      </c>
      <c r="U204" s="118"/>
      <c r="V204" s="119" t="s">
        <v>14569</v>
      </c>
      <c r="W204" t="s">
        <v>14575</v>
      </c>
    </row>
    <row r="205" spans="1:23" x14ac:dyDescent="0.3">
      <c r="A205" s="118"/>
      <c r="B205" s="119" t="s">
        <v>14400</v>
      </c>
      <c r="C205" t="s">
        <v>14406</v>
      </c>
      <c r="E205" s="118"/>
      <c r="F205" s="119" t="s">
        <v>14436</v>
      </c>
      <c r="G205" t="s">
        <v>14442</v>
      </c>
      <c r="I205" s="118"/>
      <c r="J205" s="119" t="s">
        <v>14472</v>
      </c>
      <c r="K205" t="s">
        <v>14478</v>
      </c>
      <c r="M205" s="118"/>
      <c r="N205" s="119" t="s">
        <v>14508</v>
      </c>
      <c r="O205" t="s">
        <v>14514</v>
      </c>
      <c r="Q205" s="118"/>
      <c r="R205" s="119" t="s">
        <v>14544</v>
      </c>
      <c r="S205" t="s">
        <v>14550</v>
      </c>
      <c r="U205" s="118"/>
      <c r="V205" s="119" t="s">
        <v>14580</v>
      </c>
      <c r="W205" t="s">
        <v>14586</v>
      </c>
    </row>
    <row r="206" spans="1:23" x14ac:dyDescent="0.3">
      <c r="A206" s="118"/>
      <c r="B206" s="119" t="s">
        <v>14401</v>
      </c>
      <c r="C206" t="s">
        <v>14407</v>
      </c>
      <c r="E206" s="118"/>
      <c r="F206" s="119" t="s">
        <v>14437</v>
      </c>
      <c r="G206" t="s">
        <v>14443</v>
      </c>
      <c r="I206" s="118"/>
      <c r="J206" s="119" t="s">
        <v>14473</v>
      </c>
      <c r="K206" t="s">
        <v>14479</v>
      </c>
      <c r="M206" s="118"/>
      <c r="N206" s="119" t="s">
        <v>14509</v>
      </c>
      <c r="O206" t="s">
        <v>14515</v>
      </c>
      <c r="Q206" s="118"/>
      <c r="R206" s="119" t="s">
        <v>14545</v>
      </c>
      <c r="S206" t="s">
        <v>14551</v>
      </c>
      <c r="U206" s="118"/>
      <c r="V206" s="119" t="s">
        <v>14581</v>
      </c>
      <c r="W206" t="s">
        <v>14587</v>
      </c>
    </row>
    <row r="207" spans="1:23" x14ac:dyDescent="0.3">
      <c r="A207" s="118"/>
      <c r="B207" s="119" t="s">
        <v>14412</v>
      </c>
      <c r="C207" t="s">
        <v>14418</v>
      </c>
      <c r="E207" s="118"/>
      <c r="F207" s="119" t="s">
        <v>14448</v>
      </c>
      <c r="G207" t="s">
        <v>14454</v>
      </c>
      <c r="I207" s="118"/>
      <c r="J207" s="119" t="s">
        <v>14484</v>
      </c>
      <c r="K207" t="s">
        <v>14490</v>
      </c>
      <c r="M207" s="118"/>
      <c r="N207" s="119" t="s">
        <v>14520</v>
      </c>
      <c r="O207" t="s">
        <v>14526</v>
      </c>
      <c r="Q207" s="118"/>
      <c r="R207" s="119" t="s">
        <v>14556</v>
      </c>
      <c r="S207" t="s">
        <v>14562</v>
      </c>
      <c r="U207" s="118"/>
      <c r="V207" s="119" t="s">
        <v>14592</v>
      </c>
      <c r="W207" t="s">
        <v>14598</v>
      </c>
    </row>
    <row r="208" spans="1:23" x14ac:dyDescent="0.3">
      <c r="A208" s="118"/>
      <c r="B208" s="119" t="s">
        <v>14413</v>
      </c>
      <c r="C208" t="s">
        <v>14419</v>
      </c>
      <c r="E208" s="118"/>
      <c r="F208" s="119" t="s">
        <v>14449</v>
      </c>
      <c r="G208" t="s">
        <v>14455</v>
      </c>
      <c r="I208" s="118"/>
      <c r="J208" s="119" t="s">
        <v>14485</v>
      </c>
      <c r="K208" t="s">
        <v>14491</v>
      </c>
      <c r="M208" s="118"/>
      <c r="N208" s="119" t="s">
        <v>14521</v>
      </c>
      <c r="O208" t="s">
        <v>14527</v>
      </c>
      <c r="Q208" s="118"/>
      <c r="R208" s="119" t="s">
        <v>14557</v>
      </c>
      <c r="S208" t="s">
        <v>14563</v>
      </c>
      <c r="U208" s="118"/>
      <c r="V208" s="119" t="s">
        <v>14593</v>
      </c>
      <c r="W208" t="s">
        <v>14599</v>
      </c>
    </row>
    <row r="209" spans="1:23" x14ac:dyDescent="0.3">
      <c r="A209" s="118"/>
      <c r="B209" s="119" t="s">
        <v>14604</v>
      </c>
      <c r="C209" t="s">
        <v>14610</v>
      </c>
      <c r="E209" s="118"/>
      <c r="F209" s="119" t="s">
        <v>14640</v>
      </c>
      <c r="G209" t="s">
        <v>14646</v>
      </c>
      <c r="I209" s="118"/>
      <c r="J209" s="119" t="s">
        <v>14676</v>
      </c>
      <c r="K209" t="s">
        <v>14682</v>
      </c>
      <c r="M209" s="118"/>
      <c r="N209" s="119" t="s">
        <v>14712</v>
      </c>
      <c r="O209" t="s">
        <v>14718</v>
      </c>
      <c r="Q209" s="118"/>
      <c r="R209" s="119" t="s">
        <v>14748</v>
      </c>
      <c r="S209" t="s">
        <v>14754</v>
      </c>
      <c r="U209" s="118"/>
      <c r="V209" s="119" t="s">
        <v>14784</v>
      </c>
      <c r="W209" t="s">
        <v>14790</v>
      </c>
    </row>
    <row r="210" spans="1:23" x14ac:dyDescent="0.3">
      <c r="A210" s="118"/>
      <c r="B210" s="119" t="s">
        <v>14605</v>
      </c>
      <c r="C210" t="s">
        <v>14611</v>
      </c>
      <c r="E210" s="118"/>
      <c r="F210" s="119" t="s">
        <v>14641</v>
      </c>
      <c r="G210" t="s">
        <v>14647</v>
      </c>
      <c r="I210" s="118"/>
      <c r="J210" s="119" t="s">
        <v>14677</v>
      </c>
      <c r="K210" t="s">
        <v>14683</v>
      </c>
      <c r="M210" s="118"/>
      <c r="N210" s="119" t="s">
        <v>14713</v>
      </c>
      <c r="O210" t="s">
        <v>14719</v>
      </c>
      <c r="Q210" s="118"/>
      <c r="R210" s="119" t="s">
        <v>14749</v>
      </c>
      <c r="S210" t="s">
        <v>14755</v>
      </c>
      <c r="U210" s="118"/>
      <c r="V210" s="119" t="s">
        <v>14785</v>
      </c>
      <c r="W210" t="s">
        <v>14791</v>
      </c>
    </row>
    <row r="211" spans="1:23" x14ac:dyDescent="0.3">
      <c r="A211" s="118"/>
      <c r="B211" s="119" t="s">
        <v>14616</v>
      </c>
      <c r="C211" t="s">
        <v>14622</v>
      </c>
      <c r="E211" s="118"/>
      <c r="F211" s="119" t="s">
        <v>14652</v>
      </c>
      <c r="G211" t="s">
        <v>14658</v>
      </c>
      <c r="I211" s="118"/>
      <c r="J211" s="119" t="s">
        <v>14688</v>
      </c>
      <c r="K211" t="s">
        <v>14694</v>
      </c>
      <c r="M211" s="118"/>
      <c r="N211" s="119" t="s">
        <v>14724</v>
      </c>
      <c r="O211" t="s">
        <v>14730</v>
      </c>
      <c r="Q211" s="118"/>
      <c r="R211" s="119" t="s">
        <v>14760</v>
      </c>
      <c r="S211" t="s">
        <v>14766</v>
      </c>
      <c r="U211" s="118"/>
      <c r="V211" s="119" t="s">
        <v>14796</v>
      </c>
      <c r="W211" t="s">
        <v>14802</v>
      </c>
    </row>
    <row r="212" spans="1:23" x14ac:dyDescent="0.3">
      <c r="A212" s="118"/>
      <c r="B212" s="119" t="s">
        <v>14617</v>
      </c>
      <c r="C212" t="s">
        <v>14623</v>
      </c>
      <c r="E212" s="118"/>
      <c r="F212" s="119" t="s">
        <v>14653</v>
      </c>
      <c r="G212" t="s">
        <v>14659</v>
      </c>
      <c r="I212" s="118"/>
      <c r="J212" s="119" t="s">
        <v>14689</v>
      </c>
      <c r="K212" t="s">
        <v>14695</v>
      </c>
      <c r="M212" s="118"/>
      <c r="N212" s="119" t="s">
        <v>14725</v>
      </c>
      <c r="O212" t="s">
        <v>14731</v>
      </c>
      <c r="Q212" s="118"/>
      <c r="R212" s="119" t="s">
        <v>14761</v>
      </c>
      <c r="S212" t="s">
        <v>14767</v>
      </c>
      <c r="U212" s="118"/>
      <c r="V212" s="119" t="s">
        <v>14797</v>
      </c>
      <c r="W212" t="s">
        <v>14803</v>
      </c>
    </row>
    <row r="213" spans="1:23" x14ac:dyDescent="0.3">
      <c r="A213" s="118"/>
      <c r="B213" s="119" t="s">
        <v>14628</v>
      </c>
      <c r="C213" t="s">
        <v>14634</v>
      </c>
      <c r="E213" s="118"/>
      <c r="F213" s="119" t="s">
        <v>14664</v>
      </c>
      <c r="G213" t="s">
        <v>14670</v>
      </c>
      <c r="I213" s="118"/>
      <c r="J213" s="119" t="s">
        <v>14700</v>
      </c>
      <c r="K213" t="s">
        <v>14706</v>
      </c>
      <c r="M213" s="118"/>
      <c r="N213" s="119" t="s">
        <v>14736</v>
      </c>
      <c r="O213" t="s">
        <v>14742</v>
      </c>
      <c r="Q213" s="118"/>
      <c r="R213" s="119" t="s">
        <v>14772</v>
      </c>
      <c r="S213" t="s">
        <v>14778</v>
      </c>
      <c r="U213" s="118"/>
      <c r="V213" s="119" t="s">
        <v>14808</v>
      </c>
      <c r="W213" t="s">
        <v>14814</v>
      </c>
    </row>
    <row r="214" spans="1:23" x14ac:dyDescent="0.3">
      <c r="A214" s="118"/>
      <c r="B214" s="119" t="s">
        <v>14629</v>
      </c>
      <c r="C214" t="s">
        <v>14635</v>
      </c>
      <c r="E214" s="118"/>
      <c r="F214" s="119" t="s">
        <v>14665</v>
      </c>
      <c r="G214" t="s">
        <v>14671</v>
      </c>
      <c r="I214" s="118"/>
      <c r="J214" s="119" t="s">
        <v>14701</v>
      </c>
      <c r="K214" t="s">
        <v>14707</v>
      </c>
      <c r="M214" s="118"/>
      <c r="N214" s="119" t="s">
        <v>14737</v>
      </c>
      <c r="O214" t="s">
        <v>14743</v>
      </c>
      <c r="Q214" s="118"/>
      <c r="R214" s="119" t="s">
        <v>14773</v>
      </c>
      <c r="S214" t="s">
        <v>14779</v>
      </c>
      <c r="U214" s="118"/>
      <c r="V214" s="119" t="s">
        <v>14809</v>
      </c>
      <c r="W214" t="s">
        <v>14815</v>
      </c>
    </row>
    <row r="215" spans="1:23" x14ac:dyDescent="0.3">
      <c r="A215" s="118"/>
      <c r="B215" s="119" t="s">
        <v>14820</v>
      </c>
      <c r="C215" t="s">
        <v>14826</v>
      </c>
      <c r="E215" s="118"/>
      <c r="F215" s="119" t="s">
        <v>14856</v>
      </c>
      <c r="G215" t="s">
        <v>14862</v>
      </c>
      <c r="I215" s="118"/>
      <c r="J215" s="119" t="s">
        <v>14892</v>
      </c>
      <c r="K215" t="s">
        <v>14898</v>
      </c>
      <c r="M215" s="118"/>
      <c r="N215" s="119" t="s">
        <v>14928</v>
      </c>
      <c r="O215" t="s">
        <v>14934</v>
      </c>
      <c r="Q215" s="118"/>
      <c r="R215" s="119" t="s">
        <v>14964</v>
      </c>
      <c r="S215" t="s">
        <v>14970</v>
      </c>
      <c r="U215" s="118"/>
      <c r="V215" s="119" t="s">
        <v>15000</v>
      </c>
      <c r="W215" t="s">
        <v>15006</v>
      </c>
    </row>
    <row r="216" spans="1:23" x14ac:dyDescent="0.3">
      <c r="A216" s="118"/>
      <c r="B216" s="119" t="s">
        <v>14821</v>
      </c>
      <c r="C216" t="s">
        <v>14827</v>
      </c>
      <c r="E216" s="118"/>
      <c r="F216" s="119" t="s">
        <v>14857</v>
      </c>
      <c r="G216" t="s">
        <v>14863</v>
      </c>
      <c r="I216" s="118"/>
      <c r="J216" s="119" t="s">
        <v>14893</v>
      </c>
      <c r="K216" t="s">
        <v>14899</v>
      </c>
      <c r="M216" s="118"/>
      <c r="N216" s="119" t="s">
        <v>14929</v>
      </c>
      <c r="O216" t="s">
        <v>14935</v>
      </c>
      <c r="Q216" s="118"/>
      <c r="R216" s="119" t="s">
        <v>14965</v>
      </c>
      <c r="S216" t="s">
        <v>14971</v>
      </c>
      <c r="U216" s="118"/>
      <c r="V216" s="119" t="s">
        <v>15001</v>
      </c>
      <c r="W216" t="s">
        <v>15007</v>
      </c>
    </row>
    <row r="217" spans="1:23" x14ac:dyDescent="0.3">
      <c r="A217" s="118"/>
      <c r="B217" s="119" t="s">
        <v>14832</v>
      </c>
      <c r="C217" t="s">
        <v>14838</v>
      </c>
      <c r="E217" s="118"/>
      <c r="F217" s="119" t="s">
        <v>14868</v>
      </c>
      <c r="G217" t="s">
        <v>14874</v>
      </c>
      <c r="I217" s="118"/>
      <c r="J217" s="119" t="s">
        <v>14904</v>
      </c>
      <c r="K217" t="s">
        <v>14910</v>
      </c>
      <c r="M217" s="118"/>
      <c r="N217" s="119" t="s">
        <v>14940</v>
      </c>
      <c r="O217" t="s">
        <v>14946</v>
      </c>
      <c r="Q217" s="118"/>
      <c r="R217" s="119" t="s">
        <v>14976</v>
      </c>
      <c r="S217" t="s">
        <v>14982</v>
      </c>
      <c r="U217" s="118"/>
      <c r="V217" s="119" t="s">
        <v>15012</v>
      </c>
      <c r="W217" t="s">
        <v>15018</v>
      </c>
    </row>
    <row r="218" spans="1:23" x14ac:dyDescent="0.3">
      <c r="A218" s="118"/>
      <c r="B218" s="119" t="s">
        <v>14833</v>
      </c>
      <c r="C218" t="s">
        <v>14839</v>
      </c>
      <c r="E218" s="118"/>
      <c r="F218" s="119" t="s">
        <v>14869</v>
      </c>
      <c r="G218" t="s">
        <v>14875</v>
      </c>
      <c r="I218" s="118"/>
      <c r="J218" s="119" t="s">
        <v>14905</v>
      </c>
      <c r="K218" t="s">
        <v>14911</v>
      </c>
      <c r="M218" s="118"/>
      <c r="N218" s="119" t="s">
        <v>14941</v>
      </c>
      <c r="O218" t="s">
        <v>14947</v>
      </c>
      <c r="Q218" s="118"/>
      <c r="R218" s="119" t="s">
        <v>14977</v>
      </c>
      <c r="S218" t="s">
        <v>14983</v>
      </c>
      <c r="U218" s="118"/>
      <c r="V218" s="119" t="s">
        <v>15013</v>
      </c>
      <c r="W218" t="s">
        <v>15019</v>
      </c>
    </row>
    <row r="219" spans="1:23" x14ac:dyDescent="0.3">
      <c r="A219" s="118"/>
      <c r="B219" s="119" t="s">
        <v>14844</v>
      </c>
      <c r="C219" t="s">
        <v>14850</v>
      </c>
      <c r="E219" s="118"/>
      <c r="F219" s="119" t="s">
        <v>14880</v>
      </c>
      <c r="G219" t="s">
        <v>14886</v>
      </c>
      <c r="I219" s="118"/>
      <c r="J219" s="119" t="s">
        <v>14916</v>
      </c>
      <c r="K219" t="s">
        <v>14922</v>
      </c>
      <c r="M219" s="118"/>
      <c r="N219" s="119" t="s">
        <v>14952</v>
      </c>
      <c r="O219" t="s">
        <v>14958</v>
      </c>
      <c r="Q219" s="118"/>
      <c r="R219" s="119" t="s">
        <v>14988</v>
      </c>
      <c r="S219" t="s">
        <v>14994</v>
      </c>
      <c r="U219" s="118"/>
      <c r="V219" s="119" t="s">
        <v>15024</v>
      </c>
      <c r="W219" t="s">
        <v>15030</v>
      </c>
    </row>
    <row r="220" spans="1:23" x14ac:dyDescent="0.3">
      <c r="A220" s="118"/>
      <c r="B220" s="119" t="s">
        <v>14845</v>
      </c>
      <c r="C220" t="s">
        <v>14851</v>
      </c>
      <c r="E220" s="118"/>
      <c r="F220" s="119" t="s">
        <v>14881</v>
      </c>
      <c r="G220" t="s">
        <v>14887</v>
      </c>
      <c r="I220" s="118"/>
      <c r="J220" s="119" t="s">
        <v>14917</v>
      </c>
      <c r="K220" t="s">
        <v>14923</v>
      </c>
      <c r="M220" s="118"/>
      <c r="N220" s="119" t="s">
        <v>14953</v>
      </c>
      <c r="O220" t="s">
        <v>14959</v>
      </c>
      <c r="Q220" s="118"/>
      <c r="R220" s="119" t="s">
        <v>14989</v>
      </c>
      <c r="S220" t="s">
        <v>14995</v>
      </c>
      <c r="U220" s="118"/>
      <c r="V220" s="119" t="s">
        <v>15025</v>
      </c>
      <c r="W220" t="s">
        <v>15031</v>
      </c>
    </row>
    <row r="221" spans="1:23" x14ac:dyDescent="0.3">
      <c r="A221" s="118"/>
      <c r="B221" s="119" t="s">
        <v>15036</v>
      </c>
      <c r="C221" t="s">
        <v>15042</v>
      </c>
      <c r="E221" s="118"/>
      <c r="F221" s="119" t="s">
        <v>15072</v>
      </c>
      <c r="G221" t="s">
        <v>15078</v>
      </c>
      <c r="I221" s="118"/>
      <c r="J221" s="119" t="s">
        <v>15108</v>
      </c>
      <c r="K221" t="s">
        <v>15114</v>
      </c>
      <c r="M221" s="118"/>
      <c r="N221" s="119" t="s">
        <v>15144</v>
      </c>
      <c r="O221" t="s">
        <v>15150</v>
      </c>
      <c r="Q221" s="118"/>
      <c r="R221" s="119" t="s">
        <v>15180</v>
      </c>
      <c r="S221" t="s">
        <v>15186</v>
      </c>
      <c r="U221" s="118"/>
      <c r="V221" s="119" t="s">
        <v>15216</v>
      </c>
      <c r="W221" t="s">
        <v>15222</v>
      </c>
    </row>
    <row r="222" spans="1:23" x14ac:dyDescent="0.3">
      <c r="A222" s="118"/>
      <c r="B222" s="119" t="s">
        <v>15037</v>
      </c>
      <c r="C222" t="s">
        <v>15043</v>
      </c>
      <c r="E222" s="118"/>
      <c r="F222" s="119" t="s">
        <v>15073</v>
      </c>
      <c r="G222" t="s">
        <v>15079</v>
      </c>
      <c r="I222" s="118"/>
      <c r="J222" s="119" t="s">
        <v>15109</v>
      </c>
      <c r="K222" t="s">
        <v>15115</v>
      </c>
      <c r="M222" s="118"/>
      <c r="N222" s="119" t="s">
        <v>15145</v>
      </c>
      <c r="O222" t="s">
        <v>15151</v>
      </c>
      <c r="Q222" s="118"/>
      <c r="R222" s="119" t="s">
        <v>15181</v>
      </c>
      <c r="S222" t="s">
        <v>15187</v>
      </c>
      <c r="U222" s="118"/>
      <c r="V222" s="119" t="s">
        <v>15217</v>
      </c>
      <c r="W222" t="s">
        <v>15223</v>
      </c>
    </row>
    <row r="223" spans="1:23" x14ac:dyDescent="0.3">
      <c r="A223" s="118"/>
      <c r="B223" s="119" t="s">
        <v>15048</v>
      </c>
      <c r="C223" t="s">
        <v>15054</v>
      </c>
      <c r="E223" s="118"/>
      <c r="F223" s="119" t="s">
        <v>15084</v>
      </c>
      <c r="G223" t="s">
        <v>15090</v>
      </c>
      <c r="I223" s="118"/>
      <c r="J223" s="119" t="s">
        <v>15120</v>
      </c>
      <c r="K223" t="s">
        <v>15126</v>
      </c>
      <c r="M223" s="118"/>
      <c r="N223" s="119" t="s">
        <v>15156</v>
      </c>
      <c r="O223" t="s">
        <v>15162</v>
      </c>
      <c r="Q223" s="118"/>
      <c r="R223" s="119" t="s">
        <v>15192</v>
      </c>
      <c r="S223" t="s">
        <v>15198</v>
      </c>
      <c r="U223" s="118"/>
      <c r="V223" s="119" t="s">
        <v>15228</v>
      </c>
      <c r="W223" t="s">
        <v>15234</v>
      </c>
    </row>
    <row r="224" spans="1:23" x14ac:dyDescent="0.3">
      <c r="A224" s="118"/>
      <c r="B224" s="119" t="s">
        <v>15049</v>
      </c>
      <c r="C224" t="s">
        <v>15055</v>
      </c>
      <c r="E224" s="118"/>
      <c r="F224" s="119" t="s">
        <v>15085</v>
      </c>
      <c r="G224" t="s">
        <v>15091</v>
      </c>
      <c r="I224" s="118"/>
      <c r="J224" s="119" t="s">
        <v>15121</v>
      </c>
      <c r="K224" t="s">
        <v>15127</v>
      </c>
      <c r="M224" s="118"/>
      <c r="N224" s="119" t="s">
        <v>15157</v>
      </c>
      <c r="O224" t="s">
        <v>15163</v>
      </c>
      <c r="Q224" s="118"/>
      <c r="R224" s="119" t="s">
        <v>15193</v>
      </c>
      <c r="S224" t="s">
        <v>15199</v>
      </c>
      <c r="U224" s="118"/>
      <c r="V224" s="119" t="s">
        <v>15229</v>
      </c>
      <c r="W224" t="s">
        <v>15235</v>
      </c>
    </row>
    <row r="225" spans="1:23" x14ac:dyDescent="0.3">
      <c r="A225" s="118"/>
      <c r="B225" s="119" t="s">
        <v>15060</v>
      </c>
      <c r="C225" t="s">
        <v>15066</v>
      </c>
      <c r="E225" s="118"/>
      <c r="F225" s="119" t="s">
        <v>15096</v>
      </c>
      <c r="G225" t="s">
        <v>15102</v>
      </c>
      <c r="I225" s="118"/>
      <c r="J225" s="119" t="s">
        <v>15132</v>
      </c>
      <c r="K225" t="s">
        <v>15138</v>
      </c>
      <c r="M225" s="118"/>
      <c r="N225" s="119" t="s">
        <v>15168</v>
      </c>
      <c r="O225" t="s">
        <v>15174</v>
      </c>
      <c r="Q225" s="118"/>
      <c r="R225" s="119" t="s">
        <v>15204</v>
      </c>
      <c r="S225" t="s">
        <v>15210</v>
      </c>
      <c r="U225" s="118"/>
      <c r="V225" s="119" t="s">
        <v>15240</v>
      </c>
      <c r="W225" t="s">
        <v>15246</v>
      </c>
    </row>
    <row r="226" spans="1:23" x14ac:dyDescent="0.3">
      <c r="A226" s="118"/>
      <c r="B226" s="119" t="s">
        <v>15061</v>
      </c>
      <c r="C226" t="s">
        <v>15067</v>
      </c>
      <c r="E226" s="118"/>
      <c r="F226" s="119" t="s">
        <v>15097</v>
      </c>
      <c r="G226" t="s">
        <v>15103</v>
      </c>
      <c r="I226" s="118"/>
      <c r="J226" s="119" t="s">
        <v>15133</v>
      </c>
      <c r="K226" t="s">
        <v>15139</v>
      </c>
      <c r="M226" s="118"/>
      <c r="N226" s="119" t="s">
        <v>15169</v>
      </c>
      <c r="O226" t="s">
        <v>15175</v>
      </c>
      <c r="Q226" s="118"/>
      <c r="R226" s="119" t="s">
        <v>15205</v>
      </c>
      <c r="S226" t="s">
        <v>15211</v>
      </c>
      <c r="U226" s="118"/>
      <c r="V226" s="119" t="s">
        <v>15241</v>
      </c>
      <c r="W226" t="s">
        <v>15247</v>
      </c>
    </row>
    <row r="227" spans="1:23" x14ac:dyDescent="0.3">
      <c r="A227" s="118"/>
      <c r="B227" s="119" t="s">
        <v>15252</v>
      </c>
      <c r="C227" t="s">
        <v>15258</v>
      </c>
      <c r="E227" s="118"/>
      <c r="F227" s="119" t="s">
        <v>15288</v>
      </c>
      <c r="G227" t="s">
        <v>15294</v>
      </c>
      <c r="I227" s="118"/>
      <c r="J227" s="119" t="s">
        <v>15324</v>
      </c>
      <c r="K227" t="s">
        <v>15330</v>
      </c>
      <c r="M227" s="118"/>
      <c r="N227" s="119" t="s">
        <v>15360</v>
      </c>
      <c r="O227" t="s">
        <v>15366</v>
      </c>
      <c r="Q227" s="118"/>
      <c r="R227" s="119" t="s">
        <v>15396</v>
      </c>
      <c r="S227" t="s">
        <v>15402</v>
      </c>
      <c r="U227" s="118"/>
      <c r="V227" s="119" t="s">
        <v>15432</v>
      </c>
      <c r="W227" t="s">
        <v>15438</v>
      </c>
    </row>
    <row r="228" spans="1:23" x14ac:dyDescent="0.3">
      <c r="A228" s="118"/>
      <c r="B228" s="119" t="s">
        <v>15253</v>
      </c>
      <c r="C228" t="s">
        <v>15259</v>
      </c>
      <c r="E228" s="118"/>
      <c r="F228" s="119" t="s">
        <v>15289</v>
      </c>
      <c r="G228" t="s">
        <v>15295</v>
      </c>
      <c r="I228" s="118"/>
      <c r="J228" s="119" t="s">
        <v>15325</v>
      </c>
      <c r="K228" t="s">
        <v>15331</v>
      </c>
      <c r="M228" s="118"/>
      <c r="N228" s="119" t="s">
        <v>15361</v>
      </c>
      <c r="O228" t="s">
        <v>15367</v>
      </c>
      <c r="Q228" s="118"/>
      <c r="R228" s="119" t="s">
        <v>15397</v>
      </c>
      <c r="S228" t="s">
        <v>15403</v>
      </c>
      <c r="U228" s="118"/>
      <c r="V228" s="119" t="s">
        <v>15433</v>
      </c>
      <c r="W228" t="s">
        <v>15439</v>
      </c>
    </row>
    <row r="229" spans="1:23" x14ac:dyDescent="0.3">
      <c r="A229" s="118"/>
      <c r="B229" s="119" t="s">
        <v>15264</v>
      </c>
      <c r="C229" t="s">
        <v>15270</v>
      </c>
      <c r="E229" s="118"/>
      <c r="F229" s="119" t="s">
        <v>15300</v>
      </c>
      <c r="G229" t="s">
        <v>15306</v>
      </c>
      <c r="I229" s="118"/>
      <c r="J229" s="119" t="s">
        <v>15336</v>
      </c>
      <c r="K229" t="s">
        <v>15342</v>
      </c>
      <c r="M229" s="118"/>
      <c r="N229" s="119" t="s">
        <v>15372</v>
      </c>
      <c r="O229" t="s">
        <v>15378</v>
      </c>
      <c r="Q229" s="118"/>
      <c r="R229" s="119" t="s">
        <v>15408</v>
      </c>
      <c r="S229" t="s">
        <v>15414</v>
      </c>
      <c r="U229" s="118"/>
      <c r="V229" s="119" t="s">
        <v>15444</v>
      </c>
      <c r="W229" t="s">
        <v>15450</v>
      </c>
    </row>
    <row r="230" spans="1:23" x14ac:dyDescent="0.3">
      <c r="A230" s="118"/>
      <c r="B230" s="119" t="s">
        <v>15265</v>
      </c>
      <c r="C230" t="s">
        <v>15271</v>
      </c>
      <c r="E230" s="118"/>
      <c r="F230" s="119" t="s">
        <v>15301</v>
      </c>
      <c r="G230" t="s">
        <v>15307</v>
      </c>
      <c r="I230" s="118"/>
      <c r="J230" s="119" t="s">
        <v>15337</v>
      </c>
      <c r="K230" t="s">
        <v>15343</v>
      </c>
      <c r="M230" s="118"/>
      <c r="N230" s="119" t="s">
        <v>15373</v>
      </c>
      <c r="O230" t="s">
        <v>15379</v>
      </c>
      <c r="Q230" s="118"/>
      <c r="R230" s="119" t="s">
        <v>15409</v>
      </c>
      <c r="S230" t="s">
        <v>15415</v>
      </c>
      <c r="U230" s="118"/>
      <c r="V230" s="119" t="s">
        <v>15445</v>
      </c>
      <c r="W230" t="s">
        <v>15451</v>
      </c>
    </row>
    <row r="231" spans="1:23" x14ac:dyDescent="0.3">
      <c r="A231" s="118"/>
      <c r="B231" s="119" t="s">
        <v>15276</v>
      </c>
      <c r="C231" t="s">
        <v>15282</v>
      </c>
      <c r="E231" s="118"/>
      <c r="F231" s="119" t="s">
        <v>15312</v>
      </c>
      <c r="G231" t="s">
        <v>15318</v>
      </c>
      <c r="I231" s="118"/>
      <c r="J231" s="119" t="s">
        <v>15348</v>
      </c>
      <c r="K231" t="s">
        <v>15354</v>
      </c>
      <c r="M231" s="118"/>
      <c r="N231" s="119" t="s">
        <v>15384</v>
      </c>
      <c r="O231" t="s">
        <v>15390</v>
      </c>
      <c r="Q231" s="118"/>
      <c r="R231" s="119" t="s">
        <v>15420</v>
      </c>
      <c r="S231" t="s">
        <v>15426</v>
      </c>
      <c r="U231" s="118"/>
      <c r="V231" s="119" t="s">
        <v>15456</v>
      </c>
      <c r="W231" t="s">
        <v>15462</v>
      </c>
    </row>
    <row r="232" spans="1:23" x14ac:dyDescent="0.3">
      <c r="A232" s="118"/>
      <c r="B232" s="119" t="s">
        <v>15277</v>
      </c>
      <c r="C232" t="s">
        <v>15283</v>
      </c>
      <c r="E232" s="118"/>
      <c r="F232" s="119" t="s">
        <v>15313</v>
      </c>
      <c r="G232" t="s">
        <v>15319</v>
      </c>
      <c r="I232" s="118"/>
      <c r="J232" s="119" t="s">
        <v>15349</v>
      </c>
      <c r="K232" t="s">
        <v>15355</v>
      </c>
      <c r="M232" s="118"/>
      <c r="N232" s="119" t="s">
        <v>15385</v>
      </c>
      <c r="O232" t="s">
        <v>15391</v>
      </c>
      <c r="Q232" s="118"/>
      <c r="R232" s="119" t="s">
        <v>15421</v>
      </c>
      <c r="S232" t="s">
        <v>15427</v>
      </c>
      <c r="U232" s="118"/>
      <c r="V232" s="119" t="s">
        <v>15457</v>
      </c>
      <c r="W232" t="s">
        <v>15463</v>
      </c>
    </row>
    <row r="233" spans="1:23" x14ac:dyDescent="0.3">
      <c r="A233" s="118"/>
      <c r="B233" s="119" t="s">
        <v>15468</v>
      </c>
      <c r="C233" t="s">
        <v>15474</v>
      </c>
      <c r="E233" s="118"/>
      <c r="F233" s="119" t="s">
        <v>15504</v>
      </c>
      <c r="G233" t="s">
        <v>15510</v>
      </c>
      <c r="I233" s="118"/>
      <c r="J233" s="119" t="s">
        <v>15540</v>
      </c>
      <c r="K233" t="s">
        <v>15546</v>
      </c>
      <c r="M233" s="118"/>
      <c r="N233" s="119" t="s">
        <v>15576</v>
      </c>
      <c r="O233" t="s">
        <v>15582</v>
      </c>
      <c r="Q233" s="118"/>
      <c r="R233" s="119" t="s">
        <v>15612</v>
      </c>
      <c r="S233" t="s">
        <v>15618</v>
      </c>
      <c r="U233" s="118"/>
      <c r="V233" s="119" t="s">
        <v>15648</v>
      </c>
      <c r="W233" t="s">
        <v>15654</v>
      </c>
    </row>
    <row r="234" spans="1:23" x14ac:dyDescent="0.3">
      <c r="A234" s="118"/>
      <c r="B234" s="119" t="s">
        <v>15469</v>
      </c>
      <c r="C234" t="s">
        <v>15475</v>
      </c>
      <c r="E234" s="118"/>
      <c r="F234" s="119" t="s">
        <v>15505</v>
      </c>
      <c r="G234" t="s">
        <v>15511</v>
      </c>
      <c r="I234" s="118"/>
      <c r="J234" s="119" t="s">
        <v>15541</v>
      </c>
      <c r="K234" t="s">
        <v>15547</v>
      </c>
      <c r="M234" s="118"/>
      <c r="N234" s="119" t="s">
        <v>15577</v>
      </c>
      <c r="O234" t="s">
        <v>15583</v>
      </c>
      <c r="Q234" s="118"/>
      <c r="R234" s="119" t="s">
        <v>15613</v>
      </c>
      <c r="S234" t="s">
        <v>15619</v>
      </c>
      <c r="U234" s="118"/>
      <c r="V234" s="119" t="s">
        <v>15649</v>
      </c>
      <c r="W234" t="s">
        <v>15655</v>
      </c>
    </row>
    <row r="235" spans="1:23" x14ac:dyDescent="0.3">
      <c r="A235" s="118"/>
      <c r="B235" s="119" t="s">
        <v>15480</v>
      </c>
      <c r="C235" t="s">
        <v>15486</v>
      </c>
      <c r="E235" s="118"/>
      <c r="F235" s="119" t="s">
        <v>15516</v>
      </c>
      <c r="G235" t="s">
        <v>15522</v>
      </c>
      <c r="I235" s="118"/>
      <c r="J235" s="119" t="s">
        <v>15552</v>
      </c>
      <c r="K235" t="s">
        <v>15558</v>
      </c>
      <c r="M235" s="118"/>
      <c r="N235" s="119" t="s">
        <v>15588</v>
      </c>
      <c r="O235" t="s">
        <v>15594</v>
      </c>
      <c r="Q235" s="118"/>
      <c r="R235" s="119" t="s">
        <v>15624</v>
      </c>
      <c r="S235" t="s">
        <v>15630</v>
      </c>
      <c r="U235" s="118"/>
      <c r="V235" s="119" t="s">
        <v>15660</v>
      </c>
      <c r="W235" t="s">
        <v>15666</v>
      </c>
    </row>
    <row r="236" spans="1:23" x14ac:dyDescent="0.3">
      <c r="A236" s="118"/>
      <c r="B236" s="119" t="s">
        <v>15481</v>
      </c>
      <c r="C236" t="s">
        <v>15487</v>
      </c>
      <c r="E236" s="118"/>
      <c r="F236" s="119" t="s">
        <v>15517</v>
      </c>
      <c r="G236" t="s">
        <v>15523</v>
      </c>
      <c r="I236" s="118"/>
      <c r="J236" s="119" t="s">
        <v>15553</v>
      </c>
      <c r="K236" t="s">
        <v>15559</v>
      </c>
      <c r="M236" s="118"/>
      <c r="N236" s="119" t="s">
        <v>15589</v>
      </c>
      <c r="O236" t="s">
        <v>15595</v>
      </c>
      <c r="Q236" s="118"/>
      <c r="R236" s="119" t="s">
        <v>15625</v>
      </c>
      <c r="S236" t="s">
        <v>15631</v>
      </c>
      <c r="U236" s="118"/>
      <c r="V236" s="119" t="s">
        <v>15661</v>
      </c>
      <c r="W236" t="s">
        <v>15667</v>
      </c>
    </row>
    <row r="237" spans="1:23" x14ac:dyDescent="0.3">
      <c r="A237" s="118"/>
      <c r="B237" s="119" t="s">
        <v>15492</v>
      </c>
      <c r="C237" t="s">
        <v>15498</v>
      </c>
      <c r="E237" s="118"/>
      <c r="F237" s="119" t="s">
        <v>15528</v>
      </c>
      <c r="G237" t="s">
        <v>15534</v>
      </c>
      <c r="I237" s="118"/>
      <c r="J237" s="119" t="s">
        <v>15564</v>
      </c>
      <c r="K237" t="s">
        <v>15570</v>
      </c>
      <c r="M237" s="118"/>
      <c r="N237" s="119" t="s">
        <v>15600</v>
      </c>
      <c r="O237" t="s">
        <v>15606</v>
      </c>
      <c r="Q237" s="118"/>
      <c r="R237" s="119" t="s">
        <v>15636</v>
      </c>
      <c r="S237" t="s">
        <v>15642</v>
      </c>
      <c r="U237" s="118"/>
      <c r="V237" s="119" t="s">
        <v>15672</v>
      </c>
      <c r="W237" t="s">
        <v>15678</v>
      </c>
    </row>
    <row r="238" spans="1:23" x14ac:dyDescent="0.3">
      <c r="A238" s="118"/>
      <c r="B238" s="119" t="s">
        <v>15493</v>
      </c>
      <c r="C238" t="s">
        <v>15499</v>
      </c>
      <c r="E238" s="118"/>
      <c r="F238" s="119" t="s">
        <v>15529</v>
      </c>
      <c r="G238" t="s">
        <v>15535</v>
      </c>
      <c r="I238" s="118"/>
      <c r="J238" s="119" t="s">
        <v>15565</v>
      </c>
      <c r="K238" t="s">
        <v>15571</v>
      </c>
      <c r="M238" s="118"/>
      <c r="N238" s="119" t="s">
        <v>15601</v>
      </c>
      <c r="O238" t="s">
        <v>15607</v>
      </c>
      <c r="Q238" s="118"/>
      <c r="R238" s="119" t="s">
        <v>15637</v>
      </c>
      <c r="S238" t="s">
        <v>15643</v>
      </c>
      <c r="U238" s="118"/>
      <c r="V238" s="119" t="s">
        <v>15673</v>
      </c>
      <c r="W238" t="s">
        <v>15679</v>
      </c>
    </row>
    <row r="239" spans="1:23" x14ac:dyDescent="0.3">
      <c r="A239" s="118"/>
      <c r="B239" s="119" t="s">
        <v>15684</v>
      </c>
      <c r="C239" t="s">
        <v>15690</v>
      </c>
      <c r="E239" s="118"/>
      <c r="F239" s="119" t="s">
        <v>15720</v>
      </c>
      <c r="G239" t="s">
        <v>15726</v>
      </c>
      <c r="I239" s="118"/>
      <c r="J239" s="119" t="s">
        <v>15756</v>
      </c>
      <c r="K239" t="s">
        <v>15762</v>
      </c>
      <c r="M239" s="118"/>
      <c r="N239" s="119" t="s">
        <v>15792</v>
      </c>
      <c r="O239" t="s">
        <v>15798</v>
      </c>
      <c r="Q239" s="118"/>
      <c r="R239" s="119" t="s">
        <v>15828</v>
      </c>
      <c r="S239" t="s">
        <v>15834</v>
      </c>
      <c r="U239" s="118"/>
      <c r="V239" s="119" t="s">
        <v>15864</v>
      </c>
      <c r="W239" t="s">
        <v>15870</v>
      </c>
    </row>
    <row r="240" spans="1:23" x14ac:dyDescent="0.3">
      <c r="A240" s="118"/>
      <c r="B240" s="119" t="s">
        <v>15685</v>
      </c>
      <c r="C240" t="s">
        <v>15691</v>
      </c>
      <c r="E240" s="118"/>
      <c r="F240" s="119" t="s">
        <v>15721</v>
      </c>
      <c r="G240" t="s">
        <v>15727</v>
      </c>
      <c r="I240" s="118"/>
      <c r="J240" s="119" t="s">
        <v>15757</v>
      </c>
      <c r="K240" t="s">
        <v>15763</v>
      </c>
      <c r="M240" s="118"/>
      <c r="N240" s="119" t="s">
        <v>15793</v>
      </c>
      <c r="O240" t="s">
        <v>15799</v>
      </c>
      <c r="Q240" s="118"/>
      <c r="R240" s="119" t="s">
        <v>15829</v>
      </c>
      <c r="S240" t="s">
        <v>15835</v>
      </c>
      <c r="U240" s="118"/>
      <c r="V240" s="119" t="s">
        <v>15865</v>
      </c>
      <c r="W240" t="s">
        <v>15871</v>
      </c>
    </row>
    <row r="241" spans="1:23" x14ac:dyDescent="0.3">
      <c r="A241" s="118"/>
      <c r="B241" s="119" t="s">
        <v>15696</v>
      </c>
      <c r="C241" t="s">
        <v>15702</v>
      </c>
      <c r="E241" s="118"/>
      <c r="F241" s="119" t="s">
        <v>15732</v>
      </c>
      <c r="G241" t="s">
        <v>15738</v>
      </c>
      <c r="I241" s="118"/>
      <c r="J241" s="119" t="s">
        <v>15768</v>
      </c>
      <c r="K241" t="s">
        <v>15774</v>
      </c>
      <c r="M241" s="118"/>
      <c r="N241" s="119" t="s">
        <v>15804</v>
      </c>
      <c r="O241" t="s">
        <v>15810</v>
      </c>
      <c r="Q241" s="118"/>
      <c r="R241" s="119" t="s">
        <v>15840</v>
      </c>
      <c r="S241" t="s">
        <v>15846</v>
      </c>
      <c r="U241" s="118"/>
      <c r="V241" s="119" t="s">
        <v>15876</v>
      </c>
      <c r="W241" t="s">
        <v>15882</v>
      </c>
    </row>
    <row r="242" spans="1:23" x14ac:dyDescent="0.3">
      <c r="A242" s="118"/>
      <c r="B242" s="119" t="s">
        <v>15697</v>
      </c>
      <c r="C242" t="s">
        <v>15703</v>
      </c>
      <c r="E242" s="118"/>
      <c r="F242" s="119" t="s">
        <v>15733</v>
      </c>
      <c r="G242" t="s">
        <v>15739</v>
      </c>
      <c r="I242" s="118"/>
      <c r="J242" s="119" t="s">
        <v>15769</v>
      </c>
      <c r="K242" t="s">
        <v>15775</v>
      </c>
      <c r="M242" s="118"/>
      <c r="N242" s="119" t="s">
        <v>15805</v>
      </c>
      <c r="O242" t="s">
        <v>15811</v>
      </c>
      <c r="Q242" s="118"/>
      <c r="R242" s="119" t="s">
        <v>15841</v>
      </c>
      <c r="S242" t="s">
        <v>15847</v>
      </c>
      <c r="U242" s="118"/>
      <c r="V242" s="119" t="s">
        <v>15877</v>
      </c>
      <c r="W242" t="s">
        <v>15883</v>
      </c>
    </row>
    <row r="243" spans="1:23" x14ac:dyDescent="0.3">
      <c r="A243" s="118"/>
      <c r="B243" s="119" t="s">
        <v>15708</v>
      </c>
      <c r="C243" t="s">
        <v>15714</v>
      </c>
      <c r="E243" s="118"/>
      <c r="F243" s="119" t="s">
        <v>15744</v>
      </c>
      <c r="G243" t="s">
        <v>15750</v>
      </c>
      <c r="I243" s="118"/>
      <c r="J243" s="119" t="s">
        <v>15780</v>
      </c>
      <c r="K243" t="s">
        <v>15786</v>
      </c>
      <c r="M243" s="118"/>
      <c r="N243" s="119" t="s">
        <v>15816</v>
      </c>
      <c r="O243" t="s">
        <v>15822</v>
      </c>
      <c r="Q243" s="118"/>
      <c r="R243" s="119" t="s">
        <v>15852</v>
      </c>
      <c r="S243" t="s">
        <v>15858</v>
      </c>
      <c r="U243" s="118"/>
      <c r="V243" s="119" t="s">
        <v>15888</v>
      </c>
      <c r="W243" t="s">
        <v>15894</v>
      </c>
    </row>
    <row r="244" spans="1:23" x14ac:dyDescent="0.3">
      <c r="A244" s="118"/>
      <c r="B244" s="119" t="s">
        <v>15709</v>
      </c>
      <c r="C244" t="s">
        <v>15715</v>
      </c>
      <c r="E244" s="118"/>
      <c r="F244" s="119" t="s">
        <v>15745</v>
      </c>
      <c r="G244" t="s">
        <v>15751</v>
      </c>
      <c r="I244" s="118"/>
      <c r="J244" s="119" t="s">
        <v>15781</v>
      </c>
      <c r="K244" t="s">
        <v>15787</v>
      </c>
      <c r="M244" s="118"/>
      <c r="N244" s="119" t="s">
        <v>15817</v>
      </c>
      <c r="O244" t="s">
        <v>15823</v>
      </c>
      <c r="Q244" s="118"/>
      <c r="R244" s="119" t="s">
        <v>15853</v>
      </c>
      <c r="S244" t="s">
        <v>15859</v>
      </c>
      <c r="U244" s="118"/>
      <c r="V244" s="119" t="s">
        <v>15889</v>
      </c>
      <c r="W244" t="s">
        <v>15895</v>
      </c>
    </row>
    <row r="245" spans="1:23" x14ac:dyDescent="0.3">
      <c r="A245" s="118"/>
      <c r="B245" s="119" t="s">
        <v>15900</v>
      </c>
      <c r="C245" t="s">
        <v>15906</v>
      </c>
      <c r="E245" s="118"/>
      <c r="F245" s="119" t="s">
        <v>15936</v>
      </c>
      <c r="G245" t="s">
        <v>15942</v>
      </c>
      <c r="I245" s="118"/>
      <c r="J245" s="119" t="s">
        <v>15972</v>
      </c>
      <c r="K245" t="s">
        <v>15978</v>
      </c>
      <c r="M245" s="118"/>
      <c r="N245" s="119" t="s">
        <v>16008</v>
      </c>
      <c r="O245" t="s">
        <v>16014</v>
      </c>
      <c r="Q245" s="118"/>
      <c r="R245" s="119" t="s">
        <v>16044</v>
      </c>
      <c r="S245" t="s">
        <v>16050</v>
      </c>
      <c r="U245" s="118"/>
      <c r="V245" s="119" t="s">
        <v>16080</v>
      </c>
      <c r="W245" t="s">
        <v>16086</v>
      </c>
    </row>
    <row r="246" spans="1:23" x14ac:dyDescent="0.3">
      <c r="A246" s="118"/>
      <c r="B246" s="119" t="s">
        <v>15901</v>
      </c>
      <c r="C246" t="s">
        <v>15907</v>
      </c>
      <c r="E246" s="118"/>
      <c r="F246" s="119" t="s">
        <v>15937</v>
      </c>
      <c r="G246" t="s">
        <v>15943</v>
      </c>
      <c r="I246" s="118"/>
      <c r="J246" s="119" t="s">
        <v>15973</v>
      </c>
      <c r="K246" t="s">
        <v>15979</v>
      </c>
      <c r="M246" s="118"/>
      <c r="N246" s="119" t="s">
        <v>16009</v>
      </c>
      <c r="O246" t="s">
        <v>16015</v>
      </c>
      <c r="Q246" s="118"/>
      <c r="R246" s="119" t="s">
        <v>16045</v>
      </c>
      <c r="S246" t="s">
        <v>16051</v>
      </c>
      <c r="U246" s="118"/>
      <c r="V246" s="119" t="s">
        <v>16081</v>
      </c>
      <c r="W246" t="s">
        <v>16087</v>
      </c>
    </row>
    <row r="247" spans="1:23" x14ac:dyDescent="0.3">
      <c r="A247" s="118"/>
      <c r="B247" s="119" t="s">
        <v>15912</v>
      </c>
      <c r="C247" t="s">
        <v>15918</v>
      </c>
      <c r="E247" s="118"/>
      <c r="F247" s="119" t="s">
        <v>15948</v>
      </c>
      <c r="G247" t="s">
        <v>15954</v>
      </c>
      <c r="I247" s="118"/>
      <c r="J247" s="119" t="s">
        <v>15984</v>
      </c>
      <c r="K247" t="s">
        <v>15990</v>
      </c>
      <c r="M247" s="118"/>
      <c r="N247" s="119" t="s">
        <v>16020</v>
      </c>
      <c r="O247" t="s">
        <v>16026</v>
      </c>
      <c r="Q247" s="118"/>
      <c r="R247" s="119" t="s">
        <v>16056</v>
      </c>
      <c r="S247" t="s">
        <v>16062</v>
      </c>
      <c r="U247" s="118"/>
      <c r="V247" s="119" t="s">
        <v>16092</v>
      </c>
      <c r="W247" t="s">
        <v>16098</v>
      </c>
    </row>
    <row r="248" spans="1:23" x14ac:dyDescent="0.3">
      <c r="A248" s="118"/>
      <c r="B248" s="119" t="s">
        <v>15913</v>
      </c>
      <c r="C248" t="s">
        <v>15919</v>
      </c>
      <c r="E248" s="118"/>
      <c r="F248" s="119" t="s">
        <v>15949</v>
      </c>
      <c r="G248" t="s">
        <v>15955</v>
      </c>
      <c r="I248" s="118"/>
      <c r="J248" s="119" t="s">
        <v>15985</v>
      </c>
      <c r="K248" t="s">
        <v>15991</v>
      </c>
      <c r="M248" s="118"/>
      <c r="N248" s="119" t="s">
        <v>16021</v>
      </c>
      <c r="O248" t="s">
        <v>16027</v>
      </c>
      <c r="Q248" s="118"/>
      <c r="R248" s="119" t="s">
        <v>16057</v>
      </c>
      <c r="S248" t="s">
        <v>16063</v>
      </c>
      <c r="U248" s="118"/>
      <c r="V248" s="119" t="s">
        <v>16093</v>
      </c>
      <c r="W248" t="s">
        <v>16099</v>
      </c>
    </row>
    <row r="249" spans="1:23" x14ac:dyDescent="0.3">
      <c r="A249" s="118"/>
      <c r="B249" s="119" t="s">
        <v>15924</v>
      </c>
      <c r="C249" t="s">
        <v>15930</v>
      </c>
      <c r="E249" s="118"/>
      <c r="F249" s="119" t="s">
        <v>15960</v>
      </c>
      <c r="G249" t="s">
        <v>15966</v>
      </c>
      <c r="I249" s="118"/>
      <c r="J249" s="119" t="s">
        <v>15996</v>
      </c>
      <c r="K249" t="s">
        <v>16002</v>
      </c>
      <c r="M249" s="118"/>
      <c r="N249" s="119" t="s">
        <v>16032</v>
      </c>
      <c r="O249" t="s">
        <v>16038</v>
      </c>
      <c r="Q249" s="118"/>
      <c r="R249" s="119" t="s">
        <v>16068</v>
      </c>
      <c r="S249" t="s">
        <v>16074</v>
      </c>
      <c r="U249" s="118"/>
      <c r="V249" s="119" t="s">
        <v>16104</v>
      </c>
      <c r="W249" t="s">
        <v>16110</v>
      </c>
    </row>
    <row r="250" spans="1:23" x14ac:dyDescent="0.3">
      <c r="A250" s="118"/>
      <c r="B250" s="119" t="s">
        <v>15925</v>
      </c>
      <c r="C250" t="s">
        <v>15931</v>
      </c>
      <c r="E250" s="118"/>
      <c r="F250" s="119" t="s">
        <v>15961</v>
      </c>
      <c r="G250" t="s">
        <v>15967</v>
      </c>
      <c r="I250" s="118"/>
      <c r="J250" s="119" t="s">
        <v>15997</v>
      </c>
      <c r="K250" t="s">
        <v>16003</v>
      </c>
      <c r="M250" s="118"/>
      <c r="N250" s="119" t="s">
        <v>16033</v>
      </c>
      <c r="O250" t="s">
        <v>16039</v>
      </c>
      <c r="Q250" s="118"/>
      <c r="R250" s="119" t="s">
        <v>16069</v>
      </c>
      <c r="S250" t="s">
        <v>16075</v>
      </c>
      <c r="U250" s="118"/>
      <c r="V250" s="119" t="s">
        <v>16105</v>
      </c>
      <c r="W250" t="s">
        <v>16111</v>
      </c>
    </row>
    <row r="251" spans="1:23" x14ac:dyDescent="0.3">
      <c r="A251" s="118"/>
      <c r="B251" s="119" t="s">
        <v>16116</v>
      </c>
      <c r="C251" t="s">
        <v>16122</v>
      </c>
      <c r="E251" s="118"/>
      <c r="F251" s="119" t="s">
        <v>16152</v>
      </c>
      <c r="G251" t="s">
        <v>16158</v>
      </c>
      <c r="I251" s="118"/>
      <c r="J251" s="119" t="s">
        <v>16188</v>
      </c>
      <c r="K251" t="s">
        <v>16194</v>
      </c>
      <c r="M251" s="118"/>
      <c r="N251" s="119" t="s">
        <v>16224</v>
      </c>
      <c r="O251" t="s">
        <v>16230</v>
      </c>
      <c r="Q251" s="118"/>
      <c r="R251" s="119" t="s">
        <v>16260</v>
      </c>
      <c r="S251" t="s">
        <v>16266</v>
      </c>
      <c r="U251" s="118"/>
      <c r="V251" s="119" t="s">
        <v>16296</v>
      </c>
      <c r="W251" t="s">
        <v>16302</v>
      </c>
    </row>
    <row r="252" spans="1:23" x14ac:dyDescent="0.3">
      <c r="A252" s="118"/>
      <c r="B252" s="119" t="s">
        <v>16117</v>
      </c>
      <c r="C252" t="s">
        <v>16123</v>
      </c>
      <c r="E252" s="118"/>
      <c r="F252" s="119" t="s">
        <v>16153</v>
      </c>
      <c r="G252" t="s">
        <v>16159</v>
      </c>
      <c r="I252" s="118"/>
      <c r="J252" s="119" t="s">
        <v>16189</v>
      </c>
      <c r="K252" t="s">
        <v>16195</v>
      </c>
      <c r="M252" s="118"/>
      <c r="N252" s="119" t="s">
        <v>16225</v>
      </c>
      <c r="O252" t="s">
        <v>16231</v>
      </c>
      <c r="Q252" s="118"/>
      <c r="R252" s="119" t="s">
        <v>16261</v>
      </c>
      <c r="S252" t="s">
        <v>16267</v>
      </c>
      <c r="U252" s="118"/>
      <c r="V252" s="119" t="s">
        <v>16297</v>
      </c>
      <c r="W252" t="s">
        <v>16303</v>
      </c>
    </row>
    <row r="253" spans="1:23" x14ac:dyDescent="0.3">
      <c r="A253" s="118"/>
      <c r="B253" s="119" t="s">
        <v>16128</v>
      </c>
      <c r="C253" t="s">
        <v>16134</v>
      </c>
      <c r="E253" s="118"/>
      <c r="F253" s="119" t="s">
        <v>16164</v>
      </c>
      <c r="G253" t="s">
        <v>16170</v>
      </c>
      <c r="I253" s="118"/>
      <c r="J253" s="119" t="s">
        <v>16200</v>
      </c>
      <c r="K253" t="s">
        <v>16206</v>
      </c>
      <c r="M253" s="118"/>
      <c r="N253" s="119" t="s">
        <v>16236</v>
      </c>
      <c r="O253" t="s">
        <v>16242</v>
      </c>
      <c r="Q253" s="118"/>
      <c r="R253" s="119" t="s">
        <v>16272</v>
      </c>
      <c r="S253" t="s">
        <v>16278</v>
      </c>
      <c r="U253" s="118"/>
      <c r="V253" s="119" t="s">
        <v>16308</v>
      </c>
      <c r="W253" t="s">
        <v>16314</v>
      </c>
    </row>
    <row r="254" spans="1:23" x14ac:dyDescent="0.3">
      <c r="A254" s="118"/>
      <c r="B254" s="119" t="s">
        <v>16129</v>
      </c>
      <c r="C254" t="s">
        <v>16135</v>
      </c>
      <c r="E254" s="118"/>
      <c r="F254" s="119" t="s">
        <v>16165</v>
      </c>
      <c r="G254" t="s">
        <v>16171</v>
      </c>
      <c r="I254" s="118"/>
      <c r="J254" s="119" t="s">
        <v>16201</v>
      </c>
      <c r="K254" t="s">
        <v>16207</v>
      </c>
      <c r="M254" s="118"/>
      <c r="N254" s="119" t="s">
        <v>16237</v>
      </c>
      <c r="O254" t="s">
        <v>16243</v>
      </c>
      <c r="Q254" s="118"/>
      <c r="R254" s="119" t="s">
        <v>16273</v>
      </c>
      <c r="S254" t="s">
        <v>16279</v>
      </c>
      <c r="U254" s="118"/>
      <c r="V254" s="119" t="s">
        <v>16309</v>
      </c>
      <c r="W254" t="s">
        <v>16315</v>
      </c>
    </row>
    <row r="255" spans="1:23" x14ac:dyDescent="0.3">
      <c r="A255" s="118"/>
      <c r="B255" s="119" t="s">
        <v>16140</v>
      </c>
      <c r="C255" t="s">
        <v>16146</v>
      </c>
      <c r="E255" s="118"/>
      <c r="F255" s="119" t="s">
        <v>16176</v>
      </c>
      <c r="G255" t="s">
        <v>16182</v>
      </c>
      <c r="I255" s="118"/>
      <c r="J255" s="119" t="s">
        <v>16212</v>
      </c>
      <c r="K255" t="s">
        <v>16218</v>
      </c>
      <c r="M255" s="118"/>
      <c r="N255" s="119" t="s">
        <v>16248</v>
      </c>
      <c r="O255" t="s">
        <v>16254</v>
      </c>
      <c r="Q255" s="118"/>
      <c r="R255" s="119" t="s">
        <v>16284</v>
      </c>
      <c r="S255" t="s">
        <v>16290</v>
      </c>
      <c r="U255" s="118"/>
      <c r="V255" s="119" t="s">
        <v>16320</v>
      </c>
      <c r="W255" t="s">
        <v>16326</v>
      </c>
    </row>
    <row r="256" spans="1:23" x14ac:dyDescent="0.3">
      <c r="A256" s="118"/>
      <c r="B256" s="119" t="s">
        <v>16141</v>
      </c>
      <c r="C256" t="s">
        <v>16147</v>
      </c>
      <c r="E256" s="118"/>
      <c r="F256" s="119" t="s">
        <v>16177</v>
      </c>
      <c r="G256" t="s">
        <v>16183</v>
      </c>
      <c r="I256" s="118"/>
      <c r="J256" s="119" t="s">
        <v>16213</v>
      </c>
      <c r="K256" t="s">
        <v>16219</v>
      </c>
      <c r="M256" s="118"/>
      <c r="N256" s="119" t="s">
        <v>16249</v>
      </c>
      <c r="O256" t="s">
        <v>16255</v>
      </c>
      <c r="Q256" s="118"/>
      <c r="R256" s="119" t="s">
        <v>16285</v>
      </c>
      <c r="S256" t="s">
        <v>16291</v>
      </c>
      <c r="U256" s="118"/>
      <c r="V256" s="119" t="s">
        <v>16321</v>
      </c>
      <c r="W256" t="s">
        <v>16327</v>
      </c>
    </row>
    <row r="257" spans="1:23" x14ac:dyDescent="0.3">
      <c r="A257" s="118"/>
      <c r="B257" s="119" t="s">
        <v>16332</v>
      </c>
      <c r="C257" t="s">
        <v>16338</v>
      </c>
      <c r="E257" s="118"/>
      <c r="F257" s="119" t="s">
        <v>16368</v>
      </c>
      <c r="G257" t="s">
        <v>16374</v>
      </c>
      <c r="I257" s="118"/>
      <c r="J257" s="119" t="s">
        <v>16404</v>
      </c>
      <c r="K257" t="s">
        <v>16410</v>
      </c>
      <c r="M257" s="118"/>
      <c r="N257" s="119" t="s">
        <v>16440</v>
      </c>
      <c r="O257" t="s">
        <v>16446</v>
      </c>
      <c r="Q257" s="118"/>
      <c r="R257" s="119" t="s">
        <v>16476</v>
      </c>
      <c r="S257" t="s">
        <v>16482</v>
      </c>
      <c r="U257" s="118"/>
      <c r="V257" s="119" t="s">
        <v>16512</v>
      </c>
      <c r="W257" t="s">
        <v>16518</v>
      </c>
    </row>
    <row r="258" spans="1:23" x14ac:dyDescent="0.3">
      <c r="A258" s="118"/>
      <c r="B258" s="119" t="s">
        <v>16333</v>
      </c>
      <c r="C258" t="s">
        <v>16339</v>
      </c>
      <c r="E258" s="118"/>
      <c r="F258" s="119" t="s">
        <v>16369</v>
      </c>
      <c r="G258" t="s">
        <v>16375</v>
      </c>
      <c r="I258" s="118"/>
      <c r="J258" s="119" t="s">
        <v>16405</v>
      </c>
      <c r="K258" t="s">
        <v>16411</v>
      </c>
      <c r="M258" s="118"/>
      <c r="N258" s="119" t="s">
        <v>16441</v>
      </c>
      <c r="O258" t="s">
        <v>16447</v>
      </c>
      <c r="Q258" s="118"/>
      <c r="R258" s="119" t="s">
        <v>16477</v>
      </c>
      <c r="S258" t="s">
        <v>16483</v>
      </c>
      <c r="U258" s="118"/>
      <c r="V258" s="119" t="s">
        <v>16513</v>
      </c>
      <c r="W258" t="s">
        <v>16519</v>
      </c>
    </row>
    <row r="259" spans="1:23" x14ac:dyDescent="0.3">
      <c r="A259" s="118"/>
      <c r="B259" s="119" t="s">
        <v>16344</v>
      </c>
      <c r="C259" t="s">
        <v>16350</v>
      </c>
      <c r="E259" s="118"/>
      <c r="F259" s="119" t="s">
        <v>16380</v>
      </c>
      <c r="G259" t="s">
        <v>16386</v>
      </c>
      <c r="I259" s="118"/>
      <c r="J259" s="119" t="s">
        <v>16416</v>
      </c>
      <c r="K259" t="s">
        <v>16422</v>
      </c>
      <c r="M259" s="118"/>
      <c r="N259" s="119" t="s">
        <v>16452</v>
      </c>
      <c r="O259" t="s">
        <v>16458</v>
      </c>
      <c r="Q259" s="118"/>
      <c r="R259" s="119" t="s">
        <v>16488</v>
      </c>
      <c r="S259" t="s">
        <v>16494</v>
      </c>
      <c r="U259" s="118"/>
      <c r="V259" s="119" t="s">
        <v>16524</v>
      </c>
      <c r="W259" t="s">
        <v>16530</v>
      </c>
    </row>
    <row r="260" spans="1:23" x14ac:dyDescent="0.3">
      <c r="A260" s="118"/>
      <c r="B260" s="119" t="s">
        <v>16345</v>
      </c>
      <c r="C260" t="s">
        <v>16351</v>
      </c>
      <c r="E260" s="118"/>
      <c r="F260" s="119" t="s">
        <v>16381</v>
      </c>
      <c r="G260" t="s">
        <v>16387</v>
      </c>
      <c r="I260" s="118"/>
      <c r="J260" s="119" t="s">
        <v>16417</v>
      </c>
      <c r="K260" t="s">
        <v>16423</v>
      </c>
      <c r="M260" s="118"/>
      <c r="N260" s="119" t="s">
        <v>16453</v>
      </c>
      <c r="O260" t="s">
        <v>16459</v>
      </c>
      <c r="Q260" s="118"/>
      <c r="R260" s="119" t="s">
        <v>16489</v>
      </c>
      <c r="S260" t="s">
        <v>16495</v>
      </c>
      <c r="U260" s="118"/>
      <c r="V260" s="119" t="s">
        <v>16525</v>
      </c>
      <c r="W260" t="s">
        <v>16531</v>
      </c>
    </row>
    <row r="261" spans="1:23" x14ac:dyDescent="0.3">
      <c r="A261" s="118"/>
      <c r="B261" s="119" t="s">
        <v>16356</v>
      </c>
      <c r="C261" t="s">
        <v>16362</v>
      </c>
      <c r="E261" s="118"/>
      <c r="F261" s="119" t="s">
        <v>16392</v>
      </c>
      <c r="G261" t="s">
        <v>16398</v>
      </c>
      <c r="I261" s="118"/>
      <c r="J261" s="119" t="s">
        <v>16428</v>
      </c>
      <c r="K261" t="s">
        <v>16434</v>
      </c>
      <c r="M261" s="118"/>
      <c r="N261" s="119" t="s">
        <v>16464</v>
      </c>
      <c r="O261" t="s">
        <v>16470</v>
      </c>
      <c r="Q261" s="118"/>
      <c r="R261" s="119" t="s">
        <v>16500</v>
      </c>
      <c r="S261" t="s">
        <v>16506</v>
      </c>
      <c r="U261" s="118"/>
      <c r="V261" s="119" t="s">
        <v>16536</v>
      </c>
      <c r="W261" t="s">
        <v>16542</v>
      </c>
    </row>
    <row r="262" spans="1:23" x14ac:dyDescent="0.3">
      <c r="A262" s="118"/>
      <c r="B262" s="119" t="s">
        <v>16357</v>
      </c>
      <c r="C262" t="s">
        <v>16363</v>
      </c>
      <c r="E262" s="118"/>
      <c r="F262" s="119" t="s">
        <v>16393</v>
      </c>
      <c r="G262" t="s">
        <v>16399</v>
      </c>
      <c r="I262" s="118"/>
      <c r="J262" s="119" t="s">
        <v>16429</v>
      </c>
      <c r="K262" t="s">
        <v>16435</v>
      </c>
      <c r="M262" s="118"/>
      <c r="N262" s="119" t="s">
        <v>16465</v>
      </c>
      <c r="O262" t="s">
        <v>16471</v>
      </c>
      <c r="Q262" s="118"/>
      <c r="R262" s="119" t="s">
        <v>16501</v>
      </c>
      <c r="S262" t="s">
        <v>16507</v>
      </c>
      <c r="U262" s="118"/>
      <c r="V262" s="119" t="s">
        <v>16537</v>
      </c>
      <c r="W262" t="s">
        <v>16543</v>
      </c>
    </row>
    <row r="263" spans="1:23" x14ac:dyDescent="0.3">
      <c r="A263" s="118"/>
      <c r="B263" s="119" t="s">
        <v>16548</v>
      </c>
      <c r="C263" t="s">
        <v>16554</v>
      </c>
      <c r="E263" s="118"/>
      <c r="F263" s="119" t="s">
        <v>16584</v>
      </c>
      <c r="G263" t="s">
        <v>16590</v>
      </c>
      <c r="I263" s="118"/>
      <c r="J263" s="119" t="s">
        <v>16620</v>
      </c>
      <c r="K263" t="s">
        <v>16626</v>
      </c>
      <c r="M263" s="118"/>
      <c r="N263" s="119" t="s">
        <v>16656</v>
      </c>
      <c r="O263" t="s">
        <v>16662</v>
      </c>
      <c r="Q263" s="118"/>
      <c r="R263" s="119" t="s">
        <v>16692</v>
      </c>
      <c r="S263" t="s">
        <v>16698</v>
      </c>
      <c r="U263" s="118"/>
      <c r="V263" s="119" t="s">
        <v>16728</v>
      </c>
      <c r="W263" t="s">
        <v>16734</v>
      </c>
    </row>
    <row r="264" spans="1:23" x14ac:dyDescent="0.3">
      <c r="A264" s="118"/>
      <c r="B264" s="119" t="s">
        <v>16549</v>
      </c>
      <c r="C264" t="s">
        <v>16555</v>
      </c>
      <c r="E264" s="118"/>
      <c r="F264" s="119" t="s">
        <v>16585</v>
      </c>
      <c r="G264" t="s">
        <v>16591</v>
      </c>
      <c r="I264" s="118"/>
      <c r="J264" s="119" t="s">
        <v>16621</v>
      </c>
      <c r="K264" t="s">
        <v>16627</v>
      </c>
      <c r="M264" s="118"/>
      <c r="N264" s="119" t="s">
        <v>16657</v>
      </c>
      <c r="O264" t="s">
        <v>16663</v>
      </c>
      <c r="Q264" s="118"/>
      <c r="R264" s="119" t="s">
        <v>16693</v>
      </c>
      <c r="S264" t="s">
        <v>16699</v>
      </c>
      <c r="U264" s="118"/>
      <c r="V264" s="119" t="s">
        <v>16729</v>
      </c>
      <c r="W264" t="s">
        <v>16735</v>
      </c>
    </row>
    <row r="265" spans="1:23" x14ac:dyDescent="0.3">
      <c r="A265" s="118"/>
      <c r="B265" s="119" t="s">
        <v>16560</v>
      </c>
      <c r="C265" t="s">
        <v>16566</v>
      </c>
      <c r="E265" s="118"/>
      <c r="F265" s="119" t="s">
        <v>16596</v>
      </c>
      <c r="G265" t="s">
        <v>16602</v>
      </c>
      <c r="I265" s="118"/>
      <c r="J265" s="119" t="s">
        <v>16632</v>
      </c>
      <c r="K265" t="s">
        <v>16638</v>
      </c>
      <c r="M265" s="118"/>
      <c r="N265" s="119" t="s">
        <v>16668</v>
      </c>
      <c r="O265" t="s">
        <v>16674</v>
      </c>
      <c r="Q265" s="118"/>
      <c r="R265" s="119" t="s">
        <v>16704</v>
      </c>
      <c r="S265" t="s">
        <v>16710</v>
      </c>
      <c r="U265" s="118"/>
      <c r="V265" s="119" t="s">
        <v>16740</v>
      </c>
      <c r="W265" t="s">
        <v>16746</v>
      </c>
    </row>
    <row r="266" spans="1:23" x14ac:dyDescent="0.3">
      <c r="A266" s="118"/>
      <c r="B266" s="119" t="s">
        <v>16561</v>
      </c>
      <c r="C266" t="s">
        <v>16567</v>
      </c>
      <c r="E266" s="118"/>
      <c r="F266" s="119" t="s">
        <v>16597</v>
      </c>
      <c r="G266" t="s">
        <v>16603</v>
      </c>
      <c r="I266" s="118"/>
      <c r="J266" s="119" t="s">
        <v>16633</v>
      </c>
      <c r="K266" t="s">
        <v>16639</v>
      </c>
      <c r="M266" s="118"/>
      <c r="N266" s="119" t="s">
        <v>16669</v>
      </c>
      <c r="O266" t="s">
        <v>16675</v>
      </c>
      <c r="Q266" s="118"/>
      <c r="R266" s="119" t="s">
        <v>16705</v>
      </c>
      <c r="S266" t="s">
        <v>16711</v>
      </c>
      <c r="U266" s="118"/>
      <c r="V266" s="119" t="s">
        <v>16741</v>
      </c>
      <c r="W266" t="s">
        <v>16747</v>
      </c>
    </row>
    <row r="267" spans="1:23" x14ac:dyDescent="0.3">
      <c r="A267" s="118"/>
      <c r="B267" s="119" t="s">
        <v>16572</v>
      </c>
      <c r="C267" t="s">
        <v>16578</v>
      </c>
      <c r="E267" s="118"/>
      <c r="F267" s="119" t="s">
        <v>16608</v>
      </c>
      <c r="G267" t="s">
        <v>16614</v>
      </c>
      <c r="I267" s="118"/>
      <c r="J267" s="119" t="s">
        <v>16644</v>
      </c>
      <c r="K267" t="s">
        <v>16650</v>
      </c>
      <c r="M267" s="118"/>
      <c r="N267" s="119" t="s">
        <v>16680</v>
      </c>
      <c r="O267" t="s">
        <v>16686</v>
      </c>
      <c r="Q267" s="118"/>
      <c r="R267" s="119" t="s">
        <v>16716</v>
      </c>
      <c r="S267" t="s">
        <v>16722</v>
      </c>
      <c r="U267" s="118"/>
      <c r="V267" s="119" t="s">
        <v>16752</v>
      </c>
      <c r="W267" t="s">
        <v>16758</v>
      </c>
    </row>
    <row r="268" spans="1:23" x14ac:dyDescent="0.3">
      <c r="A268" s="118"/>
      <c r="B268" s="119" t="s">
        <v>16573</v>
      </c>
      <c r="C268" t="s">
        <v>16579</v>
      </c>
      <c r="E268" s="118"/>
      <c r="F268" s="119" t="s">
        <v>16609</v>
      </c>
      <c r="G268" t="s">
        <v>16615</v>
      </c>
      <c r="I268" s="118"/>
      <c r="J268" s="119" t="s">
        <v>16645</v>
      </c>
      <c r="K268" t="s">
        <v>16651</v>
      </c>
      <c r="M268" s="118"/>
      <c r="N268" s="119" t="s">
        <v>16681</v>
      </c>
      <c r="O268" t="s">
        <v>16687</v>
      </c>
      <c r="Q268" s="118"/>
      <c r="R268" s="119" t="s">
        <v>16717</v>
      </c>
      <c r="S268" t="s">
        <v>16723</v>
      </c>
      <c r="U268" s="118"/>
      <c r="V268" s="119" t="s">
        <v>16753</v>
      </c>
      <c r="W268" t="s">
        <v>16759</v>
      </c>
    </row>
    <row r="269" spans="1:23" x14ac:dyDescent="0.3">
      <c r="A269" s="118"/>
      <c r="B269" s="119" t="s">
        <v>16764</v>
      </c>
      <c r="C269" t="s">
        <v>16770</v>
      </c>
      <c r="E269" s="118"/>
      <c r="F269" s="119" t="s">
        <v>16800</v>
      </c>
      <c r="G269" t="s">
        <v>16806</v>
      </c>
      <c r="I269" s="118"/>
      <c r="J269" s="119" t="s">
        <v>16836</v>
      </c>
      <c r="K269" t="s">
        <v>16842</v>
      </c>
      <c r="M269" s="118"/>
      <c r="N269" s="119" t="s">
        <v>16872</v>
      </c>
      <c r="O269" t="s">
        <v>16878</v>
      </c>
      <c r="Q269" s="118"/>
      <c r="R269" s="119" t="s">
        <v>16908</v>
      </c>
      <c r="S269" t="s">
        <v>16914</v>
      </c>
      <c r="U269" s="118"/>
      <c r="V269" s="119" t="s">
        <v>16944</v>
      </c>
      <c r="W269" t="s">
        <v>16950</v>
      </c>
    </row>
    <row r="270" spans="1:23" x14ac:dyDescent="0.3">
      <c r="A270" s="118"/>
      <c r="B270" s="119" t="s">
        <v>16765</v>
      </c>
      <c r="C270" t="s">
        <v>16771</v>
      </c>
      <c r="E270" s="118"/>
      <c r="F270" s="119" t="s">
        <v>16801</v>
      </c>
      <c r="G270" t="s">
        <v>16807</v>
      </c>
      <c r="I270" s="118"/>
      <c r="J270" s="119" t="s">
        <v>16837</v>
      </c>
      <c r="K270" t="s">
        <v>16843</v>
      </c>
      <c r="M270" s="118"/>
      <c r="N270" s="119" t="s">
        <v>16873</v>
      </c>
      <c r="O270" t="s">
        <v>16879</v>
      </c>
      <c r="Q270" s="118"/>
      <c r="R270" s="119" t="s">
        <v>16909</v>
      </c>
      <c r="S270" t="s">
        <v>16915</v>
      </c>
      <c r="U270" s="118"/>
      <c r="V270" s="119" t="s">
        <v>16945</v>
      </c>
      <c r="W270" t="s">
        <v>16951</v>
      </c>
    </row>
    <row r="271" spans="1:23" x14ac:dyDescent="0.3">
      <c r="A271" s="118"/>
      <c r="B271" s="119" t="s">
        <v>16776</v>
      </c>
      <c r="C271" t="s">
        <v>16782</v>
      </c>
      <c r="E271" s="118"/>
      <c r="F271" s="119" t="s">
        <v>16812</v>
      </c>
      <c r="G271" t="s">
        <v>16818</v>
      </c>
      <c r="I271" s="118"/>
      <c r="J271" s="119" t="s">
        <v>16848</v>
      </c>
      <c r="K271" t="s">
        <v>16854</v>
      </c>
      <c r="M271" s="118"/>
      <c r="N271" s="119" t="s">
        <v>16884</v>
      </c>
      <c r="O271" t="s">
        <v>16890</v>
      </c>
      <c r="Q271" s="118"/>
      <c r="R271" s="119" t="s">
        <v>16920</v>
      </c>
      <c r="S271" t="s">
        <v>16926</v>
      </c>
      <c r="U271" s="118"/>
      <c r="V271" s="119" t="s">
        <v>16956</v>
      </c>
      <c r="W271" t="s">
        <v>16962</v>
      </c>
    </row>
    <row r="272" spans="1:23" x14ac:dyDescent="0.3">
      <c r="A272" s="118"/>
      <c r="B272" s="119" t="s">
        <v>16777</v>
      </c>
      <c r="C272" t="s">
        <v>16783</v>
      </c>
      <c r="E272" s="118"/>
      <c r="F272" s="119" t="s">
        <v>16813</v>
      </c>
      <c r="G272" t="s">
        <v>16819</v>
      </c>
      <c r="I272" s="118"/>
      <c r="J272" s="119" t="s">
        <v>16849</v>
      </c>
      <c r="K272" t="s">
        <v>16855</v>
      </c>
      <c r="M272" s="118"/>
      <c r="N272" s="119" t="s">
        <v>16885</v>
      </c>
      <c r="O272" t="s">
        <v>16891</v>
      </c>
      <c r="Q272" s="118"/>
      <c r="R272" s="119" t="s">
        <v>16921</v>
      </c>
      <c r="S272" t="s">
        <v>16927</v>
      </c>
      <c r="U272" s="118"/>
      <c r="V272" s="119" t="s">
        <v>16957</v>
      </c>
      <c r="W272" t="s">
        <v>16963</v>
      </c>
    </row>
    <row r="273" spans="1:23" x14ac:dyDescent="0.3">
      <c r="A273" s="118"/>
      <c r="B273" s="119" t="s">
        <v>16788</v>
      </c>
      <c r="C273" t="s">
        <v>16794</v>
      </c>
      <c r="E273" s="118"/>
      <c r="F273" s="119" t="s">
        <v>16824</v>
      </c>
      <c r="G273" t="s">
        <v>16830</v>
      </c>
      <c r="I273" s="118"/>
      <c r="J273" s="119" t="s">
        <v>16860</v>
      </c>
      <c r="K273" t="s">
        <v>16866</v>
      </c>
      <c r="M273" s="118"/>
      <c r="N273" s="119" t="s">
        <v>16896</v>
      </c>
      <c r="O273" t="s">
        <v>16902</v>
      </c>
      <c r="Q273" s="118"/>
      <c r="R273" s="119" t="s">
        <v>16932</v>
      </c>
      <c r="S273" t="s">
        <v>16938</v>
      </c>
      <c r="U273" s="118"/>
      <c r="V273" s="119" t="s">
        <v>16968</v>
      </c>
      <c r="W273" t="s">
        <v>16974</v>
      </c>
    </row>
    <row r="274" spans="1:23" x14ac:dyDescent="0.3">
      <c r="A274" s="118"/>
      <c r="B274" s="119" t="s">
        <v>16789</v>
      </c>
      <c r="C274" t="s">
        <v>16795</v>
      </c>
      <c r="E274" s="118"/>
      <c r="F274" s="119" t="s">
        <v>16825</v>
      </c>
      <c r="G274" t="s">
        <v>16831</v>
      </c>
      <c r="I274" s="118"/>
      <c r="J274" s="119" t="s">
        <v>16861</v>
      </c>
      <c r="K274" t="s">
        <v>16867</v>
      </c>
      <c r="M274" s="118"/>
      <c r="N274" s="119" t="s">
        <v>16897</v>
      </c>
      <c r="O274" t="s">
        <v>16903</v>
      </c>
      <c r="Q274" s="118"/>
      <c r="R274" s="119" t="s">
        <v>16933</v>
      </c>
      <c r="S274" t="s">
        <v>16939</v>
      </c>
      <c r="U274" s="118"/>
      <c r="V274" s="119" t="s">
        <v>16969</v>
      </c>
      <c r="W274" t="s">
        <v>16975</v>
      </c>
    </row>
    <row r="275" spans="1:23" x14ac:dyDescent="0.3">
      <c r="A275" s="118"/>
      <c r="B275" s="119" t="s">
        <v>16980</v>
      </c>
      <c r="C275" t="s">
        <v>16986</v>
      </c>
      <c r="E275" s="118"/>
      <c r="F275" s="119" t="s">
        <v>17016</v>
      </c>
      <c r="G275" t="s">
        <v>17022</v>
      </c>
      <c r="I275" s="118"/>
      <c r="J275" s="119" t="s">
        <v>17052</v>
      </c>
      <c r="K275" t="s">
        <v>17058</v>
      </c>
      <c r="M275" s="118"/>
      <c r="N275" s="119" t="s">
        <v>17088</v>
      </c>
      <c r="O275" t="s">
        <v>17094</v>
      </c>
      <c r="Q275" s="118"/>
      <c r="R275" s="119" t="s">
        <v>17124</v>
      </c>
      <c r="S275" t="s">
        <v>17130</v>
      </c>
      <c r="U275" s="118"/>
      <c r="V275" s="119" t="s">
        <v>17160</v>
      </c>
      <c r="W275" t="s">
        <v>17166</v>
      </c>
    </row>
    <row r="276" spans="1:23" x14ac:dyDescent="0.3">
      <c r="A276" s="118"/>
      <c r="B276" s="119" t="s">
        <v>16981</v>
      </c>
      <c r="C276" t="s">
        <v>16987</v>
      </c>
      <c r="E276" s="118"/>
      <c r="F276" s="119" t="s">
        <v>17017</v>
      </c>
      <c r="G276" t="s">
        <v>17023</v>
      </c>
      <c r="I276" s="118"/>
      <c r="J276" s="119" t="s">
        <v>17053</v>
      </c>
      <c r="K276" t="s">
        <v>17059</v>
      </c>
      <c r="M276" s="118"/>
      <c r="N276" s="119" t="s">
        <v>17089</v>
      </c>
      <c r="O276" t="s">
        <v>17095</v>
      </c>
      <c r="Q276" s="118"/>
      <c r="R276" s="119" t="s">
        <v>17125</v>
      </c>
      <c r="S276" t="s">
        <v>17131</v>
      </c>
      <c r="U276" s="118"/>
      <c r="V276" s="119" t="s">
        <v>17161</v>
      </c>
      <c r="W276" t="s">
        <v>17167</v>
      </c>
    </row>
    <row r="277" spans="1:23" x14ac:dyDescent="0.3">
      <c r="A277" s="118"/>
      <c r="B277" s="119" t="s">
        <v>16992</v>
      </c>
      <c r="C277" t="s">
        <v>16998</v>
      </c>
      <c r="E277" s="118"/>
      <c r="F277" s="119" t="s">
        <v>17028</v>
      </c>
      <c r="G277" t="s">
        <v>17034</v>
      </c>
      <c r="I277" s="118"/>
      <c r="J277" s="119" t="s">
        <v>17064</v>
      </c>
      <c r="K277" t="s">
        <v>17070</v>
      </c>
      <c r="M277" s="118"/>
      <c r="N277" s="119" t="s">
        <v>17100</v>
      </c>
      <c r="O277" t="s">
        <v>17106</v>
      </c>
      <c r="Q277" s="118"/>
      <c r="R277" s="119" t="s">
        <v>17136</v>
      </c>
      <c r="S277" t="s">
        <v>17142</v>
      </c>
      <c r="U277" s="118"/>
      <c r="V277" s="119" t="s">
        <v>17172</v>
      </c>
      <c r="W277" t="s">
        <v>17178</v>
      </c>
    </row>
    <row r="278" spans="1:23" x14ac:dyDescent="0.3">
      <c r="A278" s="118"/>
      <c r="B278" s="119" t="s">
        <v>16993</v>
      </c>
      <c r="C278" t="s">
        <v>16999</v>
      </c>
      <c r="E278" s="118"/>
      <c r="F278" s="119" t="s">
        <v>17029</v>
      </c>
      <c r="G278" t="s">
        <v>17035</v>
      </c>
      <c r="I278" s="118"/>
      <c r="J278" s="119" t="s">
        <v>17065</v>
      </c>
      <c r="K278" t="s">
        <v>17071</v>
      </c>
      <c r="M278" s="118"/>
      <c r="N278" s="119" t="s">
        <v>17101</v>
      </c>
      <c r="O278" t="s">
        <v>17107</v>
      </c>
      <c r="Q278" s="118"/>
      <c r="R278" s="119" t="s">
        <v>17137</v>
      </c>
      <c r="S278" t="s">
        <v>17143</v>
      </c>
      <c r="U278" s="118"/>
      <c r="V278" s="119" t="s">
        <v>17173</v>
      </c>
      <c r="W278" t="s">
        <v>17179</v>
      </c>
    </row>
    <row r="279" spans="1:23" x14ac:dyDescent="0.3">
      <c r="A279" s="118"/>
      <c r="B279" s="119" t="s">
        <v>17004</v>
      </c>
      <c r="C279" t="s">
        <v>17010</v>
      </c>
      <c r="E279" s="118"/>
      <c r="F279" s="119" t="s">
        <v>17040</v>
      </c>
      <c r="G279" t="s">
        <v>17046</v>
      </c>
      <c r="I279" s="118"/>
      <c r="J279" s="119" t="s">
        <v>17076</v>
      </c>
      <c r="K279" t="s">
        <v>17082</v>
      </c>
      <c r="M279" s="118"/>
      <c r="N279" s="119" t="s">
        <v>17112</v>
      </c>
      <c r="O279" t="s">
        <v>17118</v>
      </c>
      <c r="Q279" s="118"/>
      <c r="R279" s="119" t="s">
        <v>17148</v>
      </c>
      <c r="S279" t="s">
        <v>17154</v>
      </c>
      <c r="U279" s="118"/>
      <c r="V279" s="119" t="s">
        <v>17184</v>
      </c>
      <c r="W279" t="s">
        <v>17190</v>
      </c>
    </row>
    <row r="280" spans="1:23" x14ac:dyDescent="0.3">
      <c r="A280" s="118"/>
      <c r="B280" s="119" t="s">
        <v>17005</v>
      </c>
      <c r="C280" t="s">
        <v>17011</v>
      </c>
      <c r="E280" s="118"/>
      <c r="F280" s="119" t="s">
        <v>17041</v>
      </c>
      <c r="G280" t="s">
        <v>17047</v>
      </c>
      <c r="I280" s="118"/>
      <c r="J280" s="119" t="s">
        <v>17077</v>
      </c>
      <c r="K280" t="s">
        <v>17083</v>
      </c>
      <c r="M280" s="118"/>
      <c r="N280" s="119" t="s">
        <v>17113</v>
      </c>
      <c r="O280" t="s">
        <v>17119</v>
      </c>
      <c r="Q280" s="118"/>
      <c r="R280" s="119" t="s">
        <v>17149</v>
      </c>
      <c r="S280" t="s">
        <v>17155</v>
      </c>
      <c r="U280" s="118"/>
      <c r="V280" s="119" t="s">
        <v>17185</v>
      </c>
      <c r="W280" t="s">
        <v>17191</v>
      </c>
    </row>
    <row r="281" spans="1:23" x14ac:dyDescent="0.3">
      <c r="A281" s="118"/>
      <c r="B281" s="119" t="s">
        <v>17196</v>
      </c>
      <c r="C281" t="s">
        <v>17202</v>
      </c>
      <c r="E281" s="118"/>
      <c r="F281" s="119" t="s">
        <v>17232</v>
      </c>
      <c r="G281" t="s">
        <v>17238</v>
      </c>
      <c r="I281" s="118"/>
      <c r="J281" s="119" t="s">
        <v>17268</v>
      </c>
      <c r="K281" t="s">
        <v>17274</v>
      </c>
      <c r="M281" s="118"/>
      <c r="N281" s="119" t="s">
        <v>17304</v>
      </c>
      <c r="O281" t="s">
        <v>17310</v>
      </c>
      <c r="Q281" s="118"/>
      <c r="R281" s="119" t="s">
        <v>17340</v>
      </c>
      <c r="S281" t="s">
        <v>17346</v>
      </c>
      <c r="U281" s="118"/>
      <c r="V281" s="119" t="s">
        <v>17376</v>
      </c>
      <c r="W281" t="s">
        <v>17382</v>
      </c>
    </row>
    <row r="282" spans="1:23" x14ac:dyDescent="0.3">
      <c r="A282" s="118"/>
      <c r="B282" s="119" t="s">
        <v>17197</v>
      </c>
      <c r="C282" t="s">
        <v>17203</v>
      </c>
      <c r="E282" s="118"/>
      <c r="F282" s="119" t="s">
        <v>17233</v>
      </c>
      <c r="G282" t="s">
        <v>17239</v>
      </c>
      <c r="I282" s="118"/>
      <c r="J282" s="119" t="s">
        <v>17269</v>
      </c>
      <c r="K282" t="s">
        <v>17275</v>
      </c>
      <c r="M282" s="118"/>
      <c r="N282" s="119" t="s">
        <v>17305</v>
      </c>
      <c r="O282" t="s">
        <v>17311</v>
      </c>
      <c r="Q282" s="118"/>
      <c r="R282" s="119" t="s">
        <v>17341</v>
      </c>
      <c r="S282" t="s">
        <v>17347</v>
      </c>
      <c r="U282" s="118"/>
      <c r="V282" s="119" t="s">
        <v>17377</v>
      </c>
      <c r="W282" t="s">
        <v>17383</v>
      </c>
    </row>
    <row r="283" spans="1:23" x14ac:dyDescent="0.3">
      <c r="A283" s="118"/>
      <c r="B283" s="119" t="s">
        <v>17208</v>
      </c>
      <c r="C283" t="s">
        <v>17214</v>
      </c>
      <c r="E283" s="118"/>
      <c r="F283" s="119" t="s">
        <v>17244</v>
      </c>
      <c r="G283" t="s">
        <v>17250</v>
      </c>
      <c r="I283" s="118"/>
      <c r="J283" s="119" t="s">
        <v>17280</v>
      </c>
      <c r="K283" t="s">
        <v>17286</v>
      </c>
      <c r="M283" s="118"/>
      <c r="N283" s="119" t="s">
        <v>17316</v>
      </c>
      <c r="O283" t="s">
        <v>17322</v>
      </c>
      <c r="Q283" s="118"/>
      <c r="R283" s="119" t="s">
        <v>17352</v>
      </c>
      <c r="S283" t="s">
        <v>17358</v>
      </c>
      <c r="U283" s="118"/>
      <c r="V283" s="119" t="s">
        <v>17388</v>
      </c>
      <c r="W283" t="s">
        <v>17394</v>
      </c>
    </row>
    <row r="284" spans="1:23" x14ac:dyDescent="0.3">
      <c r="A284" s="118"/>
      <c r="B284" s="119" t="s">
        <v>17209</v>
      </c>
      <c r="C284" t="s">
        <v>17215</v>
      </c>
      <c r="E284" s="118"/>
      <c r="F284" s="119" t="s">
        <v>17245</v>
      </c>
      <c r="G284" t="s">
        <v>17251</v>
      </c>
      <c r="I284" s="118"/>
      <c r="J284" s="119" t="s">
        <v>17281</v>
      </c>
      <c r="K284" t="s">
        <v>17287</v>
      </c>
      <c r="M284" s="118"/>
      <c r="N284" s="119" t="s">
        <v>17317</v>
      </c>
      <c r="O284" t="s">
        <v>17323</v>
      </c>
      <c r="Q284" s="118"/>
      <c r="R284" s="119" t="s">
        <v>17353</v>
      </c>
      <c r="S284" t="s">
        <v>17359</v>
      </c>
      <c r="U284" s="118"/>
      <c r="V284" s="119" t="s">
        <v>17389</v>
      </c>
      <c r="W284" t="s">
        <v>17395</v>
      </c>
    </row>
    <row r="285" spans="1:23" x14ac:dyDescent="0.3">
      <c r="A285" s="118"/>
      <c r="B285" s="119" t="s">
        <v>17220</v>
      </c>
      <c r="C285" t="s">
        <v>17226</v>
      </c>
      <c r="E285" s="118"/>
      <c r="F285" s="119" t="s">
        <v>17256</v>
      </c>
      <c r="G285" t="s">
        <v>17262</v>
      </c>
      <c r="I285" s="118"/>
      <c r="J285" s="119" t="s">
        <v>17292</v>
      </c>
      <c r="K285" t="s">
        <v>17298</v>
      </c>
      <c r="M285" s="118"/>
      <c r="N285" s="119" t="s">
        <v>17328</v>
      </c>
      <c r="O285" t="s">
        <v>17334</v>
      </c>
      <c r="Q285" s="118"/>
      <c r="R285" s="119" t="s">
        <v>17364</v>
      </c>
      <c r="S285" t="s">
        <v>17370</v>
      </c>
      <c r="U285" s="118"/>
      <c r="V285" s="119" t="s">
        <v>17400</v>
      </c>
      <c r="W285" t="s">
        <v>17406</v>
      </c>
    </row>
    <row r="286" spans="1:23" x14ac:dyDescent="0.3">
      <c r="A286" s="118"/>
      <c r="B286" s="119" t="s">
        <v>17221</v>
      </c>
      <c r="C286" t="s">
        <v>17227</v>
      </c>
      <c r="E286" s="118"/>
      <c r="F286" s="119" t="s">
        <v>17257</v>
      </c>
      <c r="G286" t="s">
        <v>17263</v>
      </c>
      <c r="I286" s="118"/>
      <c r="J286" s="119" t="s">
        <v>17293</v>
      </c>
      <c r="K286" t="s">
        <v>17299</v>
      </c>
      <c r="M286" s="118"/>
      <c r="N286" s="119" t="s">
        <v>17329</v>
      </c>
      <c r="O286" t="s">
        <v>17335</v>
      </c>
      <c r="Q286" s="118"/>
      <c r="R286" s="119" t="s">
        <v>17365</v>
      </c>
      <c r="S286" t="s">
        <v>17371</v>
      </c>
      <c r="U286" s="118"/>
      <c r="V286" s="119" t="s">
        <v>17401</v>
      </c>
      <c r="W286" t="s">
        <v>17407</v>
      </c>
    </row>
    <row r="287" spans="1:23" x14ac:dyDescent="0.3">
      <c r="A287" s="118"/>
      <c r="B287" s="119" t="s">
        <v>17412</v>
      </c>
      <c r="C287" t="s">
        <v>17418</v>
      </c>
      <c r="E287" s="118"/>
      <c r="F287" s="119" t="s">
        <v>17448</v>
      </c>
      <c r="G287" t="s">
        <v>17454</v>
      </c>
      <c r="I287" s="118"/>
      <c r="J287" s="119" t="s">
        <v>17484</v>
      </c>
      <c r="K287" t="s">
        <v>17490</v>
      </c>
      <c r="M287" s="118"/>
      <c r="N287" s="119" t="s">
        <v>17520</v>
      </c>
      <c r="O287" t="s">
        <v>17526</v>
      </c>
      <c r="Q287" s="118"/>
      <c r="R287" s="119" t="s">
        <v>17556</v>
      </c>
      <c r="S287" t="s">
        <v>17562</v>
      </c>
      <c r="U287" s="118"/>
      <c r="V287" s="119" t="s">
        <v>17592</v>
      </c>
      <c r="W287" t="s">
        <v>17598</v>
      </c>
    </row>
    <row r="288" spans="1:23" x14ac:dyDescent="0.3">
      <c r="A288" s="118"/>
      <c r="B288" s="119" t="s">
        <v>17413</v>
      </c>
      <c r="C288" t="s">
        <v>17419</v>
      </c>
      <c r="E288" s="118"/>
      <c r="F288" s="119" t="s">
        <v>17449</v>
      </c>
      <c r="G288" t="s">
        <v>17455</v>
      </c>
      <c r="I288" s="118"/>
      <c r="J288" s="119" t="s">
        <v>17485</v>
      </c>
      <c r="K288" t="s">
        <v>17491</v>
      </c>
      <c r="M288" s="118"/>
      <c r="N288" s="119" t="s">
        <v>17521</v>
      </c>
      <c r="O288" t="s">
        <v>17527</v>
      </c>
      <c r="Q288" s="118"/>
      <c r="R288" s="119" t="s">
        <v>17557</v>
      </c>
      <c r="S288" t="s">
        <v>17563</v>
      </c>
      <c r="U288" s="118"/>
      <c r="V288" s="119" t="s">
        <v>17593</v>
      </c>
      <c r="W288" t="s">
        <v>17599</v>
      </c>
    </row>
    <row r="289" spans="1:23" x14ac:dyDescent="0.3">
      <c r="A289" s="118"/>
      <c r="B289" s="119" t="s">
        <v>17424</v>
      </c>
      <c r="C289" t="s">
        <v>17430</v>
      </c>
      <c r="E289" s="118"/>
      <c r="F289" s="119" t="s">
        <v>17460</v>
      </c>
      <c r="G289" t="s">
        <v>17466</v>
      </c>
      <c r="I289" s="118"/>
      <c r="J289" s="119" t="s">
        <v>17496</v>
      </c>
      <c r="K289" t="s">
        <v>17502</v>
      </c>
      <c r="M289" s="118"/>
      <c r="N289" s="119" t="s">
        <v>17532</v>
      </c>
      <c r="O289" t="s">
        <v>17538</v>
      </c>
      <c r="Q289" s="118"/>
      <c r="R289" s="119" t="s">
        <v>17568</v>
      </c>
      <c r="S289" t="s">
        <v>17574</v>
      </c>
      <c r="U289" s="118"/>
      <c r="V289" s="119" t="s">
        <v>17604</v>
      </c>
      <c r="W289" t="s">
        <v>17610</v>
      </c>
    </row>
    <row r="290" spans="1:23" x14ac:dyDescent="0.3">
      <c r="A290" s="118"/>
      <c r="B290" s="119" t="s">
        <v>17425</v>
      </c>
      <c r="C290" t="s">
        <v>17431</v>
      </c>
      <c r="E290" s="118"/>
      <c r="F290" s="119" t="s">
        <v>17461</v>
      </c>
      <c r="G290" t="s">
        <v>17467</v>
      </c>
      <c r="I290" s="118"/>
      <c r="J290" s="119" t="s">
        <v>17497</v>
      </c>
      <c r="K290" t="s">
        <v>17503</v>
      </c>
      <c r="M290" s="118"/>
      <c r="N290" s="119" t="s">
        <v>17533</v>
      </c>
      <c r="O290" t="s">
        <v>17539</v>
      </c>
      <c r="Q290" s="118"/>
      <c r="R290" s="119" t="s">
        <v>17569</v>
      </c>
      <c r="S290" t="s">
        <v>17575</v>
      </c>
      <c r="U290" s="118"/>
      <c r="V290" s="119" t="s">
        <v>17605</v>
      </c>
      <c r="W290" t="s">
        <v>17611</v>
      </c>
    </row>
    <row r="291" spans="1:23" x14ac:dyDescent="0.3">
      <c r="A291" s="118"/>
      <c r="B291" s="119" t="s">
        <v>17436</v>
      </c>
      <c r="C291" t="s">
        <v>17442</v>
      </c>
      <c r="E291" s="118"/>
      <c r="F291" s="119" t="s">
        <v>17472</v>
      </c>
      <c r="G291" t="s">
        <v>17478</v>
      </c>
      <c r="I291" s="118"/>
      <c r="J291" s="119" t="s">
        <v>17508</v>
      </c>
      <c r="K291" t="s">
        <v>17514</v>
      </c>
      <c r="M291" s="118"/>
      <c r="N291" s="119" t="s">
        <v>17544</v>
      </c>
      <c r="O291" t="s">
        <v>17550</v>
      </c>
      <c r="Q291" s="118"/>
      <c r="R291" s="119" t="s">
        <v>17580</v>
      </c>
      <c r="S291" t="s">
        <v>17586</v>
      </c>
      <c r="U291" s="118"/>
      <c r="V291" s="119" t="s">
        <v>17616</v>
      </c>
      <c r="W291" t="s">
        <v>17622</v>
      </c>
    </row>
    <row r="292" spans="1:23" x14ac:dyDescent="0.3">
      <c r="A292" s="118"/>
      <c r="B292" s="119" t="s">
        <v>17437</v>
      </c>
      <c r="C292" t="s">
        <v>17443</v>
      </c>
      <c r="E292" s="118"/>
      <c r="F292" s="119" t="s">
        <v>17473</v>
      </c>
      <c r="G292" t="s">
        <v>17479</v>
      </c>
      <c r="I292" s="118"/>
      <c r="J292" s="119" t="s">
        <v>17509</v>
      </c>
      <c r="K292" t="s">
        <v>17515</v>
      </c>
      <c r="M292" s="118"/>
      <c r="N292" s="119" t="s">
        <v>17545</v>
      </c>
      <c r="O292" t="s">
        <v>17551</v>
      </c>
      <c r="Q292" s="118"/>
      <c r="R292" s="119" t="s">
        <v>17581</v>
      </c>
      <c r="S292" t="s">
        <v>17587</v>
      </c>
      <c r="U292" s="118"/>
      <c r="V292" s="119" t="s">
        <v>17617</v>
      </c>
      <c r="W292" t="s">
        <v>17623</v>
      </c>
    </row>
    <row r="293" spans="1:23" x14ac:dyDescent="0.3">
      <c r="A293" s="118"/>
      <c r="B293" s="119" t="s">
        <v>17628</v>
      </c>
      <c r="C293" t="s">
        <v>17634</v>
      </c>
      <c r="E293" s="118"/>
      <c r="F293" s="119" t="s">
        <v>17664</v>
      </c>
      <c r="G293" t="s">
        <v>17670</v>
      </c>
      <c r="I293" s="118"/>
      <c r="J293" s="119" t="s">
        <v>17700</v>
      </c>
      <c r="K293" t="s">
        <v>17706</v>
      </c>
      <c r="M293" s="118"/>
      <c r="N293" s="119" t="s">
        <v>17736</v>
      </c>
      <c r="O293" t="s">
        <v>17742</v>
      </c>
      <c r="Q293" s="118"/>
      <c r="R293" s="119" t="s">
        <v>17772</v>
      </c>
      <c r="S293" t="s">
        <v>17778</v>
      </c>
      <c r="U293" s="118"/>
      <c r="V293" s="119" t="s">
        <v>17808</v>
      </c>
      <c r="W293" t="s">
        <v>17814</v>
      </c>
    </row>
    <row r="294" spans="1:23" x14ac:dyDescent="0.3">
      <c r="A294" s="118"/>
      <c r="B294" s="119" t="s">
        <v>17629</v>
      </c>
      <c r="C294" t="s">
        <v>17635</v>
      </c>
      <c r="E294" s="118"/>
      <c r="F294" s="119" t="s">
        <v>17665</v>
      </c>
      <c r="G294" t="s">
        <v>17671</v>
      </c>
      <c r="I294" s="118"/>
      <c r="J294" s="119" t="s">
        <v>17701</v>
      </c>
      <c r="K294" t="s">
        <v>17707</v>
      </c>
      <c r="M294" s="118"/>
      <c r="N294" s="119" t="s">
        <v>17737</v>
      </c>
      <c r="O294" t="s">
        <v>17743</v>
      </c>
      <c r="Q294" s="118"/>
      <c r="R294" s="119" t="s">
        <v>17773</v>
      </c>
      <c r="S294" t="s">
        <v>17779</v>
      </c>
      <c r="U294" s="118"/>
      <c r="V294" s="119" t="s">
        <v>17809</v>
      </c>
      <c r="W294" t="s">
        <v>17815</v>
      </c>
    </row>
    <row r="295" spans="1:23" x14ac:dyDescent="0.3">
      <c r="A295" s="118"/>
      <c r="B295" s="119" t="s">
        <v>17640</v>
      </c>
      <c r="C295" t="s">
        <v>17646</v>
      </c>
      <c r="E295" s="118"/>
      <c r="F295" s="119" t="s">
        <v>17676</v>
      </c>
      <c r="G295" t="s">
        <v>17682</v>
      </c>
      <c r="I295" s="118"/>
      <c r="J295" s="119" t="s">
        <v>17712</v>
      </c>
      <c r="K295" t="s">
        <v>17718</v>
      </c>
      <c r="M295" s="118"/>
      <c r="N295" s="119" t="s">
        <v>17748</v>
      </c>
      <c r="O295" t="s">
        <v>17754</v>
      </c>
      <c r="Q295" s="118"/>
      <c r="R295" s="119" t="s">
        <v>17784</v>
      </c>
      <c r="S295" t="s">
        <v>17790</v>
      </c>
      <c r="U295" s="118"/>
      <c r="V295" s="119" t="s">
        <v>17820</v>
      </c>
      <c r="W295" t="s">
        <v>17826</v>
      </c>
    </row>
    <row r="296" spans="1:23" x14ac:dyDescent="0.3">
      <c r="A296" s="118"/>
      <c r="B296" s="119" t="s">
        <v>17641</v>
      </c>
      <c r="C296" t="s">
        <v>17647</v>
      </c>
      <c r="E296" s="118"/>
      <c r="F296" s="119" t="s">
        <v>17677</v>
      </c>
      <c r="G296" t="s">
        <v>17683</v>
      </c>
      <c r="I296" s="118"/>
      <c r="J296" s="119" t="s">
        <v>17713</v>
      </c>
      <c r="K296" t="s">
        <v>17719</v>
      </c>
      <c r="M296" s="118"/>
      <c r="N296" s="119" t="s">
        <v>17749</v>
      </c>
      <c r="O296" t="s">
        <v>17755</v>
      </c>
      <c r="Q296" s="118"/>
      <c r="R296" s="119" t="s">
        <v>17785</v>
      </c>
      <c r="S296" t="s">
        <v>17791</v>
      </c>
      <c r="U296" s="118"/>
      <c r="V296" s="119" t="s">
        <v>17821</v>
      </c>
      <c r="W296" t="s">
        <v>17827</v>
      </c>
    </row>
    <row r="297" spans="1:23" x14ac:dyDescent="0.3">
      <c r="A297" s="118"/>
      <c r="B297" s="119" t="s">
        <v>17652</v>
      </c>
      <c r="C297" t="s">
        <v>17658</v>
      </c>
      <c r="E297" s="118"/>
      <c r="F297" s="119" t="s">
        <v>17688</v>
      </c>
      <c r="G297" t="s">
        <v>17694</v>
      </c>
      <c r="I297" s="118"/>
      <c r="J297" s="119" t="s">
        <v>17724</v>
      </c>
      <c r="K297" t="s">
        <v>17730</v>
      </c>
      <c r="M297" s="118"/>
      <c r="N297" s="119" t="s">
        <v>17760</v>
      </c>
      <c r="O297" t="s">
        <v>17766</v>
      </c>
      <c r="Q297" s="118"/>
      <c r="R297" s="119" t="s">
        <v>17796</v>
      </c>
      <c r="S297" t="s">
        <v>17802</v>
      </c>
      <c r="U297" s="118"/>
      <c r="V297" s="119" t="s">
        <v>17832</v>
      </c>
      <c r="W297" t="s">
        <v>17838</v>
      </c>
    </row>
    <row r="298" spans="1:23" x14ac:dyDescent="0.3">
      <c r="A298" s="118"/>
      <c r="B298" s="119" t="s">
        <v>17653</v>
      </c>
      <c r="C298" t="s">
        <v>17659</v>
      </c>
      <c r="E298" s="118"/>
      <c r="F298" s="119" t="s">
        <v>17689</v>
      </c>
      <c r="G298" t="s">
        <v>17695</v>
      </c>
      <c r="I298" s="118"/>
      <c r="J298" s="119" t="s">
        <v>17725</v>
      </c>
      <c r="K298" t="s">
        <v>17731</v>
      </c>
      <c r="M298" s="118"/>
      <c r="N298" s="119" t="s">
        <v>17761</v>
      </c>
      <c r="O298" t="s">
        <v>17767</v>
      </c>
      <c r="Q298" s="118"/>
      <c r="R298" s="119" t="s">
        <v>17797</v>
      </c>
      <c r="S298" t="s">
        <v>17803</v>
      </c>
      <c r="U298" s="118"/>
      <c r="V298" s="119" t="s">
        <v>17833</v>
      </c>
      <c r="W298" t="s">
        <v>17839</v>
      </c>
    </row>
    <row r="299" spans="1:23" x14ac:dyDescent="0.3">
      <c r="A299" s="118"/>
      <c r="B299" s="119" t="s">
        <v>17844</v>
      </c>
      <c r="C299" t="s">
        <v>17850</v>
      </c>
      <c r="E299" s="118"/>
      <c r="F299" s="119" t="s">
        <v>17880</v>
      </c>
      <c r="G299" t="s">
        <v>17886</v>
      </c>
      <c r="I299" s="118"/>
      <c r="J299" s="119" t="s">
        <v>17916</v>
      </c>
      <c r="K299" t="s">
        <v>17922</v>
      </c>
      <c r="M299" s="118"/>
      <c r="N299" s="119" t="s">
        <v>17952</v>
      </c>
      <c r="O299" t="s">
        <v>17958</v>
      </c>
      <c r="Q299" s="118"/>
      <c r="R299" s="119" t="s">
        <v>17988</v>
      </c>
      <c r="S299" t="s">
        <v>17994</v>
      </c>
      <c r="U299" s="118"/>
      <c r="V299" s="119" t="s">
        <v>18024</v>
      </c>
      <c r="W299" t="s">
        <v>18030</v>
      </c>
    </row>
    <row r="300" spans="1:23" x14ac:dyDescent="0.3">
      <c r="A300" s="118"/>
      <c r="B300" s="119" t="s">
        <v>17845</v>
      </c>
      <c r="C300" t="s">
        <v>17851</v>
      </c>
      <c r="E300" s="118"/>
      <c r="F300" s="119" t="s">
        <v>17881</v>
      </c>
      <c r="G300" t="s">
        <v>17887</v>
      </c>
      <c r="I300" s="118"/>
      <c r="J300" s="119" t="s">
        <v>17917</v>
      </c>
      <c r="K300" t="s">
        <v>17923</v>
      </c>
      <c r="M300" s="118"/>
      <c r="N300" s="119" t="s">
        <v>17953</v>
      </c>
      <c r="O300" t="s">
        <v>17959</v>
      </c>
      <c r="Q300" s="118"/>
      <c r="R300" s="119" t="s">
        <v>17989</v>
      </c>
      <c r="S300" t="s">
        <v>17995</v>
      </c>
      <c r="U300" s="118"/>
      <c r="V300" s="119" t="s">
        <v>18025</v>
      </c>
      <c r="W300" t="s">
        <v>18031</v>
      </c>
    </row>
    <row r="301" spans="1:23" x14ac:dyDescent="0.3">
      <c r="A301" s="118"/>
      <c r="B301" s="119" t="s">
        <v>17856</v>
      </c>
      <c r="C301" t="s">
        <v>17862</v>
      </c>
      <c r="E301" s="118"/>
      <c r="F301" s="119" t="s">
        <v>17892</v>
      </c>
      <c r="G301" t="s">
        <v>17898</v>
      </c>
      <c r="I301" s="118"/>
      <c r="J301" s="119" t="s">
        <v>17928</v>
      </c>
      <c r="K301" t="s">
        <v>17934</v>
      </c>
      <c r="M301" s="118"/>
      <c r="N301" s="119" t="s">
        <v>17964</v>
      </c>
      <c r="O301" t="s">
        <v>17970</v>
      </c>
      <c r="Q301" s="118"/>
      <c r="R301" s="119" t="s">
        <v>18000</v>
      </c>
      <c r="S301" t="s">
        <v>18006</v>
      </c>
      <c r="U301" s="118"/>
      <c r="V301" s="119" t="s">
        <v>18036</v>
      </c>
      <c r="W301" t="s">
        <v>18042</v>
      </c>
    </row>
    <row r="302" spans="1:23" x14ac:dyDescent="0.3">
      <c r="A302" s="118"/>
      <c r="B302" s="119" t="s">
        <v>17857</v>
      </c>
      <c r="C302" t="s">
        <v>17863</v>
      </c>
      <c r="E302" s="118"/>
      <c r="F302" s="119" t="s">
        <v>17893</v>
      </c>
      <c r="G302" t="s">
        <v>17899</v>
      </c>
      <c r="I302" s="118"/>
      <c r="J302" s="119" t="s">
        <v>17929</v>
      </c>
      <c r="K302" t="s">
        <v>17935</v>
      </c>
      <c r="M302" s="118"/>
      <c r="N302" s="119" t="s">
        <v>17965</v>
      </c>
      <c r="O302" t="s">
        <v>17971</v>
      </c>
      <c r="Q302" s="118"/>
      <c r="R302" s="119" t="s">
        <v>18001</v>
      </c>
      <c r="S302" t="s">
        <v>18007</v>
      </c>
      <c r="U302" s="118"/>
      <c r="V302" s="119" t="s">
        <v>18037</v>
      </c>
      <c r="W302" t="s">
        <v>18043</v>
      </c>
    </row>
    <row r="303" spans="1:23" x14ac:dyDescent="0.3">
      <c r="A303" s="118"/>
      <c r="B303" s="119" t="s">
        <v>17868</v>
      </c>
      <c r="C303" t="s">
        <v>17874</v>
      </c>
      <c r="E303" s="118"/>
      <c r="F303" s="119" t="s">
        <v>17904</v>
      </c>
      <c r="G303" t="s">
        <v>17910</v>
      </c>
      <c r="I303" s="118"/>
      <c r="J303" s="119" t="s">
        <v>17940</v>
      </c>
      <c r="K303" t="s">
        <v>17946</v>
      </c>
      <c r="M303" s="118"/>
      <c r="N303" s="119" t="s">
        <v>17976</v>
      </c>
      <c r="O303" t="s">
        <v>17982</v>
      </c>
      <c r="Q303" s="118"/>
      <c r="R303" s="119" t="s">
        <v>18012</v>
      </c>
      <c r="S303" t="s">
        <v>18018</v>
      </c>
      <c r="U303" s="118"/>
      <c r="V303" s="119" t="s">
        <v>18048</v>
      </c>
      <c r="W303" t="s">
        <v>18054</v>
      </c>
    </row>
    <row r="304" spans="1:23" x14ac:dyDescent="0.3">
      <c r="A304" s="118"/>
      <c r="B304" s="119" t="s">
        <v>17869</v>
      </c>
      <c r="C304" t="s">
        <v>17875</v>
      </c>
      <c r="E304" s="118"/>
      <c r="F304" s="119" t="s">
        <v>17905</v>
      </c>
      <c r="G304" t="s">
        <v>17911</v>
      </c>
      <c r="I304" s="118"/>
      <c r="J304" s="119" t="s">
        <v>17941</v>
      </c>
      <c r="K304" t="s">
        <v>17947</v>
      </c>
      <c r="M304" s="118"/>
      <c r="N304" s="119" t="s">
        <v>17977</v>
      </c>
      <c r="O304" t="s">
        <v>17983</v>
      </c>
      <c r="Q304" s="118"/>
      <c r="R304" s="119" t="s">
        <v>18013</v>
      </c>
      <c r="S304" t="s">
        <v>18019</v>
      </c>
      <c r="U304" s="118"/>
      <c r="V304" s="119" t="s">
        <v>18049</v>
      </c>
      <c r="W304" t="s">
        <v>18055</v>
      </c>
    </row>
    <row r="305" spans="1:23" x14ac:dyDescent="0.3">
      <c r="A305" s="118"/>
      <c r="B305" s="119" t="s">
        <v>18060</v>
      </c>
      <c r="C305" t="s">
        <v>18066</v>
      </c>
      <c r="E305" s="118"/>
      <c r="F305" s="119" t="s">
        <v>18096</v>
      </c>
      <c r="G305" t="s">
        <v>18102</v>
      </c>
      <c r="I305" s="118"/>
      <c r="J305" s="119" t="s">
        <v>18132</v>
      </c>
      <c r="K305" t="s">
        <v>18138</v>
      </c>
      <c r="M305" s="118"/>
      <c r="N305" s="119" t="s">
        <v>18168</v>
      </c>
      <c r="O305" t="s">
        <v>18174</v>
      </c>
      <c r="Q305" s="118"/>
      <c r="R305" s="119" t="s">
        <v>18204</v>
      </c>
      <c r="S305" t="s">
        <v>18210</v>
      </c>
      <c r="U305" s="118"/>
      <c r="V305" s="119" t="s">
        <v>18240</v>
      </c>
      <c r="W305" t="s">
        <v>18246</v>
      </c>
    </row>
    <row r="306" spans="1:23" x14ac:dyDescent="0.3">
      <c r="A306" s="118"/>
      <c r="B306" s="119" t="s">
        <v>18061</v>
      </c>
      <c r="C306" t="s">
        <v>18067</v>
      </c>
      <c r="E306" s="118"/>
      <c r="F306" s="119" t="s">
        <v>18097</v>
      </c>
      <c r="G306" t="s">
        <v>18103</v>
      </c>
      <c r="I306" s="118"/>
      <c r="J306" s="119" t="s">
        <v>18133</v>
      </c>
      <c r="K306" t="s">
        <v>18139</v>
      </c>
      <c r="M306" s="118"/>
      <c r="N306" s="119" t="s">
        <v>18169</v>
      </c>
      <c r="O306" t="s">
        <v>18175</v>
      </c>
      <c r="Q306" s="118"/>
      <c r="R306" s="119" t="s">
        <v>18205</v>
      </c>
      <c r="S306" t="s">
        <v>18211</v>
      </c>
      <c r="U306" s="118"/>
      <c r="V306" s="119" t="s">
        <v>18241</v>
      </c>
      <c r="W306" t="s">
        <v>18247</v>
      </c>
    </row>
    <row r="307" spans="1:23" x14ac:dyDescent="0.3">
      <c r="A307" s="118"/>
      <c r="B307" s="119" t="s">
        <v>18072</v>
      </c>
      <c r="C307" t="s">
        <v>18078</v>
      </c>
      <c r="E307" s="118"/>
      <c r="F307" s="119" t="s">
        <v>18108</v>
      </c>
      <c r="G307" t="s">
        <v>18114</v>
      </c>
      <c r="I307" s="118"/>
      <c r="J307" s="119" t="s">
        <v>18144</v>
      </c>
      <c r="K307" t="s">
        <v>18150</v>
      </c>
      <c r="M307" s="118"/>
      <c r="N307" s="119" t="s">
        <v>18180</v>
      </c>
      <c r="O307" t="s">
        <v>18186</v>
      </c>
      <c r="Q307" s="118"/>
      <c r="R307" s="119" t="s">
        <v>18216</v>
      </c>
      <c r="S307" t="s">
        <v>18222</v>
      </c>
      <c r="U307" s="118"/>
      <c r="V307" s="119" t="s">
        <v>18252</v>
      </c>
      <c r="W307" t="s">
        <v>18258</v>
      </c>
    </row>
    <row r="308" spans="1:23" x14ac:dyDescent="0.3">
      <c r="A308" s="118"/>
      <c r="B308" s="119" t="s">
        <v>18073</v>
      </c>
      <c r="C308" t="s">
        <v>18079</v>
      </c>
      <c r="E308" s="118"/>
      <c r="F308" s="119" t="s">
        <v>18109</v>
      </c>
      <c r="G308" t="s">
        <v>18115</v>
      </c>
      <c r="I308" s="118"/>
      <c r="J308" s="119" t="s">
        <v>18145</v>
      </c>
      <c r="K308" t="s">
        <v>18151</v>
      </c>
      <c r="M308" s="118"/>
      <c r="N308" s="119" t="s">
        <v>18181</v>
      </c>
      <c r="O308" t="s">
        <v>18187</v>
      </c>
      <c r="Q308" s="118"/>
      <c r="R308" s="119" t="s">
        <v>18217</v>
      </c>
      <c r="S308" t="s">
        <v>18223</v>
      </c>
      <c r="U308" s="118"/>
      <c r="V308" s="119" t="s">
        <v>18253</v>
      </c>
      <c r="W308" t="s">
        <v>18259</v>
      </c>
    </row>
    <row r="309" spans="1:23" x14ac:dyDescent="0.3">
      <c r="A309" s="118"/>
      <c r="B309" s="119" t="s">
        <v>18084</v>
      </c>
      <c r="C309" t="s">
        <v>18090</v>
      </c>
      <c r="E309" s="118"/>
      <c r="F309" s="119" t="s">
        <v>18120</v>
      </c>
      <c r="G309" t="s">
        <v>18126</v>
      </c>
      <c r="I309" s="118"/>
      <c r="J309" s="119" t="s">
        <v>18156</v>
      </c>
      <c r="K309" t="s">
        <v>18162</v>
      </c>
      <c r="M309" s="118"/>
      <c r="N309" s="119" t="s">
        <v>18192</v>
      </c>
      <c r="O309" t="s">
        <v>18198</v>
      </c>
      <c r="Q309" s="118"/>
      <c r="R309" s="119" t="s">
        <v>18228</v>
      </c>
      <c r="S309" t="s">
        <v>18234</v>
      </c>
      <c r="U309" s="118"/>
      <c r="V309" s="119" t="s">
        <v>18264</v>
      </c>
      <c r="W309" t="s">
        <v>18270</v>
      </c>
    </row>
    <row r="310" spans="1:23" x14ac:dyDescent="0.3">
      <c r="A310" s="118"/>
      <c r="B310" s="119" t="s">
        <v>18085</v>
      </c>
      <c r="C310" t="s">
        <v>18091</v>
      </c>
      <c r="E310" s="118"/>
      <c r="F310" s="119" t="s">
        <v>18121</v>
      </c>
      <c r="G310" t="s">
        <v>18127</v>
      </c>
      <c r="I310" s="118"/>
      <c r="J310" s="119" t="s">
        <v>18157</v>
      </c>
      <c r="K310" t="s">
        <v>18163</v>
      </c>
      <c r="M310" s="118"/>
      <c r="N310" s="119" t="s">
        <v>18193</v>
      </c>
      <c r="O310" t="s">
        <v>18199</v>
      </c>
      <c r="Q310" s="118"/>
      <c r="R310" s="119" t="s">
        <v>18229</v>
      </c>
      <c r="S310" t="s">
        <v>18235</v>
      </c>
      <c r="U310" s="118"/>
      <c r="V310" s="119" t="s">
        <v>18265</v>
      </c>
      <c r="W310" t="s">
        <v>18271</v>
      </c>
    </row>
    <row r="311" spans="1:23" x14ac:dyDescent="0.3">
      <c r="A311" s="118"/>
      <c r="B311" s="119" t="s">
        <v>18276</v>
      </c>
      <c r="C311" t="s">
        <v>18282</v>
      </c>
      <c r="E311" s="118"/>
      <c r="F311" s="119" t="s">
        <v>18312</v>
      </c>
      <c r="G311" t="s">
        <v>18318</v>
      </c>
      <c r="I311" s="118"/>
      <c r="J311" s="119" t="s">
        <v>18348</v>
      </c>
      <c r="K311" t="s">
        <v>18354</v>
      </c>
      <c r="M311" s="118"/>
      <c r="N311" s="119" t="s">
        <v>18384</v>
      </c>
      <c r="O311" t="s">
        <v>18390</v>
      </c>
      <c r="Q311" s="118"/>
      <c r="R311" s="119" t="s">
        <v>18420</v>
      </c>
      <c r="S311" t="s">
        <v>18426</v>
      </c>
      <c r="U311" s="118"/>
      <c r="V311" s="119" t="s">
        <v>18456</v>
      </c>
      <c r="W311" t="s">
        <v>18462</v>
      </c>
    </row>
    <row r="312" spans="1:23" x14ac:dyDescent="0.3">
      <c r="A312" s="118"/>
      <c r="B312" s="119" t="s">
        <v>18277</v>
      </c>
      <c r="C312" t="s">
        <v>18283</v>
      </c>
      <c r="E312" s="118"/>
      <c r="F312" s="119" t="s">
        <v>18313</v>
      </c>
      <c r="G312" t="s">
        <v>18319</v>
      </c>
      <c r="I312" s="118"/>
      <c r="J312" s="119" t="s">
        <v>18349</v>
      </c>
      <c r="K312" t="s">
        <v>18355</v>
      </c>
      <c r="M312" s="118"/>
      <c r="N312" s="119" t="s">
        <v>18385</v>
      </c>
      <c r="O312" t="s">
        <v>18391</v>
      </c>
      <c r="Q312" s="118"/>
      <c r="R312" s="119" t="s">
        <v>18421</v>
      </c>
      <c r="S312" t="s">
        <v>18427</v>
      </c>
      <c r="U312" s="118"/>
      <c r="V312" s="119" t="s">
        <v>18457</v>
      </c>
      <c r="W312" t="s">
        <v>18463</v>
      </c>
    </row>
    <row r="313" spans="1:23" x14ac:dyDescent="0.3">
      <c r="A313" s="118"/>
      <c r="B313" s="119" t="s">
        <v>18288</v>
      </c>
      <c r="C313" t="s">
        <v>18294</v>
      </c>
      <c r="E313" s="118"/>
      <c r="F313" s="119" t="s">
        <v>18324</v>
      </c>
      <c r="G313" t="s">
        <v>18330</v>
      </c>
      <c r="I313" s="118"/>
      <c r="J313" s="119" t="s">
        <v>18360</v>
      </c>
      <c r="K313" t="s">
        <v>18366</v>
      </c>
      <c r="M313" s="118"/>
      <c r="N313" s="119" t="s">
        <v>18396</v>
      </c>
      <c r="O313" t="s">
        <v>18402</v>
      </c>
      <c r="Q313" s="118"/>
      <c r="R313" s="119" t="s">
        <v>18432</v>
      </c>
      <c r="S313" t="s">
        <v>18438</v>
      </c>
      <c r="U313" s="118"/>
      <c r="V313" s="119" t="s">
        <v>18468</v>
      </c>
      <c r="W313" t="s">
        <v>18474</v>
      </c>
    </row>
    <row r="314" spans="1:23" x14ac:dyDescent="0.3">
      <c r="A314" s="118"/>
      <c r="B314" s="119" t="s">
        <v>18289</v>
      </c>
      <c r="C314" t="s">
        <v>18295</v>
      </c>
      <c r="E314" s="118"/>
      <c r="F314" s="119" t="s">
        <v>18325</v>
      </c>
      <c r="G314" t="s">
        <v>18331</v>
      </c>
      <c r="I314" s="118"/>
      <c r="J314" s="119" t="s">
        <v>18361</v>
      </c>
      <c r="K314" t="s">
        <v>18367</v>
      </c>
      <c r="M314" s="118"/>
      <c r="N314" s="119" t="s">
        <v>18397</v>
      </c>
      <c r="O314" t="s">
        <v>18403</v>
      </c>
      <c r="Q314" s="118"/>
      <c r="R314" s="119" t="s">
        <v>18433</v>
      </c>
      <c r="S314" t="s">
        <v>18439</v>
      </c>
      <c r="U314" s="118"/>
      <c r="V314" s="119" t="s">
        <v>18469</v>
      </c>
      <c r="W314" t="s">
        <v>18475</v>
      </c>
    </row>
    <row r="315" spans="1:23" x14ac:dyDescent="0.3">
      <c r="A315" s="118"/>
      <c r="B315" s="119" t="s">
        <v>18300</v>
      </c>
      <c r="C315" t="s">
        <v>18306</v>
      </c>
      <c r="E315" s="118"/>
      <c r="F315" s="119" t="s">
        <v>18336</v>
      </c>
      <c r="G315" t="s">
        <v>18342</v>
      </c>
      <c r="I315" s="118"/>
      <c r="J315" s="119" t="s">
        <v>18372</v>
      </c>
      <c r="K315" t="s">
        <v>18378</v>
      </c>
      <c r="M315" s="118"/>
      <c r="N315" s="119" t="s">
        <v>18408</v>
      </c>
      <c r="O315" t="s">
        <v>18414</v>
      </c>
      <c r="Q315" s="118"/>
      <c r="R315" s="119" t="s">
        <v>18444</v>
      </c>
      <c r="S315" t="s">
        <v>18450</v>
      </c>
      <c r="U315" s="118"/>
      <c r="V315" s="119" t="s">
        <v>18480</v>
      </c>
      <c r="W315" t="s">
        <v>18486</v>
      </c>
    </row>
    <row r="316" spans="1:23" x14ac:dyDescent="0.3">
      <c r="A316" s="118"/>
      <c r="B316" s="119" t="s">
        <v>18301</v>
      </c>
      <c r="C316" t="s">
        <v>18307</v>
      </c>
      <c r="E316" s="118"/>
      <c r="F316" s="119" t="s">
        <v>18337</v>
      </c>
      <c r="G316" t="s">
        <v>18343</v>
      </c>
      <c r="I316" s="118"/>
      <c r="J316" s="119" t="s">
        <v>18373</v>
      </c>
      <c r="K316" t="s">
        <v>18379</v>
      </c>
      <c r="M316" s="118"/>
      <c r="N316" s="119" t="s">
        <v>18409</v>
      </c>
      <c r="O316" t="s">
        <v>18415</v>
      </c>
      <c r="Q316" s="118"/>
      <c r="R316" s="119" t="s">
        <v>18445</v>
      </c>
      <c r="S316" t="s">
        <v>18451</v>
      </c>
      <c r="U316" s="118"/>
      <c r="V316" s="119" t="s">
        <v>18481</v>
      </c>
      <c r="W316" t="s">
        <v>18487</v>
      </c>
    </row>
    <row r="317" spans="1:23" x14ac:dyDescent="0.3">
      <c r="A317" s="118"/>
      <c r="B317" s="119" t="s">
        <v>18492</v>
      </c>
      <c r="C317" t="s">
        <v>18498</v>
      </c>
      <c r="E317" s="118"/>
      <c r="F317" s="119" t="s">
        <v>18528</v>
      </c>
      <c r="G317" t="s">
        <v>18534</v>
      </c>
      <c r="I317" s="118"/>
      <c r="J317" s="119" t="s">
        <v>18564</v>
      </c>
      <c r="K317" t="s">
        <v>18570</v>
      </c>
      <c r="M317" s="118"/>
      <c r="N317" s="119" t="s">
        <v>18600</v>
      </c>
      <c r="O317" t="s">
        <v>18606</v>
      </c>
      <c r="Q317" s="118"/>
      <c r="R317" s="119" t="s">
        <v>18636</v>
      </c>
      <c r="S317" t="s">
        <v>18642</v>
      </c>
      <c r="U317" s="118"/>
      <c r="V317" s="119" t="s">
        <v>18672</v>
      </c>
      <c r="W317" t="s">
        <v>18678</v>
      </c>
    </row>
    <row r="318" spans="1:23" x14ac:dyDescent="0.3">
      <c r="A318" s="118"/>
      <c r="B318" s="119" t="s">
        <v>18493</v>
      </c>
      <c r="C318" t="s">
        <v>18499</v>
      </c>
      <c r="E318" s="118"/>
      <c r="F318" s="119" t="s">
        <v>18529</v>
      </c>
      <c r="G318" t="s">
        <v>18535</v>
      </c>
      <c r="I318" s="118"/>
      <c r="J318" s="119" t="s">
        <v>18565</v>
      </c>
      <c r="K318" t="s">
        <v>18571</v>
      </c>
      <c r="M318" s="118"/>
      <c r="N318" s="119" t="s">
        <v>18601</v>
      </c>
      <c r="O318" t="s">
        <v>18607</v>
      </c>
      <c r="Q318" s="118"/>
      <c r="R318" s="119" t="s">
        <v>18637</v>
      </c>
      <c r="S318" t="s">
        <v>18643</v>
      </c>
      <c r="U318" s="118"/>
      <c r="V318" s="119" t="s">
        <v>18673</v>
      </c>
      <c r="W318" t="s">
        <v>18679</v>
      </c>
    </row>
    <row r="319" spans="1:23" x14ac:dyDescent="0.3">
      <c r="A319" s="118"/>
      <c r="B319" s="119" t="s">
        <v>18504</v>
      </c>
      <c r="C319" t="s">
        <v>18510</v>
      </c>
      <c r="E319" s="118"/>
      <c r="F319" s="119" t="s">
        <v>18540</v>
      </c>
      <c r="G319" t="s">
        <v>18546</v>
      </c>
      <c r="I319" s="118"/>
      <c r="J319" s="119" t="s">
        <v>18576</v>
      </c>
      <c r="K319" t="s">
        <v>18582</v>
      </c>
      <c r="M319" s="118"/>
      <c r="N319" s="119" t="s">
        <v>18612</v>
      </c>
      <c r="O319" t="s">
        <v>18618</v>
      </c>
      <c r="Q319" s="118"/>
      <c r="R319" s="119" t="s">
        <v>18648</v>
      </c>
      <c r="S319" t="s">
        <v>18654</v>
      </c>
      <c r="U319" s="118"/>
      <c r="V319" s="119" t="s">
        <v>18684</v>
      </c>
      <c r="W319" t="s">
        <v>18690</v>
      </c>
    </row>
    <row r="320" spans="1:23" x14ac:dyDescent="0.3">
      <c r="A320" s="118"/>
      <c r="B320" s="119" t="s">
        <v>18505</v>
      </c>
      <c r="C320" t="s">
        <v>18511</v>
      </c>
      <c r="E320" s="118"/>
      <c r="F320" s="119" t="s">
        <v>18541</v>
      </c>
      <c r="G320" t="s">
        <v>18547</v>
      </c>
      <c r="I320" s="118"/>
      <c r="J320" s="119" t="s">
        <v>18577</v>
      </c>
      <c r="K320" t="s">
        <v>18583</v>
      </c>
      <c r="M320" s="118"/>
      <c r="N320" s="119" t="s">
        <v>18613</v>
      </c>
      <c r="O320" t="s">
        <v>18619</v>
      </c>
      <c r="Q320" s="118"/>
      <c r="R320" s="119" t="s">
        <v>18649</v>
      </c>
      <c r="S320" t="s">
        <v>18655</v>
      </c>
      <c r="U320" s="118"/>
      <c r="V320" s="119" t="s">
        <v>18685</v>
      </c>
      <c r="W320" t="s">
        <v>18691</v>
      </c>
    </row>
    <row r="321" spans="1:23" x14ac:dyDescent="0.3">
      <c r="A321" s="118"/>
      <c r="B321" s="119" t="s">
        <v>18516</v>
      </c>
      <c r="C321" t="s">
        <v>18522</v>
      </c>
      <c r="E321" s="118"/>
      <c r="F321" s="119" t="s">
        <v>18552</v>
      </c>
      <c r="G321" t="s">
        <v>18558</v>
      </c>
      <c r="I321" s="118"/>
      <c r="J321" s="119" t="s">
        <v>18588</v>
      </c>
      <c r="K321" t="s">
        <v>18594</v>
      </c>
      <c r="M321" s="118"/>
      <c r="N321" s="119" t="s">
        <v>18624</v>
      </c>
      <c r="O321" t="s">
        <v>18630</v>
      </c>
      <c r="Q321" s="118"/>
      <c r="R321" s="119" t="s">
        <v>18660</v>
      </c>
      <c r="S321" t="s">
        <v>18666</v>
      </c>
      <c r="U321" s="118"/>
      <c r="V321" s="119" t="s">
        <v>18696</v>
      </c>
      <c r="W321" t="s">
        <v>18702</v>
      </c>
    </row>
    <row r="322" spans="1:23" x14ac:dyDescent="0.3">
      <c r="A322" s="118"/>
      <c r="B322" s="119" t="s">
        <v>18517</v>
      </c>
      <c r="C322" t="s">
        <v>18523</v>
      </c>
      <c r="E322" s="118"/>
      <c r="F322" s="119" t="s">
        <v>18553</v>
      </c>
      <c r="G322" t="s">
        <v>18559</v>
      </c>
      <c r="I322" s="118"/>
      <c r="J322" s="119" t="s">
        <v>18589</v>
      </c>
      <c r="K322" t="s">
        <v>18595</v>
      </c>
      <c r="M322" s="118"/>
      <c r="N322" s="119" t="s">
        <v>18625</v>
      </c>
      <c r="O322" t="s">
        <v>18631</v>
      </c>
      <c r="Q322" s="118"/>
      <c r="R322" s="119" t="s">
        <v>18661</v>
      </c>
      <c r="S322" t="s">
        <v>18667</v>
      </c>
      <c r="U322" s="118"/>
      <c r="V322" s="119" t="s">
        <v>18697</v>
      </c>
      <c r="W322" t="s">
        <v>18703</v>
      </c>
    </row>
    <row r="323" spans="1:23" x14ac:dyDescent="0.3">
      <c r="A323" s="118"/>
      <c r="B323" s="119" t="s">
        <v>18708</v>
      </c>
      <c r="C323" t="s">
        <v>18714</v>
      </c>
      <c r="E323" s="118"/>
      <c r="F323" s="119" t="s">
        <v>18744</v>
      </c>
      <c r="G323" t="s">
        <v>18750</v>
      </c>
      <c r="I323" s="118"/>
      <c r="J323" s="119" t="s">
        <v>18780</v>
      </c>
      <c r="K323" t="s">
        <v>18786</v>
      </c>
      <c r="M323" s="118"/>
      <c r="N323" s="119" t="s">
        <v>18816</v>
      </c>
      <c r="O323" t="s">
        <v>18822</v>
      </c>
      <c r="Q323" s="118"/>
      <c r="R323" s="119" t="s">
        <v>18852</v>
      </c>
      <c r="S323" t="s">
        <v>18858</v>
      </c>
      <c r="U323" s="118"/>
      <c r="V323" s="119" t="s">
        <v>18888</v>
      </c>
      <c r="W323" t="s">
        <v>18894</v>
      </c>
    </row>
    <row r="324" spans="1:23" x14ac:dyDescent="0.3">
      <c r="A324" s="118"/>
      <c r="B324" s="119" t="s">
        <v>18709</v>
      </c>
      <c r="C324" t="s">
        <v>18715</v>
      </c>
      <c r="E324" s="118"/>
      <c r="F324" s="119" t="s">
        <v>18745</v>
      </c>
      <c r="G324" t="s">
        <v>18751</v>
      </c>
      <c r="I324" s="118"/>
      <c r="J324" s="119" t="s">
        <v>18781</v>
      </c>
      <c r="K324" t="s">
        <v>18787</v>
      </c>
      <c r="M324" s="118"/>
      <c r="N324" s="119" t="s">
        <v>18817</v>
      </c>
      <c r="O324" t="s">
        <v>18823</v>
      </c>
      <c r="Q324" s="118"/>
      <c r="R324" s="119" t="s">
        <v>18853</v>
      </c>
      <c r="S324" t="s">
        <v>18859</v>
      </c>
      <c r="U324" s="118"/>
      <c r="V324" s="119" t="s">
        <v>18889</v>
      </c>
      <c r="W324" t="s">
        <v>18895</v>
      </c>
    </row>
    <row r="325" spans="1:23" x14ac:dyDescent="0.3">
      <c r="A325" s="118"/>
      <c r="B325" s="119" t="s">
        <v>18720</v>
      </c>
      <c r="C325" t="s">
        <v>18726</v>
      </c>
      <c r="E325" s="118"/>
      <c r="F325" s="119" t="s">
        <v>18756</v>
      </c>
      <c r="G325" t="s">
        <v>18762</v>
      </c>
      <c r="I325" s="118"/>
      <c r="J325" s="119" t="s">
        <v>18792</v>
      </c>
      <c r="K325" t="s">
        <v>18798</v>
      </c>
      <c r="M325" s="118"/>
      <c r="N325" s="119" t="s">
        <v>18828</v>
      </c>
      <c r="O325" t="s">
        <v>18834</v>
      </c>
      <c r="Q325" s="118"/>
      <c r="R325" s="119" t="s">
        <v>18864</v>
      </c>
      <c r="S325" t="s">
        <v>18870</v>
      </c>
      <c r="U325" s="118"/>
      <c r="V325" s="119" t="s">
        <v>18900</v>
      </c>
      <c r="W325" t="s">
        <v>18906</v>
      </c>
    </row>
    <row r="326" spans="1:23" x14ac:dyDescent="0.3">
      <c r="A326" s="118"/>
      <c r="B326" s="119" t="s">
        <v>18721</v>
      </c>
      <c r="C326" t="s">
        <v>18727</v>
      </c>
      <c r="E326" s="118"/>
      <c r="F326" s="119" t="s">
        <v>18757</v>
      </c>
      <c r="G326" t="s">
        <v>18763</v>
      </c>
      <c r="I326" s="118"/>
      <c r="J326" s="119" t="s">
        <v>18793</v>
      </c>
      <c r="K326" t="s">
        <v>18799</v>
      </c>
      <c r="M326" s="118"/>
      <c r="N326" s="119" t="s">
        <v>18829</v>
      </c>
      <c r="O326" t="s">
        <v>18835</v>
      </c>
      <c r="Q326" s="118"/>
      <c r="R326" s="119" t="s">
        <v>18865</v>
      </c>
      <c r="S326" t="s">
        <v>18871</v>
      </c>
      <c r="U326" s="118"/>
      <c r="V326" s="119" t="s">
        <v>18901</v>
      </c>
      <c r="W326" t="s">
        <v>18907</v>
      </c>
    </row>
    <row r="327" spans="1:23" x14ac:dyDescent="0.3">
      <c r="A327" s="118"/>
      <c r="B327" s="119" t="s">
        <v>18732</v>
      </c>
      <c r="C327" t="s">
        <v>18738</v>
      </c>
      <c r="E327" s="118"/>
      <c r="F327" s="119" t="s">
        <v>18768</v>
      </c>
      <c r="G327" t="s">
        <v>18774</v>
      </c>
      <c r="I327" s="118"/>
      <c r="J327" s="119" t="s">
        <v>18804</v>
      </c>
      <c r="K327" t="s">
        <v>18810</v>
      </c>
      <c r="M327" s="118"/>
      <c r="N327" s="119" t="s">
        <v>18840</v>
      </c>
      <c r="O327" t="s">
        <v>18846</v>
      </c>
      <c r="Q327" s="118"/>
      <c r="R327" s="119" t="s">
        <v>18876</v>
      </c>
      <c r="S327" t="s">
        <v>18882</v>
      </c>
      <c r="U327" s="118"/>
      <c r="V327" s="119" t="s">
        <v>18912</v>
      </c>
      <c r="W327" t="s">
        <v>18918</v>
      </c>
    </row>
    <row r="328" spans="1:23" x14ac:dyDescent="0.3">
      <c r="A328" s="118"/>
      <c r="B328" s="119" t="s">
        <v>18733</v>
      </c>
      <c r="C328" t="s">
        <v>18739</v>
      </c>
      <c r="E328" s="118"/>
      <c r="F328" s="119" t="s">
        <v>18769</v>
      </c>
      <c r="G328" t="s">
        <v>18775</v>
      </c>
      <c r="I328" s="118"/>
      <c r="J328" s="119" t="s">
        <v>18805</v>
      </c>
      <c r="K328" t="s">
        <v>18811</v>
      </c>
      <c r="M328" s="118"/>
      <c r="N328" s="119" t="s">
        <v>18841</v>
      </c>
      <c r="O328" t="s">
        <v>18847</v>
      </c>
      <c r="Q328" s="118"/>
      <c r="R328" s="119" t="s">
        <v>18877</v>
      </c>
      <c r="S328" t="s">
        <v>18883</v>
      </c>
      <c r="U328" s="118"/>
      <c r="V328" s="119" t="s">
        <v>18913</v>
      </c>
      <c r="W328" t="s">
        <v>18919</v>
      </c>
    </row>
    <row r="329" spans="1:23" x14ac:dyDescent="0.3">
      <c r="A329" s="118"/>
      <c r="B329" s="119" t="s">
        <v>18924</v>
      </c>
      <c r="C329" t="s">
        <v>18930</v>
      </c>
      <c r="E329" s="118"/>
      <c r="F329" s="119" t="s">
        <v>18960</v>
      </c>
      <c r="G329" t="s">
        <v>18966</v>
      </c>
      <c r="I329" s="118"/>
      <c r="J329" s="119" t="s">
        <v>18996</v>
      </c>
      <c r="K329" t="s">
        <v>19002</v>
      </c>
      <c r="M329" s="118"/>
      <c r="N329" s="119" t="s">
        <v>19032</v>
      </c>
      <c r="O329" t="s">
        <v>19038</v>
      </c>
      <c r="Q329" s="118"/>
      <c r="R329" s="119" t="s">
        <v>19068</v>
      </c>
      <c r="S329" t="s">
        <v>19074</v>
      </c>
      <c r="U329" s="118"/>
      <c r="V329" s="119" t="s">
        <v>19104</v>
      </c>
      <c r="W329" t="s">
        <v>19110</v>
      </c>
    </row>
    <row r="330" spans="1:23" x14ac:dyDescent="0.3">
      <c r="A330" s="118"/>
      <c r="B330" s="119" t="s">
        <v>18925</v>
      </c>
      <c r="C330" t="s">
        <v>18931</v>
      </c>
      <c r="E330" s="118"/>
      <c r="F330" s="119" t="s">
        <v>18961</v>
      </c>
      <c r="G330" t="s">
        <v>18967</v>
      </c>
      <c r="I330" s="118"/>
      <c r="J330" s="119" t="s">
        <v>18997</v>
      </c>
      <c r="K330" t="s">
        <v>19003</v>
      </c>
      <c r="M330" s="118"/>
      <c r="N330" s="119" t="s">
        <v>19033</v>
      </c>
      <c r="O330" t="s">
        <v>19039</v>
      </c>
      <c r="Q330" s="118"/>
      <c r="R330" s="119" t="s">
        <v>19069</v>
      </c>
      <c r="S330" t="s">
        <v>19075</v>
      </c>
      <c r="U330" s="118"/>
      <c r="V330" s="119" t="s">
        <v>19105</v>
      </c>
      <c r="W330" t="s">
        <v>19111</v>
      </c>
    </row>
    <row r="331" spans="1:23" x14ac:dyDescent="0.3">
      <c r="A331" s="118"/>
      <c r="B331" s="119" t="s">
        <v>18936</v>
      </c>
      <c r="C331" t="s">
        <v>18942</v>
      </c>
      <c r="E331" s="118"/>
      <c r="F331" s="119" t="s">
        <v>18972</v>
      </c>
      <c r="G331" t="s">
        <v>18978</v>
      </c>
      <c r="I331" s="118"/>
      <c r="J331" s="119" t="s">
        <v>19008</v>
      </c>
      <c r="K331" t="s">
        <v>19014</v>
      </c>
      <c r="M331" s="118"/>
      <c r="N331" s="119" t="s">
        <v>19044</v>
      </c>
      <c r="O331" t="s">
        <v>19050</v>
      </c>
      <c r="Q331" s="118"/>
      <c r="R331" s="119" t="s">
        <v>19080</v>
      </c>
      <c r="S331" t="s">
        <v>19086</v>
      </c>
      <c r="U331" s="118"/>
      <c r="V331" s="119" t="s">
        <v>19116</v>
      </c>
      <c r="W331" t="s">
        <v>19122</v>
      </c>
    </row>
    <row r="332" spans="1:23" x14ac:dyDescent="0.3">
      <c r="A332" s="118"/>
      <c r="B332" s="119" t="s">
        <v>18937</v>
      </c>
      <c r="C332" t="s">
        <v>18943</v>
      </c>
      <c r="E332" s="118"/>
      <c r="F332" s="119" t="s">
        <v>18973</v>
      </c>
      <c r="G332" t="s">
        <v>18979</v>
      </c>
      <c r="I332" s="118"/>
      <c r="J332" s="119" t="s">
        <v>19009</v>
      </c>
      <c r="K332" t="s">
        <v>19015</v>
      </c>
      <c r="M332" s="118"/>
      <c r="N332" s="119" t="s">
        <v>19045</v>
      </c>
      <c r="O332" t="s">
        <v>19051</v>
      </c>
      <c r="Q332" s="118"/>
      <c r="R332" s="119" t="s">
        <v>19081</v>
      </c>
      <c r="S332" t="s">
        <v>19087</v>
      </c>
      <c r="U332" s="118"/>
      <c r="V332" s="119" t="s">
        <v>19117</v>
      </c>
      <c r="W332" t="s">
        <v>19123</v>
      </c>
    </row>
    <row r="333" spans="1:23" x14ac:dyDescent="0.3">
      <c r="A333" s="118"/>
      <c r="B333" s="119" t="s">
        <v>18948</v>
      </c>
      <c r="C333" t="s">
        <v>18954</v>
      </c>
      <c r="E333" s="118"/>
      <c r="F333" s="119" t="s">
        <v>18984</v>
      </c>
      <c r="G333" t="s">
        <v>18990</v>
      </c>
      <c r="I333" s="118"/>
      <c r="J333" s="119" t="s">
        <v>19020</v>
      </c>
      <c r="K333" t="s">
        <v>19026</v>
      </c>
      <c r="M333" s="118"/>
      <c r="N333" s="119" t="s">
        <v>19056</v>
      </c>
      <c r="O333" t="s">
        <v>19062</v>
      </c>
      <c r="Q333" s="118"/>
      <c r="R333" s="119" t="s">
        <v>19092</v>
      </c>
      <c r="S333" t="s">
        <v>19098</v>
      </c>
      <c r="U333" s="118"/>
      <c r="V333" s="119" t="s">
        <v>19128</v>
      </c>
      <c r="W333" t="s">
        <v>19134</v>
      </c>
    </row>
    <row r="334" spans="1:23" x14ac:dyDescent="0.3">
      <c r="A334" s="118"/>
      <c r="B334" s="119" t="s">
        <v>18949</v>
      </c>
      <c r="C334" t="s">
        <v>18955</v>
      </c>
      <c r="E334" s="118"/>
      <c r="F334" s="119" t="s">
        <v>18985</v>
      </c>
      <c r="G334" t="s">
        <v>18991</v>
      </c>
      <c r="I334" s="118"/>
      <c r="J334" s="119" t="s">
        <v>19021</v>
      </c>
      <c r="K334" t="s">
        <v>19027</v>
      </c>
      <c r="M334" s="118"/>
      <c r="N334" s="119" t="s">
        <v>19057</v>
      </c>
      <c r="O334" t="s">
        <v>19063</v>
      </c>
      <c r="Q334" s="118"/>
      <c r="R334" s="119" t="s">
        <v>19093</v>
      </c>
      <c r="S334" t="s">
        <v>19099</v>
      </c>
      <c r="U334" s="118"/>
      <c r="V334" s="119" t="s">
        <v>19129</v>
      </c>
      <c r="W334" t="s">
        <v>19135</v>
      </c>
    </row>
    <row r="335" spans="1:23" x14ac:dyDescent="0.3">
      <c r="A335" s="118"/>
      <c r="B335" s="119" t="s">
        <v>19140</v>
      </c>
      <c r="C335" t="s">
        <v>19146</v>
      </c>
      <c r="E335" s="118"/>
      <c r="F335" s="119" t="s">
        <v>19176</v>
      </c>
      <c r="G335" t="s">
        <v>19182</v>
      </c>
      <c r="I335" s="118"/>
      <c r="J335" s="119" t="s">
        <v>19212</v>
      </c>
      <c r="K335" t="s">
        <v>19218</v>
      </c>
      <c r="M335" s="118"/>
      <c r="N335" s="119" t="s">
        <v>19248</v>
      </c>
      <c r="O335" t="s">
        <v>19254</v>
      </c>
      <c r="Q335" s="118"/>
      <c r="R335" s="119" t="s">
        <v>19284</v>
      </c>
      <c r="S335" t="s">
        <v>19290</v>
      </c>
      <c r="U335" s="118"/>
      <c r="V335" s="119" t="s">
        <v>19320</v>
      </c>
      <c r="W335" t="s">
        <v>19326</v>
      </c>
    </row>
    <row r="336" spans="1:23" x14ac:dyDescent="0.3">
      <c r="A336" s="118"/>
      <c r="B336" s="119" t="s">
        <v>19141</v>
      </c>
      <c r="C336" t="s">
        <v>19147</v>
      </c>
      <c r="E336" s="118"/>
      <c r="F336" s="119" t="s">
        <v>19177</v>
      </c>
      <c r="G336" t="s">
        <v>19183</v>
      </c>
      <c r="I336" s="118"/>
      <c r="J336" s="119" t="s">
        <v>19213</v>
      </c>
      <c r="K336" t="s">
        <v>19219</v>
      </c>
      <c r="M336" s="118"/>
      <c r="N336" s="119" t="s">
        <v>19249</v>
      </c>
      <c r="O336" t="s">
        <v>19255</v>
      </c>
      <c r="Q336" s="118"/>
      <c r="R336" s="119" t="s">
        <v>19285</v>
      </c>
      <c r="S336" t="s">
        <v>19291</v>
      </c>
      <c r="U336" s="118"/>
      <c r="V336" s="119" t="s">
        <v>19321</v>
      </c>
      <c r="W336" t="s">
        <v>19327</v>
      </c>
    </row>
    <row r="337" spans="1:23" x14ac:dyDescent="0.3">
      <c r="A337" s="118"/>
      <c r="B337" s="119" t="s">
        <v>19152</v>
      </c>
      <c r="C337" t="s">
        <v>19158</v>
      </c>
      <c r="E337" s="118"/>
      <c r="F337" s="119" t="s">
        <v>19188</v>
      </c>
      <c r="G337" t="s">
        <v>19194</v>
      </c>
      <c r="I337" s="118"/>
      <c r="J337" s="119" t="s">
        <v>19224</v>
      </c>
      <c r="K337" t="s">
        <v>19230</v>
      </c>
      <c r="M337" s="118"/>
      <c r="N337" s="119" t="s">
        <v>19260</v>
      </c>
      <c r="O337" t="s">
        <v>19266</v>
      </c>
      <c r="Q337" s="118"/>
      <c r="R337" s="119" t="s">
        <v>19296</v>
      </c>
      <c r="S337" t="s">
        <v>19302</v>
      </c>
      <c r="U337" s="118"/>
      <c r="V337" s="119" t="s">
        <v>19332</v>
      </c>
      <c r="W337" t="s">
        <v>19338</v>
      </c>
    </row>
    <row r="338" spans="1:23" x14ac:dyDescent="0.3">
      <c r="A338" s="118"/>
      <c r="B338" s="119" t="s">
        <v>19153</v>
      </c>
      <c r="C338" t="s">
        <v>19159</v>
      </c>
      <c r="E338" s="118"/>
      <c r="F338" s="119" t="s">
        <v>19189</v>
      </c>
      <c r="G338" t="s">
        <v>19195</v>
      </c>
      <c r="I338" s="118"/>
      <c r="J338" s="119" t="s">
        <v>19225</v>
      </c>
      <c r="K338" t="s">
        <v>19231</v>
      </c>
      <c r="M338" s="118"/>
      <c r="N338" s="119" t="s">
        <v>19261</v>
      </c>
      <c r="O338" t="s">
        <v>19267</v>
      </c>
      <c r="Q338" s="118"/>
      <c r="R338" s="119" t="s">
        <v>19297</v>
      </c>
      <c r="S338" t="s">
        <v>19303</v>
      </c>
      <c r="U338" s="118"/>
      <c r="V338" s="119" t="s">
        <v>19333</v>
      </c>
      <c r="W338" t="s">
        <v>19339</v>
      </c>
    </row>
    <row r="339" spans="1:23" x14ac:dyDescent="0.3">
      <c r="A339" s="118"/>
      <c r="B339" s="119" t="s">
        <v>19164</v>
      </c>
      <c r="C339" t="s">
        <v>19170</v>
      </c>
      <c r="E339" s="118"/>
      <c r="F339" s="119" t="s">
        <v>19200</v>
      </c>
      <c r="G339" t="s">
        <v>19206</v>
      </c>
      <c r="I339" s="118"/>
      <c r="J339" s="119" t="s">
        <v>19236</v>
      </c>
      <c r="K339" t="s">
        <v>19242</v>
      </c>
      <c r="M339" s="118"/>
      <c r="N339" s="119" t="s">
        <v>19272</v>
      </c>
      <c r="O339" t="s">
        <v>19278</v>
      </c>
      <c r="Q339" s="118"/>
      <c r="R339" s="119" t="s">
        <v>19308</v>
      </c>
      <c r="S339" t="s">
        <v>19314</v>
      </c>
      <c r="U339" s="118"/>
      <c r="V339" s="119" t="s">
        <v>19344</v>
      </c>
      <c r="W339" t="s">
        <v>19350</v>
      </c>
    </row>
    <row r="340" spans="1:23" x14ac:dyDescent="0.3">
      <c r="A340" s="118"/>
      <c r="B340" s="119" t="s">
        <v>19165</v>
      </c>
      <c r="C340" t="s">
        <v>19171</v>
      </c>
      <c r="E340" s="118"/>
      <c r="F340" s="119" t="s">
        <v>19201</v>
      </c>
      <c r="G340" t="s">
        <v>19207</v>
      </c>
      <c r="I340" s="118"/>
      <c r="J340" s="119" t="s">
        <v>19237</v>
      </c>
      <c r="K340" t="s">
        <v>19243</v>
      </c>
      <c r="M340" s="118"/>
      <c r="N340" s="119" t="s">
        <v>19273</v>
      </c>
      <c r="O340" t="s">
        <v>19279</v>
      </c>
      <c r="Q340" s="118"/>
      <c r="R340" s="119" t="s">
        <v>19309</v>
      </c>
      <c r="S340" t="s">
        <v>19315</v>
      </c>
      <c r="U340" s="118"/>
      <c r="V340" s="119" t="s">
        <v>19345</v>
      </c>
      <c r="W340" t="s">
        <v>19351</v>
      </c>
    </row>
    <row r="341" spans="1:23" x14ac:dyDescent="0.3">
      <c r="A341" s="118"/>
      <c r="B341" s="119" t="s">
        <v>19356</v>
      </c>
      <c r="C341" t="s">
        <v>19362</v>
      </c>
      <c r="E341" s="118"/>
      <c r="F341" s="119" t="s">
        <v>19392</v>
      </c>
      <c r="G341" t="s">
        <v>19398</v>
      </c>
      <c r="I341" s="118"/>
      <c r="J341" s="119" t="s">
        <v>19428</v>
      </c>
      <c r="K341" t="s">
        <v>19434</v>
      </c>
      <c r="M341" s="118"/>
      <c r="N341" s="119" t="s">
        <v>19464</v>
      </c>
      <c r="O341" t="s">
        <v>19470</v>
      </c>
      <c r="Q341" s="118"/>
      <c r="R341" s="119" t="s">
        <v>19500</v>
      </c>
      <c r="S341" t="s">
        <v>19506</v>
      </c>
      <c r="U341" s="118"/>
      <c r="V341" s="119" t="s">
        <v>19536</v>
      </c>
      <c r="W341" t="s">
        <v>19542</v>
      </c>
    </row>
    <row r="342" spans="1:23" x14ac:dyDescent="0.3">
      <c r="A342" s="118"/>
      <c r="B342" s="119" t="s">
        <v>19357</v>
      </c>
      <c r="C342" t="s">
        <v>19363</v>
      </c>
      <c r="E342" s="118"/>
      <c r="F342" s="119" t="s">
        <v>19393</v>
      </c>
      <c r="G342" t="s">
        <v>19399</v>
      </c>
      <c r="I342" s="118"/>
      <c r="J342" s="119" t="s">
        <v>19429</v>
      </c>
      <c r="K342" t="s">
        <v>19435</v>
      </c>
      <c r="M342" s="118"/>
      <c r="N342" s="119" t="s">
        <v>19465</v>
      </c>
      <c r="O342" t="s">
        <v>19471</v>
      </c>
      <c r="Q342" s="118"/>
      <c r="R342" s="119" t="s">
        <v>19501</v>
      </c>
      <c r="S342" t="s">
        <v>19507</v>
      </c>
      <c r="U342" s="118"/>
      <c r="V342" s="119" t="s">
        <v>19537</v>
      </c>
      <c r="W342" t="s">
        <v>19543</v>
      </c>
    </row>
    <row r="343" spans="1:23" x14ac:dyDescent="0.3">
      <c r="A343" s="118"/>
      <c r="B343" s="119" t="s">
        <v>19368</v>
      </c>
      <c r="C343" t="s">
        <v>19374</v>
      </c>
      <c r="E343" s="118"/>
      <c r="F343" s="119" t="s">
        <v>19404</v>
      </c>
      <c r="G343" t="s">
        <v>19410</v>
      </c>
      <c r="I343" s="118"/>
      <c r="J343" s="119" t="s">
        <v>19440</v>
      </c>
      <c r="K343" t="s">
        <v>19446</v>
      </c>
      <c r="M343" s="118"/>
      <c r="N343" s="119" t="s">
        <v>19476</v>
      </c>
      <c r="O343" t="s">
        <v>19482</v>
      </c>
      <c r="Q343" s="118"/>
      <c r="R343" s="119" t="s">
        <v>19512</v>
      </c>
      <c r="S343" t="s">
        <v>19518</v>
      </c>
      <c r="U343" s="118"/>
      <c r="V343" s="119" t="s">
        <v>19548</v>
      </c>
      <c r="W343" t="s">
        <v>19554</v>
      </c>
    </row>
    <row r="344" spans="1:23" x14ac:dyDescent="0.3">
      <c r="A344" s="118"/>
      <c r="B344" s="119" t="s">
        <v>19369</v>
      </c>
      <c r="C344" t="s">
        <v>19375</v>
      </c>
      <c r="E344" s="118"/>
      <c r="F344" s="119" t="s">
        <v>19405</v>
      </c>
      <c r="G344" t="s">
        <v>19411</v>
      </c>
      <c r="I344" s="118"/>
      <c r="J344" s="119" t="s">
        <v>19441</v>
      </c>
      <c r="K344" t="s">
        <v>19447</v>
      </c>
      <c r="M344" s="118"/>
      <c r="N344" s="119" t="s">
        <v>19477</v>
      </c>
      <c r="O344" t="s">
        <v>19483</v>
      </c>
      <c r="Q344" s="118"/>
      <c r="R344" s="119" t="s">
        <v>19513</v>
      </c>
      <c r="S344" t="s">
        <v>19519</v>
      </c>
      <c r="U344" s="118"/>
      <c r="V344" s="119" t="s">
        <v>19549</v>
      </c>
      <c r="W344" t="s">
        <v>19555</v>
      </c>
    </row>
    <row r="345" spans="1:23" x14ac:dyDescent="0.3">
      <c r="A345" s="118"/>
      <c r="B345" s="119" t="s">
        <v>19380</v>
      </c>
      <c r="C345" t="s">
        <v>19386</v>
      </c>
      <c r="E345" s="118"/>
      <c r="F345" s="119" t="s">
        <v>19416</v>
      </c>
      <c r="G345" t="s">
        <v>19422</v>
      </c>
      <c r="I345" s="118"/>
      <c r="J345" s="119" t="s">
        <v>19452</v>
      </c>
      <c r="K345" t="s">
        <v>19458</v>
      </c>
      <c r="M345" s="118"/>
      <c r="N345" s="119" t="s">
        <v>19488</v>
      </c>
      <c r="O345" t="s">
        <v>19494</v>
      </c>
      <c r="Q345" s="118"/>
      <c r="R345" s="119" t="s">
        <v>19524</v>
      </c>
      <c r="S345" t="s">
        <v>19530</v>
      </c>
      <c r="U345" s="118"/>
      <c r="V345" s="119" t="s">
        <v>19560</v>
      </c>
      <c r="W345" t="s">
        <v>19566</v>
      </c>
    </row>
    <row r="346" spans="1:23" x14ac:dyDescent="0.3">
      <c r="A346" s="118"/>
      <c r="B346" s="119" t="s">
        <v>19381</v>
      </c>
      <c r="C346" t="s">
        <v>19387</v>
      </c>
      <c r="E346" s="118"/>
      <c r="F346" s="119" t="s">
        <v>19417</v>
      </c>
      <c r="G346" t="s">
        <v>19423</v>
      </c>
      <c r="I346" s="118"/>
      <c r="J346" s="119" t="s">
        <v>19453</v>
      </c>
      <c r="K346" t="s">
        <v>19459</v>
      </c>
      <c r="M346" s="118"/>
      <c r="N346" s="119" t="s">
        <v>19489</v>
      </c>
      <c r="O346" t="s">
        <v>19495</v>
      </c>
      <c r="Q346" s="118"/>
      <c r="R346" s="119" t="s">
        <v>19525</v>
      </c>
      <c r="S346" t="s">
        <v>19531</v>
      </c>
      <c r="U346" s="118"/>
      <c r="V346" s="119" t="s">
        <v>19561</v>
      </c>
      <c r="W346" t="s">
        <v>19567</v>
      </c>
    </row>
    <row r="347" spans="1:23" x14ac:dyDescent="0.3">
      <c r="A347" s="118"/>
      <c r="B347" s="119" t="s">
        <v>19572</v>
      </c>
      <c r="C347" t="s">
        <v>19578</v>
      </c>
      <c r="E347" s="118"/>
      <c r="F347" s="119" t="s">
        <v>19608</v>
      </c>
      <c r="G347" t="s">
        <v>19614</v>
      </c>
      <c r="I347" s="118"/>
      <c r="J347" s="119" t="s">
        <v>19644</v>
      </c>
      <c r="K347" t="s">
        <v>19650</v>
      </c>
      <c r="M347" s="118"/>
      <c r="N347" s="119" t="s">
        <v>19680</v>
      </c>
      <c r="O347" t="s">
        <v>19686</v>
      </c>
      <c r="Q347" s="118"/>
      <c r="R347" s="119" t="s">
        <v>19716</v>
      </c>
      <c r="S347" t="s">
        <v>19722</v>
      </c>
      <c r="U347" s="118"/>
      <c r="V347" s="119" t="s">
        <v>19752</v>
      </c>
      <c r="W347" t="s">
        <v>19758</v>
      </c>
    </row>
    <row r="348" spans="1:23" x14ac:dyDescent="0.3">
      <c r="A348" s="118"/>
      <c r="B348" s="119" t="s">
        <v>19573</v>
      </c>
      <c r="C348" t="s">
        <v>19579</v>
      </c>
      <c r="E348" s="118"/>
      <c r="F348" s="119" t="s">
        <v>19609</v>
      </c>
      <c r="G348" t="s">
        <v>19615</v>
      </c>
      <c r="I348" s="118"/>
      <c r="J348" s="119" t="s">
        <v>19645</v>
      </c>
      <c r="K348" t="s">
        <v>19651</v>
      </c>
      <c r="M348" s="118"/>
      <c r="N348" s="119" t="s">
        <v>19681</v>
      </c>
      <c r="O348" t="s">
        <v>19687</v>
      </c>
      <c r="Q348" s="118"/>
      <c r="R348" s="119" t="s">
        <v>19717</v>
      </c>
      <c r="S348" t="s">
        <v>19723</v>
      </c>
      <c r="U348" s="118"/>
      <c r="V348" s="119" t="s">
        <v>19753</v>
      </c>
      <c r="W348" t="s">
        <v>19759</v>
      </c>
    </row>
    <row r="349" spans="1:23" x14ac:dyDescent="0.3">
      <c r="A349" s="118"/>
      <c r="B349" s="119" t="s">
        <v>19584</v>
      </c>
      <c r="C349" t="s">
        <v>19590</v>
      </c>
      <c r="E349" s="118"/>
      <c r="F349" s="119" t="s">
        <v>19620</v>
      </c>
      <c r="G349" t="s">
        <v>19626</v>
      </c>
      <c r="I349" s="118"/>
      <c r="J349" s="119" t="s">
        <v>19656</v>
      </c>
      <c r="K349" t="s">
        <v>19662</v>
      </c>
      <c r="M349" s="118"/>
      <c r="N349" s="119" t="s">
        <v>19692</v>
      </c>
      <c r="O349" t="s">
        <v>19698</v>
      </c>
      <c r="Q349" s="118"/>
      <c r="R349" s="119" t="s">
        <v>19728</v>
      </c>
      <c r="S349" t="s">
        <v>19734</v>
      </c>
      <c r="U349" s="118"/>
      <c r="V349" s="119" t="s">
        <v>19764</v>
      </c>
      <c r="W349" t="s">
        <v>19770</v>
      </c>
    </row>
    <row r="350" spans="1:23" x14ac:dyDescent="0.3">
      <c r="A350" s="118"/>
      <c r="B350" s="119" t="s">
        <v>19585</v>
      </c>
      <c r="C350" t="s">
        <v>19591</v>
      </c>
      <c r="E350" s="118"/>
      <c r="F350" s="119" t="s">
        <v>19621</v>
      </c>
      <c r="G350" t="s">
        <v>19627</v>
      </c>
      <c r="I350" s="118"/>
      <c r="J350" s="119" t="s">
        <v>19657</v>
      </c>
      <c r="K350" t="s">
        <v>19663</v>
      </c>
      <c r="M350" s="118"/>
      <c r="N350" s="119" t="s">
        <v>19693</v>
      </c>
      <c r="O350" t="s">
        <v>19699</v>
      </c>
      <c r="Q350" s="118"/>
      <c r="R350" s="119" t="s">
        <v>19729</v>
      </c>
      <c r="S350" t="s">
        <v>19735</v>
      </c>
      <c r="U350" s="118"/>
      <c r="V350" s="119" t="s">
        <v>19765</v>
      </c>
      <c r="W350" t="s">
        <v>19771</v>
      </c>
    </row>
    <row r="351" spans="1:23" x14ac:dyDescent="0.3">
      <c r="A351" s="118"/>
      <c r="B351" s="119" t="s">
        <v>19596</v>
      </c>
      <c r="C351" t="s">
        <v>19602</v>
      </c>
      <c r="E351" s="118"/>
      <c r="F351" s="119" t="s">
        <v>19632</v>
      </c>
      <c r="G351" t="s">
        <v>19638</v>
      </c>
      <c r="I351" s="118"/>
      <c r="J351" s="119" t="s">
        <v>19668</v>
      </c>
      <c r="K351" t="s">
        <v>19674</v>
      </c>
      <c r="M351" s="118"/>
      <c r="N351" s="119" t="s">
        <v>19704</v>
      </c>
      <c r="O351" t="s">
        <v>19710</v>
      </c>
      <c r="Q351" s="118"/>
      <c r="R351" s="119" t="s">
        <v>19740</v>
      </c>
      <c r="S351" t="s">
        <v>19746</v>
      </c>
      <c r="U351" s="118"/>
      <c r="V351" s="119" t="s">
        <v>19776</v>
      </c>
      <c r="W351" t="s">
        <v>19782</v>
      </c>
    </row>
    <row r="352" spans="1:23" x14ac:dyDescent="0.3">
      <c r="A352" s="118"/>
      <c r="B352" s="119" t="s">
        <v>19597</v>
      </c>
      <c r="C352" t="s">
        <v>19603</v>
      </c>
      <c r="E352" s="118"/>
      <c r="F352" s="119" t="s">
        <v>19633</v>
      </c>
      <c r="G352" t="s">
        <v>19639</v>
      </c>
      <c r="I352" s="118"/>
      <c r="J352" s="119" t="s">
        <v>19669</v>
      </c>
      <c r="K352" t="s">
        <v>19675</v>
      </c>
      <c r="M352" s="118"/>
      <c r="N352" s="119" t="s">
        <v>19705</v>
      </c>
      <c r="O352" t="s">
        <v>19711</v>
      </c>
      <c r="Q352" s="118"/>
      <c r="R352" s="119" t="s">
        <v>19741</v>
      </c>
      <c r="S352" t="s">
        <v>19747</v>
      </c>
      <c r="U352" s="118"/>
      <c r="V352" s="119" t="s">
        <v>19777</v>
      </c>
      <c r="W352" t="s">
        <v>19783</v>
      </c>
    </row>
    <row r="353" spans="1:23" x14ac:dyDescent="0.3">
      <c r="A353" s="118"/>
      <c r="B353" s="119" t="s">
        <v>19788</v>
      </c>
      <c r="C353" t="s">
        <v>19794</v>
      </c>
      <c r="E353" s="118"/>
      <c r="F353" s="119" t="s">
        <v>19824</v>
      </c>
      <c r="G353" t="s">
        <v>19830</v>
      </c>
      <c r="I353" s="118"/>
      <c r="J353" s="119" t="s">
        <v>19860</v>
      </c>
      <c r="K353" t="s">
        <v>19866</v>
      </c>
      <c r="M353" s="118"/>
      <c r="N353" s="119" t="s">
        <v>19896</v>
      </c>
      <c r="O353" t="s">
        <v>19902</v>
      </c>
      <c r="Q353" s="118"/>
      <c r="R353" s="119" t="s">
        <v>19932</v>
      </c>
      <c r="S353" t="s">
        <v>19938</v>
      </c>
      <c r="U353" s="118"/>
      <c r="V353" s="119" t="s">
        <v>19968</v>
      </c>
      <c r="W353" t="s">
        <v>19974</v>
      </c>
    </row>
    <row r="354" spans="1:23" x14ac:dyDescent="0.3">
      <c r="A354" s="118"/>
      <c r="B354" s="119" t="s">
        <v>19789</v>
      </c>
      <c r="C354" t="s">
        <v>19795</v>
      </c>
      <c r="E354" s="118"/>
      <c r="F354" s="119" t="s">
        <v>19825</v>
      </c>
      <c r="G354" t="s">
        <v>19831</v>
      </c>
      <c r="I354" s="118"/>
      <c r="J354" s="119" t="s">
        <v>19861</v>
      </c>
      <c r="K354" t="s">
        <v>19867</v>
      </c>
      <c r="M354" s="118"/>
      <c r="N354" s="119" t="s">
        <v>19897</v>
      </c>
      <c r="O354" t="s">
        <v>19903</v>
      </c>
      <c r="Q354" s="118"/>
      <c r="R354" s="119" t="s">
        <v>19933</v>
      </c>
      <c r="S354" t="s">
        <v>19939</v>
      </c>
      <c r="U354" s="118"/>
      <c r="V354" s="119" t="s">
        <v>19969</v>
      </c>
      <c r="W354" t="s">
        <v>19975</v>
      </c>
    </row>
    <row r="355" spans="1:23" x14ac:dyDescent="0.3">
      <c r="A355" s="118"/>
      <c r="B355" s="119" t="s">
        <v>19800</v>
      </c>
      <c r="C355" t="s">
        <v>19806</v>
      </c>
      <c r="E355" s="118"/>
      <c r="F355" s="119" t="s">
        <v>19836</v>
      </c>
      <c r="G355" t="s">
        <v>19842</v>
      </c>
      <c r="I355" s="118"/>
      <c r="J355" s="119" t="s">
        <v>19872</v>
      </c>
      <c r="K355" t="s">
        <v>19878</v>
      </c>
      <c r="M355" s="118"/>
      <c r="N355" s="119" t="s">
        <v>19908</v>
      </c>
      <c r="O355" t="s">
        <v>19914</v>
      </c>
      <c r="Q355" s="118"/>
      <c r="R355" s="119" t="s">
        <v>19944</v>
      </c>
      <c r="S355" t="s">
        <v>19950</v>
      </c>
      <c r="U355" s="118"/>
      <c r="V355" s="119" t="s">
        <v>19980</v>
      </c>
      <c r="W355" t="s">
        <v>19986</v>
      </c>
    </row>
    <row r="356" spans="1:23" x14ac:dyDescent="0.3">
      <c r="A356" s="118"/>
      <c r="B356" s="119" t="s">
        <v>19801</v>
      </c>
      <c r="C356" t="s">
        <v>19807</v>
      </c>
      <c r="E356" s="118"/>
      <c r="F356" s="119" t="s">
        <v>19837</v>
      </c>
      <c r="G356" t="s">
        <v>19843</v>
      </c>
      <c r="I356" s="118"/>
      <c r="J356" s="119" t="s">
        <v>19873</v>
      </c>
      <c r="K356" t="s">
        <v>19879</v>
      </c>
      <c r="M356" s="118"/>
      <c r="N356" s="119" t="s">
        <v>19909</v>
      </c>
      <c r="O356" t="s">
        <v>19915</v>
      </c>
      <c r="Q356" s="118"/>
      <c r="R356" s="119" t="s">
        <v>19945</v>
      </c>
      <c r="S356" t="s">
        <v>19951</v>
      </c>
      <c r="U356" s="118"/>
      <c r="V356" s="119" t="s">
        <v>19981</v>
      </c>
      <c r="W356" t="s">
        <v>19987</v>
      </c>
    </row>
    <row r="357" spans="1:23" x14ac:dyDescent="0.3">
      <c r="A357" s="118"/>
      <c r="B357" s="119" t="s">
        <v>19812</v>
      </c>
      <c r="C357" t="s">
        <v>19818</v>
      </c>
      <c r="E357" s="118"/>
      <c r="F357" s="119" t="s">
        <v>19848</v>
      </c>
      <c r="G357" t="s">
        <v>19854</v>
      </c>
      <c r="I357" s="118"/>
      <c r="J357" s="119" t="s">
        <v>19884</v>
      </c>
      <c r="K357" t="s">
        <v>19890</v>
      </c>
      <c r="M357" s="118"/>
      <c r="N357" s="119" t="s">
        <v>19920</v>
      </c>
      <c r="O357" t="s">
        <v>19926</v>
      </c>
      <c r="Q357" s="118"/>
      <c r="R357" s="119" t="s">
        <v>19956</v>
      </c>
      <c r="S357" t="s">
        <v>19962</v>
      </c>
      <c r="U357" s="118"/>
      <c r="V357" s="119" t="s">
        <v>19992</v>
      </c>
      <c r="W357" t="s">
        <v>19998</v>
      </c>
    </row>
    <row r="358" spans="1:23" x14ac:dyDescent="0.3">
      <c r="A358" s="118"/>
      <c r="B358" s="119" t="s">
        <v>19813</v>
      </c>
      <c r="C358" t="s">
        <v>19819</v>
      </c>
      <c r="E358" s="118"/>
      <c r="F358" s="119" t="s">
        <v>19849</v>
      </c>
      <c r="G358" t="s">
        <v>19855</v>
      </c>
      <c r="I358" s="118"/>
      <c r="J358" s="119" t="s">
        <v>19885</v>
      </c>
      <c r="K358" t="s">
        <v>19891</v>
      </c>
      <c r="M358" s="118"/>
      <c r="N358" s="119" t="s">
        <v>19921</v>
      </c>
      <c r="O358" t="s">
        <v>19927</v>
      </c>
      <c r="Q358" s="118"/>
      <c r="R358" s="119" t="s">
        <v>19957</v>
      </c>
      <c r="S358" t="s">
        <v>19963</v>
      </c>
      <c r="U358" s="118"/>
      <c r="V358" s="119" t="s">
        <v>19993</v>
      </c>
      <c r="W358" t="s">
        <v>19999</v>
      </c>
    </row>
    <row r="359" spans="1:23" x14ac:dyDescent="0.3">
      <c r="A359" s="118"/>
      <c r="B359" s="119" t="s">
        <v>20004</v>
      </c>
      <c r="C359" t="s">
        <v>20010</v>
      </c>
      <c r="E359" s="118"/>
      <c r="F359" s="119" t="s">
        <v>20040</v>
      </c>
      <c r="G359" t="s">
        <v>20046</v>
      </c>
      <c r="I359" s="118"/>
      <c r="J359" s="119" t="s">
        <v>20076</v>
      </c>
      <c r="K359" t="s">
        <v>20082</v>
      </c>
      <c r="M359" s="118"/>
      <c r="N359" s="119" t="s">
        <v>20112</v>
      </c>
      <c r="O359" t="s">
        <v>20118</v>
      </c>
      <c r="Q359" s="118"/>
      <c r="R359" s="119" t="s">
        <v>20148</v>
      </c>
      <c r="S359" t="s">
        <v>20154</v>
      </c>
      <c r="U359" s="118"/>
      <c r="V359" s="119" t="s">
        <v>20184</v>
      </c>
      <c r="W359" t="s">
        <v>20190</v>
      </c>
    </row>
    <row r="360" spans="1:23" x14ac:dyDescent="0.3">
      <c r="A360" s="118"/>
      <c r="B360" s="119" t="s">
        <v>20005</v>
      </c>
      <c r="C360" t="s">
        <v>20011</v>
      </c>
      <c r="E360" s="118"/>
      <c r="F360" s="119" t="s">
        <v>20041</v>
      </c>
      <c r="G360" t="s">
        <v>20047</v>
      </c>
      <c r="I360" s="118"/>
      <c r="J360" s="119" t="s">
        <v>20077</v>
      </c>
      <c r="K360" t="s">
        <v>20083</v>
      </c>
      <c r="M360" s="118"/>
      <c r="N360" s="119" t="s">
        <v>20113</v>
      </c>
      <c r="O360" t="s">
        <v>20119</v>
      </c>
      <c r="Q360" s="118"/>
      <c r="R360" s="119" t="s">
        <v>20149</v>
      </c>
      <c r="S360" t="s">
        <v>20155</v>
      </c>
      <c r="U360" s="118"/>
      <c r="V360" s="119" t="s">
        <v>20185</v>
      </c>
      <c r="W360" t="s">
        <v>20191</v>
      </c>
    </row>
    <row r="361" spans="1:23" x14ac:dyDescent="0.3">
      <c r="A361" s="118"/>
      <c r="B361" s="119" t="s">
        <v>20016</v>
      </c>
      <c r="C361" t="s">
        <v>20022</v>
      </c>
      <c r="E361" s="118"/>
      <c r="F361" s="119" t="s">
        <v>20052</v>
      </c>
      <c r="G361" t="s">
        <v>20058</v>
      </c>
      <c r="I361" s="118"/>
      <c r="J361" s="119" t="s">
        <v>20088</v>
      </c>
      <c r="K361" t="s">
        <v>20094</v>
      </c>
      <c r="M361" s="118"/>
      <c r="N361" s="119" t="s">
        <v>20124</v>
      </c>
      <c r="O361" t="s">
        <v>20130</v>
      </c>
      <c r="Q361" s="118"/>
      <c r="R361" s="119" t="s">
        <v>20160</v>
      </c>
      <c r="S361" t="s">
        <v>20166</v>
      </c>
      <c r="U361" s="118"/>
      <c r="V361" s="119" t="s">
        <v>20196</v>
      </c>
      <c r="W361" t="s">
        <v>20202</v>
      </c>
    </row>
    <row r="362" spans="1:23" x14ac:dyDescent="0.3">
      <c r="A362" s="118"/>
      <c r="B362" s="119" t="s">
        <v>20017</v>
      </c>
      <c r="C362" t="s">
        <v>20023</v>
      </c>
      <c r="E362" s="118"/>
      <c r="F362" s="119" t="s">
        <v>20053</v>
      </c>
      <c r="G362" t="s">
        <v>20059</v>
      </c>
      <c r="I362" s="118"/>
      <c r="J362" s="119" t="s">
        <v>20089</v>
      </c>
      <c r="K362" t="s">
        <v>20095</v>
      </c>
      <c r="M362" s="118"/>
      <c r="N362" s="119" t="s">
        <v>20125</v>
      </c>
      <c r="O362" t="s">
        <v>20131</v>
      </c>
      <c r="Q362" s="118"/>
      <c r="R362" s="119" t="s">
        <v>20161</v>
      </c>
      <c r="S362" t="s">
        <v>20167</v>
      </c>
      <c r="U362" s="118"/>
      <c r="V362" s="119" t="s">
        <v>20197</v>
      </c>
      <c r="W362" t="s">
        <v>20203</v>
      </c>
    </row>
    <row r="363" spans="1:23" x14ac:dyDescent="0.3">
      <c r="A363" s="118"/>
      <c r="B363" s="119" t="s">
        <v>20028</v>
      </c>
      <c r="C363" t="s">
        <v>20034</v>
      </c>
      <c r="E363" s="118"/>
      <c r="F363" s="119" t="s">
        <v>20064</v>
      </c>
      <c r="G363" t="s">
        <v>20070</v>
      </c>
      <c r="I363" s="118"/>
      <c r="J363" s="119" t="s">
        <v>20100</v>
      </c>
      <c r="K363" t="s">
        <v>20106</v>
      </c>
      <c r="M363" s="118"/>
      <c r="N363" s="119" t="s">
        <v>20136</v>
      </c>
      <c r="O363" t="s">
        <v>20142</v>
      </c>
      <c r="Q363" s="118"/>
      <c r="R363" s="119" t="s">
        <v>20172</v>
      </c>
      <c r="S363" t="s">
        <v>20178</v>
      </c>
      <c r="U363" s="118"/>
      <c r="V363" s="119" t="s">
        <v>20208</v>
      </c>
      <c r="W363" t="s">
        <v>20214</v>
      </c>
    </row>
    <row r="364" spans="1:23" x14ac:dyDescent="0.3">
      <c r="A364" s="118"/>
      <c r="B364" s="119" t="s">
        <v>20029</v>
      </c>
      <c r="C364" t="s">
        <v>20035</v>
      </c>
      <c r="E364" s="118"/>
      <c r="F364" s="119" t="s">
        <v>20065</v>
      </c>
      <c r="G364" t="s">
        <v>20071</v>
      </c>
      <c r="I364" s="118"/>
      <c r="J364" s="119" t="s">
        <v>20101</v>
      </c>
      <c r="K364" t="s">
        <v>20107</v>
      </c>
      <c r="M364" s="118"/>
      <c r="N364" s="119" t="s">
        <v>20137</v>
      </c>
      <c r="O364" t="s">
        <v>20143</v>
      </c>
      <c r="Q364" s="118"/>
      <c r="R364" s="119" t="s">
        <v>20173</v>
      </c>
      <c r="S364" t="s">
        <v>20179</v>
      </c>
      <c r="U364" s="118"/>
      <c r="V364" s="119" t="s">
        <v>20209</v>
      </c>
      <c r="W364" t="s">
        <v>20215</v>
      </c>
    </row>
    <row r="365" spans="1:23" x14ac:dyDescent="0.3">
      <c r="A365" s="118"/>
      <c r="B365" s="119" t="s">
        <v>20220</v>
      </c>
      <c r="C365" t="s">
        <v>20226</v>
      </c>
      <c r="E365" s="118"/>
      <c r="F365" s="119" t="s">
        <v>20256</v>
      </c>
      <c r="G365" t="s">
        <v>20262</v>
      </c>
      <c r="I365" s="118"/>
      <c r="J365" s="119" t="s">
        <v>20292</v>
      </c>
      <c r="K365" t="s">
        <v>20298</v>
      </c>
      <c r="M365" s="118"/>
      <c r="N365" s="119" t="s">
        <v>20328</v>
      </c>
      <c r="O365" t="s">
        <v>20334</v>
      </c>
      <c r="Q365" s="118"/>
      <c r="R365" s="119" t="s">
        <v>20364</v>
      </c>
      <c r="S365" t="s">
        <v>20370</v>
      </c>
      <c r="U365" s="118"/>
      <c r="V365" s="119" t="s">
        <v>20400</v>
      </c>
      <c r="W365" t="s">
        <v>20406</v>
      </c>
    </row>
    <row r="366" spans="1:23" x14ac:dyDescent="0.3">
      <c r="A366" s="118"/>
      <c r="B366" s="119" t="s">
        <v>20221</v>
      </c>
      <c r="C366" t="s">
        <v>20227</v>
      </c>
      <c r="E366" s="118"/>
      <c r="F366" s="119" t="s">
        <v>20257</v>
      </c>
      <c r="G366" t="s">
        <v>20263</v>
      </c>
      <c r="I366" s="118"/>
      <c r="J366" s="119" t="s">
        <v>20293</v>
      </c>
      <c r="K366" t="s">
        <v>20299</v>
      </c>
      <c r="M366" s="118"/>
      <c r="N366" s="119" t="s">
        <v>20329</v>
      </c>
      <c r="O366" t="s">
        <v>20335</v>
      </c>
      <c r="Q366" s="118"/>
      <c r="R366" s="119" t="s">
        <v>20365</v>
      </c>
      <c r="S366" t="s">
        <v>20371</v>
      </c>
      <c r="U366" s="118"/>
      <c r="V366" s="119" t="s">
        <v>20401</v>
      </c>
      <c r="W366" t="s">
        <v>20407</v>
      </c>
    </row>
    <row r="367" spans="1:23" x14ac:dyDescent="0.3">
      <c r="A367" s="118"/>
      <c r="B367" s="119" t="s">
        <v>20232</v>
      </c>
      <c r="C367" t="s">
        <v>20238</v>
      </c>
      <c r="E367" s="118"/>
      <c r="F367" s="119" t="s">
        <v>20268</v>
      </c>
      <c r="G367" t="s">
        <v>20274</v>
      </c>
      <c r="I367" s="118"/>
      <c r="J367" s="119" t="s">
        <v>20304</v>
      </c>
      <c r="K367" t="s">
        <v>20310</v>
      </c>
      <c r="M367" s="118"/>
      <c r="N367" s="119" t="s">
        <v>20340</v>
      </c>
      <c r="O367" t="s">
        <v>20346</v>
      </c>
      <c r="Q367" s="118"/>
      <c r="R367" s="119" t="s">
        <v>20376</v>
      </c>
      <c r="S367" t="s">
        <v>20382</v>
      </c>
      <c r="U367" s="118"/>
      <c r="V367" s="119" t="s">
        <v>20412</v>
      </c>
      <c r="W367" t="s">
        <v>20418</v>
      </c>
    </row>
    <row r="368" spans="1:23" x14ac:dyDescent="0.3">
      <c r="A368" s="118"/>
      <c r="B368" s="119" t="s">
        <v>20233</v>
      </c>
      <c r="C368" t="s">
        <v>20239</v>
      </c>
      <c r="E368" s="118"/>
      <c r="F368" s="119" t="s">
        <v>20269</v>
      </c>
      <c r="G368" t="s">
        <v>20275</v>
      </c>
      <c r="I368" s="118"/>
      <c r="J368" s="119" t="s">
        <v>20305</v>
      </c>
      <c r="K368" t="s">
        <v>20311</v>
      </c>
      <c r="M368" s="118"/>
      <c r="N368" s="119" t="s">
        <v>20341</v>
      </c>
      <c r="O368" t="s">
        <v>20347</v>
      </c>
      <c r="Q368" s="118"/>
      <c r="R368" s="119" t="s">
        <v>20377</v>
      </c>
      <c r="S368" t="s">
        <v>20383</v>
      </c>
      <c r="U368" s="118"/>
      <c r="V368" s="119" t="s">
        <v>20413</v>
      </c>
      <c r="W368" t="s">
        <v>20419</v>
      </c>
    </row>
    <row r="369" spans="1:23" x14ac:dyDescent="0.3">
      <c r="A369" s="118"/>
      <c r="B369" s="119" t="s">
        <v>20244</v>
      </c>
      <c r="C369" t="s">
        <v>20250</v>
      </c>
      <c r="E369" s="118"/>
      <c r="F369" s="119" t="s">
        <v>20280</v>
      </c>
      <c r="G369" t="s">
        <v>20286</v>
      </c>
      <c r="I369" s="118"/>
      <c r="J369" s="119" t="s">
        <v>20316</v>
      </c>
      <c r="K369" t="s">
        <v>20322</v>
      </c>
      <c r="M369" s="118"/>
      <c r="N369" s="119" t="s">
        <v>20352</v>
      </c>
      <c r="O369" t="s">
        <v>20358</v>
      </c>
      <c r="Q369" s="118"/>
      <c r="R369" s="119" t="s">
        <v>20388</v>
      </c>
      <c r="S369" t="s">
        <v>20394</v>
      </c>
      <c r="U369" s="118"/>
      <c r="V369" s="119" t="s">
        <v>20424</v>
      </c>
      <c r="W369" t="s">
        <v>20430</v>
      </c>
    </row>
    <row r="370" spans="1:23" x14ac:dyDescent="0.3">
      <c r="A370" s="118"/>
      <c r="B370" s="119" t="s">
        <v>20245</v>
      </c>
      <c r="C370" t="s">
        <v>20251</v>
      </c>
      <c r="E370" s="118"/>
      <c r="F370" s="119" t="s">
        <v>20281</v>
      </c>
      <c r="G370" t="s">
        <v>20287</v>
      </c>
      <c r="I370" s="118"/>
      <c r="J370" s="119" t="s">
        <v>20317</v>
      </c>
      <c r="K370" t="s">
        <v>20323</v>
      </c>
      <c r="M370" s="118"/>
      <c r="N370" s="119" t="s">
        <v>20353</v>
      </c>
      <c r="O370" t="s">
        <v>20359</v>
      </c>
      <c r="Q370" s="118"/>
      <c r="R370" s="119" t="s">
        <v>20389</v>
      </c>
      <c r="S370" t="s">
        <v>20395</v>
      </c>
      <c r="U370" s="118"/>
      <c r="V370" s="119" t="s">
        <v>20425</v>
      </c>
      <c r="W370" t="s">
        <v>20431</v>
      </c>
    </row>
    <row r="371" spans="1:23" x14ac:dyDescent="0.3">
      <c r="A371" s="118"/>
      <c r="B371" s="119" t="s">
        <v>20436</v>
      </c>
      <c r="C371" t="s">
        <v>20442</v>
      </c>
      <c r="E371" s="118"/>
      <c r="F371" s="119" t="s">
        <v>20472</v>
      </c>
      <c r="G371" t="s">
        <v>20478</v>
      </c>
      <c r="I371" s="118"/>
      <c r="J371" s="119" t="s">
        <v>20508</v>
      </c>
      <c r="K371" t="s">
        <v>20514</v>
      </c>
      <c r="M371" s="118"/>
      <c r="N371" s="119" t="s">
        <v>20544</v>
      </c>
      <c r="O371" t="s">
        <v>20550</v>
      </c>
      <c r="Q371" s="118"/>
      <c r="R371" s="119" t="s">
        <v>20580</v>
      </c>
      <c r="S371" t="s">
        <v>20586</v>
      </c>
      <c r="U371" s="118"/>
      <c r="V371" s="119" t="s">
        <v>20616</v>
      </c>
      <c r="W371" t="s">
        <v>20622</v>
      </c>
    </row>
    <row r="372" spans="1:23" x14ac:dyDescent="0.3">
      <c r="A372" s="118"/>
      <c r="B372" s="119" t="s">
        <v>20437</v>
      </c>
      <c r="C372" t="s">
        <v>20443</v>
      </c>
      <c r="E372" s="118"/>
      <c r="F372" s="119" t="s">
        <v>20473</v>
      </c>
      <c r="G372" t="s">
        <v>20479</v>
      </c>
      <c r="I372" s="118"/>
      <c r="J372" s="119" t="s">
        <v>20509</v>
      </c>
      <c r="K372" t="s">
        <v>20515</v>
      </c>
      <c r="M372" s="118"/>
      <c r="N372" s="119" t="s">
        <v>20545</v>
      </c>
      <c r="O372" t="s">
        <v>20551</v>
      </c>
      <c r="Q372" s="118"/>
      <c r="R372" s="119" t="s">
        <v>20581</v>
      </c>
      <c r="S372" t="s">
        <v>20587</v>
      </c>
      <c r="U372" s="118"/>
      <c r="V372" s="119" t="s">
        <v>20617</v>
      </c>
      <c r="W372" t="s">
        <v>20623</v>
      </c>
    </row>
    <row r="373" spans="1:23" x14ac:dyDescent="0.3">
      <c r="A373" s="118"/>
      <c r="B373" s="119" t="s">
        <v>20448</v>
      </c>
      <c r="C373" t="s">
        <v>20454</v>
      </c>
      <c r="E373" s="118"/>
      <c r="F373" s="119" t="s">
        <v>20484</v>
      </c>
      <c r="G373" t="s">
        <v>20490</v>
      </c>
      <c r="I373" s="118"/>
      <c r="J373" s="119" t="s">
        <v>20520</v>
      </c>
      <c r="K373" t="s">
        <v>20526</v>
      </c>
      <c r="M373" s="118"/>
      <c r="N373" s="119" t="s">
        <v>20556</v>
      </c>
      <c r="O373" t="s">
        <v>20562</v>
      </c>
      <c r="Q373" s="118"/>
      <c r="R373" s="119" t="s">
        <v>20592</v>
      </c>
      <c r="S373" t="s">
        <v>20598</v>
      </c>
      <c r="U373" s="118"/>
      <c r="V373" s="119" t="s">
        <v>20628</v>
      </c>
      <c r="W373" t="s">
        <v>20634</v>
      </c>
    </row>
    <row r="374" spans="1:23" x14ac:dyDescent="0.3">
      <c r="A374" s="118"/>
      <c r="B374" s="119" t="s">
        <v>20449</v>
      </c>
      <c r="C374" t="s">
        <v>20455</v>
      </c>
      <c r="E374" s="118"/>
      <c r="F374" s="119" t="s">
        <v>20485</v>
      </c>
      <c r="G374" t="s">
        <v>20491</v>
      </c>
      <c r="I374" s="118"/>
      <c r="J374" s="119" t="s">
        <v>20521</v>
      </c>
      <c r="K374" t="s">
        <v>20527</v>
      </c>
      <c r="M374" s="118"/>
      <c r="N374" s="119" t="s">
        <v>20557</v>
      </c>
      <c r="O374" t="s">
        <v>20563</v>
      </c>
      <c r="Q374" s="118"/>
      <c r="R374" s="119" t="s">
        <v>20593</v>
      </c>
      <c r="S374" t="s">
        <v>20599</v>
      </c>
      <c r="U374" s="118"/>
      <c r="V374" s="119" t="s">
        <v>20629</v>
      </c>
      <c r="W374" t="s">
        <v>20635</v>
      </c>
    </row>
    <row r="375" spans="1:23" x14ac:dyDescent="0.3">
      <c r="A375" s="118"/>
      <c r="B375" s="119" t="s">
        <v>20460</v>
      </c>
      <c r="C375" t="s">
        <v>20466</v>
      </c>
      <c r="E375" s="118"/>
      <c r="F375" s="119" t="s">
        <v>20496</v>
      </c>
      <c r="G375" t="s">
        <v>20502</v>
      </c>
      <c r="I375" s="118"/>
      <c r="J375" s="119" t="s">
        <v>20532</v>
      </c>
      <c r="K375" t="s">
        <v>20538</v>
      </c>
      <c r="M375" s="118"/>
      <c r="N375" s="119" t="s">
        <v>20568</v>
      </c>
      <c r="O375" t="s">
        <v>20574</v>
      </c>
      <c r="Q375" s="118"/>
      <c r="R375" s="119" t="s">
        <v>20604</v>
      </c>
      <c r="S375" t="s">
        <v>20610</v>
      </c>
      <c r="U375" s="118"/>
      <c r="V375" s="119" t="s">
        <v>20640</v>
      </c>
      <c r="W375" t="s">
        <v>20646</v>
      </c>
    </row>
    <row r="376" spans="1:23" x14ac:dyDescent="0.3">
      <c r="A376" s="118"/>
      <c r="B376" s="119" t="s">
        <v>20461</v>
      </c>
      <c r="C376" t="s">
        <v>20467</v>
      </c>
      <c r="E376" s="118"/>
      <c r="F376" s="119" t="s">
        <v>20497</v>
      </c>
      <c r="G376" t="s">
        <v>20503</v>
      </c>
      <c r="I376" s="118"/>
      <c r="J376" s="119" t="s">
        <v>20533</v>
      </c>
      <c r="K376" t="s">
        <v>20539</v>
      </c>
      <c r="M376" s="118"/>
      <c r="N376" s="119" t="s">
        <v>20569</v>
      </c>
      <c r="O376" t="s">
        <v>20575</v>
      </c>
      <c r="Q376" s="118"/>
      <c r="R376" s="119" t="s">
        <v>20605</v>
      </c>
      <c r="S376" t="s">
        <v>20611</v>
      </c>
      <c r="U376" s="118"/>
      <c r="V376" s="119" t="s">
        <v>20641</v>
      </c>
      <c r="W376" t="s">
        <v>20647</v>
      </c>
    </row>
    <row r="377" spans="1:23" x14ac:dyDescent="0.3">
      <c r="A377" s="118"/>
      <c r="B377" s="119" t="s">
        <v>20652</v>
      </c>
      <c r="C377" t="s">
        <v>20658</v>
      </c>
      <c r="E377" s="118"/>
      <c r="F377" s="119" t="s">
        <v>20688</v>
      </c>
      <c r="G377" t="s">
        <v>20694</v>
      </c>
      <c r="I377" s="118"/>
      <c r="J377" s="119" t="s">
        <v>20724</v>
      </c>
      <c r="K377" t="s">
        <v>20730</v>
      </c>
      <c r="M377" s="118"/>
      <c r="N377" s="119" t="s">
        <v>20760</v>
      </c>
      <c r="O377" t="s">
        <v>20766</v>
      </c>
      <c r="Q377" s="118"/>
      <c r="R377" s="119" t="s">
        <v>20796</v>
      </c>
      <c r="S377" t="s">
        <v>20802</v>
      </c>
      <c r="U377" s="118"/>
      <c r="V377" s="119" t="s">
        <v>20832</v>
      </c>
      <c r="W377" t="s">
        <v>20838</v>
      </c>
    </row>
    <row r="378" spans="1:23" x14ac:dyDescent="0.3">
      <c r="A378" s="118"/>
      <c r="B378" s="119" t="s">
        <v>20653</v>
      </c>
      <c r="C378" t="s">
        <v>20659</v>
      </c>
      <c r="E378" s="118"/>
      <c r="F378" s="119" t="s">
        <v>20689</v>
      </c>
      <c r="G378" t="s">
        <v>20695</v>
      </c>
      <c r="I378" s="118"/>
      <c r="J378" s="119" t="s">
        <v>20725</v>
      </c>
      <c r="K378" t="s">
        <v>20731</v>
      </c>
      <c r="M378" s="118"/>
      <c r="N378" s="119" t="s">
        <v>20761</v>
      </c>
      <c r="O378" t="s">
        <v>20767</v>
      </c>
      <c r="Q378" s="118"/>
      <c r="R378" s="119" t="s">
        <v>20797</v>
      </c>
      <c r="S378" t="s">
        <v>20803</v>
      </c>
      <c r="U378" s="118"/>
      <c r="V378" s="119" t="s">
        <v>20833</v>
      </c>
      <c r="W378" t="s">
        <v>20839</v>
      </c>
    </row>
    <row r="379" spans="1:23" x14ac:dyDescent="0.3">
      <c r="A379" s="118"/>
      <c r="B379" s="119" t="s">
        <v>20664</v>
      </c>
      <c r="C379" t="s">
        <v>20670</v>
      </c>
      <c r="E379" s="118"/>
      <c r="F379" s="119" t="s">
        <v>20700</v>
      </c>
      <c r="G379" t="s">
        <v>20706</v>
      </c>
      <c r="I379" s="118"/>
      <c r="J379" s="119" t="s">
        <v>20736</v>
      </c>
      <c r="K379" t="s">
        <v>20742</v>
      </c>
      <c r="M379" s="118"/>
      <c r="N379" s="119" t="s">
        <v>20772</v>
      </c>
      <c r="O379" t="s">
        <v>20778</v>
      </c>
      <c r="Q379" s="118"/>
      <c r="R379" s="119" t="s">
        <v>20808</v>
      </c>
      <c r="S379" t="s">
        <v>20814</v>
      </c>
      <c r="U379" s="118"/>
      <c r="V379" s="119" t="s">
        <v>20844</v>
      </c>
      <c r="W379" t="s">
        <v>20850</v>
      </c>
    </row>
    <row r="380" spans="1:23" x14ac:dyDescent="0.3">
      <c r="A380" s="118"/>
      <c r="B380" s="119" t="s">
        <v>20665</v>
      </c>
      <c r="C380" t="s">
        <v>20671</v>
      </c>
      <c r="E380" s="118"/>
      <c r="F380" s="119" t="s">
        <v>20701</v>
      </c>
      <c r="G380" t="s">
        <v>20707</v>
      </c>
      <c r="I380" s="118"/>
      <c r="J380" s="119" t="s">
        <v>20737</v>
      </c>
      <c r="K380" t="s">
        <v>20743</v>
      </c>
      <c r="M380" s="118"/>
      <c r="N380" s="119" t="s">
        <v>20773</v>
      </c>
      <c r="O380" t="s">
        <v>20779</v>
      </c>
      <c r="Q380" s="118"/>
      <c r="R380" s="119" t="s">
        <v>20809</v>
      </c>
      <c r="S380" t="s">
        <v>20815</v>
      </c>
      <c r="U380" s="118"/>
      <c r="V380" s="119" t="s">
        <v>20845</v>
      </c>
      <c r="W380" t="s">
        <v>20851</v>
      </c>
    </row>
    <row r="381" spans="1:23" x14ac:dyDescent="0.3">
      <c r="A381" s="118"/>
      <c r="B381" s="119" t="s">
        <v>20676</v>
      </c>
      <c r="C381" t="s">
        <v>20682</v>
      </c>
      <c r="E381" s="118"/>
      <c r="F381" s="119" t="s">
        <v>20712</v>
      </c>
      <c r="G381" t="s">
        <v>20718</v>
      </c>
      <c r="I381" s="118"/>
      <c r="J381" s="119" t="s">
        <v>20748</v>
      </c>
      <c r="K381" t="s">
        <v>20754</v>
      </c>
      <c r="M381" s="118"/>
      <c r="N381" s="119" t="s">
        <v>20784</v>
      </c>
      <c r="O381" t="s">
        <v>20790</v>
      </c>
      <c r="Q381" s="118"/>
      <c r="R381" s="119" t="s">
        <v>20820</v>
      </c>
      <c r="S381" t="s">
        <v>20826</v>
      </c>
      <c r="U381" s="118"/>
      <c r="V381" s="119" t="s">
        <v>20856</v>
      </c>
      <c r="W381" t="s">
        <v>20862</v>
      </c>
    </row>
    <row r="382" spans="1:23" x14ac:dyDescent="0.3">
      <c r="A382" s="118"/>
      <c r="B382" s="119" t="s">
        <v>20677</v>
      </c>
      <c r="C382" t="s">
        <v>20683</v>
      </c>
      <c r="E382" s="118"/>
      <c r="F382" s="119" t="s">
        <v>20713</v>
      </c>
      <c r="G382" t="s">
        <v>20719</v>
      </c>
      <c r="I382" s="118"/>
      <c r="J382" s="119" t="s">
        <v>20749</v>
      </c>
      <c r="K382" t="s">
        <v>20755</v>
      </c>
      <c r="M382" s="118"/>
      <c r="N382" s="119" t="s">
        <v>20785</v>
      </c>
      <c r="O382" t="s">
        <v>20791</v>
      </c>
      <c r="Q382" s="118"/>
      <c r="R382" s="119" t="s">
        <v>20821</v>
      </c>
      <c r="S382" t="s">
        <v>20827</v>
      </c>
      <c r="U382" s="118"/>
      <c r="V382" s="119" t="s">
        <v>20857</v>
      </c>
      <c r="W382" t="s">
        <v>20863</v>
      </c>
    </row>
    <row r="383" spans="1:23" x14ac:dyDescent="0.3">
      <c r="A383" s="118"/>
      <c r="B383" s="119" t="s">
        <v>20868</v>
      </c>
      <c r="C383" t="s">
        <v>20874</v>
      </c>
      <c r="E383" s="118"/>
      <c r="F383" s="119" t="s">
        <v>20904</v>
      </c>
      <c r="G383" t="s">
        <v>20910</v>
      </c>
      <c r="I383" s="118"/>
      <c r="J383" s="119" t="s">
        <v>20940</v>
      </c>
      <c r="K383" t="s">
        <v>20946</v>
      </c>
      <c r="M383" s="118"/>
      <c r="N383" s="119" t="s">
        <v>20976</v>
      </c>
      <c r="O383" t="s">
        <v>20982</v>
      </c>
      <c r="Q383" s="118"/>
      <c r="R383" s="119" t="s">
        <v>21012</v>
      </c>
      <c r="S383" t="s">
        <v>21018</v>
      </c>
      <c r="U383" s="118"/>
      <c r="V383" s="119" t="s">
        <v>21048</v>
      </c>
      <c r="W383" t="s">
        <v>21054</v>
      </c>
    </row>
    <row r="384" spans="1:23" x14ac:dyDescent="0.3">
      <c r="A384" s="118"/>
      <c r="B384" s="119" t="s">
        <v>20869</v>
      </c>
      <c r="C384" t="s">
        <v>20875</v>
      </c>
      <c r="E384" s="118"/>
      <c r="F384" s="119" t="s">
        <v>20905</v>
      </c>
      <c r="G384" t="s">
        <v>20911</v>
      </c>
      <c r="I384" s="118"/>
      <c r="J384" s="119" t="s">
        <v>20941</v>
      </c>
      <c r="K384" t="s">
        <v>20947</v>
      </c>
      <c r="M384" s="118"/>
      <c r="N384" s="119" t="s">
        <v>20977</v>
      </c>
      <c r="O384" t="s">
        <v>20983</v>
      </c>
      <c r="Q384" s="118"/>
      <c r="R384" s="119" t="s">
        <v>21013</v>
      </c>
      <c r="S384" t="s">
        <v>21019</v>
      </c>
      <c r="U384" s="118"/>
      <c r="V384" s="119" t="s">
        <v>21049</v>
      </c>
      <c r="W384" t="s">
        <v>21055</v>
      </c>
    </row>
    <row r="385" spans="1:23" x14ac:dyDescent="0.3">
      <c r="A385" s="118"/>
      <c r="B385" s="119" t="s">
        <v>20880</v>
      </c>
      <c r="C385" t="s">
        <v>20886</v>
      </c>
      <c r="E385" s="118"/>
      <c r="F385" s="119" t="s">
        <v>20916</v>
      </c>
      <c r="G385" t="s">
        <v>20922</v>
      </c>
      <c r="I385" s="118"/>
      <c r="J385" s="119" t="s">
        <v>20952</v>
      </c>
      <c r="K385" t="s">
        <v>20958</v>
      </c>
      <c r="M385" s="118"/>
      <c r="N385" s="119" t="s">
        <v>20988</v>
      </c>
      <c r="O385" t="s">
        <v>20994</v>
      </c>
      <c r="Q385" s="118"/>
      <c r="R385" s="119" t="s">
        <v>21024</v>
      </c>
      <c r="S385" t="s">
        <v>21030</v>
      </c>
      <c r="U385" s="118"/>
      <c r="V385" s="119" t="s">
        <v>21060</v>
      </c>
      <c r="W385" t="s">
        <v>21066</v>
      </c>
    </row>
    <row r="386" spans="1:23" x14ac:dyDescent="0.3">
      <c r="A386" s="118"/>
      <c r="B386" s="119" t="s">
        <v>20881</v>
      </c>
      <c r="C386" t="s">
        <v>20887</v>
      </c>
      <c r="E386" s="118"/>
      <c r="F386" s="119" t="s">
        <v>20917</v>
      </c>
      <c r="G386" t="s">
        <v>20923</v>
      </c>
      <c r="I386" s="118"/>
      <c r="J386" s="119" t="s">
        <v>20953</v>
      </c>
      <c r="K386" t="s">
        <v>20959</v>
      </c>
      <c r="M386" s="118"/>
      <c r="N386" s="119" t="s">
        <v>20989</v>
      </c>
      <c r="O386" t="s">
        <v>20995</v>
      </c>
      <c r="Q386" s="118"/>
      <c r="R386" s="119" t="s">
        <v>21025</v>
      </c>
      <c r="S386" t="s">
        <v>21031</v>
      </c>
      <c r="U386" s="118"/>
      <c r="V386" s="119" t="s">
        <v>21061</v>
      </c>
      <c r="W386" t="s">
        <v>21067</v>
      </c>
    </row>
    <row r="387" spans="1:23" x14ac:dyDescent="0.3">
      <c r="A387" s="118"/>
      <c r="B387" s="119" t="s">
        <v>20892</v>
      </c>
      <c r="C387" t="s">
        <v>20898</v>
      </c>
      <c r="E387" s="118"/>
      <c r="F387" s="119" t="s">
        <v>20928</v>
      </c>
      <c r="G387" t="s">
        <v>20934</v>
      </c>
      <c r="I387" s="118"/>
      <c r="J387" s="119" t="s">
        <v>20964</v>
      </c>
      <c r="K387" t="s">
        <v>20970</v>
      </c>
      <c r="M387" s="118"/>
      <c r="N387" s="119" t="s">
        <v>21000</v>
      </c>
      <c r="O387" t="s">
        <v>21006</v>
      </c>
      <c r="Q387" s="118"/>
      <c r="R387" s="119" t="s">
        <v>21036</v>
      </c>
      <c r="S387" t="s">
        <v>21042</v>
      </c>
      <c r="U387" s="118"/>
      <c r="V387" s="119" t="s">
        <v>21072</v>
      </c>
      <c r="W387" t="s">
        <v>21078</v>
      </c>
    </row>
    <row r="388" spans="1:23" x14ac:dyDescent="0.3">
      <c r="A388" s="118"/>
      <c r="B388" s="119" t="s">
        <v>20893</v>
      </c>
      <c r="C388" t="s">
        <v>20899</v>
      </c>
      <c r="E388" s="118"/>
      <c r="F388" s="119" t="s">
        <v>20929</v>
      </c>
      <c r="G388" t="s">
        <v>20935</v>
      </c>
      <c r="I388" s="118"/>
      <c r="J388" s="119" t="s">
        <v>20965</v>
      </c>
      <c r="K388" t="s">
        <v>20971</v>
      </c>
      <c r="M388" s="118"/>
      <c r="N388" s="119" t="s">
        <v>21001</v>
      </c>
      <c r="O388" t="s">
        <v>21007</v>
      </c>
      <c r="Q388" s="118"/>
      <c r="R388" s="119" t="s">
        <v>21037</v>
      </c>
      <c r="S388" t="s">
        <v>21043</v>
      </c>
      <c r="U388" s="118"/>
      <c r="V388" s="119" t="s">
        <v>21073</v>
      </c>
      <c r="W388" t="s">
        <v>21079</v>
      </c>
    </row>
    <row r="389" spans="1:23" x14ac:dyDescent="0.3">
      <c r="A389" s="118"/>
      <c r="B389" s="119" t="s">
        <v>21084</v>
      </c>
      <c r="C389" t="s">
        <v>21090</v>
      </c>
      <c r="E389" s="118"/>
      <c r="F389" s="119" t="s">
        <v>21120</v>
      </c>
      <c r="G389" t="s">
        <v>21126</v>
      </c>
      <c r="I389" s="118"/>
      <c r="J389" s="119" t="s">
        <v>21156</v>
      </c>
      <c r="K389" t="s">
        <v>21162</v>
      </c>
      <c r="M389" s="118"/>
      <c r="N389" s="119" t="s">
        <v>21192</v>
      </c>
      <c r="O389" t="s">
        <v>21198</v>
      </c>
      <c r="Q389" s="118"/>
      <c r="R389" s="119" t="s">
        <v>21228</v>
      </c>
      <c r="S389" t="s">
        <v>21234</v>
      </c>
      <c r="U389" s="118"/>
      <c r="V389" s="119" t="s">
        <v>21264</v>
      </c>
      <c r="W389" t="s">
        <v>21270</v>
      </c>
    </row>
    <row r="390" spans="1:23" x14ac:dyDescent="0.3">
      <c r="A390" s="118"/>
      <c r="B390" s="119" t="s">
        <v>21085</v>
      </c>
      <c r="C390" t="s">
        <v>21091</v>
      </c>
      <c r="E390" s="118"/>
      <c r="F390" s="119" t="s">
        <v>21121</v>
      </c>
      <c r="G390" t="s">
        <v>21127</v>
      </c>
      <c r="I390" s="118"/>
      <c r="J390" s="119" t="s">
        <v>21157</v>
      </c>
      <c r="K390" t="s">
        <v>21163</v>
      </c>
      <c r="M390" s="118"/>
      <c r="N390" s="119" t="s">
        <v>21193</v>
      </c>
      <c r="O390" t="s">
        <v>21199</v>
      </c>
      <c r="Q390" s="118"/>
      <c r="R390" s="119" t="s">
        <v>21229</v>
      </c>
      <c r="S390" t="s">
        <v>21235</v>
      </c>
      <c r="U390" s="118"/>
      <c r="V390" s="119" t="s">
        <v>21265</v>
      </c>
      <c r="W390" t="s">
        <v>21271</v>
      </c>
    </row>
    <row r="391" spans="1:23" x14ac:dyDescent="0.3">
      <c r="A391" s="118"/>
      <c r="B391" s="119" t="s">
        <v>21096</v>
      </c>
      <c r="C391" t="s">
        <v>21102</v>
      </c>
      <c r="E391" s="118"/>
      <c r="F391" s="119" t="s">
        <v>21132</v>
      </c>
      <c r="G391" t="s">
        <v>21138</v>
      </c>
      <c r="I391" s="118"/>
      <c r="J391" s="119" t="s">
        <v>21168</v>
      </c>
      <c r="K391" t="s">
        <v>21174</v>
      </c>
      <c r="M391" s="118"/>
      <c r="N391" s="119" t="s">
        <v>21204</v>
      </c>
      <c r="O391" t="s">
        <v>21210</v>
      </c>
      <c r="Q391" s="118"/>
      <c r="R391" s="119" t="s">
        <v>21240</v>
      </c>
      <c r="S391" t="s">
        <v>21246</v>
      </c>
      <c r="U391" s="118"/>
      <c r="V391" s="119" t="s">
        <v>21276</v>
      </c>
      <c r="W391" t="s">
        <v>21282</v>
      </c>
    </row>
    <row r="392" spans="1:23" x14ac:dyDescent="0.3">
      <c r="A392" s="118"/>
      <c r="B392" s="119" t="s">
        <v>21097</v>
      </c>
      <c r="C392" t="s">
        <v>21103</v>
      </c>
      <c r="E392" s="118"/>
      <c r="F392" s="119" t="s">
        <v>21133</v>
      </c>
      <c r="G392" t="s">
        <v>21139</v>
      </c>
      <c r="I392" s="118"/>
      <c r="J392" s="119" t="s">
        <v>21169</v>
      </c>
      <c r="K392" t="s">
        <v>21175</v>
      </c>
      <c r="M392" s="118"/>
      <c r="N392" s="119" t="s">
        <v>21205</v>
      </c>
      <c r="O392" t="s">
        <v>21211</v>
      </c>
      <c r="Q392" s="118"/>
      <c r="R392" s="119" t="s">
        <v>21241</v>
      </c>
      <c r="S392" t="s">
        <v>21247</v>
      </c>
      <c r="U392" s="118"/>
      <c r="V392" s="119" t="s">
        <v>21277</v>
      </c>
      <c r="W392" t="s">
        <v>21283</v>
      </c>
    </row>
    <row r="393" spans="1:23" x14ac:dyDescent="0.3">
      <c r="A393" s="118"/>
      <c r="B393" s="119" t="s">
        <v>21108</v>
      </c>
      <c r="C393" t="s">
        <v>21114</v>
      </c>
      <c r="E393" s="118"/>
      <c r="F393" s="119" t="s">
        <v>21144</v>
      </c>
      <c r="G393" t="s">
        <v>21150</v>
      </c>
      <c r="I393" s="118"/>
      <c r="J393" s="119" t="s">
        <v>21180</v>
      </c>
      <c r="K393" t="s">
        <v>21186</v>
      </c>
      <c r="M393" s="118"/>
      <c r="N393" s="119" t="s">
        <v>21216</v>
      </c>
      <c r="O393" t="s">
        <v>21222</v>
      </c>
      <c r="Q393" s="118"/>
      <c r="R393" s="119" t="s">
        <v>21252</v>
      </c>
      <c r="S393" t="s">
        <v>21258</v>
      </c>
      <c r="U393" s="118"/>
      <c r="V393" s="119" t="s">
        <v>21288</v>
      </c>
      <c r="W393" t="s">
        <v>21294</v>
      </c>
    </row>
    <row r="394" spans="1:23" x14ac:dyDescent="0.3">
      <c r="A394" s="118"/>
      <c r="B394" s="119" t="s">
        <v>21109</v>
      </c>
      <c r="C394" t="s">
        <v>21115</v>
      </c>
      <c r="E394" s="118"/>
      <c r="F394" s="119" t="s">
        <v>21145</v>
      </c>
      <c r="G394" t="s">
        <v>21151</v>
      </c>
      <c r="I394" s="118"/>
      <c r="J394" s="119" t="s">
        <v>21181</v>
      </c>
      <c r="K394" t="s">
        <v>21187</v>
      </c>
      <c r="M394" s="118"/>
      <c r="N394" s="119" t="s">
        <v>21217</v>
      </c>
      <c r="O394" t="s">
        <v>21223</v>
      </c>
      <c r="Q394" s="118"/>
      <c r="R394" s="119" t="s">
        <v>21253</v>
      </c>
      <c r="S394" t="s">
        <v>21259</v>
      </c>
      <c r="U394" s="118"/>
      <c r="V394" s="119" t="s">
        <v>21289</v>
      </c>
      <c r="W394" t="s">
        <v>21295</v>
      </c>
    </row>
    <row r="395" spans="1:23" x14ac:dyDescent="0.3">
      <c r="A395" s="118"/>
      <c r="B395" s="119" t="s">
        <v>21300</v>
      </c>
      <c r="C395" t="s">
        <v>21306</v>
      </c>
      <c r="E395" s="118"/>
      <c r="F395" s="119" t="s">
        <v>21336</v>
      </c>
      <c r="G395" t="s">
        <v>21342</v>
      </c>
      <c r="I395" s="118"/>
      <c r="J395" s="119" t="s">
        <v>21372</v>
      </c>
      <c r="K395" t="s">
        <v>21378</v>
      </c>
      <c r="M395" s="118"/>
      <c r="N395" s="119" t="s">
        <v>21408</v>
      </c>
      <c r="O395" t="s">
        <v>21414</v>
      </c>
      <c r="Q395" s="118"/>
      <c r="R395" s="119" t="s">
        <v>21444</v>
      </c>
      <c r="S395" t="s">
        <v>21450</v>
      </c>
      <c r="U395" s="118"/>
      <c r="V395" s="119" t="s">
        <v>21480</v>
      </c>
      <c r="W395" t="s">
        <v>21486</v>
      </c>
    </row>
    <row r="396" spans="1:23" x14ac:dyDescent="0.3">
      <c r="A396" s="118"/>
      <c r="B396" s="119" t="s">
        <v>21301</v>
      </c>
      <c r="C396" t="s">
        <v>21307</v>
      </c>
      <c r="E396" s="118"/>
      <c r="F396" s="119" t="s">
        <v>21337</v>
      </c>
      <c r="G396" t="s">
        <v>21343</v>
      </c>
      <c r="I396" s="118"/>
      <c r="J396" s="119" t="s">
        <v>21373</v>
      </c>
      <c r="K396" t="s">
        <v>21379</v>
      </c>
      <c r="M396" s="118"/>
      <c r="N396" s="119" t="s">
        <v>21409</v>
      </c>
      <c r="O396" t="s">
        <v>21415</v>
      </c>
      <c r="Q396" s="118"/>
      <c r="R396" s="119" t="s">
        <v>21445</v>
      </c>
      <c r="S396" t="s">
        <v>21451</v>
      </c>
      <c r="U396" s="118"/>
      <c r="V396" s="119" t="s">
        <v>21481</v>
      </c>
      <c r="W396" t="s">
        <v>21487</v>
      </c>
    </row>
    <row r="397" spans="1:23" x14ac:dyDescent="0.3">
      <c r="A397" s="118"/>
      <c r="B397" s="119" t="s">
        <v>21312</v>
      </c>
      <c r="C397" t="s">
        <v>21318</v>
      </c>
      <c r="E397" s="118"/>
      <c r="F397" s="119" t="s">
        <v>21348</v>
      </c>
      <c r="G397" t="s">
        <v>21354</v>
      </c>
      <c r="I397" s="118"/>
      <c r="J397" s="119" t="s">
        <v>21384</v>
      </c>
      <c r="K397" t="s">
        <v>21390</v>
      </c>
      <c r="M397" s="118"/>
      <c r="N397" s="119" t="s">
        <v>21420</v>
      </c>
      <c r="O397" t="s">
        <v>21426</v>
      </c>
      <c r="Q397" s="118"/>
      <c r="R397" s="119" t="s">
        <v>21456</v>
      </c>
      <c r="S397" t="s">
        <v>21462</v>
      </c>
      <c r="U397" s="118"/>
      <c r="V397" s="119" t="s">
        <v>21492</v>
      </c>
      <c r="W397" t="s">
        <v>21498</v>
      </c>
    </row>
    <row r="398" spans="1:23" x14ac:dyDescent="0.3">
      <c r="A398" s="118"/>
      <c r="B398" s="119" t="s">
        <v>21313</v>
      </c>
      <c r="C398" t="s">
        <v>21319</v>
      </c>
      <c r="E398" s="118"/>
      <c r="F398" s="119" t="s">
        <v>21349</v>
      </c>
      <c r="G398" t="s">
        <v>21355</v>
      </c>
      <c r="I398" s="118"/>
      <c r="J398" s="119" t="s">
        <v>21385</v>
      </c>
      <c r="K398" t="s">
        <v>21391</v>
      </c>
      <c r="M398" s="118"/>
      <c r="N398" s="119" t="s">
        <v>21421</v>
      </c>
      <c r="O398" t="s">
        <v>21427</v>
      </c>
      <c r="Q398" s="118"/>
      <c r="R398" s="119" t="s">
        <v>21457</v>
      </c>
      <c r="S398" t="s">
        <v>21463</v>
      </c>
      <c r="U398" s="118"/>
      <c r="V398" s="119" t="s">
        <v>21493</v>
      </c>
      <c r="W398" t="s">
        <v>21499</v>
      </c>
    </row>
    <row r="399" spans="1:23" x14ac:dyDescent="0.3">
      <c r="A399" s="118"/>
      <c r="B399" s="119" t="s">
        <v>21324</v>
      </c>
      <c r="C399" t="s">
        <v>21330</v>
      </c>
      <c r="E399" s="118"/>
      <c r="F399" s="119" t="s">
        <v>21360</v>
      </c>
      <c r="G399" t="s">
        <v>21366</v>
      </c>
      <c r="I399" s="118"/>
      <c r="J399" s="119" t="s">
        <v>21396</v>
      </c>
      <c r="K399" t="s">
        <v>21402</v>
      </c>
      <c r="M399" s="118"/>
      <c r="N399" s="119" t="s">
        <v>21432</v>
      </c>
      <c r="O399" t="s">
        <v>21438</v>
      </c>
      <c r="Q399" s="118"/>
      <c r="R399" s="119" t="s">
        <v>21468</v>
      </c>
      <c r="S399" t="s">
        <v>21474</v>
      </c>
      <c r="U399" s="118"/>
      <c r="V399" s="119" t="s">
        <v>21504</v>
      </c>
      <c r="W399" t="s">
        <v>21510</v>
      </c>
    </row>
    <row r="400" spans="1:23" x14ac:dyDescent="0.3">
      <c r="A400" s="118"/>
      <c r="B400" s="119" t="s">
        <v>21325</v>
      </c>
      <c r="C400" t="s">
        <v>21331</v>
      </c>
      <c r="E400" s="118"/>
      <c r="F400" s="119" t="s">
        <v>21361</v>
      </c>
      <c r="G400" t="s">
        <v>21367</v>
      </c>
      <c r="I400" s="118"/>
      <c r="J400" s="119" t="s">
        <v>21397</v>
      </c>
      <c r="K400" t="s">
        <v>21403</v>
      </c>
      <c r="M400" s="118"/>
      <c r="N400" s="119" t="s">
        <v>21433</v>
      </c>
      <c r="O400" t="s">
        <v>21439</v>
      </c>
      <c r="Q400" s="118"/>
      <c r="R400" s="119" t="s">
        <v>21469</v>
      </c>
      <c r="S400" t="s">
        <v>21475</v>
      </c>
      <c r="U400" s="118"/>
      <c r="V400" s="119" t="s">
        <v>21505</v>
      </c>
      <c r="W400" t="s">
        <v>21511</v>
      </c>
    </row>
    <row r="401" spans="1:23" x14ac:dyDescent="0.3">
      <c r="A401" s="118"/>
      <c r="B401" s="119" t="s">
        <v>21516</v>
      </c>
      <c r="C401" t="s">
        <v>21522</v>
      </c>
      <c r="E401" s="118"/>
      <c r="F401" s="119" t="s">
        <v>21552</v>
      </c>
      <c r="G401" t="s">
        <v>21558</v>
      </c>
      <c r="I401" s="118"/>
      <c r="J401" s="119" t="s">
        <v>21588</v>
      </c>
      <c r="K401" t="s">
        <v>21594</v>
      </c>
      <c r="M401" s="118"/>
      <c r="N401" s="119" t="s">
        <v>21624</v>
      </c>
      <c r="O401" t="s">
        <v>21630</v>
      </c>
      <c r="Q401" s="118"/>
      <c r="R401" s="119" t="s">
        <v>21660</v>
      </c>
      <c r="S401" t="s">
        <v>21666</v>
      </c>
      <c r="U401" s="118"/>
      <c r="V401" s="119" t="s">
        <v>21696</v>
      </c>
      <c r="W401" t="s">
        <v>21702</v>
      </c>
    </row>
    <row r="402" spans="1:23" x14ac:dyDescent="0.3">
      <c r="A402" s="118"/>
      <c r="B402" s="119" t="s">
        <v>21517</v>
      </c>
      <c r="C402" t="s">
        <v>21523</v>
      </c>
      <c r="E402" s="118"/>
      <c r="F402" s="119" t="s">
        <v>21553</v>
      </c>
      <c r="G402" t="s">
        <v>21559</v>
      </c>
      <c r="I402" s="118"/>
      <c r="J402" s="119" t="s">
        <v>21589</v>
      </c>
      <c r="K402" t="s">
        <v>21595</v>
      </c>
      <c r="M402" s="118"/>
      <c r="N402" s="119" t="s">
        <v>21625</v>
      </c>
      <c r="O402" t="s">
        <v>21631</v>
      </c>
      <c r="Q402" s="118"/>
      <c r="R402" s="119" t="s">
        <v>21661</v>
      </c>
      <c r="S402" t="s">
        <v>21667</v>
      </c>
      <c r="U402" s="118"/>
      <c r="V402" s="119" t="s">
        <v>21697</v>
      </c>
      <c r="W402" t="s">
        <v>21703</v>
      </c>
    </row>
    <row r="403" spans="1:23" x14ac:dyDescent="0.3">
      <c r="A403" s="118"/>
      <c r="B403" s="119" t="s">
        <v>21528</v>
      </c>
      <c r="C403" t="s">
        <v>21534</v>
      </c>
      <c r="E403" s="118"/>
      <c r="F403" s="119" t="s">
        <v>21564</v>
      </c>
      <c r="G403" t="s">
        <v>21570</v>
      </c>
      <c r="I403" s="118"/>
      <c r="J403" s="119" t="s">
        <v>21600</v>
      </c>
      <c r="K403" t="s">
        <v>21606</v>
      </c>
      <c r="M403" s="118"/>
      <c r="N403" s="119" t="s">
        <v>21636</v>
      </c>
      <c r="O403" t="s">
        <v>21642</v>
      </c>
      <c r="Q403" s="118"/>
      <c r="R403" s="119" t="s">
        <v>21672</v>
      </c>
      <c r="S403" t="s">
        <v>21678</v>
      </c>
      <c r="U403" s="118"/>
      <c r="V403" s="119" t="s">
        <v>21708</v>
      </c>
      <c r="W403" t="s">
        <v>21714</v>
      </c>
    </row>
    <row r="404" spans="1:23" x14ac:dyDescent="0.3">
      <c r="A404" s="118"/>
      <c r="B404" s="119" t="s">
        <v>21529</v>
      </c>
      <c r="C404" t="s">
        <v>21535</v>
      </c>
      <c r="E404" s="118"/>
      <c r="F404" s="119" t="s">
        <v>21565</v>
      </c>
      <c r="G404" t="s">
        <v>21571</v>
      </c>
      <c r="I404" s="118"/>
      <c r="J404" s="119" t="s">
        <v>21601</v>
      </c>
      <c r="K404" t="s">
        <v>21607</v>
      </c>
      <c r="M404" s="118"/>
      <c r="N404" s="119" t="s">
        <v>21637</v>
      </c>
      <c r="O404" t="s">
        <v>21643</v>
      </c>
      <c r="Q404" s="118"/>
      <c r="R404" s="119" t="s">
        <v>21673</v>
      </c>
      <c r="S404" t="s">
        <v>21679</v>
      </c>
      <c r="U404" s="118"/>
      <c r="V404" s="119" t="s">
        <v>21709</v>
      </c>
      <c r="W404" t="s">
        <v>21715</v>
      </c>
    </row>
    <row r="405" spans="1:23" x14ac:dyDescent="0.3">
      <c r="A405" s="118"/>
      <c r="B405" s="119" t="s">
        <v>21540</v>
      </c>
      <c r="C405" t="s">
        <v>21546</v>
      </c>
      <c r="E405" s="118"/>
      <c r="F405" s="119" t="s">
        <v>21576</v>
      </c>
      <c r="G405" t="s">
        <v>21582</v>
      </c>
      <c r="I405" s="118"/>
      <c r="J405" s="119" t="s">
        <v>21612</v>
      </c>
      <c r="K405" t="s">
        <v>21618</v>
      </c>
      <c r="M405" s="118"/>
      <c r="N405" s="119" t="s">
        <v>21648</v>
      </c>
      <c r="O405" t="s">
        <v>21654</v>
      </c>
      <c r="Q405" s="118"/>
      <c r="R405" s="119" t="s">
        <v>21684</v>
      </c>
      <c r="S405" t="s">
        <v>21690</v>
      </c>
      <c r="U405" s="118"/>
      <c r="V405" s="119" t="s">
        <v>21720</v>
      </c>
      <c r="W405" t="s">
        <v>21726</v>
      </c>
    </row>
    <row r="406" spans="1:23" x14ac:dyDescent="0.3">
      <c r="A406" s="118"/>
      <c r="B406" s="119" t="s">
        <v>21541</v>
      </c>
      <c r="C406" t="s">
        <v>21547</v>
      </c>
      <c r="E406" s="118"/>
      <c r="F406" s="119" t="s">
        <v>21577</v>
      </c>
      <c r="G406" t="s">
        <v>21583</v>
      </c>
      <c r="I406" s="118"/>
      <c r="J406" s="119" t="s">
        <v>21613</v>
      </c>
      <c r="K406" t="s">
        <v>21619</v>
      </c>
      <c r="M406" s="118"/>
      <c r="N406" s="119" t="s">
        <v>21649</v>
      </c>
      <c r="O406" t="s">
        <v>21655</v>
      </c>
      <c r="Q406" s="118"/>
      <c r="R406" s="119" t="s">
        <v>21685</v>
      </c>
      <c r="S406" t="s">
        <v>21691</v>
      </c>
      <c r="U406" s="118"/>
      <c r="V406" s="119" t="s">
        <v>21721</v>
      </c>
      <c r="W406" t="s">
        <v>21727</v>
      </c>
    </row>
    <row r="407" spans="1:23" x14ac:dyDescent="0.3">
      <c r="A407" s="118"/>
      <c r="B407" s="119" t="s">
        <v>21732</v>
      </c>
      <c r="C407" t="s">
        <v>21738</v>
      </c>
      <c r="E407" s="118"/>
      <c r="F407" s="119" t="s">
        <v>21768</v>
      </c>
      <c r="G407" t="s">
        <v>21774</v>
      </c>
      <c r="I407" s="118"/>
      <c r="J407" s="119" t="s">
        <v>21804</v>
      </c>
      <c r="K407" t="s">
        <v>21810</v>
      </c>
      <c r="M407" s="118"/>
      <c r="N407" s="119" t="s">
        <v>21840</v>
      </c>
      <c r="O407" t="s">
        <v>21846</v>
      </c>
      <c r="Q407" s="118"/>
      <c r="R407" s="119" t="s">
        <v>21876</v>
      </c>
      <c r="S407" t="s">
        <v>21882</v>
      </c>
      <c r="U407" s="118"/>
      <c r="V407" s="119" t="s">
        <v>21912</v>
      </c>
      <c r="W407" t="s">
        <v>21918</v>
      </c>
    </row>
    <row r="408" spans="1:23" x14ac:dyDescent="0.3">
      <c r="A408" s="118"/>
      <c r="B408" s="119" t="s">
        <v>21733</v>
      </c>
      <c r="C408" t="s">
        <v>21739</v>
      </c>
      <c r="E408" s="118"/>
      <c r="F408" s="119" t="s">
        <v>21769</v>
      </c>
      <c r="G408" t="s">
        <v>21775</v>
      </c>
      <c r="I408" s="118"/>
      <c r="J408" s="119" t="s">
        <v>21805</v>
      </c>
      <c r="K408" t="s">
        <v>21811</v>
      </c>
      <c r="M408" s="118"/>
      <c r="N408" s="119" t="s">
        <v>21841</v>
      </c>
      <c r="O408" t="s">
        <v>21847</v>
      </c>
      <c r="Q408" s="118"/>
      <c r="R408" s="119" t="s">
        <v>21877</v>
      </c>
      <c r="S408" t="s">
        <v>21883</v>
      </c>
      <c r="U408" s="118"/>
      <c r="V408" s="119" t="s">
        <v>21913</v>
      </c>
      <c r="W408" t="s">
        <v>21919</v>
      </c>
    </row>
    <row r="409" spans="1:23" x14ac:dyDescent="0.3">
      <c r="A409" s="118"/>
      <c r="B409" s="119" t="s">
        <v>21744</v>
      </c>
      <c r="C409" t="s">
        <v>21750</v>
      </c>
      <c r="E409" s="118"/>
      <c r="F409" s="119" t="s">
        <v>21780</v>
      </c>
      <c r="G409" t="s">
        <v>21786</v>
      </c>
      <c r="I409" s="118"/>
      <c r="J409" s="119" t="s">
        <v>21816</v>
      </c>
      <c r="K409" t="s">
        <v>21822</v>
      </c>
      <c r="M409" s="118"/>
      <c r="N409" s="119" t="s">
        <v>21852</v>
      </c>
      <c r="O409" t="s">
        <v>21858</v>
      </c>
      <c r="Q409" s="118"/>
      <c r="R409" s="119" t="s">
        <v>21888</v>
      </c>
      <c r="S409" t="s">
        <v>21894</v>
      </c>
      <c r="U409" s="118"/>
      <c r="V409" s="119" t="s">
        <v>21924</v>
      </c>
      <c r="W409" t="s">
        <v>21930</v>
      </c>
    </row>
    <row r="410" spans="1:23" x14ac:dyDescent="0.3">
      <c r="A410" s="118"/>
      <c r="B410" s="119" t="s">
        <v>21745</v>
      </c>
      <c r="C410" t="s">
        <v>21751</v>
      </c>
      <c r="E410" s="118"/>
      <c r="F410" s="119" t="s">
        <v>21781</v>
      </c>
      <c r="G410" t="s">
        <v>21787</v>
      </c>
      <c r="I410" s="118"/>
      <c r="J410" s="119" t="s">
        <v>21817</v>
      </c>
      <c r="K410" t="s">
        <v>21823</v>
      </c>
      <c r="M410" s="118"/>
      <c r="N410" s="119" t="s">
        <v>21853</v>
      </c>
      <c r="O410" t="s">
        <v>21859</v>
      </c>
      <c r="Q410" s="118"/>
      <c r="R410" s="119" t="s">
        <v>21889</v>
      </c>
      <c r="S410" t="s">
        <v>21895</v>
      </c>
      <c r="U410" s="118"/>
      <c r="V410" s="119" t="s">
        <v>21925</v>
      </c>
      <c r="W410" t="s">
        <v>21931</v>
      </c>
    </row>
    <row r="411" spans="1:23" x14ac:dyDescent="0.3">
      <c r="A411" s="118"/>
      <c r="B411" s="119" t="s">
        <v>21756</v>
      </c>
      <c r="C411" t="s">
        <v>21762</v>
      </c>
      <c r="E411" s="118"/>
      <c r="F411" s="119" t="s">
        <v>21792</v>
      </c>
      <c r="G411" t="s">
        <v>21798</v>
      </c>
      <c r="I411" s="118"/>
      <c r="J411" s="119" t="s">
        <v>21828</v>
      </c>
      <c r="K411" t="s">
        <v>21834</v>
      </c>
      <c r="M411" s="118"/>
      <c r="N411" s="119" t="s">
        <v>21864</v>
      </c>
      <c r="O411" t="s">
        <v>21870</v>
      </c>
      <c r="Q411" s="118"/>
      <c r="R411" s="119" t="s">
        <v>21900</v>
      </c>
      <c r="S411" t="s">
        <v>21906</v>
      </c>
      <c r="U411" s="118"/>
      <c r="V411" s="119" t="s">
        <v>21936</v>
      </c>
      <c r="W411" t="s">
        <v>21942</v>
      </c>
    </row>
    <row r="412" spans="1:23" x14ac:dyDescent="0.3">
      <c r="A412" s="118"/>
      <c r="B412" s="119" t="s">
        <v>21757</v>
      </c>
      <c r="C412" t="s">
        <v>21763</v>
      </c>
      <c r="E412" s="118"/>
      <c r="F412" s="119" t="s">
        <v>21793</v>
      </c>
      <c r="G412" t="s">
        <v>21799</v>
      </c>
      <c r="I412" s="118"/>
      <c r="J412" s="119" t="s">
        <v>21829</v>
      </c>
      <c r="K412" t="s">
        <v>21835</v>
      </c>
      <c r="M412" s="118"/>
      <c r="N412" s="119" t="s">
        <v>21865</v>
      </c>
      <c r="O412" t="s">
        <v>21871</v>
      </c>
      <c r="Q412" s="118"/>
      <c r="R412" s="119" t="s">
        <v>21901</v>
      </c>
      <c r="S412" t="s">
        <v>21907</v>
      </c>
      <c r="U412" s="118"/>
      <c r="V412" s="119" t="s">
        <v>21937</v>
      </c>
      <c r="W412" t="s">
        <v>21943</v>
      </c>
    </row>
    <row r="413" spans="1:23" x14ac:dyDescent="0.3">
      <c r="A413" s="118"/>
      <c r="B413" s="119" t="s">
        <v>21948</v>
      </c>
      <c r="C413" t="s">
        <v>21954</v>
      </c>
      <c r="E413" s="118"/>
      <c r="F413" s="119" t="s">
        <v>21984</v>
      </c>
      <c r="G413" t="s">
        <v>21990</v>
      </c>
      <c r="I413" s="118"/>
      <c r="J413" s="119" t="s">
        <v>22020</v>
      </c>
      <c r="K413" t="s">
        <v>22026</v>
      </c>
      <c r="M413" s="118"/>
      <c r="N413" s="119" t="s">
        <v>22056</v>
      </c>
      <c r="O413" t="s">
        <v>22062</v>
      </c>
      <c r="Q413" s="118"/>
      <c r="R413" s="119" t="s">
        <v>22092</v>
      </c>
      <c r="S413" t="s">
        <v>22098</v>
      </c>
      <c r="U413" s="118"/>
      <c r="V413" s="119" t="s">
        <v>22128</v>
      </c>
      <c r="W413" t="s">
        <v>22134</v>
      </c>
    </row>
    <row r="414" spans="1:23" x14ac:dyDescent="0.3">
      <c r="A414" s="118"/>
      <c r="B414" s="119" t="s">
        <v>21949</v>
      </c>
      <c r="C414" t="s">
        <v>21955</v>
      </c>
      <c r="E414" s="118"/>
      <c r="F414" s="119" t="s">
        <v>21985</v>
      </c>
      <c r="G414" t="s">
        <v>21991</v>
      </c>
      <c r="I414" s="118"/>
      <c r="J414" s="119" t="s">
        <v>22021</v>
      </c>
      <c r="K414" t="s">
        <v>22027</v>
      </c>
      <c r="M414" s="118"/>
      <c r="N414" s="119" t="s">
        <v>22057</v>
      </c>
      <c r="O414" t="s">
        <v>22063</v>
      </c>
      <c r="Q414" s="118"/>
      <c r="R414" s="119" t="s">
        <v>22093</v>
      </c>
      <c r="S414" t="s">
        <v>22099</v>
      </c>
      <c r="U414" s="118"/>
      <c r="V414" s="119" t="s">
        <v>22129</v>
      </c>
      <c r="W414" t="s">
        <v>22135</v>
      </c>
    </row>
    <row r="415" spans="1:23" x14ac:dyDescent="0.3">
      <c r="A415" s="118"/>
      <c r="B415" s="119" t="s">
        <v>21960</v>
      </c>
      <c r="C415" t="s">
        <v>21966</v>
      </c>
      <c r="E415" s="118"/>
      <c r="F415" s="119" t="s">
        <v>21996</v>
      </c>
      <c r="G415" t="s">
        <v>22002</v>
      </c>
      <c r="I415" s="118"/>
      <c r="J415" s="119" t="s">
        <v>22032</v>
      </c>
      <c r="K415" t="s">
        <v>22038</v>
      </c>
      <c r="M415" s="118"/>
      <c r="N415" s="119" t="s">
        <v>22068</v>
      </c>
      <c r="O415" t="s">
        <v>22074</v>
      </c>
      <c r="Q415" s="118"/>
      <c r="R415" s="119" t="s">
        <v>22104</v>
      </c>
      <c r="S415" t="s">
        <v>22110</v>
      </c>
      <c r="U415" s="118"/>
      <c r="V415" s="119" t="s">
        <v>22140</v>
      </c>
      <c r="W415" t="s">
        <v>22146</v>
      </c>
    </row>
    <row r="416" spans="1:23" x14ac:dyDescent="0.3">
      <c r="A416" s="118"/>
      <c r="B416" s="119" t="s">
        <v>21961</v>
      </c>
      <c r="C416" t="s">
        <v>21967</v>
      </c>
      <c r="E416" s="118"/>
      <c r="F416" s="119" t="s">
        <v>21997</v>
      </c>
      <c r="G416" t="s">
        <v>22003</v>
      </c>
      <c r="I416" s="118"/>
      <c r="J416" s="119" t="s">
        <v>22033</v>
      </c>
      <c r="K416" t="s">
        <v>22039</v>
      </c>
      <c r="M416" s="118"/>
      <c r="N416" s="119" t="s">
        <v>22069</v>
      </c>
      <c r="O416" t="s">
        <v>22075</v>
      </c>
      <c r="Q416" s="118"/>
      <c r="R416" s="119" t="s">
        <v>22105</v>
      </c>
      <c r="S416" t="s">
        <v>22111</v>
      </c>
      <c r="U416" s="118"/>
      <c r="V416" s="119" t="s">
        <v>22141</v>
      </c>
      <c r="W416" t="s">
        <v>22147</v>
      </c>
    </row>
    <row r="417" spans="1:23" x14ac:dyDescent="0.3">
      <c r="A417" s="118"/>
      <c r="B417" s="119" t="s">
        <v>21972</v>
      </c>
      <c r="C417" t="s">
        <v>21978</v>
      </c>
      <c r="E417" s="118"/>
      <c r="F417" s="119" t="s">
        <v>22008</v>
      </c>
      <c r="G417" t="s">
        <v>22014</v>
      </c>
      <c r="I417" s="118"/>
      <c r="J417" s="119" t="s">
        <v>22044</v>
      </c>
      <c r="K417" t="s">
        <v>22050</v>
      </c>
      <c r="M417" s="118"/>
      <c r="N417" s="119" t="s">
        <v>22080</v>
      </c>
      <c r="O417" t="s">
        <v>22086</v>
      </c>
      <c r="Q417" s="118"/>
      <c r="R417" s="119" t="s">
        <v>22116</v>
      </c>
      <c r="S417" t="s">
        <v>22122</v>
      </c>
      <c r="U417" s="118"/>
      <c r="V417" s="119" t="s">
        <v>22152</v>
      </c>
      <c r="W417" t="s">
        <v>22158</v>
      </c>
    </row>
    <row r="418" spans="1:23" x14ac:dyDescent="0.3">
      <c r="A418" s="118"/>
      <c r="B418" s="119" t="s">
        <v>21973</v>
      </c>
      <c r="C418" t="s">
        <v>21979</v>
      </c>
      <c r="E418" s="118"/>
      <c r="F418" s="119" t="s">
        <v>22009</v>
      </c>
      <c r="G418" t="s">
        <v>22015</v>
      </c>
      <c r="I418" s="118"/>
      <c r="J418" s="119" t="s">
        <v>22045</v>
      </c>
      <c r="K418" t="s">
        <v>22051</v>
      </c>
      <c r="M418" s="118"/>
      <c r="N418" s="119" t="s">
        <v>22081</v>
      </c>
      <c r="O418" t="s">
        <v>22087</v>
      </c>
      <c r="Q418" s="118"/>
      <c r="R418" s="119" t="s">
        <v>22117</v>
      </c>
      <c r="S418" t="s">
        <v>22123</v>
      </c>
      <c r="U418" s="118"/>
      <c r="V418" s="119" t="s">
        <v>22153</v>
      </c>
      <c r="W418" t="s">
        <v>22159</v>
      </c>
    </row>
    <row r="419" spans="1:23" x14ac:dyDescent="0.3">
      <c r="A419" s="118"/>
      <c r="B419" s="119" t="s">
        <v>22164</v>
      </c>
      <c r="C419" t="s">
        <v>22170</v>
      </c>
      <c r="E419" s="118"/>
      <c r="F419" s="119" t="s">
        <v>22200</v>
      </c>
      <c r="G419" t="s">
        <v>22206</v>
      </c>
      <c r="I419" s="118"/>
      <c r="J419" s="119" t="s">
        <v>22236</v>
      </c>
      <c r="K419" t="s">
        <v>22242</v>
      </c>
      <c r="M419" s="118"/>
      <c r="N419" s="119" t="s">
        <v>22272</v>
      </c>
      <c r="O419" t="s">
        <v>22278</v>
      </c>
      <c r="Q419" s="118"/>
      <c r="R419" s="119" t="s">
        <v>22308</v>
      </c>
      <c r="S419" t="s">
        <v>22314</v>
      </c>
      <c r="U419" s="118"/>
      <c r="V419" s="119" t="s">
        <v>22344</v>
      </c>
      <c r="W419" t="s">
        <v>22350</v>
      </c>
    </row>
    <row r="420" spans="1:23" x14ac:dyDescent="0.3">
      <c r="A420" s="118"/>
      <c r="B420" s="119" t="s">
        <v>22165</v>
      </c>
      <c r="C420" t="s">
        <v>22171</v>
      </c>
      <c r="E420" s="118"/>
      <c r="F420" s="119" t="s">
        <v>22201</v>
      </c>
      <c r="G420" t="s">
        <v>22207</v>
      </c>
      <c r="I420" s="118"/>
      <c r="J420" s="119" t="s">
        <v>22237</v>
      </c>
      <c r="K420" t="s">
        <v>22243</v>
      </c>
      <c r="M420" s="118"/>
      <c r="N420" s="119" t="s">
        <v>22273</v>
      </c>
      <c r="O420" t="s">
        <v>22279</v>
      </c>
      <c r="Q420" s="118"/>
      <c r="R420" s="119" t="s">
        <v>22309</v>
      </c>
      <c r="S420" t="s">
        <v>22315</v>
      </c>
      <c r="U420" s="118"/>
      <c r="V420" s="119" t="s">
        <v>22345</v>
      </c>
      <c r="W420" t="s">
        <v>22351</v>
      </c>
    </row>
    <row r="421" spans="1:23" x14ac:dyDescent="0.3">
      <c r="A421" s="118"/>
      <c r="B421" s="119" t="s">
        <v>22176</v>
      </c>
      <c r="C421" t="s">
        <v>22182</v>
      </c>
      <c r="E421" s="118"/>
      <c r="F421" s="119" t="s">
        <v>22212</v>
      </c>
      <c r="G421" t="s">
        <v>22218</v>
      </c>
      <c r="I421" s="118"/>
      <c r="J421" s="119" t="s">
        <v>22248</v>
      </c>
      <c r="K421" t="s">
        <v>22254</v>
      </c>
      <c r="M421" s="118"/>
      <c r="N421" s="119" t="s">
        <v>22284</v>
      </c>
      <c r="O421" t="s">
        <v>22290</v>
      </c>
      <c r="Q421" s="118"/>
      <c r="R421" s="119" t="s">
        <v>22320</v>
      </c>
      <c r="S421" t="s">
        <v>22326</v>
      </c>
      <c r="U421" s="118"/>
      <c r="V421" s="119" t="s">
        <v>22356</v>
      </c>
      <c r="W421" t="s">
        <v>22362</v>
      </c>
    </row>
    <row r="422" spans="1:23" x14ac:dyDescent="0.3">
      <c r="A422" s="118"/>
      <c r="B422" s="119" t="s">
        <v>22177</v>
      </c>
      <c r="C422" t="s">
        <v>22183</v>
      </c>
      <c r="E422" s="118"/>
      <c r="F422" s="119" t="s">
        <v>22213</v>
      </c>
      <c r="G422" t="s">
        <v>22219</v>
      </c>
      <c r="I422" s="118"/>
      <c r="J422" s="119" t="s">
        <v>22249</v>
      </c>
      <c r="K422" t="s">
        <v>22255</v>
      </c>
      <c r="M422" s="118"/>
      <c r="N422" s="119" t="s">
        <v>22285</v>
      </c>
      <c r="O422" t="s">
        <v>22291</v>
      </c>
      <c r="Q422" s="118"/>
      <c r="R422" s="119" t="s">
        <v>22321</v>
      </c>
      <c r="S422" t="s">
        <v>22327</v>
      </c>
      <c r="U422" s="118"/>
      <c r="V422" s="119" t="s">
        <v>22357</v>
      </c>
      <c r="W422" t="s">
        <v>22363</v>
      </c>
    </row>
    <row r="423" spans="1:23" x14ac:dyDescent="0.3">
      <c r="A423" s="118"/>
      <c r="B423" s="119" t="s">
        <v>22188</v>
      </c>
      <c r="C423" t="s">
        <v>22194</v>
      </c>
      <c r="E423" s="118"/>
      <c r="F423" s="119" t="s">
        <v>22224</v>
      </c>
      <c r="G423" t="s">
        <v>22230</v>
      </c>
      <c r="I423" s="118"/>
      <c r="J423" s="119" t="s">
        <v>22260</v>
      </c>
      <c r="K423" t="s">
        <v>22266</v>
      </c>
      <c r="M423" s="118"/>
      <c r="N423" s="119" t="s">
        <v>22296</v>
      </c>
      <c r="O423" t="s">
        <v>22302</v>
      </c>
      <c r="Q423" s="118"/>
      <c r="R423" s="119" t="s">
        <v>22332</v>
      </c>
      <c r="S423" t="s">
        <v>22338</v>
      </c>
      <c r="U423" s="118"/>
      <c r="V423" s="119" t="s">
        <v>22368</v>
      </c>
      <c r="W423" t="s">
        <v>22374</v>
      </c>
    </row>
    <row r="424" spans="1:23" x14ac:dyDescent="0.3">
      <c r="A424" s="118"/>
      <c r="B424" s="119" t="s">
        <v>22189</v>
      </c>
      <c r="C424" t="s">
        <v>22195</v>
      </c>
      <c r="E424" s="118"/>
      <c r="F424" s="119" t="s">
        <v>22225</v>
      </c>
      <c r="G424" t="s">
        <v>22231</v>
      </c>
      <c r="I424" s="118"/>
      <c r="J424" s="119" t="s">
        <v>22261</v>
      </c>
      <c r="K424" t="s">
        <v>22267</v>
      </c>
      <c r="M424" s="118"/>
      <c r="N424" s="119" t="s">
        <v>22297</v>
      </c>
      <c r="O424" t="s">
        <v>22303</v>
      </c>
      <c r="Q424" s="118"/>
      <c r="R424" s="119" t="s">
        <v>22333</v>
      </c>
      <c r="S424" t="s">
        <v>22339</v>
      </c>
      <c r="U424" s="118"/>
      <c r="V424" s="119" t="s">
        <v>22369</v>
      </c>
      <c r="W424" t="s">
        <v>22375</v>
      </c>
    </row>
    <row r="425" spans="1:23" x14ac:dyDescent="0.3">
      <c r="A425" s="118"/>
      <c r="B425" s="119" t="s">
        <v>22380</v>
      </c>
      <c r="C425" t="s">
        <v>22386</v>
      </c>
      <c r="E425" s="118"/>
      <c r="F425" s="119" t="s">
        <v>22416</v>
      </c>
      <c r="G425" t="s">
        <v>22422</v>
      </c>
      <c r="I425" s="118"/>
      <c r="J425" s="119" t="s">
        <v>22452</v>
      </c>
      <c r="K425" t="s">
        <v>22458</v>
      </c>
      <c r="M425" s="118"/>
      <c r="N425" s="119" t="s">
        <v>22488</v>
      </c>
      <c r="O425" t="s">
        <v>22494</v>
      </c>
      <c r="Q425" s="118"/>
      <c r="R425" s="119" t="s">
        <v>22524</v>
      </c>
      <c r="S425" t="s">
        <v>22530</v>
      </c>
      <c r="U425" s="118"/>
      <c r="V425" s="119" t="s">
        <v>22560</v>
      </c>
      <c r="W425" t="s">
        <v>22566</v>
      </c>
    </row>
    <row r="426" spans="1:23" x14ac:dyDescent="0.3">
      <c r="A426" s="118"/>
      <c r="B426" s="119" t="s">
        <v>22381</v>
      </c>
      <c r="C426" t="s">
        <v>22387</v>
      </c>
      <c r="E426" s="118"/>
      <c r="F426" s="119" t="s">
        <v>22417</v>
      </c>
      <c r="G426" t="s">
        <v>22423</v>
      </c>
      <c r="I426" s="118"/>
      <c r="J426" s="119" t="s">
        <v>22453</v>
      </c>
      <c r="K426" t="s">
        <v>22459</v>
      </c>
      <c r="M426" s="118"/>
      <c r="N426" s="119" t="s">
        <v>22489</v>
      </c>
      <c r="O426" t="s">
        <v>22495</v>
      </c>
      <c r="Q426" s="118"/>
      <c r="R426" s="119" t="s">
        <v>22525</v>
      </c>
      <c r="S426" t="s">
        <v>22531</v>
      </c>
      <c r="U426" s="118"/>
      <c r="V426" s="119" t="s">
        <v>22561</v>
      </c>
      <c r="W426" t="s">
        <v>22567</v>
      </c>
    </row>
    <row r="427" spans="1:23" x14ac:dyDescent="0.3">
      <c r="A427" s="118"/>
      <c r="B427" s="119" t="s">
        <v>22392</v>
      </c>
      <c r="C427" t="s">
        <v>22398</v>
      </c>
      <c r="E427" s="118"/>
      <c r="F427" s="119" t="s">
        <v>22428</v>
      </c>
      <c r="G427" t="s">
        <v>22434</v>
      </c>
      <c r="I427" s="118"/>
      <c r="J427" s="119" t="s">
        <v>22464</v>
      </c>
      <c r="K427" t="s">
        <v>22470</v>
      </c>
      <c r="M427" s="118"/>
      <c r="N427" s="119" t="s">
        <v>22500</v>
      </c>
      <c r="O427" t="s">
        <v>22506</v>
      </c>
      <c r="Q427" s="118"/>
      <c r="R427" s="119" t="s">
        <v>22536</v>
      </c>
      <c r="S427" t="s">
        <v>22542</v>
      </c>
      <c r="U427" s="118"/>
      <c r="V427" s="119" t="s">
        <v>22572</v>
      </c>
      <c r="W427" t="s">
        <v>22578</v>
      </c>
    </row>
    <row r="428" spans="1:23" x14ac:dyDescent="0.3">
      <c r="A428" s="118"/>
      <c r="B428" s="119" t="s">
        <v>22393</v>
      </c>
      <c r="C428" t="s">
        <v>22399</v>
      </c>
      <c r="E428" s="118"/>
      <c r="F428" s="119" t="s">
        <v>22429</v>
      </c>
      <c r="G428" t="s">
        <v>22435</v>
      </c>
      <c r="I428" s="118"/>
      <c r="J428" s="119" t="s">
        <v>22465</v>
      </c>
      <c r="K428" t="s">
        <v>22471</v>
      </c>
      <c r="M428" s="118"/>
      <c r="N428" s="119" t="s">
        <v>22501</v>
      </c>
      <c r="O428" t="s">
        <v>22507</v>
      </c>
      <c r="Q428" s="118"/>
      <c r="R428" s="119" t="s">
        <v>22537</v>
      </c>
      <c r="S428" t="s">
        <v>22543</v>
      </c>
      <c r="U428" s="118"/>
      <c r="V428" s="119" t="s">
        <v>22573</v>
      </c>
      <c r="W428" t="s">
        <v>22579</v>
      </c>
    </row>
    <row r="429" spans="1:23" x14ac:dyDescent="0.3">
      <c r="A429" s="118"/>
      <c r="B429" s="119" t="s">
        <v>22404</v>
      </c>
      <c r="C429" t="s">
        <v>22410</v>
      </c>
      <c r="E429" s="118"/>
      <c r="F429" s="119" t="s">
        <v>22440</v>
      </c>
      <c r="G429" t="s">
        <v>22446</v>
      </c>
      <c r="I429" s="118"/>
      <c r="J429" s="119" t="s">
        <v>22476</v>
      </c>
      <c r="K429" t="s">
        <v>22482</v>
      </c>
      <c r="M429" s="118"/>
      <c r="N429" s="119" t="s">
        <v>22512</v>
      </c>
      <c r="O429" t="s">
        <v>22518</v>
      </c>
      <c r="Q429" s="118"/>
      <c r="R429" s="119" t="s">
        <v>22548</v>
      </c>
      <c r="S429" t="s">
        <v>22554</v>
      </c>
      <c r="U429" s="118"/>
      <c r="V429" s="119" t="s">
        <v>22584</v>
      </c>
      <c r="W429" t="s">
        <v>22590</v>
      </c>
    </row>
    <row r="430" spans="1:23" x14ac:dyDescent="0.3">
      <c r="A430" s="118"/>
      <c r="B430" s="119" t="s">
        <v>22405</v>
      </c>
      <c r="C430" t="s">
        <v>22411</v>
      </c>
      <c r="E430" s="118"/>
      <c r="F430" s="119" t="s">
        <v>22441</v>
      </c>
      <c r="G430" t="s">
        <v>22447</v>
      </c>
      <c r="I430" s="118"/>
      <c r="J430" s="119" t="s">
        <v>22477</v>
      </c>
      <c r="K430" t="s">
        <v>22483</v>
      </c>
      <c r="M430" s="118"/>
      <c r="N430" s="119" t="s">
        <v>22513</v>
      </c>
      <c r="O430" t="s">
        <v>22519</v>
      </c>
      <c r="Q430" s="118"/>
      <c r="R430" s="119" t="s">
        <v>22549</v>
      </c>
      <c r="S430" t="s">
        <v>22555</v>
      </c>
      <c r="U430" s="118"/>
      <c r="V430" s="119" t="s">
        <v>22585</v>
      </c>
      <c r="W430" t="s">
        <v>22591</v>
      </c>
    </row>
    <row r="431" spans="1:23" x14ac:dyDescent="0.3">
      <c r="A431" s="118"/>
      <c r="B431" s="119" t="s">
        <v>22596</v>
      </c>
      <c r="C431" t="s">
        <v>22602</v>
      </c>
      <c r="E431" s="118"/>
      <c r="F431" s="119" t="s">
        <v>22632</v>
      </c>
      <c r="G431" t="s">
        <v>22638</v>
      </c>
      <c r="I431" s="118"/>
      <c r="J431" s="119" t="s">
        <v>22668</v>
      </c>
      <c r="K431" t="s">
        <v>22674</v>
      </c>
      <c r="M431" s="118"/>
      <c r="N431" s="119" t="s">
        <v>22704</v>
      </c>
      <c r="O431" t="s">
        <v>22710</v>
      </c>
      <c r="Q431" s="118"/>
      <c r="R431" s="119" t="s">
        <v>22740</v>
      </c>
      <c r="S431" t="s">
        <v>22746</v>
      </c>
      <c r="U431" s="118"/>
      <c r="V431" s="119" t="s">
        <v>22776</v>
      </c>
      <c r="W431" t="s">
        <v>22782</v>
      </c>
    </row>
    <row r="432" spans="1:23" x14ac:dyDescent="0.3">
      <c r="A432" s="118"/>
      <c r="B432" s="119" t="s">
        <v>22597</v>
      </c>
      <c r="C432" t="s">
        <v>22603</v>
      </c>
      <c r="E432" s="118"/>
      <c r="F432" s="119" t="s">
        <v>22633</v>
      </c>
      <c r="G432" t="s">
        <v>22639</v>
      </c>
      <c r="I432" s="118"/>
      <c r="J432" s="119" t="s">
        <v>22669</v>
      </c>
      <c r="K432" t="s">
        <v>22675</v>
      </c>
      <c r="M432" s="118"/>
      <c r="N432" s="119" t="s">
        <v>22705</v>
      </c>
      <c r="O432" t="s">
        <v>22711</v>
      </c>
      <c r="Q432" s="118"/>
      <c r="R432" s="119" t="s">
        <v>22741</v>
      </c>
      <c r="S432" t="s">
        <v>22747</v>
      </c>
      <c r="U432" s="118"/>
      <c r="V432" s="119" t="s">
        <v>22777</v>
      </c>
      <c r="W432" t="s">
        <v>22783</v>
      </c>
    </row>
    <row r="433" spans="1:23" x14ac:dyDescent="0.3">
      <c r="A433" s="118"/>
      <c r="B433" s="119" t="s">
        <v>22608</v>
      </c>
      <c r="C433" t="s">
        <v>22614</v>
      </c>
      <c r="E433" s="118"/>
      <c r="F433" s="119" t="s">
        <v>22644</v>
      </c>
      <c r="G433" t="s">
        <v>22650</v>
      </c>
      <c r="I433" s="118"/>
      <c r="J433" s="119" t="s">
        <v>22680</v>
      </c>
      <c r="K433" t="s">
        <v>22686</v>
      </c>
      <c r="M433" s="118"/>
      <c r="N433" s="119" t="s">
        <v>22716</v>
      </c>
      <c r="O433" t="s">
        <v>22722</v>
      </c>
      <c r="Q433" s="118"/>
      <c r="R433" s="119" t="s">
        <v>22752</v>
      </c>
      <c r="S433" t="s">
        <v>22758</v>
      </c>
      <c r="U433" s="118"/>
      <c r="V433" s="119" t="s">
        <v>22788</v>
      </c>
      <c r="W433" t="s">
        <v>22794</v>
      </c>
    </row>
    <row r="434" spans="1:23" x14ac:dyDescent="0.3">
      <c r="A434" s="118"/>
      <c r="B434" s="119" t="s">
        <v>22609</v>
      </c>
      <c r="C434" t="s">
        <v>22615</v>
      </c>
      <c r="E434" s="118"/>
      <c r="F434" s="119" t="s">
        <v>22645</v>
      </c>
      <c r="G434" t="s">
        <v>22651</v>
      </c>
      <c r="I434" s="118"/>
      <c r="J434" s="119" t="s">
        <v>22681</v>
      </c>
      <c r="K434" t="s">
        <v>22687</v>
      </c>
      <c r="M434" s="118"/>
      <c r="N434" s="119" t="s">
        <v>22717</v>
      </c>
      <c r="O434" t="s">
        <v>22723</v>
      </c>
      <c r="Q434" s="118"/>
      <c r="R434" s="119" t="s">
        <v>22753</v>
      </c>
      <c r="S434" t="s">
        <v>22759</v>
      </c>
      <c r="U434" s="118"/>
      <c r="V434" s="119" t="s">
        <v>22789</v>
      </c>
      <c r="W434" t="s">
        <v>22795</v>
      </c>
    </row>
    <row r="435" spans="1:23" x14ac:dyDescent="0.3">
      <c r="A435" s="118"/>
      <c r="B435" s="119" t="s">
        <v>22620</v>
      </c>
      <c r="C435" t="s">
        <v>22626</v>
      </c>
      <c r="E435" s="118"/>
      <c r="F435" s="119" t="s">
        <v>22656</v>
      </c>
      <c r="G435" t="s">
        <v>22662</v>
      </c>
      <c r="I435" s="118"/>
      <c r="J435" s="119" t="s">
        <v>22692</v>
      </c>
      <c r="K435" t="s">
        <v>22698</v>
      </c>
      <c r="M435" s="118"/>
      <c r="N435" s="119" t="s">
        <v>22728</v>
      </c>
      <c r="O435" t="s">
        <v>22734</v>
      </c>
      <c r="Q435" s="118"/>
      <c r="R435" s="119" t="s">
        <v>22764</v>
      </c>
      <c r="S435" t="s">
        <v>22770</v>
      </c>
      <c r="U435" s="118"/>
      <c r="V435" s="119" t="s">
        <v>22800</v>
      </c>
      <c r="W435" t="s">
        <v>22806</v>
      </c>
    </row>
    <row r="436" spans="1:23" x14ac:dyDescent="0.3">
      <c r="A436" s="118"/>
      <c r="B436" s="119" t="s">
        <v>22621</v>
      </c>
      <c r="C436" t="s">
        <v>22627</v>
      </c>
      <c r="E436" s="118"/>
      <c r="F436" s="119" t="s">
        <v>22657</v>
      </c>
      <c r="G436" t="s">
        <v>22663</v>
      </c>
      <c r="I436" s="118"/>
      <c r="J436" s="119" t="s">
        <v>22693</v>
      </c>
      <c r="K436" t="s">
        <v>22699</v>
      </c>
      <c r="M436" s="118"/>
      <c r="N436" s="119" t="s">
        <v>22729</v>
      </c>
      <c r="O436" t="s">
        <v>22735</v>
      </c>
      <c r="Q436" s="118"/>
      <c r="R436" s="119" t="s">
        <v>22765</v>
      </c>
      <c r="S436" t="s">
        <v>22771</v>
      </c>
      <c r="U436" s="118"/>
      <c r="V436" s="119" t="s">
        <v>22801</v>
      </c>
      <c r="W436" t="s">
        <v>22807</v>
      </c>
    </row>
    <row r="437" spans="1:23" x14ac:dyDescent="0.3">
      <c r="A437" s="118"/>
      <c r="B437" s="119" t="s">
        <v>22812</v>
      </c>
      <c r="C437" t="s">
        <v>22818</v>
      </c>
      <c r="E437" s="118"/>
      <c r="F437" s="119" t="s">
        <v>22848</v>
      </c>
      <c r="G437" t="s">
        <v>22854</v>
      </c>
      <c r="I437" s="118"/>
      <c r="J437" s="119" t="s">
        <v>22884</v>
      </c>
      <c r="K437" t="s">
        <v>22890</v>
      </c>
      <c r="M437" s="118"/>
      <c r="N437" s="119" t="s">
        <v>22920</v>
      </c>
      <c r="O437" t="s">
        <v>22926</v>
      </c>
      <c r="Q437" s="118"/>
      <c r="R437" s="119" t="s">
        <v>22956</v>
      </c>
      <c r="S437" t="s">
        <v>22962</v>
      </c>
      <c r="U437" s="118"/>
      <c r="V437" s="119" t="s">
        <v>22992</v>
      </c>
      <c r="W437" t="s">
        <v>22998</v>
      </c>
    </row>
    <row r="438" spans="1:23" x14ac:dyDescent="0.3">
      <c r="A438" s="118"/>
      <c r="B438" s="119" t="s">
        <v>22813</v>
      </c>
      <c r="C438" t="s">
        <v>22819</v>
      </c>
      <c r="E438" s="118"/>
      <c r="F438" s="119" t="s">
        <v>22849</v>
      </c>
      <c r="G438" t="s">
        <v>22855</v>
      </c>
      <c r="I438" s="118"/>
      <c r="J438" s="119" t="s">
        <v>22885</v>
      </c>
      <c r="K438" t="s">
        <v>22891</v>
      </c>
      <c r="M438" s="118"/>
      <c r="N438" s="119" t="s">
        <v>22921</v>
      </c>
      <c r="O438" t="s">
        <v>22927</v>
      </c>
      <c r="Q438" s="118"/>
      <c r="R438" s="119" t="s">
        <v>22957</v>
      </c>
      <c r="S438" t="s">
        <v>22963</v>
      </c>
      <c r="U438" s="118"/>
      <c r="V438" s="119" t="s">
        <v>22993</v>
      </c>
      <c r="W438" t="s">
        <v>22999</v>
      </c>
    </row>
    <row r="439" spans="1:23" x14ac:dyDescent="0.3">
      <c r="A439" s="118"/>
      <c r="B439" s="119" t="s">
        <v>22824</v>
      </c>
      <c r="C439" t="s">
        <v>22830</v>
      </c>
      <c r="E439" s="118"/>
      <c r="F439" s="119" t="s">
        <v>22860</v>
      </c>
      <c r="G439" t="s">
        <v>22866</v>
      </c>
      <c r="I439" s="118"/>
      <c r="J439" s="119" t="s">
        <v>22896</v>
      </c>
      <c r="K439" t="s">
        <v>22902</v>
      </c>
      <c r="M439" s="118"/>
      <c r="N439" s="119" t="s">
        <v>22932</v>
      </c>
      <c r="O439" t="s">
        <v>22938</v>
      </c>
      <c r="Q439" s="118"/>
      <c r="R439" s="119" t="s">
        <v>22968</v>
      </c>
      <c r="S439" t="s">
        <v>22974</v>
      </c>
      <c r="U439" s="118"/>
      <c r="V439" s="119" t="s">
        <v>23004</v>
      </c>
      <c r="W439" t="s">
        <v>23010</v>
      </c>
    </row>
    <row r="440" spans="1:23" x14ac:dyDescent="0.3">
      <c r="A440" s="118"/>
      <c r="B440" s="119" t="s">
        <v>22825</v>
      </c>
      <c r="C440" t="s">
        <v>22831</v>
      </c>
      <c r="E440" s="118"/>
      <c r="F440" s="119" t="s">
        <v>22861</v>
      </c>
      <c r="G440" t="s">
        <v>22867</v>
      </c>
      <c r="I440" s="118"/>
      <c r="J440" s="119" t="s">
        <v>22897</v>
      </c>
      <c r="K440" t="s">
        <v>22903</v>
      </c>
      <c r="M440" s="118"/>
      <c r="N440" s="119" t="s">
        <v>22933</v>
      </c>
      <c r="O440" t="s">
        <v>22939</v>
      </c>
      <c r="Q440" s="118"/>
      <c r="R440" s="119" t="s">
        <v>22969</v>
      </c>
      <c r="S440" t="s">
        <v>22975</v>
      </c>
      <c r="U440" s="118"/>
      <c r="V440" s="119" t="s">
        <v>23005</v>
      </c>
      <c r="W440" t="s">
        <v>23011</v>
      </c>
    </row>
    <row r="441" spans="1:23" x14ac:dyDescent="0.3">
      <c r="A441" s="118"/>
      <c r="B441" s="119" t="s">
        <v>22836</v>
      </c>
      <c r="C441" t="s">
        <v>22842</v>
      </c>
      <c r="E441" s="118"/>
      <c r="F441" s="119" t="s">
        <v>22872</v>
      </c>
      <c r="G441" t="s">
        <v>22878</v>
      </c>
      <c r="I441" s="118"/>
      <c r="J441" s="119" t="s">
        <v>22908</v>
      </c>
      <c r="K441" t="s">
        <v>22914</v>
      </c>
      <c r="M441" s="118"/>
      <c r="N441" s="119" t="s">
        <v>22944</v>
      </c>
      <c r="O441" t="s">
        <v>22950</v>
      </c>
      <c r="Q441" s="118"/>
      <c r="R441" s="119" t="s">
        <v>22980</v>
      </c>
      <c r="S441" t="s">
        <v>22986</v>
      </c>
      <c r="U441" s="118"/>
      <c r="V441" s="119" t="s">
        <v>23016</v>
      </c>
      <c r="W441" t="s">
        <v>23022</v>
      </c>
    </row>
    <row r="442" spans="1:23" x14ac:dyDescent="0.3">
      <c r="A442" s="118"/>
      <c r="B442" s="119" t="s">
        <v>22837</v>
      </c>
      <c r="C442" t="s">
        <v>22843</v>
      </c>
      <c r="E442" s="118"/>
      <c r="F442" s="119" t="s">
        <v>22873</v>
      </c>
      <c r="G442" t="s">
        <v>22879</v>
      </c>
      <c r="I442" s="118"/>
      <c r="J442" s="119" t="s">
        <v>22909</v>
      </c>
      <c r="K442" t="s">
        <v>22915</v>
      </c>
      <c r="M442" s="118"/>
      <c r="N442" s="119" t="s">
        <v>22945</v>
      </c>
      <c r="O442" t="s">
        <v>22951</v>
      </c>
      <c r="Q442" s="118"/>
      <c r="R442" s="119" t="s">
        <v>22981</v>
      </c>
      <c r="S442" t="s">
        <v>22987</v>
      </c>
      <c r="U442" s="118"/>
      <c r="V442" s="119" t="s">
        <v>23017</v>
      </c>
      <c r="W442" t="s">
        <v>23023</v>
      </c>
    </row>
    <row r="443" spans="1:23" x14ac:dyDescent="0.3">
      <c r="A443" s="118"/>
      <c r="B443" s="119" t="s">
        <v>23028</v>
      </c>
      <c r="C443" t="s">
        <v>23034</v>
      </c>
      <c r="E443" s="118"/>
      <c r="F443" s="119" t="s">
        <v>23064</v>
      </c>
      <c r="G443" t="s">
        <v>23070</v>
      </c>
      <c r="I443" s="118"/>
      <c r="J443" s="119" t="s">
        <v>23100</v>
      </c>
      <c r="K443" t="s">
        <v>23106</v>
      </c>
      <c r="M443" s="118"/>
      <c r="N443" s="119" t="s">
        <v>23136</v>
      </c>
      <c r="O443" t="s">
        <v>23142</v>
      </c>
      <c r="Q443" s="118"/>
      <c r="R443" s="119" t="s">
        <v>23172</v>
      </c>
      <c r="S443" t="s">
        <v>23178</v>
      </c>
      <c r="U443" s="118"/>
      <c r="V443" s="119" t="s">
        <v>23208</v>
      </c>
      <c r="W443" t="s">
        <v>23214</v>
      </c>
    </row>
    <row r="444" spans="1:23" x14ac:dyDescent="0.3">
      <c r="A444" s="118"/>
      <c r="B444" s="119" t="s">
        <v>23029</v>
      </c>
      <c r="C444" t="s">
        <v>23035</v>
      </c>
      <c r="E444" s="118"/>
      <c r="F444" s="119" t="s">
        <v>23065</v>
      </c>
      <c r="G444" t="s">
        <v>23071</v>
      </c>
      <c r="I444" s="118"/>
      <c r="J444" s="119" t="s">
        <v>23101</v>
      </c>
      <c r="K444" t="s">
        <v>23107</v>
      </c>
      <c r="M444" s="118"/>
      <c r="N444" s="119" t="s">
        <v>23137</v>
      </c>
      <c r="O444" t="s">
        <v>23143</v>
      </c>
      <c r="Q444" s="118"/>
      <c r="R444" s="119" t="s">
        <v>23173</v>
      </c>
      <c r="S444" t="s">
        <v>23179</v>
      </c>
      <c r="U444" s="118"/>
      <c r="V444" s="119" t="s">
        <v>23209</v>
      </c>
      <c r="W444" t="s">
        <v>23215</v>
      </c>
    </row>
    <row r="445" spans="1:23" x14ac:dyDescent="0.3">
      <c r="A445" s="118"/>
      <c r="B445" s="119" t="s">
        <v>23040</v>
      </c>
      <c r="C445" t="s">
        <v>23046</v>
      </c>
      <c r="E445" s="118"/>
      <c r="F445" s="119" t="s">
        <v>23076</v>
      </c>
      <c r="G445" t="s">
        <v>23082</v>
      </c>
      <c r="I445" s="118"/>
      <c r="J445" s="119" t="s">
        <v>23112</v>
      </c>
      <c r="K445" t="s">
        <v>23118</v>
      </c>
      <c r="M445" s="118"/>
      <c r="N445" s="119" t="s">
        <v>23148</v>
      </c>
      <c r="O445" t="s">
        <v>23154</v>
      </c>
      <c r="Q445" s="118"/>
      <c r="R445" s="119" t="s">
        <v>23184</v>
      </c>
      <c r="S445" t="s">
        <v>23190</v>
      </c>
      <c r="U445" s="118"/>
      <c r="V445" s="119" t="s">
        <v>23220</v>
      </c>
      <c r="W445" t="s">
        <v>23226</v>
      </c>
    </row>
    <row r="446" spans="1:23" x14ac:dyDescent="0.3">
      <c r="A446" s="118"/>
      <c r="B446" s="119" t="s">
        <v>23041</v>
      </c>
      <c r="C446" t="s">
        <v>23047</v>
      </c>
      <c r="E446" s="118"/>
      <c r="F446" s="119" t="s">
        <v>23077</v>
      </c>
      <c r="G446" t="s">
        <v>23083</v>
      </c>
      <c r="I446" s="118"/>
      <c r="J446" s="119" t="s">
        <v>23113</v>
      </c>
      <c r="K446" t="s">
        <v>23119</v>
      </c>
      <c r="M446" s="118"/>
      <c r="N446" s="119" t="s">
        <v>23149</v>
      </c>
      <c r="O446" t="s">
        <v>23155</v>
      </c>
      <c r="Q446" s="118"/>
      <c r="R446" s="119" t="s">
        <v>23185</v>
      </c>
      <c r="S446" t="s">
        <v>23191</v>
      </c>
      <c r="U446" s="118"/>
      <c r="V446" s="119" t="s">
        <v>23221</v>
      </c>
      <c r="W446" t="s">
        <v>23227</v>
      </c>
    </row>
    <row r="447" spans="1:23" x14ac:dyDescent="0.3">
      <c r="A447" s="118"/>
      <c r="B447" s="119" t="s">
        <v>23052</v>
      </c>
      <c r="C447" t="s">
        <v>23058</v>
      </c>
      <c r="E447" s="118"/>
      <c r="F447" s="119" t="s">
        <v>23088</v>
      </c>
      <c r="G447" t="s">
        <v>23094</v>
      </c>
      <c r="I447" s="118"/>
      <c r="J447" s="119" t="s">
        <v>23124</v>
      </c>
      <c r="K447" t="s">
        <v>23130</v>
      </c>
      <c r="M447" s="118"/>
      <c r="N447" s="119" t="s">
        <v>23160</v>
      </c>
      <c r="O447" t="s">
        <v>23166</v>
      </c>
      <c r="Q447" s="118"/>
      <c r="R447" s="119" t="s">
        <v>23196</v>
      </c>
      <c r="S447" t="s">
        <v>23202</v>
      </c>
      <c r="U447" s="118"/>
      <c r="V447" s="119" t="s">
        <v>23232</v>
      </c>
      <c r="W447" t="s">
        <v>23238</v>
      </c>
    </row>
    <row r="448" spans="1:23" x14ac:dyDescent="0.3">
      <c r="A448" s="118"/>
      <c r="B448" s="119" t="s">
        <v>23053</v>
      </c>
      <c r="C448" t="s">
        <v>23059</v>
      </c>
      <c r="E448" s="118"/>
      <c r="F448" s="119" t="s">
        <v>23089</v>
      </c>
      <c r="G448" t="s">
        <v>23095</v>
      </c>
      <c r="I448" s="118"/>
      <c r="J448" s="119" t="s">
        <v>23125</v>
      </c>
      <c r="K448" t="s">
        <v>23131</v>
      </c>
      <c r="M448" s="118"/>
      <c r="N448" s="119" t="s">
        <v>23161</v>
      </c>
      <c r="O448" t="s">
        <v>23167</v>
      </c>
      <c r="Q448" s="118"/>
      <c r="R448" s="119" t="s">
        <v>23197</v>
      </c>
      <c r="S448" t="s">
        <v>23203</v>
      </c>
      <c r="U448" s="118"/>
      <c r="V448" s="119" t="s">
        <v>23233</v>
      </c>
      <c r="W448" t="s">
        <v>23239</v>
      </c>
    </row>
    <row r="449" spans="1:23" x14ac:dyDescent="0.3">
      <c r="A449" s="118"/>
      <c r="B449" s="119" t="s">
        <v>23244</v>
      </c>
      <c r="C449" t="s">
        <v>23250</v>
      </c>
      <c r="E449" s="118"/>
      <c r="F449" s="119" t="s">
        <v>23280</v>
      </c>
      <c r="G449" t="s">
        <v>23286</v>
      </c>
      <c r="I449" s="118"/>
      <c r="J449" s="119" t="s">
        <v>23316</v>
      </c>
      <c r="K449" t="s">
        <v>23322</v>
      </c>
      <c r="M449" s="118"/>
      <c r="N449" s="119" t="s">
        <v>23352</v>
      </c>
      <c r="O449" t="s">
        <v>23358</v>
      </c>
      <c r="Q449" s="118"/>
      <c r="R449" s="119" t="s">
        <v>23388</v>
      </c>
      <c r="S449" t="s">
        <v>23394</v>
      </c>
      <c r="U449" s="118"/>
      <c r="V449" s="119" t="s">
        <v>23424</v>
      </c>
      <c r="W449" t="s">
        <v>23430</v>
      </c>
    </row>
    <row r="450" spans="1:23" x14ac:dyDescent="0.3">
      <c r="A450" s="118"/>
      <c r="B450" s="119" t="s">
        <v>23245</v>
      </c>
      <c r="C450" t="s">
        <v>23251</v>
      </c>
      <c r="E450" s="118"/>
      <c r="F450" s="119" t="s">
        <v>23281</v>
      </c>
      <c r="G450" t="s">
        <v>23287</v>
      </c>
      <c r="I450" s="118"/>
      <c r="J450" s="119" t="s">
        <v>23317</v>
      </c>
      <c r="K450" t="s">
        <v>23323</v>
      </c>
      <c r="M450" s="118"/>
      <c r="N450" s="119" t="s">
        <v>23353</v>
      </c>
      <c r="O450" t="s">
        <v>23359</v>
      </c>
      <c r="Q450" s="118"/>
      <c r="R450" s="119" t="s">
        <v>23389</v>
      </c>
      <c r="S450" t="s">
        <v>23395</v>
      </c>
      <c r="U450" s="118"/>
      <c r="V450" s="119" t="s">
        <v>23425</v>
      </c>
      <c r="W450" t="s">
        <v>23431</v>
      </c>
    </row>
    <row r="451" spans="1:23" x14ac:dyDescent="0.3">
      <c r="A451" s="118"/>
      <c r="B451" s="119" t="s">
        <v>23256</v>
      </c>
      <c r="C451" t="s">
        <v>23262</v>
      </c>
      <c r="E451" s="118"/>
      <c r="F451" s="119" t="s">
        <v>23292</v>
      </c>
      <c r="G451" t="s">
        <v>23298</v>
      </c>
      <c r="I451" s="118"/>
      <c r="J451" s="119" t="s">
        <v>23328</v>
      </c>
      <c r="K451" t="s">
        <v>23334</v>
      </c>
      <c r="M451" s="118"/>
      <c r="N451" s="119" t="s">
        <v>23364</v>
      </c>
      <c r="O451" t="s">
        <v>23370</v>
      </c>
      <c r="Q451" s="118"/>
      <c r="R451" s="119" t="s">
        <v>23400</v>
      </c>
      <c r="S451" t="s">
        <v>23406</v>
      </c>
      <c r="U451" s="118"/>
      <c r="V451" s="119" t="s">
        <v>23436</v>
      </c>
      <c r="W451" t="s">
        <v>23442</v>
      </c>
    </row>
    <row r="452" spans="1:23" x14ac:dyDescent="0.3">
      <c r="A452" s="118"/>
      <c r="B452" s="119" t="s">
        <v>23257</v>
      </c>
      <c r="C452" t="s">
        <v>23263</v>
      </c>
      <c r="E452" s="118"/>
      <c r="F452" s="119" t="s">
        <v>23293</v>
      </c>
      <c r="G452" t="s">
        <v>23299</v>
      </c>
      <c r="I452" s="118"/>
      <c r="J452" s="119" t="s">
        <v>23329</v>
      </c>
      <c r="K452" t="s">
        <v>23335</v>
      </c>
      <c r="M452" s="118"/>
      <c r="N452" s="119" t="s">
        <v>23365</v>
      </c>
      <c r="O452" t="s">
        <v>23371</v>
      </c>
      <c r="Q452" s="118"/>
      <c r="R452" s="119" t="s">
        <v>23401</v>
      </c>
      <c r="S452" t="s">
        <v>23407</v>
      </c>
      <c r="U452" s="118"/>
      <c r="V452" s="119" t="s">
        <v>23437</v>
      </c>
      <c r="W452" t="s">
        <v>23443</v>
      </c>
    </row>
    <row r="453" spans="1:23" x14ac:dyDescent="0.3">
      <c r="A453" s="118"/>
      <c r="B453" s="119" t="s">
        <v>23268</v>
      </c>
      <c r="C453" t="s">
        <v>23274</v>
      </c>
      <c r="E453" s="118"/>
      <c r="F453" s="119" t="s">
        <v>23304</v>
      </c>
      <c r="G453" t="s">
        <v>23310</v>
      </c>
      <c r="I453" s="118"/>
      <c r="J453" s="119" t="s">
        <v>23340</v>
      </c>
      <c r="K453" t="s">
        <v>23346</v>
      </c>
      <c r="M453" s="118"/>
      <c r="N453" s="119" t="s">
        <v>23376</v>
      </c>
      <c r="O453" t="s">
        <v>23382</v>
      </c>
      <c r="Q453" s="118"/>
      <c r="R453" s="119" t="s">
        <v>23412</v>
      </c>
      <c r="S453" t="s">
        <v>23418</v>
      </c>
      <c r="U453" s="118"/>
      <c r="V453" s="119" t="s">
        <v>23448</v>
      </c>
      <c r="W453" t="s">
        <v>23454</v>
      </c>
    </row>
    <row r="454" spans="1:23" x14ac:dyDescent="0.3">
      <c r="A454" s="118"/>
      <c r="B454" s="119" t="s">
        <v>23269</v>
      </c>
      <c r="C454" t="s">
        <v>23275</v>
      </c>
      <c r="E454" s="118"/>
      <c r="F454" s="119" t="s">
        <v>23305</v>
      </c>
      <c r="G454" t="s">
        <v>23311</v>
      </c>
      <c r="I454" s="118"/>
      <c r="J454" s="119" t="s">
        <v>23341</v>
      </c>
      <c r="K454" t="s">
        <v>23347</v>
      </c>
      <c r="M454" s="118"/>
      <c r="N454" s="119" t="s">
        <v>23377</v>
      </c>
      <c r="O454" t="s">
        <v>23383</v>
      </c>
      <c r="Q454" s="118"/>
      <c r="R454" s="119" t="s">
        <v>23413</v>
      </c>
      <c r="S454" t="s">
        <v>23419</v>
      </c>
      <c r="U454" s="118"/>
      <c r="V454" s="119" t="s">
        <v>23449</v>
      </c>
      <c r="W454" t="s">
        <v>23455</v>
      </c>
    </row>
    <row r="455" spans="1:23" x14ac:dyDescent="0.3">
      <c r="A455" s="118"/>
      <c r="B455" s="119" t="s">
        <v>23460</v>
      </c>
      <c r="C455" t="s">
        <v>23466</v>
      </c>
      <c r="E455" s="118"/>
      <c r="F455" s="119" t="s">
        <v>23496</v>
      </c>
      <c r="G455" t="s">
        <v>23502</v>
      </c>
      <c r="I455" s="118"/>
      <c r="J455" s="119" t="s">
        <v>23532</v>
      </c>
      <c r="K455" t="s">
        <v>23538</v>
      </c>
      <c r="M455" s="118"/>
      <c r="N455" s="119" t="s">
        <v>23568</v>
      </c>
      <c r="O455" t="s">
        <v>23574</v>
      </c>
      <c r="Q455" s="118"/>
      <c r="R455" s="119" t="s">
        <v>23604</v>
      </c>
      <c r="S455" t="s">
        <v>23610</v>
      </c>
      <c r="U455" s="118"/>
      <c r="V455" s="119" t="s">
        <v>23640</v>
      </c>
      <c r="W455" t="s">
        <v>23646</v>
      </c>
    </row>
    <row r="456" spans="1:23" x14ac:dyDescent="0.3">
      <c r="A456" s="118"/>
      <c r="B456" s="119" t="s">
        <v>23461</v>
      </c>
      <c r="C456" t="s">
        <v>23467</v>
      </c>
      <c r="E456" s="118"/>
      <c r="F456" s="119" t="s">
        <v>23497</v>
      </c>
      <c r="G456" t="s">
        <v>23503</v>
      </c>
      <c r="I456" s="118"/>
      <c r="J456" s="119" t="s">
        <v>23533</v>
      </c>
      <c r="K456" t="s">
        <v>23539</v>
      </c>
      <c r="M456" s="118"/>
      <c r="N456" s="119" t="s">
        <v>23569</v>
      </c>
      <c r="O456" t="s">
        <v>23575</v>
      </c>
      <c r="Q456" s="118"/>
      <c r="R456" s="119" t="s">
        <v>23605</v>
      </c>
      <c r="S456" t="s">
        <v>23611</v>
      </c>
      <c r="U456" s="118"/>
      <c r="V456" s="119" t="s">
        <v>23641</v>
      </c>
      <c r="W456" t="s">
        <v>23647</v>
      </c>
    </row>
    <row r="457" spans="1:23" x14ac:dyDescent="0.3">
      <c r="A457" s="118"/>
      <c r="B457" s="119" t="s">
        <v>23472</v>
      </c>
      <c r="C457" t="s">
        <v>23478</v>
      </c>
      <c r="E457" s="118"/>
      <c r="F457" s="119" t="s">
        <v>23508</v>
      </c>
      <c r="G457" t="s">
        <v>23514</v>
      </c>
      <c r="I457" s="118"/>
      <c r="J457" s="119" t="s">
        <v>23544</v>
      </c>
      <c r="K457" t="s">
        <v>23550</v>
      </c>
      <c r="M457" s="118"/>
      <c r="N457" s="119" t="s">
        <v>23580</v>
      </c>
      <c r="O457" t="s">
        <v>23586</v>
      </c>
      <c r="Q457" s="118"/>
      <c r="R457" s="119" t="s">
        <v>23616</v>
      </c>
      <c r="S457" t="s">
        <v>23622</v>
      </c>
      <c r="U457" s="118"/>
      <c r="V457" s="119" t="s">
        <v>23652</v>
      </c>
      <c r="W457" t="s">
        <v>23658</v>
      </c>
    </row>
    <row r="458" spans="1:23" x14ac:dyDescent="0.3">
      <c r="A458" s="118"/>
      <c r="B458" s="119" t="s">
        <v>23473</v>
      </c>
      <c r="C458" t="s">
        <v>23479</v>
      </c>
      <c r="E458" s="118"/>
      <c r="F458" s="119" t="s">
        <v>23509</v>
      </c>
      <c r="G458" t="s">
        <v>23515</v>
      </c>
      <c r="I458" s="118"/>
      <c r="J458" s="119" t="s">
        <v>23545</v>
      </c>
      <c r="K458" t="s">
        <v>23551</v>
      </c>
      <c r="M458" s="118"/>
      <c r="N458" s="119" t="s">
        <v>23581</v>
      </c>
      <c r="O458" t="s">
        <v>23587</v>
      </c>
      <c r="Q458" s="118"/>
      <c r="R458" s="119" t="s">
        <v>23617</v>
      </c>
      <c r="S458" t="s">
        <v>23623</v>
      </c>
      <c r="U458" s="118"/>
      <c r="V458" s="119" t="s">
        <v>23653</v>
      </c>
      <c r="W458" t="s">
        <v>23659</v>
      </c>
    </row>
    <row r="459" spans="1:23" x14ac:dyDescent="0.3">
      <c r="A459" s="118"/>
      <c r="B459" s="119" t="s">
        <v>23484</v>
      </c>
      <c r="C459" t="s">
        <v>23490</v>
      </c>
      <c r="E459" s="118"/>
      <c r="F459" s="119" t="s">
        <v>23520</v>
      </c>
      <c r="G459" t="s">
        <v>23526</v>
      </c>
      <c r="I459" s="118"/>
      <c r="J459" s="119" t="s">
        <v>23556</v>
      </c>
      <c r="K459" t="s">
        <v>23562</v>
      </c>
      <c r="M459" s="118"/>
      <c r="N459" s="119" t="s">
        <v>23592</v>
      </c>
      <c r="O459" t="s">
        <v>23598</v>
      </c>
      <c r="Q459" s="118"/>
      <c r="R459" s="119" t="s">
        <v>23628</v>
      </c>
      <c r="S459" t="s">
        <v>23634</v>
      </c>
      <c r="U459" s="118"/>
      <c r="V459" s="119" t="s">
        <v>23664</v>
      </c>
      <c r="W459" t="s">
        <v>23670</v>
      </c>
    </row>
    <row r="460" spans="1:23" x14ac:dyDescent="0.3">
      <c r="A460" s="118"/>
      <c r="B460" s="119" t="s">
        <v>23485</v>
      </c>
      <c r="C460" t="s">
        <v>23491</v>
      </c>
      <c r="E460" s="118"/>
      <c r="F460" s="119" t="s">
        <v>23521</v>
      </c>
      <c r="G460" t="s">
        <v>23527</v>
      </c>
      <c r="I460" s="118"/>
      <c r="J460" s="119" t="s">
        <v>23557</v>
      </c>
      <c r="K460" t="s">
        <v>23563</v>
      </c>
      <c r="M460" s="118"/>
      <c r="N460" s="119" t="s">
        <v>23593</v>
      </c>
      <c r="O460" t="s">
        <v>23599</v>
      </c>
      <c r="Q460" s="118"/>
      <c r="R460" s="119" t="s">
        <v>23629</v>
      </c>
      <c r="S460" t="s">
        <v>23635</v>
      </c>
      <c r="U460" s="118"/>
      <c r="V460" s="119" t="s">
        <v>23665</v>
      </c>
      <c r="W460" t="s">
        <v>23671</v>
      </c>
    </row>
    <row r="461" spans="1:23" x14ac:dyDescent="0.3">
      <c r="A461" s="118"/>
      <c r="B461" s="119" t="s">
        <v>23676</v>
      </c>
      <c r="C461" t="s">
        <v>23682</v>
      </c>
      <c r="E461" s="118"/>
      <c r="F461" s="119" t="s">
        <v>23712</v>
      </c>
      <c r="G461" t="s">
        <v>23718</v>
      </c>
      <c r="I461" s="118"/>
      <c r="J461" s="119" t="s">
        <v>23748</v>
      </c>
      <c r="K461" t="s">
        <v>23754</v>
      </c>
      <c r="M461" s="118"/>
      <c r="N461" s="119" t="s">
        <v>23784</v>
      </c>
      <c r="O461" t="s">
        <v>23790</v>
      </c>
      <c r="Q461" s="118"/>
      <c r="R461" s="119" t="s">
        <v>23820</v>
      </c>
      <c r="S461" t="s">
        <v>23826</v>
      </c>
      <c r="U461" s="118"/>
      <c r="V461" s="119" t="s">
        <v>23856</v>
      </c>
      <c r="W461" t="s">
        <v>23862</v>
      </c>
    </row>
    <row r="462" spans="1:23" x14ac:dyDescent="0.3">
      <c r="A462" s="118"/>
      <c r="B462" s="119" t="s">
        <v>23677</v>
      </c>
      <c r="C462" t="s">
        <v>23683</v>
      </c>
      <c r="E462" s="118"/>
      <c r="F462" s="119" t="s">
        <v>23713</v>
      </c>
      <c r="G462" t="s">
        <v>23719</v>
      </c>
      <c r="I462" s="118"/>
      <c r="J462" s="119" t="s">
        <v>23749</v>
      </c>
      <c r="K462" t="s">
        <v>23755</v>
      </c>
      <c r="M462" s="118"/>
      <c r="N462" s="119" t="s">
        <v>23785</v>
      </c>
      <c r="O462" t="s">
        <v>23791</v>
      </c>
      <c r="Q462" s="118"/>
      <c r="R462" s="119" t="s">
        <v>23821</v>
      </c>
      <c r="S462" t="s">
        <v>23827</v>
      </c>
      <c r="U462" s="118"/>
      <c r="V462" s="119" t="s">
        <v>23857</v>
      </c>
      <c r="W462" t="s">
        <v>23863</v>
      </c>
    </row>
    <row r="463" spans="1:23" x14ac:dyDescent="0.3">
      <c r="A463" s="118"/>
      <c r="B463" s="119" t="s">
        <v>23688</v>
      </c>
      <c r="C463" t="s">
        <v>23694</v>
      </c>
      <c r="E463" s="118"/>
      <c r="F463" s="119" t="s">
        <v>23724</v>
      </c>
      <c r="G463" t="s">
        <v>23730</v>
      </c>
      <c r="I463" s="118"/>
      <c r="J463" s="119" t="s">
        <v>23760</v>
      </c>
      <c r="K463" t="s">
        <v>23766</v>
      </c>
      <c r="M463" s="118"/>
      <c r="N463" s="119" t="s">
        <v>23796</v>
      </c>
      <c r="O463" t="s">
        <v>23802</v>
      </c>
      <c r="Q463" s="118"/>
      <c r="R463" s="119" t="s">
        <v>23832</v>
      </c>
      <c r="S463" t="s">
        <v>23838</v>
      </c>
      <c r="U463" s="118"/>
      <c r="V463" s="119" t="s">
        <v>23868</v>
      </c>
      <c r="W463" t="s">
        <v>23874</v>
      </c>
    </row>
    <row r="464" spans="1:23" x14ac:dyDescent="0.3">
      <c r="A464" s="118"/>
      <c r="B464" s="119" t="s">
        <v>23689</v>
      </c>
      <c r="C464" t="s">
        <v>23695</v>
      </c>
      <c r="E464" s="118"/>
      <c r="F464" s="119" t="s">
        <v>23725</v>
      </c>
      <c r="G464" t="s">
        <v>23731</v>
      </c>
      <c r="I464" s="118"/>
      <c r="J464" s="119" t="s">
        <v>23761</v>
      </c>
      <c r="K464" t="s">
        <v>23767</v>
      </c>
      <c r="M464" s="118"/>
      <c r="N464" s="119" t="s">
        <v>23797</v>
      </c>
      <c r="O464" t="s">
        <v>23803</v>
      </c>
      <c r="Q464" s="118"/>
      <c r="R464" s="119" t="s">
        <v>23833</v>
      </c>
      <c r="S464" t="s">
        <v>23839</v>
      </c>
      <c r="U464" s="118"/>
      <c r="V464" s="119" t="s">
        <v>23869</v>
      </c>
      <c r="W464" t="s">
        <v>23875</v>
      </c>
    </row>
    <row r="465" spans="1:23" x14ac:dyDescent="0.3">
      <c r="A465" s="118"/>
      <c r="B465" s="119" t="s">
        <v>23700</v>
      </c>
      <c r="C465" t="s">
        <v>23706</v>
      </c>
      <c r="E465" s="118"/>
      <c r="F465" s="119" t="s">
        <v>23736</v>
      </c>
      <c r="G465" t="s">
        <v>23742</v>
      </c>
      <c r="I465" s="118"/>
      <c r="J465" s="119" t="s">
        <v>23772</v>
      </c>
      <c r="K465" t="s">
        <v>23778</v>
      </c>
      <c r="M465" s="118"/>
      <c r="N465" s="119" t="s">
        <v>23808</v>
      </c>
      <c r="O465" t="s">
        <v>23814</v>
      </c>
      <c r="Q465" s="118"/>
      <c r="R465" s="119" t="s">
        <v>23844</v>
      </c>
      <c r="S465" t="s">
        <v>23850</v>
      </c>
      <c r="U465" s="118"/>
      <c r="V465" s="119" t="s">
        <v>23880</v>
      </c>
      <c r="W465" t="s">
        <v>23886</v>
      </c>
    </row>
    <row r="466" spans="1:23" x14ac:dyDescent="0.3">
      <c r="A466" s="118"/>
      <c r="B466" s="119" t="s">
        <v>23701</v>
      </c>
      <c r="C466" t="s">
        <v>23707</v>
      </c>
      <c r="E466" s="118"/>
      <c r="F466" s="119" t="s">
        <v>23737</v>
      </c>
      <c r="G466" t="s">
        <v>23743</v>
      </c>
      <c r="I466" s="118"/>
      <c r="J466" s="119" t="s">
        <v>23773</v>
      </c>
      <c r="K466" t="s">
        <v>23779</v>
      </c>
      <c r="M466" s="118"/>
      <c r="N466" s="119" t="s">
        <v>23809</v>
      </c>
      <c r="O466" t="s">
        <v>23815</v>
      </c>
      <c r="Q466" s="118"/>
      <c r="R466" s="119" t="s">
        <v>23845</v>
      </c>
      <c r="S466" t="s">
        <v>23851</v>
      </c>
      <c r="U466" s="118"/>
      <c r="V466" s="119" t="s">
        <v>23881</v>
      </c>
      <c r="W466" t="s">
        <v>23887</v>
      </c>
    </row>
    <row r="467" spans="1:23" x14ac:dyDescent="0.3">
      <c r="A467" s="118"/>
      <c r="B467" s="119" t="s">
        <v>23892</v>
      </c>
      <c r="C467" t="s">
        <v>23898</v>
      </c>
      <c r="E467" s="118"/>
      <c r="F467" s="119" t="s">
        <v>23928</v>
      </c>
      <c r="G467" t="s">
        <v>23934</v>
      </c>
      <c r="I467" s="118"/>
      <c r="J467" s="119" t="s">
        <v>23964</v>
      </c>
      <c r="K467" t="s">
        <v>23970</v>
      </c>
      <c r="M467" s="118"/>
      <c r="N467" s="119" t="s">
        <v>24000</v>
      </c>
      <c r="O467" t="s">
        <v>24006</v>
      </c>
      <c r="Q467" s="118"/>
      <c r="R467" s="119" t="s">
        <v>24036</v>
      </c>
      <c r="S467" t="s">
        <v>24042</v>
      </c>
      <c r="U467" s="118"/>
      <c r="V467" s="119" t="s">
        <v>24072</v>
      </c>
      <c r="W467" t="s">
        <v>24078</v>
      </c>
    </row>
    <row r="468" spans="1:23" x14ac:dyDescent="0.3">
      <c r="A468" s="118"/>
      <c r="B468" s="119" t="s">
        <v>23893</v>
      </c>
      <c r="C468" t="s">
        <v>23899</v>
      </c>
      <c r="E468" s="118"/>
      <c r="F468" s="119" t="s">
        <v>23929</v>
      </c>
      <c r="G468" t="s">
        <v>23935</v>
      </c>
      <c r="I468" s="118"/>
      <c r="J468" s="119" t="s">
        <v>23965</v>
      </c>
      <c r="K468" t="s">
        <v>23971</v>
      </c>
      <c r="M468" s="118"/>
      <c r="N468" s="119" t="s">
        <v>24001</v>
      </c>
      <c r="O468" t="s">
        <v>24007</v>
      </c>
      <c r="Q468" s="118"/>
      <c r="R468" s="119" t="s">
        <v>24037</v>
      </c>
      <c r="S468" t="s">
        <v>24043</v>
      </c>
      <c r="U468" s="118"/>
      <c r="V468" s="119" t="s">
        <v>24073</v>
      </c>
      <c r="W468" t="s">
        <v>24079</v>
      </c>
    </row>
    <row r="469" spans="1:23" x14ac:dyDescent="0.3">
      <c r="A469" s="118"/>
      <c r="B469" s="119" t="s">
        <v>23904</v>
      </c>
      <c r="C469" t="s">
        <v>23910</v>
      </c>
      <c r="E469" s="118"/>
      <c r="F469" s="119" t="s">
        <v>23940</v>
      </c>
      <c r="G469" t="s">
        <v>23946</v>
      </c>
      <c r="I469" s="118"/>
      <c r="J469" s="119" t="s">
        <v>23976</v>
      </c>
      <c r="K469" t="s">
        <v>23982</v>
      </c>
      <c r="M469" s="118"/>
      <c r="N469" s="119" t="s">
        <v>24012</v>
      </c>
      <c r="O469" t="s">
        <v>24018</v>
      </c>
      <c r="Q469" s="118"/>
      <c r="R469" s="119" t="s">
        <v>24048</v>
      </c>
      <c r="S469" t="s">
        <v>24054</v>
      </c>
      <c r="U469" s="118"/>
      <c r="V469" s="119" t="s">
        <v>24084</v>
      </c>
      <c r="W469" t="s">
        <v>24090</v>
      </c>
    </row>
    <row r="470" spans="1:23" x14ac:dyDescent="0.3">
      <c r="A470" s="118"/>
      <c r="B470" s="119" t="s">
        <v>23905</v>
      </c>
      <c r="C470" t="s">
        <v>23911</v>
      </c>
      <c r="E470" s="118"/>
      <c r="F470" s="119" t="s">
        <v>23941</v>
      </c>
      <c r="G470" t="s">
        <v>23947</v>
      </c>
      <c r="I470" s="118"/>
      <c r="J470" s="119" t="s">
        <v>23977</v>
      </c>
      <c r="K470" t="s">
        <v>23983</v>
      </c>
      <c r="M470" s="118"/>
      <c r="N470" s="119" t="s">
        <v>24013</v>
      </c>
      <c r="O470" t="s">
        <v>24019</v>
      </c>
      <c r="Q470" s="118"/>
      <c r="R470" s="119" t="s">
        <v>24049</v>
      </c>
      <c r="S470" t="s">
        <v>24055</v>
      </c>
      <c r="U470" s="118"/>
      <c r="V470" s="119" t="s">
        <v>24085</v>
      </c>
      <c r="W470" t="s">
        <v>24091</v>
      </c>
    </row>
    <row r="471" spans="1:23" x14ac:dyDescent="0.3">
      <c r="A471" s="118"/>
      <c r="B471" s="119" t="s">
        <v>23916</v>
      </c>
      <c r="C471" t="s">
        <v>23922</v>
      </c>
      <c r="E471" s="118"/>
      <c r="F471" s="119" t="s">
        <v>23952</v>
      </c>
      <c r="G471" t="s">
        <v>23958</v>
      </c>
      <c r="I471" s="118"/>
      <c r="J471" s="119" t="s">
        <v>23988</v>
      </c>
      <c r="K471" t="s">
        <v>23994</v>
      </c>
      <c r="M471" s="118"/>
      <c r="N471" s="119" t="s">
        <v>24024</v>
      </c>
      <c r="O471" t="s">
        <v>24030</v>
      </c>
      <c r="Q471" s="118"/>
      <c r="R471" s="119" t="s">
        <v>24060</v>
      </c>
      <c r="S471" t="s">
        <v>24066</v>
      </c>
      <c r="U471" s="118"/>
      <c r="V471" s="119" t="s">
        <v>24096</v>
      </c>
      <c r="W471" t="s">
        <v>24102</v>
      </c>
    </row>
    <row r="472" spans="1:23" x14ac:dyDescent="0.3">
      <c r="A472" s="118"/>
      <c r="B472" s="119" t="s">
        <v>23917</v>
      </c>
      <c r="C472" t="s">
        <v>23923</v>
      </c>
      <c r="E472" s="118"/>
      <c r="F472" s="119" t="s">
        <v>23953</v>
      </c>
      <c r="G472" t="s">
        <v>23959</v>
      </c>
      <c r="I472" s="118"/>
      <c r="J472" s="119" t="s">
        <v>23989</v>
      </c>
      <c r="K472" t="s">
        <v>23995</v>
      </c>
      <c r="M472" s="118"/>
      <c r="N472" s="119" t="s">
        <v>24025</v>
      </c>
      <c r="O472" t="s">
        <v>24031</v>
      </c>
      <c r="Q472" s="118"/>
      <c r="R472" s="119" t="s">
        <v>24061</v>
      </c>
      <c r="S472" t="s">
        <v>24067</v>
      </c>
      <c r="U472" s="118"/>
      <c r="V472" s="119" t="s">
        <v>24097</v>
      </c>
      <c r="W472" t="s">
        <v>24103</v>
      </c>
    </row>
    <row r="473" spans="1:23" x14ac:dyDescent="0.3">
      <c r="A473" s="118"/>
      <c r="B473" s="119" t="s">
        <v>24108</v>
      </c>
      <c r="C473" t="s">
        <v>24114</v>
      </c>
      <c r="E473" s="118"/>
      <c r="F473" s="119" t="s">
        <v>24144</v>
      </c>
      <c r="G473" t="s">
        <v>24150</v>
      </c>
      <c r="I473" s="118"/>
      <c r="J473" s="119" t="s">
        <v>24180</v>
      </c>
      <c r="K473" t="s">
        <v>24186</v>
      </c>
      <c r="M473" s="118"/>
      <c r="N473" s="119" t="s">
        <v>24216</v>
      </c>
      <c r="O473" t="s">
        <v>24222</v>
      </c>
      <c r="Q473" s="118"/>
      <c r="R473" s="119" t="s">
        <v>24252</v>
      </c>
      <c r="S473" t="s">
        <v>24258</v>
      </c>
      <c r="U473" s="118"/>
      <c r="V473" s="119" t="s">
        <v>24288</v>
      </c>
      <c r="W473" t="s">
        <v>24294</v>
      </c>
    </row>
    <row r="474" spans="1:23" x14ac:dyDescent="0.3">
      <c r="A474" s="118"/>
      <c r="B474" s="119" t="s">
        <v>24109</v>
      </c>
      <c r="C474" t="s">
        <v>24115</v>
      </c>
      <c r="E474" s="118"/>
      <c r="F474" s="119" t="s">
        <v>24145</v>
      </c>
      <c r="G474" t="s">
        <v>24151</v>
      </c>
      <c r="I474" s="118"/>
      <c r="J474" s="119" t="s">
        <v>24181</v>
      </c>
      <c r="K474" t="s">
        <v>24187</v>
      </c>
      <c r="M474" s="118"/>
      <c r="N474" s="119" t="s">
        <v>24217</v>
      </c>
      <c r="O474" t="s">
        <v>24223</v>
      </c>
      <c r="Q474" s="118"/>
      <c r="R474" s="119" t="s">
        <v>24253</v>
      </c>
      <c r="S474" t="s">
        <v>24259</v>
      </c>
      <c r="U474" s="118"/>
      <c r="V474" s="119" t="s">
        <v>24289</v>
      </c>
      <c r="W474" t="s">
        <v>24295</v>
      </c>
    </row>
    <row r="475" spans="1:23" x14ac:dyDescent="0.3">
      <c r="A475" s="118"/>
      <c r="B475" s="119" t="s">
        <v>24120</v>
      </c>
      <c r="C475" t="s">
        <v>24126</v>
      </c>
      <c r="E475" s="118"/>
      <c r="F475" s="119" t="s">
        <v>24156</v>
      </c>
      <c r="G475" t="s">
        <v>24162</v>
      </c>
      <c r="I475" s="118"/>
      <c r="J475" s="119" t="s">
        <v>24192</v>
      </c>
      <c r="K475" t="s">
        <v>24198</v>
      </c>
      <c r="M475" s="118"/>
      <c r="N475" s="119" t="s">
        <v>24228</v>
      </c>
      <c r="O475" t="s">
        <v>24234</v>
      </c>
      <c r="Q475" s="118"/>
      <c r="R475" s="119" t="s">
        <v>24264</v>
      </c>
      <c r="S475" t="s">
        <v>24270</v>
      </c>
      <c r="U475" s="118"/>
      <c r="V475" s="119" t="s">
        <v>24300</v>
      </c>
      <c r="W475" t="s">
        <v>24306</v>
      </c>
    </row>
    <row r="476" spans="1:23" x14ac:dyDescent="0.3">
      <c r="A476" s="118"/>
      <c r="B476" s="119" t="s">
        <v>24121</v>
      </c>
      <c r="C476" t="s">
        <v>24127</v>
      </c>
      <c r="E476" s="118"/>
      <c r="F476" s="119" t="s">
        <v>24157</v>
      </c>
      <c r="G476" t="s">
        <v>24163</v>
      </c>
      <c r="I476" s="118"/>
      <c r="J476" s="119" t="s">
        <v>24193</v>
      </c>
      <c r="K476" t="s">
        <v>24199</v>
      </c>
      <c r="M476" s="118"/>
      <c r="N476" s="119" t="s">
        <v>24229</v>
      </c>
      <c r="O476" t="s">
        <v>24235</v>
      </c>
      <c r="Q476" s="118"/>
      <c r="R476" s="119" t="s">
        <v>24265</v>
      </c>
      <c r="S476" t="s">
        <v>24271</v>
      </c>
      <c r="U476" s="118"/>
      <c r="V476" s="119" t="s">
        <v>24301</v>
      </c>
      <c r="W476" t="s">
        <v>24307</v>
      </c>
    </row>
    <row r="477" spans="1:23" x14ac:dyDescent="0.3">
      <c r="A477" s="118"/>
      <c r="B477" s="119" t="s">
        <v>24132</v>
      </c>
      <c r="C477" t="s">
        <v>24138</v>
      </c>
      <c r="E477" s="118"/>
      <c r="F477" s="119" t="s">
        <v>24168</v>
      </c>
      <c r="G477" t="s">
        <v>24174</v>
      </c>
      <c r="I477" s="118"/>
      <c r="J477" s="119" t="s">
        <v>24204</v>
      </c>
      <c r="K477" t="s">
        <v>24210</v>
      </c>
      <c r="M477" s="118"/>
      <c r="N477" s="119" t="s">
        <v>24240</v>
      </c>
      <c r="O477" t="s">
        <v>24246</v>
      </c>
      <c r="Q477" s="118"/>
      <c r="R477" s="119" t="s">
        <v>24276</v>
      </c>
      <c r="S477" t="s">
        <v>24282</v>
      </c>
      <c r="U477" s="118"/>
      <c r="V477" s="119" t="s">
        <v>24312</v>
      </c>
      <c r="W477" t="s">
        <v>24318</v>
      </c>
    </row>
    <row r="478" spans="1:23" x14ac:dyDescent="0.3">
      <c r="A478" s="118"/>
      <c r="B478" s="119" t="s">
        <v>24133</v>
      </c>
      <c r="C478" t="s">
        <v>24139</v>
      </c>
      <c r="E478" s="118"/>
      <c r="F478" s="119" t="s">
        <v>24169</v>
      </c>
      <c r="G478" t="s">
        <v>24175</v>
      </c>
      <c r="I478" s="118"/>
      <c r="J478" s="119" t="s">
        <v>24205</v>
      </c>
      <c r="K478" t="s">
        <v>24211</v>
      </c>
      <c r="M478" s="118"/>
      <c r="N478" s="119" t="s">
        <v>24241</v>
      </c>
      <c r="O478" t="s">
        <v>24247</v>
      </c>
      <c r="Q478" s="118"/>
      <c r="R478" s="119" t="s">
        <v>24277</v>
      </c>
      <c r="S478" t="s">
        <v>24283</v>
      </c>
      <c r="U478" s="118"/>
      <c r="V478" s="119" t="s">
        <v>24313</v>
      </c>
      <c r="W478" t="s">
        <v>24319</v>
      </c>
    </row>
    <row r="479" spans="1:23" x14ac:dyDescent="0.3">
      <c r="A479" s="118"/>
      <c r="B479" s="119" t="s">
        <v>24324</v>
      </c>
      <c r="C479" t="s">
        <v>24330</v>
      </c>
      <c r="E479" s="118"/>
      <c r="F479" s="119" t="s">
        <v>24360</v>
      </c>
      <c r="G479" t="s">
        <v>24366</v>
      </c>
      <c r="I479" s="118"/>
      <c r="J479" s="119" t="s">
        <v>24396</v>
      </c>
      <c r="K479" t="s">
        <v>24402</v>
      </c>
      <c r="M479" s="118"/>
      <c r="N479" s="119" t="s">
        <v>24432</v>
      </c>
      <c r="O479" t="s">
        <v>24438</v>
      </c>
      <c r="Q479" s="118"/>
      <c r="R479" s="119" t="s">
        <v>24468</v>
      </c>
      <c r="S479" t="s">
        <v>24474</v>
      </c>
      <c r="U479" s="118"/>
      <c r="V479" s="119" t="s">
        <v>24504</v>
      </c>
      <c r="W479" t="s">
        <v>24510</v>
      </c>
    </row>
    <row r="480" spans="1:23" x14ac:dyDescent="0.3">
      <c r="A480" s="118"/>
      <c r="B480" s="119" t="s">
        <v>24325</v>
      </c>
      <c r="C480" t="s">
        <v>24331</v>
      </c>
      <c r="E480" s="118"/>
      <c r="F480" s="119" t="s">
        <v>24361</v>
      </c>
      <c r="G480" t="s">
        <v>24367</v>
      </c>
      <c r="I480" s="118"/>
      <c r="J480" s="119" t="s">
        <v>24397</v>
      </c>
      <c r="K480" t="s">
        <v>24403</v>
      </c>
      <c r="M480" s="118"/>
      <c r="N480" s="119" t="s">
        <v>24433</v>
      </c>
      <c r="O480" t="s">
        <v>24439</v>
      </c>
      <c r="Q480" s="118"/>
      <c r="R480" s="119" t="s">
        <v>24469</v>
      </c>
      <c r="S480" t="s">
        <v>24475</v>
      </c>
      <c r="U480" s="118"/>
      <c r="V480" s="119" t="s">
        <v>24505</v>
      </c>
      <c r="W480" t="s">
        <v>24511</v>
      </c>
    </row>
    <row r="481" spans="1:23" x14ac:dyDescent="0.3">
      <c r="A481" s="118"/>
      <c r="B481" s="119" t="s">
        <v>24336</v>
      </c>
      <c r="C481" t="s">
        <v>24342</v>
      </c>
      <c r="E481" s="118"/>
      <c r="F481" s="119" t="s">
        <v>24372</v>
      </c>
      <c r="G481" t="s">
        <v>24378</v>
      </c>
      <c r="I481" s="118"/>
      <c r="J481" s="119" t="s">
        <v>24408</v>
      </c>
      <c r="K481" t="s">
        <v>24414</v>
      </c>
      <c r="M481" s="118"/>
      <c r="N481" s="119" t="s">
        <v>24444</v>
      </c>
      <c r="O481" t="s">
        <v>24450</v>
      </c>
      <c r="Q481" s="118"/>
      <c r="R481" s="119" t="s">
        <v>24480</v>
      </c>
      <c r="S481" t="s">
        <v>24486</v>
      </c>
      <c r="U481" s="118"/>
      <c r="V481" s="119" t="s">
        <v>24516</v>
      </c>
      <c r="W481" t="s">
        <v>24522</v>
      </c>
    </row>
    <row r="482" spans="1:23" x14ac:dyDescent="0.3">
      <c r="A482" s="118"/>
      <c r="B482" s="119" t="s">
        <v>24337</v>
      </c>
      <c r="C482" t="s">
        <v>24343</v>
      </c>
      <c r="E482" s="118"/>
      <c r="F482" s="119" t="s">
        <v>24373</v>
      </c>
      <c r="G482" t="s">
        <v>24379</v>
      </c>
      <c r="I482" s="118"/>
      <c r="J482" s="119" t="s">
        <v>24409</v>
      </c>
      <c r="K482" t="s">
        <v>24415</v>
      </c>
      <c r="M482" s="118"/>
      <c r="N482" s="119" t="s">
        <v>24445</v>
      </c>
      <c r="O482" t="s">
        <v>24451</v>
      </c>
      <c r="Q482" s="118"/>
      <c r="R482" s="119" t="s">
        <v>24481</v>
      </c>
      <c r="S482" t="s">
        <v>24487</v>
      </c>
      <c r="U482" s="118"/>
      <c r="V482" s="119" t="s">
        <v>24517</v>
      </c>
      <c r="W482" t="s">
        <v>24523</v>
      </c>
    </row>
    <row r="483" spans="1:23" x14ac:dyDescent="0.3">
      <c r="A483" s="118"/>
      <c r="B483" s="119" t="s">
        <v>24348</v>
      </c>
      <c r="C483" t="s">
        <v>24354</v>
      </c>
      <c r="E483" s="118"/>
      <c r="F483" s="119" t="s">
        <v>24384</v>
      </c>
      <c r="G483" t="s">
        <v>24390</v>
      </c>
      <c r="I483" s="118"/>
      <c r="J483" s="119" t="s">
        <v>24420</v>
      </c>
      <c r="K483" t="s">
        <v>24426</v>
      </c>
      <c r="M483" s="118"/>
      <c r="N483" s="119" t="s">
        <v>24456</v>
      </c>
      <c r="O483" t="s">
        <v>24462</v>
      </c>
      <c r="Q483" s="118"/>
      <c r="R483" s="119" t="s">
        <v>24492</v>
      </c>
      <c r="S483" t="s">
        <v>24498</v>
      </c>
      <c r="U483" s="118"/>
      <c r="V483" s="119" t="s">
        <v>24528</v>
      </c>
      <c r="W483" t="s">
        <v>24534</v>
      </c>
    </row>
    <row r="484" spans="1:23" x14ac:dyDescent="0.3">
      <c r="A484" s="118"/>
      <c r="B484" s="119" t="s">
        <v>24349</v>
      </c>
      <c r="C484" t="s">
        <v>24355</v>
      </c>
      <c r="E484" s="118"/>
      <c r="F484" s="119" t="s">
        <v>24385</v>
      </c>
      <c r="G484" t="s">
        <v>24391</v>
      </c>
      <c r="I484" s="118"/>
      <c r="J484" s="119" t="s">
        <v>24421</v>
      </c>
      <c r="K484" t="s">
        <v>24427</v>
      </c>
      <c r="M484" s="118"/>
      <c r="N484" s="119" t="s">
        <v>24457</v>
      </c>
      <c r="O484" t="s">
        <v>24463</v>
      </c>
      <c r="Q484" s="118"/>
      <c r="R484" s="119" t="s">
        <v>24493</v>
      </c>
      <c r="S484" t="s">
        <v>24499</v>
      </c>
      <c r="U484" s="118"/>
      <c r="V484" s="119" t="s">
        <v>24529</v>
      </c>
      <c r="W484" t="s">
        <v>24535</v>
      </c>
    </row>
    <row r="485" spans="1:23" x14ac:dyDescent="0.3">
      <c r="A485" s="118"/>
      <c r="B485" s="119" t="s">
        <v>24540</v>
      </c>
      <c r="C485" t="s">
        <v>24546</v>
      </c>
      <c r="E485" s="118"/>
      <c r="F485" s="119" t="s">
        <v>24576</v>
      </c>
      <c r="G485" t="s">
        <v>24582</v>
      </c>
      <c r="I485" s="118"/>
      <c r="J485" s="119" t="s">
        <v>24612</v>
      </c>
      <c r="K485" t="s">
        <v>24618</v>
      </c>
      <c r="M485" s="118"/>
      <c r="N485" s="119" t="s">
        <v>24648</v>
      </c>
      <c r="O485" t="s">
        <v>24654</v>
      </c>
      <c r="Q485" s="118"/>
      <c r="R485" s="119" t="s">
        <v>24684</v>
      </c>
      <c r="S485" t="s">
        <v>24690</v>
      </c>
      <c r="U485" s="118"/>
      <c r="V485" s="119" t="s">
        <v>24720</v>
      </c>
      <c r="W485" t="s">
        <v>24726</v>
      </c>
    </row>
    <row r="486" spans="1:23" x14ac:dyDescent="0.3">
      <c r="A486" s="118"/>
      <c r="B486" s="119" t="s">
        <v>24541</v>
      </c>
      <c r="C486" t="s">
        <v>24547</v>
      </c>
      <c r="E486" s="118"/>
      <c r="F486" s="119" t="s">
        <v>24577</v>
      </c>
      <c r="G486" t="s">
        <v>24583</v>
      </c>
      <c r="I486" s="118"/>
      <c r="J486" s="119" t="s">
        <v>24613</v>
      </c>
      <c r="K486" t="s">
        <v>24619</v>
      </c>
      <c r="M486" s="118"/>
      <c r="N486" s="119" t="s">
        <v>24649</v>
      </c>
      <c r="O486" t="s">
        <v>24655</v>
      </c>
      <c r="Q486" s="118"/>
      <c r="R486" s="119" t="s">
        <v>24685</v>
      </c>
      <c r="S486" t="s">
        <v>24691</v>
      </c>
      <c r="U486" s="118"/>
      <c r="V486" s="119" t="s">
        <v>24721</v>
      </c>
      <c r="W486" t="s">
        <v>24727</v>
      </c>
    </row>
    <row r="487" spans="1:23" x14ac:dyDescent="0.3">
      <c r="A487" s="118"/>
      <c r="B487" s="119" t="s">
        <v>24552</v>
      </c>
      <c r="C487" t="s">
        <v>24558</v>
      </c>
      <c r="E487" s="118"/>
      <c r="F487" s="119" t="s">
        <v>24588</v>
      </c>
      <c r="G487" t="s">
        <v>24594</v>
      </c>
      <c r="I487" s="118"/>
      <c r="J487" s="119" t="s">
        <v>24624</v>
      </c>
      <c r="K487" t="s">
        <v>24630</v>
      </c>
      <c r="M487" s="118"/>
      <c r="N487" s="119" t="s">
        <v>24660</v>
      </c>
      <c r="O487" t="s">
        <v>24666</v>
      </c>
      <c r="Q487" s="118"/>
      <c r="R487" s="119" t="s">
        <v>24696</v>
      </c>
      <c r="S487" t="s">
        <v>24702</v>
      </c>
      <c r="U487" s="118"/>
      <c r="V487" s="119" t="s">
        <v>24732</v>
      </c>
      <c r="W487" t="s">
        <v>24738</v>
      </c>
    </row>
    <row r="488" spans="1:23" x14ac:dyDescent="0.3">
      <c r="A488" s="118"/>
      <c r="B488" s="119" t="s">
        <v>24553</v>
      </c>
      <c r="C488" t="s">
        <v>24559</v>
      </c>
      <c r="E488" s="118"/>
      <c r="F488" s="119" t="s">
        <v>24589</v>
      </c>
      <c r="G488" t="s">
        <v>24595</v>
      </c>
      <c r="I488" s="118"/>
      <c r="J488" s="119" t="s">
        <v>24625</v>
      </c>
      <c r="K488" t="s">
        <v>24631</v>
      </c>
      <c r="M488" s="118"/>
      <c r="N488" s="119" t="s">
        <v>24661</v>
      </c>
      <c r="O488" t="s">
        <v>24667</v>
      </c>
      <c r="Q488" s="118"/>
      <c r="R488" s="119" t="s">
        <v>24697</v>
      </c>
      <c r="S488" t="s">
        <v>24703</v>
      </c>
      <c r="U488" s="118"/>
      <c r="V488" s="119" t="s">
        <v>24733</v>
      </c>
      <c r="W488" t="s">
        <v>24739</v>
      </c>
    </row>
    <row r="489" spans="1:23" x14ac:dyDescent="0.3">
      <c r="A489" s="118"/>
      <c r="B489" s="119" t="s">
        <v>24564</v>
      </c>
      <c r="C489" t="s">
        <v>24570</v>
      </c>
      <c r="E489" s="118"/>
      <c r="F489" s="119" t="s">
        <v>24600</v>
      </c>
      <c r="G489" t="s">
        <v>24606</v>
      </c>
      <c r="I489" s="118"/>
      <c r="J489" s="119" t="s">
        <v>24636</v>
      </c>
      <c r="K489" t="s">
        <v>24642</v>
      </c>
      <c r="M489" s="118"/>
      <c r="N489" s="119" t="s">
        <v>24672</v>
      </c>
      <c r="O489" t="s">
        <v>24678</v>
      </c>
      <c r="Q489" s="118"/>
      <c r="R489" s="119" t="s">
        <v>24708</v>
      </c>
      <c r="S489" t="s">
        <v>24714</v>
      </c>
      <c r="U489" s="118"/>
      <c r="V489" s="119" t="s">
        <v>24744</v>
      </c>
      <c r="W489" t="s">
        <v>24750</v>
      </c>
    </row>
    <row r="490" spans="1:23" x14ac:dyDescent="0.3">
      <c r="A490" s="118"/>
      <c r="B490" s="119" t="s">
        <v>24565</v>
      </c>
      <c r="C490" t="s">
        <v>24571</v>
      </c>
      <c r="E490" s="118"/>
      <c r="F490" s="119" t="s">
        <v>24601</v>
      </c>
      <c r="G490" t="s">
        <v>24607</v>
      </c>
      <c r="I490" s="118"/>
      <c r="J490" s="119" t="s">
        <v>24637</v>
      </c>
      <c r="K490" t="s">
        <v>24643</v>
      </c>
      <c r="M490" s="118"/>
      <c r="N490" s="119" t="s">
        <v>24673</v>
      </c>
      <c r="O490" t="s">
        <v>24679</v>
      </c>
      <c r="Q490" s="118"/>
      <c r="R490" s="119" t="s">
        <v>24709</v>
      </c>
      <c r="S490" t="s">
        <v>24715</v>
      </c>
      <c r="U490" s="118"/>
      <c r="V490" s="119" t="s">
        <v>24745</v>
      </c>
      <c r="W490" t="s">
        <v>24751</v>
      </c>
    </row>
    <row r="491" spans="1:23" x14ac:dyDescent="0.3">
      <c r="A491" s="118"/>
      <c r="B491" s="119" t="s">
        <v>24756</v>
      </c>
      <c r="C491" t="s">
        <v>24762</v>
      </c>
      <c r="E491" s="118"/>
      <c r="F491" s="119" t="s">
        <v>24792</v>
      </c>
      <c r="G491" t="s">
        <v>24798</v>
      </c>
      <c r="I491" s="118"/>
      <c r="J491" s="119" t="s">
        <v>24828</v>
      </c>
      <c r="K491" t="s">
        <v>24834</v>
      </c>
      <c r="M491" s="118"/>
      <c r="N491" s="119" t="s">
        <v>24864</v>
      </c>
      <c r="O491" t="s">
        <v>24870</v>
      </c>
      <c r="Q491" s="118"/>
      <c r="R491" s="119" t="s">
        <v>24900</v>
      </c>
      <c r="S491" t="s">
        <v>24906</v>
      </c>
      <c r="U491" s="118"/>
      <c r="V491" s="119" t="s">
        <v>24936</v>
      </c>
      <c r="W491" t="s">
        <v>24942</v>
      </c>
    </row>
    <row r="492" spans="1:23" x14ac:dyDescent="0.3">
      <c r="A492" s="118"/>
      <c r="B492" s="119" t="s">
        <v>24757</v>
      </c>
      <c r="C492" t="s">
        <v>24763</v>
      </c>
      <c r="E492" s="118"/>
      <c r="F492" s="119" t="s">
        <v>24793</v>
      </c>
      <c r="G492" t="s">
        <v>24799</v>
      </c>
      <c r="I492" s="118"/>
      <c r="J492" s="119" t="s">
        <v>24829</v>
      </c>
      <c r="K492" t="s">
        <v>24835</v>
      </c>
      <c r="M492" s="118"/>
      <c r="N492" s="119" t="s">
        <v>24865</v>
      </c>
      <c r="O492" t="s">
        <v>24871</v>
      </c>
      <c r="Q492" s="118"/>
      <c r="R492" s="119" t="s">
        <v>24901</v>
      </c>
      <c r="S492" t="s">
        <v>24907</v>
      </c>
      <c r="U492" s="118"/>
      <c r="V492" s="119" t="s">
        <v>24937</v>
      </c>
      <c r="W492" t="s">
        <v>24943</v>
      </c>
    </row>
    <row r="493" spans="1:23" x14ac:dyDescent="0.3">
      <c r="A493" s="118"/>
      <c r="B493" s="119" t="s">
        <v>24768</v>
      </c>
      <c r="C493" t="s">
        <v>24774</v>
      </c>
      <c r="E493" s="118"/>
      <c r="F493" s="119" t="s">
        <v>24804</v>
      </c>
      <c r="G493" t="s">
        <v>24810</v>
      </c>
      <c r="I493" s="118"/>
      <c r="J493" s="119" t="s">
        <v>24840</v>
      </c>
      <c r="K493" t="s">
        <v>24846</v>
      </c>
      <c r="M493" s="118"/>
      <c r="N493" s="119" t="s">
        <v>24876</v>
      </c>
      <c r="O493" t="s">
        <v>24882</v>
      </c>
      <c r="Q493" s="118"/>
      <c r="R493" s="119" t="s">
        <v>24912</v>
      </c>
      <c r="S493" t="s">
        <v>24918</v>
      </c>
      <c r="U493" s="118"/>
      <c r="V493" s="119" t="s">
        <v>24948</v>
      </c>
      <c r="W493" t="s">
        <v>24954</v>
      </c>
    </row>
    <row r="494" spans="1:23" x14ac:dyDescent="0.3">
      <c r="A494" s="118"/>
      <c r="B494" s="119" t="s">
        <v>24769</v>
      </c>
      <c r="C494" t="s">
        <v>24775</v>
      </c>
      <c r="E494" s="118"/>
      <c r="F494" s="119" t="s">
        <v>24805</v>
      </c>
      <c r="G494" t="s">
        <v>24811</v>
      </c>
      <c r="I494" s="118"/>
      <c r="J494" s="119" t="s">
        <v>24841</v>
      </c>
      <c r="K494" t="s">
        <v>24847</v>
      </c>
      <c r="M494" s="118"/>
      <c r="N494" s="119" t="s">
        <v>24877</v>
      </c>
      <c r="O494" t="s">
        <v>24883</v>
      </c>
      <c r="Q494" s="118"/>
      <c r="R494" s="119" t="s">
        <v>24913</v>
      </c>
      <c r="S494" t="s">
        <v>24919</v>
      </c>
      <c r="U494" s="118"/>
      <c r="V494" s="119" t="s">
        <v>24949</v>
      </c>
      <c r="W494" t="s">
        <v>24955</v>
      </c>
    </row>
    <row r="495" spans="1:23" x14ac:dyDescent="0.3">
      <c r="A495" s="118"/>
      <c r="B495" s="119" t="s">
        <v>24780</v>
      </c>
      <c r="C495" t="s">
        <v>24786</v>
      </c>
      <c r="E495" s="118"/>
      <c r="F495" s="119" t="s">
        <v>24816</v>
      </c>
      <c r="G495" t="s">
        <v>24822</v>
      </c>
      <c r="I495" s="118"/>
      <c r="J495" s="119" t="s">
        <v>24852</v>
      </c>
      <c r="K495" t="s">
        <v>24858</v>
      </c>
      <c r="M495" s="118"/>
      <c r="N495" s="119" t="s">
        <v>24888</v>
      </c>
      <c r="O495" t="s">
        <v>24894</v>
      </c>
      <c r="Q495" s="118"/>
      <c r="R495" s="119" t="s">
        <v>24924</v>
      </c>
      <c r="S495" t="s">
        <v>24930</v>
      </c>
      <c r="U495" s="118"/>
      <c r="V495" s="119" t="s">
        <v>24960</v>
      </c>
      <c r="W495" t="s">
        <v>24966</v>
      </c>
    </row>
    <row r="496" spans="1:23" x14ac:dyDescent="0.3">
      <c r="A496" s="118"/>
      <c r="B496" s="119" t="s">
        <v>24781</v>
      </c>
      <c r="C496" t="s">
        <v>24787</v>
      </c>
      <c r="E496" s="118"/>
      <c r="F496" s="119" t="s">
        <v>24817</v>
      </c>
      <c r="G496" t="s">
        <v>24823</v>
      </c>
      <c r="I496" s="118"/>
      <c r="J496" s="119" t="s">
        <v>24853</v>
      </c>
      <c r="K496" t="s">
        <v>24859</v>
      </c>
      <c r="M496" s="118"/>
      <c r="N496" s="119" t="s">
        <v>24889</v>
      </c>
      <c r="O496" t="s">
        <v>24895</v>
      </c>
      <c r="Q496" s="118"/>
      <c r="R496" s="119" t="s">
        <v>24925</v>
      </c>
      <c r="S496" t="s">
        <v>24931</v>
      </c>
      <c r="U496" s="118"/>
      <c r="V496" s="119" t="s">
        <v>24961</v>
      </c>
      <c r="W496" t="s">
        <v>24967</v>
      </c>
    </row>
    <row r="497" spans="1:23" x14ac:dyDescent="0.3">
      <c r="A497" s="118"/>
      <c r="B497" s="119" t="s">
        <v>24972</v>
      </c>
      <c r="C497" t="s">
        <v>24978</v>
      </c>
      <c r="E497" s="118"/>
      <c r="F497" s="119" t="s">
        <v>25008</v>
      </c>
      <c r="G497" t="s">
        <v>25014</v>
      </c>
      <c r="I497" s="118"/>
      <c r="J497" s="119" t="s">
        <v>25044</v>
      </c>
      <c r="K497" t="s">
        <v>25050</v>
      </c>
      <c r="M497" s="118"/>
      <c r="N497" s="119" t="s">
        <v>25080</v>
      </c>
      <c r="O497" t="s">
        <v>25086</v>
      </c>
      <c r="Q497" s="118"/>
      <c r="R497" s="119" t="s">
        <v>25116</v>
      </c>
      <c r="S497" t="s">
        <v>25122</v>
      </c>
      <c r="U497" s="118"/>
      <c r="V497" s="119" t="s">
        <v>25152</v>
      </c>
      <c r="W497" t="s">
        <v>25158</v>
      </c>
    </row>
    <row r="498" spans="1:23" x14ac:dyDescent="0.3">
      <c r="A498" s="118"/>
      <c r="B498" s="119" t="s">
        <v>24973</v>
      </c>
      <c r="C498" t="s">
        <v>24979</v>
      </c>
      <c r="E498" s="118"/>
      <c r="F498" s="119" t="s">
        <v>25009</v>
      </c>
      <c r="G498" t="s">
        <v>25015</v>
      </c>
      <c r="I498" s="118"/>
      <c r="J498" s="119" t="s">
        <v>25045</v>
      </c>
      <c r="K498" t="s">
        <v>25051</v>
      </c>
      <c r="M498" s="118"/>
      <c r="N498" s="119" t="s">
        <v>25081</v>
      </c>
      <c r="O498" t="s">
        <v>25087</v>
      </c>
      <c r="Q498" s="118"/>
      <c r="R498" s="119" t="s">
        <v>25117</v>
      </c>
      <c r="S498" t="s">
        <v>25123</v>
      </c>
      <c r="U498" s="118"/>
      <c r="V498" s="119" t="s">
        <v>25153</v>
      </c>
      <c r="W498" t="s">
        <v>25159</v>
      </c>
    </row>
    <row r="499" spans="1:23" x14ac:dyDescent="0.3">
      <c r="A499" s="118"/>
      <c r="B499" s="119" t="s">
        <v>24984</v>
      </c>
      <c r="C499" t="s">
        <v>24990</v>
      </c>
      <c r="E499" s="118"/>
      <c r="F499" s="119" t="s">
        <v>25020</v>
      </c>
      <c r="G499" t="s">
        <v>25026</v>
      </c>
      <c r="I499" s="118"/>
      <c r="J499" s="119" t="s">
        <v>25056</v>
      </c>
      <c r="K499" t="s">
        <v>25062</v>
      </c>
      <c r="M499" s="118"/>
      <c r="N499" s="119" t="s">
        <v>25092</v>
      </c>
      <c r="O499" t="s">
        <v>25098</v>
      </c>
      <c r="Q499" s="118"/>
      <c r="R499" s="119" t="s">
        <v>25128</v>
      </c>
      <c r="S499" t="s">
        <v>25134</v>
      </c>
      <c r="U499" s="118"/>
      <c r="V499" s="119" t="s">
        <v>25164</v>
      </c>
      <c r="W499" t="s">
        <v>25170</v>
      </c>
    </row>
    <row r="500" spans="1:23" x14ac:dyDescent="0.3">
      <c r="A500" s="118"/>
      <c r="B500" s="119" t="s">
        <v>24985</v>
      </c>
      <c r="C500" t="s">
        <v>24991</v>
      </c>
      <c r="E500" s="118"/>
      <c r="F500" s="119" t="s">
        <v>25021</v>
      </c>
      <c r="G500" t="s">
        <v>25027</v>
      </c>
      <c r="I500" s="118"/>
      <c r="J500" s="119" t="s">
        <v>25057</v>
      </c>
      <c r="K500" t="s">
        <v>25063</v>
      </c>
      <c r="M500" s="118"/>
      <c r="N500" s="119" t="s">
        <v>25093</v>
      </c>
      <c r="O500" t="s">
        <v>25099</v>
      </c>
      <c r="Q500" s="118"/>
      <c r="R500" s="119" t="s">
        <v>25129</v>
      </c>
      <c r="S500" t="s">
        <v>25135</v>
      </c>
      <c r="U500" s="118"/>
      <c r="V500" s="119" t="s">
        <v>25165</v>
      </c>
      <c r="W500" t="s">
        <v>25171</v>
      </c>
    </row>
    <row r="501" spans="1:23" x14ac:dyDescent="0.3">
      <c r="A501" s="118"/>
      <c r="B501" s="119" t="s">
        <v>24996</v>
      </c>
      <c r="C501" t="s">
        <v>25002</v>
      </c>
      <c r="E501" s="118"/>
      <c r="F501" s="119" t="s">
        <v>25032</v>
      </c>
      <c r="G501" t="s">
        <v>25038</v>
      </c>
      <c r="I501" s="118"/>
      <c r="J501" s="119" t="s">
        <v>25068</v>
      </c>
      <c r="K501" t="s">
        <v>25074</v>
      </c>
      <c r="M501" s="118"/>
      <c r="N501" s="119" t="s">
        <v>25104</v>
      </c>
      <c r="O501" t="s">
        <v>25110</v>
      </c>
      <c r="Q501" s="118"/>
      <c r="R501" s="119" t="s">
        <v>25140</v>
      </c>
      <c r="S501" t="s">
        <v>25146</v>
      </c>
      <c r="U501" s="118"/>
      <c r="V501" s="119" t="s">
        <v>25176</v>
      </c>
      <c r="W501" t="s">
        <v>25182</v>
      </c>
    </row>
    <row r="502" spans="1:23" x14ac:dyDescent="0.3">
      <c r="A502" s="118"/>
      <c r="B502" s="119" t="s">
        <v>24997</v>
      </c>
      <c r="C502" t="s">
        <v>25003</v>
      </c>
      <c r="E502" s="118"/>
      <c r="F502" s="119" t="s">
        <v>25033</v>
      </c>
      <c r="G502" t="s">
        <v>25039</v>
      </c>
      <c r="I502" s="118"/>
      <c r="J502" s="119" t="s">
        <v>25069</v>
      </c>
      <c r="K502" t="s">
        <v>25075</v>
      </c>
      <c r="M502" s="118"/>
      <c r="N502" s="119" t="s">
        <v>25105</v>
      </c>
      <c r="O502" t="s">
        <v>25111</v>
      </c>
      <c r="Q502" s="118"/>
      <c r="R502" s="119" t="s">
        <v>25141</v>
      </c>
      <c r="S502" t="s">
        <v>25147</v>
      </c>
      <c r="U502" s="118"/>
      <c r="V502" s="119" t="s">
        <v>25177</v>
      </c>
      <c r="W502" t="s">
        <v>25183</v>
      </c>
    </row>
    <row r="503" spans="1:23" x14ac:dyDescent="0.3">
      <c r="A503" s="118"/>
      <c r="B503" s="119" t="s">
        <v>25188</v>
      </c>
      <c r="C503" t="s">
        <v>25194</v>
      </c>
      <c r="E503" s="118"/>
      <c r="F503" s="119" t="s">
        <v>25224</v>
      </c>
      <c r="G503" t="s">
        <v>25230</v>
      </c>
      <c r="I503" s="118"/>
      <c r="J503" s="119" t="s">
        <v>25260</v>
      </c>
      <c r="K503" t="s">
        <v>25266</v>
      </c>
      <c r="M503" s="118"/>
      <c r="N503" s="119" t="s">
        <v>25296</v>
      </c>
      <c r="O503" t="s">
        <v>25302</v>
      </c>
      <c r="Q503" s="118"/>
      <c r="R503" s="119" t="s">
        <v>25332</v>
      </c>
      <c r="S503" t="s">
        <v>25338</v>
      </c>
      <c r="U503" s="118"/>
      <c r="V503" s="119" t="s">
        <v>25368</v>
      </c>
      <c r="W503" t="s">
        <v>25374</v>
      </c>
    </row>
    <row r="504" spans="1:23" x14ac:dyDescent="0.3">
      <c r="A504" s="118"/>
      <c r="B504" s="119" t="s">
        <v>25189</v>
      </c>
      <c r="C504" t="s">
        <v>25195</v>
      </c>
      <c r="E504" s="118"/>
      <c r="F504" s="119" t="s">
        <v>25225</v>
      </c>
      <c r="G504" t="s">
        <v>25231</v>
      </c>
      <c r="I504" s="118"/>
      <c r="J504" s="119" t="s">
        <v>25261</v>
      </c>
      <c r="K504" t="s">
        <v>25267</v>
      </c>
      <c r="M504" s="118"/>
      <c r="N504" s="119" t="s">
        <v>25297</v>
      </c>
      <c r="O504" t="s">
        <v>25303</v>
      </c>
      <c r="Q504" s="118"/>
      <c r="R504" s="119" t="s">
        <v>25333</v>
      </c>
      <c r="S504" t="s">
        <v>25339</v>
      </c>
      <c r="U504" s="118"/>
      <c r="V504" s="119" t="s">
        <v>25369</v>
      </c>
      <c r="W504" t="s">
        <v>25375</v>
      </c>
    </row>
    <row r="505" spans="1:23" x14ac:dyDescent="0.3">
      <c r="A505" s="118"/>
      <c r="B505" s="119" t="s">
        <v>25200</v>
      </c>
      <c r="C505" t="s">
        <v>25206</v>
      </c>
      <c r="E505" s="118"/>
      <c r="F505" s="119" t="s">
        <v>25236</v>
      </c>
      <c r="G505" t="s">
        <v>25242</v>
      </c>
      <c r="I505" s="118"/>
      <c r="J505" s="119" t="s">
        <v>25272</v>
      </c>
      <c r="K505" t="s">
        <v>25278</v>
      </c>
      <c r="M505" s="118"/>
      <c r="N505" s="119" t="s">
        <v>25308</v>
      </c>
      <c r="O505" t="s">
        <v>25314</v>
      </c>
      <c r="Q505" s="118"/>
      <c r="R505" s="119" t="s">
        <v>25344</v>
      </c>
      <c r="S505" t="s">
        <v>25350</v>
      </c>
      <c r="U505" s="118"/>
      <c r="V505" s="119" t="s">
        <v>25380</v>
      </c>
      <c r="W505" t="s">
        <v>25386</v>
      </c>
    </row>
    <row r="506" spans="1:23" x14ac:dyDescent="0.3">
      <c r="A506" s="118"/>
      <c r="B506" s="119" t="s">
        <v>25201</v>
      </c>
      <c r="C506" t="s">
        <v>25207</v>
      </c>
      <c r="E506" s="118"/>
      <c r="F506" s="119" t="s">
        <v>25237</v>
      </c>
      <c r="G506" t="s">
        <v>25243</v>
      </c>
      <c r="I506" s="118"/>
      <c r="J506" s="119" t="s">
        <v>25273</v>
      </c>
      <c r="K506" t="s">
        <v>25279</v>
      </c>
      <c r="M506" s="118"/>
      <c r="N506" s="119" t="s">
        <v>25309</v>
      </c>
      <c r="O506" t="s">
        <v>25315</v>
      </c>
      <c r="Q506" s="118"/>
      <c r="R506" s="119" t="s">
        <v>25345</v>
      </c>
      <c r="S506" t="s">
        <v>25351</v>
      </c>
      <c r="U506" s="118"/>
      <c r="V506" s="119" t="s">
        <v>25381</v>
      </c>
      <c r="W506" t="s">
        <v>25387</v>
      </c>
    </row>
    <row r="507" spans="1:23" x14ac:dyDescent="0.3">
      <c r="A507" s="118"/>
      <c r="B507" s="119" t="s">
        <v>25212</v>
      </c>
      <c r="C507" t="s">
        <v>25218</v>
      </c>
      <c r="E507" s="118"/>
      <c r="F507" s="119" t="s">
        <v>25248</v>
      </c>
      <c r="G507" t="s">
        <v>25254</v>
      </c>
      <c r="I507" s="118"/>
      <c r="J507" s="119" t="s">
        <v>25284</v>
      </c>
      <c r="K507" t="s">
        <v>25290</v>
      </c>
      <c r="M507" s="118"/>
      <c r="N507" s="119" t="s">
        <v>25320</v>
      </c>
      <c r="O507" t="s">
        <v>25326</v>
      </c>
      <c r="Q507" s="118"/>
      <c r="R507" s="119" t="s">
        <v>25356</v>
      </c>
      <c r="S507" t="s">
        <v>25362</v>
      </c>
      <c r="U507" s="118"/>
      <c r="V507" s="119" t="s">
        <v>25392</v>
      </c>
      <c r="W507" t="s">
        <v>25398</v>
      </c>
    </row>
    <row r="508" spans="1:23" x14ac:dyDescent="0.3">
      <c r="A508" s="118"/>
      <c r="B508" s="119" t="s">
        <v>25213</v>
      </c>
      <c r="C508" t="s">
        <v>25219</v>
      </c>
      <c r="E508" s="118"/>
      <c r="F508" s="119" t="s">
        <v>25249</v>
      </c>
      <c r="G508" t="s">
        <v>25255</v>
      </c>
      <c r="I508" s="118"/>
      <c r="J508" s="119" t="s">
        <v>25285</v>
      </c>
      <c r="K508" t="s">
        <v>25291</v>
      </c>
      <c r="M508" s="118"/>
      <c r="N508" s="119" t="s">
        <v>25321</v>
      </c>
      <c r="O508" t="s">
        <v>25327</v>
      </c>
      <c r="Q508" s="118"/>
      <c r="R508" s="119" t="s">
        <v>25357</v>
      </c>
      <c r="S508" t="s">
        <v>25363</v>
      </c>
      <c r="U508" s="118"/>
      <c r="V508" s="119" t="s">
        <v>25393</v>
      </c>
      <c r="W508" t="s">
        <v>25399</v>
      </c>
    </row>
    <row r="509" spans="1:23" x14ac:dyDescent="0.3">
      <c r="A509" s="118"/>
      <c r="B509" s="119" t="s">
        <v>25404</v>
      </c>
      <c r="C509" t="s">
        <v>25410</v>
      </c>
      <c r="E509" s="118"/>
      <c r="F509" s="119" t="s">
        <v>25440</v>
      </c>
      <c r="G509" t="s">
        <v>25446</v>
      </c>
      <c r="I509" s="118"/>
      <c r="J509" s="119" t="s">
        <v>25476</v>
      </c>
      <c r="K509" t="s">
        <v>25482</v>
      </c>
      <c r="M509" s="118"/>
      <c r="N509" s="119" t="s">
        <v>25512</v>
      </c>
      <c r="O509" t="s">
        <v>25518</v>
      </c>
      <c r="Q509" s="118"/>
      <c r="R509" s="119" t="s">
        <v>25548</v>
      </c>
      <c r="S509" t="s">
        <v>25554</v>
      </c>
      <c r="U509" s="118"/>
      <c r="V509" s="119" t="s">
        <v>25584</v>
      </c>
      <c r="W509" t="s">
        <v>25590</v>
      </c>
    </row>
    <row r="510" spans="1:23" x14ac:dyDescent="0.3">
      <c r="A510" s="118"/>
      <c r="B510" s="119" t="s">
        <v>25405</v>
      </c>
      <c r="C510" t="s">
        <v>25411</v>
      </c>
      <c r="E510" s="118"/>
      <c r="F510" s="119" t="s">
        <v>25441</v>
      </c>
      <c r="G510" t="s">
        <v>25447</v>
      </c>
      <c r="I510" s="118"/>
      <c r="J510" s="119" t="s">
        <v>25477</v>
      </c>
      <c r="K510" t="s">
        <v>25483</v>
      </c>
      <c r="M510" s="118"/>
      <c r="N510" s="119" t="s">
        <v>25513</v>
      </c>
      <c r="O510" t="s">
        <v>25519</v>
      </c>
      <c r="Q510" s="118"/>
      <c r="R510" s="119" t="s">
        <v>25549</v>
      </c>
      <c r="S510" t="s">
        <v>25555</v>
      </c>
      <c r="U510" s="118"/>
      <c r="V510" s="119" t="s">
        <v>25585</v>
      </c>
      <c r="W510" t="s">
        <v>25591</v>
      </c>
    </row>
    <row r="511" spans="1:23" x14ac:dyDescent="0.3">
      <c r="A511" s="118"/>
      <c r="B511" s="119" t="s">
        <v>25416</v>
      </c>
      <c r="C511" t="s">
        <v>25422</v>
      </c>
      <c r="E511" s="118"/>
      <c r="F511" s="119" t="s">
        <v>25452</v>
      </c>
      <c r="G511" t="s">
        <v>25458</v>
      </c>
      <c r="I511" s="118"/>
      <c r="J511" s="119" t="s">
        <v>25488</v>
      </c>
      <c r="K511" t="s">
        <v>25494</v>
      </c>
      <c r="M511" s="118"/>
      <c r="N511" s="119" t="s">
        <v>25524</v>
      </c>
      <c r="O511" t="s">
        <v>25530</v>
      </c>
      <c r="Q511" s="118"/>
      <c r="R511" s="119" t="s">
        <v>25560</v>
      </c>
      <c r="S511" t="s">
        <v>25566</v>
      </c>
      <c r="U511" s="118"/>
      <c r="V511" s="119" t="s">
        <v>25596</v>
      </c>
      <c r="W511" t="s">
        <v>25602</v>
      </c>
    </row>
    <row r="512" spans="1:23" x14ac:dyDescent="0.3">
      <c r="A512" s="118"/>
      <c r="B512" s="119" t="s">
        <v>25417</v>
      </c>
      <c r="C512" t="s">
        <v>25423</v>
      </c>
      <c r="E512" s="118"/>
      <c r="F512" s="119" t="s">
        <v>25453</v>
      </c>
      <c r="G512" t="s">
        <v>25459</v>
      </c>
      <c r="I512" s="118"/>
      <c r="J512" s="119" t="s">
        <v>25489</v>
      </c>
      <c r="K512" t="s">
        <v>25495</v>
      </c>
      <c r="M512" s="118"/>
      <c r="N512" s="119" t="s">
        <v>25525</v>
      </c>
      <c r="O512" t="s">
        <v>25531</v>
      </c>
      <c r="Q512" s="118"/>
      <c r="R512" s="119" t="s">
        <v>25561</v>
      </c>
      <c r="S512" t="s">
        <v>25567</v>
      </c>
      <c r="U512" s="118"/>
      <c r="V512" s="119" t="s">
        <v>25597</v>
      </c>
      <c r="W512" t="s">
        <v>25603</v>
      </c>
    </row>
    <row r="513" spans="1:23" x14ac:dyDescent="0.3">
      <c r="A513" s="118"/>
      <c r="B513" s="119" t="s">
        <v>25428</v>
      </c>
      <c r="C513" t="s">
        <v>25434</v>
      </c>
      <c r="E513" s="118"/>
      <c r="F513" s="119" t="s">
        <v>25464</v>
      </c>
      <c r="G513" t="s">
        <v>25470</v>
      </c>
      <c r="I513" s="118"/>
      <c r="J513" s="119" t="s">
        <v>25500</v>
      </c>
      <c r="K513" t="s">
        <v>25506</v>
      </c>
      <c r="M513" s="118"/>
      <c r="N513" s="119" t="s">
        <v>25536</v>
      </c>
      <c r="O513" t="s">
        <v>25542</v>
      </c>
      <c r="Q513" s="118"/>
      <c r="R513" s="119" t="s">
        <v>25572</v>
      </c>
      <c r="S513" t="s">
        <v>25578</v>
      </c>
      <c r="U513" s="118"/>
      <c r="V513" s="119" t="s">
        <v>25608</v>
      </c>
      <c r="W513" t="s">
        <v>25614</v>
      </c>
    </row>
    <row r="514" spans="1:23" x14ac:dyDescent="0.3">
      <c r="A514" s="118"/>
      <c r="B514" s="119" t="s">
        <v>25429</v>
      </c>
      <c r="C514" t="s">
        <v>25435</v>
      </c>
      <c r="E514" s="118"/>
      <c r="F514" s="119" t="s">
        <v>25465</v>
      </c>
      <c r="G514" t="s">
        <v>25471</v>
      </c>
      <c r="I514" s="118"/>
      <c r="J514" s="119" t="s">
        <v>25501</v>
      </c>
      <c r="K514" t="s">
        <v>25507</v>
      </c>
      <c r="M514" s="118"/>
      <c r="N514" s="119" t="s">
        <v>25537</v>
      </c>
      <c r="O514" t="s">
        <v>25543</v>
      </c>
      <c r="Q514" s="118"/>
      <c r="R514" s="119" t="s">
        <v>25573</v>
      </c>
      <c r="S514" t="s">
        <v>25579</v>
      </c>
      <c r="U514" s="118"/>
      <c r="V514" s="119" t="s">
        <v>25609</v>
      </c>
      <c r="W514" t="s">
        <v>25615</v>
      </c>
    </row>
    <row r="515" spans="1:23" x14ac:dyDescent="0.3">
      <c r="A515" s="118"/>
      <c r="B515" s="119" t="s">
        <v>25620</v>
      </c>
      <c r="C515" t="s">
        <v>25626</v>
      </c>
      <c r="E515" s="118"/>
      <c r="F515" s="119" t="s">
        <v>25656</v>
      </c>
      <c r="G515" t="s">
        <v>25662</v>
      </c>
      <c r="I515" s="118"/>
      <c r="J515" s="119" t="s">
        <v>25692</v>
      </c>
      <c r="K515" t="s">
        <v>25698</v>
      </c>
      <c r="M515" s="118"/>
      <c r="N515" s="119" t="s">
        <v>25728</v>
      </c>
      <c r="O515" t="s">
        <v>25734</v>
      </c>
      <c r="Q515" s="118"/>
      <c r="R515" s="119" t="s">
        <v>25764</v>
      </c>
      <c r="S515" t="s">
        <v>25770</v>
      </c>
      <c r="U515" s="118"/>
      <c r="V515" s="119" t="s">
        <v>25800</v>
      </c>
      <c r="W515" t="s">
        <v>25806</v>
      </c>
    </row>
    <row r="516" spans="1:23" x14ac:dyDescent="0.3">
      <c r="A516" s="118"/>
      <c r="B516" s="119" t="s">
        <v>25621</v>
      </c>
      <c r="C516" t="s">
        <v>25627</v>
      </c>
      <c r="E516" s="118"/>
      <c r="F516" s="119" t="s">
        <v>25657</v>
      </c>
      <c r="G516" t="s">
        <v>25663</v>
      </c>
      <c r="I516" s="118"/>
      <c r="J516" s="119" t="s">
        <v>25693</v>
      </c>
      <c r="K516" t="s">
        <v>25699</v>
      </c>
      <c r="M516" s="118"/>
      <c r="N516" s="119" t="s">
        <v>25729</v>
      </c>
      <c r="O516" t="s">
        <v>25735</v>
      </c>
      <c r="Q516" s="118"/>
      <c r="R516" s="119" t="s">
        <v>25765</v>
      </c>
      <c r="S516" t="s">
        <v>25771</v>
      </c>
      <c r="U516" s="118"/>
      <c r="V516" s="119" t="s">
        <v>25801</v>
      </c>
      <c r="W516" t="s">
        <v>25807</v>
      </c>
    </row>
    <row r="517" spans="1:23" x14ac:dyDescent="0.3">
      <c r="A517" s="118"/>
      <c r="B517" s="119" t="s">
        <v>25632</v>
      </c>
      <c r="C517" t="s">
        <v>25638</v>
      </c>
      <c r="E517" s="118"/>
      <c r="F517" s="119" t="s">
        <v>25668</v>
      </c>
      <c r="G517" t="s">
        <v>25674</v>
      </c>
      <c r="I517" s="118"/>
      <c r="J517" s="119" t="s">
        <v>25704</v>
      </c>
      <c r="K517" t="s">
        <v>25710</v>
      </c>
      <c r="M517" s="118"/>
      <c r="N517" s="119" t="s">
        <v>25740</v>
      </c>
      <c r="O517" t="s">
        <v>25746</v>
      </c>
      <c r="Q517" s="118"/>
      <c r="R517" s="119" t="s">
        <v>25776</v>
      </c>
      <c r="S517" t="s">
        <v>25782</v>
      </c>
      <c r="U517" s="118"/>
      <c r="V517" s="119" t="s">
        <v>25812</v>
      </c>
      <c r="W517" t="s">
        <v>25818</v>
      </c>
    </row>
    <row r="518" spans="1:23" x14ac:dyDescent="0.3">
      <c r="A518" s="118"/>
      <c r="B518" s="119" t="s">
        <v>25633</v>
      </c>
      <c r="C518" t="s">
        <v>25639</v>
      </c>
      <c r="E518" s="118"/>
      <c r="F518" s="119" t="s">
        <v>25669</v>
      </c>
      <c r="G518" t="s">
        <v>25675</v>
      </c>
      <c r="I518" s="118"/>
      <c r="J518" s="119" t="s">
        <v>25705</v>
      </c>
      <c r="K518" t="s">
        <v>25711</v>
      </c>
      <c r="M518" s="118"/>
      <c r="N518" s="119" t="s">
        <v>25741</v>
      </c>
      <c r="O518" t="s">
        <v>25747</v>
      </c>
      <c r="Q518" s="118"/>
      <c r="R518" s="119" t="s">
        <v>25777</v>
      </c>
      <c r="S518" t="s">
        <v>25783</v>
      </c>
      <c r="U518" s="118"/>
      <c r="V518" s="119" t="s">
        <v>25813</v>
      </c>
      <c r="W518" t="s">
        <v>25819</v>
      </c>
    </row>
    <row r="519" spans="1:23" x14ac:dyDescent="0.3">
      <c r="A519" s="118"/>
      <c r="B519" s="119" t="s">
        <v>25644</v>
      </c>
      <c r="C519" t="s">
        <v>25650</v>
      </c>
      <c r="E519" s="118"/>
      <c r="F519" s="119" t="s">
        <v>25680</v>
      </c>
      <c r="G519" t="s">
        <v>25686</v>
      </c>
      <c r="I519" s="118"/>
      <c r="J519" s="119" t="s">
        <v>25716</v>
      </c>
      <c r="K519" t="s">
        <v>25722</v>
      </c>
      <c r="M519" s="118"/>
      <c r="N519" s="119" t="s">
        <v>25752</v>
      </c>
      <c r="O519" t="s">
        <v>25758</v>
      </c>
      <c r="Q519" s="118"/>
      <c r="R519" s="119" t="s">
        <v>25788</v>
      </c>
      <c r="S519" t="s">
        <v>25794</v>
      </c>
      <c r="U519" s="118"/>
      <c r="V519" s="119" t="s">
        <v>25824</v>
      </c>
      <c r="W519" t="s">
        <v>25830</v>
      </c>
    </row>
    <row r="520" spans="1:23" x14ac:dyDescent="0.3">
      <c r="A520" s="118"/>
      <c r="B520" s="119" t="s">
        <v>25645</v>
      </c>
      <c r="C520" t="s">
        <v>25651</v>
      </c>
      <c r="E520" s="118"/>
      <c r="F520" s="119" t="s">
        <v>25681</v>
      </c>
      <c r="G520" t="s">
        <v>25687</v>
      </c>
      <c r="I520" s="118"/>
      <c r="J520" s="119" t="s">
        <v>25717</v>
      </c>
      <c r="K520" t="s">
        <v>25723</v>
      </c>
      <c r="M520" s="118"/>
      <c r="N520" s="119" t="s">
        <v>25753</v>
      </c>
      <c r="O520" t="s">
        <v>25759</v>
      </c>
      <c r="Q520" s="118"/>
      <c r="R520" s="119" t="s">
        <v>25789</v>
      </c>
      <c r="S520" t="s">
        <v>25795</v>
      </c>
      <c r="U520" s="118"/>
      <c r="V520" s="119" t="s">
        <v>25825</v>
      </c>
      <c r="W520" t="s">
        <v>25831</v>
      </c>
    </row>
    <row r="521" spans="1:23" x14ac:dyDescent="0.3">
      <c r="A521" s="118"/>
      <c r="B521" s="119" t="s">
        <v>25836</v>
      </c>
      <c r="C521" t="s">
        <v>25842</v>
      </c>
      <c r="E521" s="118"/>
      <c r="F521" s="119" t="s">
        <v>25872</v>
      </c>
      <c r="G521" t="s">
        <v>25878</v>
      </c>
      <c r="I521" s="118"/>
      <c r="J521" s="119" t="s">
        <v>25908</v>
      </c>
      <c r="K521" t="s">
        <v>25914</v>
      </c>
      <c r="M521" s="118"/>
      <c r="N521" s="119" t="s">
        <v>25944</v>
      </c>
      <c r="O521" t="s">
        <v>25950</v>
      </c>
      <c r="Q521" s="118"/>
      <c r="R521" s="119" t="s">
        <v>25980</v>
      </c>
      <c r="S521" t="s">
        <v>25986</v>
      </c>
      <c r="U521" s="118"/>
      <c r="V521" s="119" t="s">
        <v>26016</v>
      </c>
      <c r="W521" t="s">
        <v>26022</v>
      </c>
    </row>
    <row r="522" spans="1:23" x14ac:dyDescent="0.3">
      <c r="A522" s="118"/>
      <c r="B522" s="119" t="s">
        <v>25837</v>
      </c>
      <c r="C522" t="s">
        <v>25843</v>
      </c>
      <c r="E522" s="118"/>
      <c r="F522" s="119" t="s">
        <v>25873</v>
      </c>
      <c r="G522" t="s">
        <v>25879</v>
      </c>
      <c r="I522" s="118"/>
      <c r="J522" s="119" t="s">
        <v>25909</v>
      </c>
      <c r="K522" t="s">
        <v>25915</v>
      </c>
      <c r="M522" s="118"/>
      <c r="N522" s="119" t="s">
        <v>25945</v>
      </c>
      <c r="O522" t="s">
        <v>25951</v>
      </c>
      <c r="Q522" s="118"/>
      <c r="R522" s="119" t="s">
        <v>25981</v>
      </c>
      <c r="S522" t="s">
        <v>25987</v>
      </c>
      <c r="U522" s="118"/>
      <c r="V522" s="119" t="s">
        <v>26017</v>
      </c>
      <c r="W522" t="s">
        <v>26023</v>
      </c>
    </row>
    <row r="523" spans="1:23" x14ac:dyDescent="0.3">
      <c r="A523" s="118"/>
      <c r="B523" s="119" t="s">
        <v>25848</v>
      </c>
      <c r="C523" t="s">
        <v>25854</v>
      </c>
      <c r="E523" s="118"/>
      <c r="F523" s="119" t="s">
        <v>25884</v>
      </c>
      <c r="G523" t="s">
        <v>25890</v>
      </c>
      <c r="I523" s="118"/>
      <c r="J523" s="119" t="s">
        <v>25920</v>
      </c>
      <c r="K523" t="s">
        <v>25926</v>
      </c>
      <c r="M523" s="118"/>
      <c r="N523" s="119" t="s">
        <v>25956</v>
      </c>
      <c r="O523" t="s">
        <v>25962</v>
      </c>
      <c r="Q523" s="118"/>
      <c r="R523" s="119" t="s">
        <v>25992</v>
      </c>
      <c r="S523" t="s">
        <v>25998</v>
      </c>
      <c r="U523" s="118"/>
      <c r="V523" s="119" t="s">
        <v>26028</v>
      </c>
      <c r="W523" t="s">
        <v>26034</v>
      </c>
    </row>
    <row r="524" spans="1:23" x14ac:dyDescent="0.3">
      <c r="A524" s="118"/>
      <c r="B524" s="119" t="s">
        <v>25849</v>
      </c>
      <c r="C524" t="s">
        <v>25855</v>
      </c>
      <c r="E524" s="118"/>
      <c r="F524" s="119" t="s">
        <v>25885</v>
      </c>
      <c r="G524" t="s">
        <v>25891</v>
      </c>
      <c r="I524" s="118"/>
      <c r="J524" s="119" t="s">
        <v>25921</v>
      </c>
      <c r="K524" t="s">
        <v>25927</v>
      </c>
      <c r="M524" s="118"/>
      <c r="N524" s="119" t="s">
        <v>25957</v>
      </c>
      <c r="O524" t="s">
        <v>25963</v>
      </c>
      <c r="Q524" s="118"/>
      <c r="R524" s="119" t="s">
        <v>25993</v>
      </c>
      <c r="S524" t="s">
        <v>25999</v>
      </c>
      <c r="U524" s="118"/>
      <c r="V524" s="119" t="s">
        <v>26029</v>
      </c>
      <c r="W524" t="s">
        <v>26035</v>
      </c>
    </row>
    <row r="525" spans="1:23" x14ac:dyDescent="0.3">
      <c r="A525" s="118"/>
      <c r="B525" s="119" t="s">
        <v>25860</v>
      </c>
      <c r="C525" t="s">
        <v>25866</v>
      </c>
      <c r="E525" s="118"/>
      <c r="F525" s="119" t="s">
        <v>25896</v>
      </c>
      <c r="G525" t="s">
        <v>25902</v>
      </c>
      <c r="I525" s="118"/>
      <c r="J525" s="119" t="s">
        <v>25932</v>
      </c>
      <c r="K525" t="s">
        <v>25938</v>
      </c>
      <c r="M525" s="118"/>
      <c r="N525" s="119" t="s">
        <v>25968</v>
      </c>
      <c r="O525" t="s">
        <v>25974</v>
      </c>
      <c r="Q525" s="118"/>
      <c r="R525" s="119" t="s">
        <v>26004</v>
      </c>
      <c r="S525" t="s">
        <v>26010</v>
      </c>
      <c r="U525" s="118"/>
      <c r="V525" s="119" t="s">
        <v>26040</v>
      </c>
      <c r="W525" t="s">
        <v>26046</v>
      </c>
    </row>
    <row r="526" spans="1:23" x14ac:dyDescent="0.3">
      <c r="A526" s="118"/>
      <c r="B526" s="119" t="s">
        <v>25861</v>
      </c>
      <c r="C526" t="s">
        <v>25867</v>
      </c>
      <c r="E526" s="118"/>
      <c r="F526" s="119" t="s">
        <v>25897</v>
      </c>
      <c r="G526" t="s">
        <v>25903</v>
      </c>
      <c r="I526" s="118"/>
      <c r="J526" s="119" t="s">
        <v>25933</v>
      </c>
      <c r="K526" t="s">
        <v>25939</v>
      </c>
      <c r="M526" s="118"/>
      <c r="N526" s="119" t="s">
        <v>25969</v>
      </c>
      <c r="O526" t="s">
        <v>25975</v>
      </c>
      <c r="Q526" s="118"/>
      <c r="R526" s="119" t="s">
        <v>26005</v>
      </c>
      <c r="S526" t="s">
        <v>26011</v>
      </c>
      <c r="U526" s="118"/>
      <c r="V526" s="119" t="s">
        <v>26041</v>
      </c>
      <c r="W526" t="s">
        <v>26047</v>
      </c>
    </row>
    <row r="527" spans="1:23" x14ac:dyDescent="0.3">
      <c r="A527" s="118"/>
      <c r="B527" s="119" t="s">
        <v>26052</v>
      </c>
      <c r="C527" t="s">
        <v>26058</v>
      </c>
      <c r="E527" s="118"/>
      <c r="F527" s="119" t="s">
        <v>26088</v>
      </c>
      <c r="G527" t="s">
        <v>26094</v>
      </c>
      <c r="I527" s="118"/>
      <c r="J527" s="119" t="s">
        <v>26124</v>
      </c>
      <c r="K527" t="s">
        <v>26130</v>
      </c>
      <c r="M527" s="118"/>
      <c r="N527" s="119" t="s">
        <v>26160</v>
      </c>
      <c r="O527" t="s">
        <v>26166</v>
      </c>
      <c r="Q527" s="118"/>
      <c r="R527" s="119" t="s">
        <v>26196</v>
      </c>
      <c r="S527" t="s">
        <v>26202</v>
      </c>
      <c r="U527" s="118"/>
      <c r="V527" s="119" t="s">
        <v>26232</v>
      </c>
      <c r="W527" t="s">
        <v>26238</v>
      </c>
    </row>
    <row r="528" spans="1:23" x14ac:dyDescent="0.3">
      <c r="A528" s="118"/>
      <c r="B528" s="119" t="s">
        <v>26053</v>
      </c>
      <c r="C528" t="s">
        <v>26059</v>
      </c>
      <c r="E528" s="118"/>
      <c r="F528" s="119" t="s">
        <v>26089</v>
      </c>
      <c r="G528" t="s">
        <v>26095</v>
      </c>
      <c r="I528" s="118"/>
      <c r="J528" s="119" t="s">
        <v>26125</v>
      </c>
      <c r="K528" t="s">
        <v>26131</v>
      </c>
      <c r="M528" s="118"/>
      <c r="N528" s="119" t="s">
        <v>26161</v>
      </c>
      <c r="O528" t="s">
        <v>26167</v>
      </c>
      <c r="Q528" s="118"/>
      <c r="R528" s="119" t="s">
        <v>26197</v>
      </c>
      <c r="S528" t="s">
        <v>26203</v>
      </c>
      <c r="U528" s="118"/>
      <c r="V528" s="119" t="s">
        <v>26233</v>
      </c>
      <c r="W528" t="s">
        <v>26239</v>
      </c>
    </row>
    <row r="529" spans="1:23" x14ac:dyDescent="0.3">
      <c r="A529" s="118"/>
      <c r="B529" s="119" t="s">
        <v>26064</v>
      </c>
      <c r="C529" t="s">
        <v>26070</v>
      </c>
      <c r="E529" s="118"/>
      <c r="F529" s="119" t="s">
        <v>26100</v>
      </c>
      <c r="G529" t="s">
        <v>26106</v>
      </c>
      <c r="I529" s="118"/>
      <c r="J529" s="119" t="s">
        <v>26136</v>
      </c>
      <c r="K529" t="s">
        <v>26142</v>
      </c>
      <c r="M529" s="118"/>
      <c r="N529" s="119" t="s">
        <v>26172</v>
      </c>
      <c r="O529" t="s">
        <v>26178</v>
      </c>
      <c r="Q529" s="118"/>
      <c r="R529" s="119" t="s">
        <v>26208</v>
      </c>
      <c r="S529" t="s">
        <v>26214</v>
      </c>
      <c r="U529" s="118"/>
      <c r="V529" s="119" t="s">
        <v>26244</v>
      </c>
      <c r="W529" t="s">
        <v>26250</v>
      </c>
    </row>
    <row r="530" spans="1:23" x14ac:dyDescent="0.3">
      <c r="A530" s="118"/>
      <c r="B530" s="119" t="s">
        <v>26065</v>
      </c>
      <c r="C530" t="s">
        <v>26071</v>
      </c>
      <c r="E530" s="118"/>
      <c r="F530" s="119" t="s">
        <v>26101</v>
      </c>
      <c r="G530" t="s">
        <v>26107</v>
      </c>
      <c r="I530" s="118"/>
      <c r="J530" s="119" t="s">
        <v>26137</v>
      </c>
      <c r="K530" t="s">
        <v>26143</v>
      </c>
      <c r="M530" s="118"/>
      <c r="N530" s="119" t="s">
        <v>26173</v>
      </c>
      <c r="O530" t="s">
        <v>26179</v>
      </c>
      <c r="Q530" s="118"/>
      <c r="R530" s="119" t="s">
        <v>26209</v>
      </c>
      <c r="S530" t="s">
        <v>26215</v>
      </c>
      <c r="U530" s="118"/>
      <c r="V530" s="119" t="s">
        <v>26245</v>
      </c>
      <c r="W530" t="s">
        <v>26251</v>
      </c>
    </row>
    <row r="531" spans="1:23" x14ac:dyDescent="0.3">
      <c r="A531" s="118"/>
      <c r="B531" s="119" t="s">
        <v>26076</v>
      </c>
      <c r="C531" t="s">
        <v>26082</v>
      </c>
      <c r="E531" s="118"/>
      <c r="F531" s="119" t="s">
        <v>26112</v>
      </c>
      <c r="G531" t="s">
        <v>26118</v>
      </c>
      <c r="I531" s="118"/>
      <c r="J531" s="119" t="s">
        <v>26148</v>
      </c>
      <c r="K531" t="s">
        <v>26154</v>
      </c>
      <c r="M531" s="118"/>
      <c r="N531" s="119" t="s">
        <v>26184</v>
      </c>
      <c r="O531" t="s">
        <v>26190</v>
      </c>
      <c r="Q531" s="118"/>
      <c r="R531" s="119" t="s">
        <v>26220</v>
      </c>
      <c r="S531" t="s">
        <v>26226</v>
      </c>
      <c r="U531" s="118"/>
      <c r="V531" s="119" t="s">
        <v>26256</v>
      </c>
      <c r="W531" t="s">
        <v>26262</v>
      </c>
    </row>
    <row r="532" spans="1:23" x14ac:dyDescent="0.3">
      <c r="A532" s="118"/>
      <c r="B532" s="119" t="s">
        <v>26077</v>
      </c>
      <c r="C532" t="s">
        <v>26083</v>
      </c>
      <c r="E532" s="118"/>
      <c r="F532" s="119" t="s">
        <v>26113</v>
      </c>
      <c r="G532" t="s">
        <v>26119</v>
      </c>
      <c r="I532" s="118"/>
      <c r="J532" s="119" t="s">
        <v>26149</v>
      </c>
      <c r="K532" t="s">
        <v>26155</v>
      </c>
      <c r="M532" s="118"/>
      <c r="N532" s="119" t="s">
        <v>26185</v>
      </c>
      <c r="O532" t="s">
        <v>26191</v>
      </c>
      <c r="Q532" s="118"/>
      <c r="R532" s="119" t="s">
        <v>26221</v>
      </c>
      <c r="S532" t="s">
        <v>26227</v>
      </c>
      <c r="U532" s="118"/>
      <c r="V532" s="119" t="s">
        <v>26257</v>
      </c>
      <c r="W532" t="s">
        <v>26263</v>
      </c>
    </row>
    <row r="533" spans="1:23" x14ac:dyDescent="0.3">
      <c r="A533" s="118"/>
      <c r="B533" s="119" t="s">
        <v>26268</v>
      </c>
      <c r="C533" t="s">
        <v>26274</v>
      </c>
      <c r="E533" s="118"/>
      <c r="F533" s="119" t="s">
        <v>26304</v>
      </c>
      <c r="G533" t="s">
        <v>26310</v>
      </c>
      <c r="I533" s="118"/>
      <c r="J533" s="119" t="s">
        <v>26340</v>
      </c>
      <c r="K533" t="s">
        <v>26346</v>
      </c>
      <c r="M533" s="118"/>
      <c r="N533" s="119" t="s">
        <v>26376</v>
      </c>
      <c r="O533" t="s">
        <v>26382</v>
      </c>
      <c r="Q533" s="118"/>
      <c r="R533" s="119" t="s">
        <v>26412</v>
      </c>
      <c r="S533" t="s">
        <v>26418</v>
      </c>
      <c r="U533" s="118"/>
      <c r="V533" s="119" t="s">
        <v>26448</v>
      </c>
      <c r="W533" t="s">
        <v>26454</v>
      </c>
    </row>
    <row r="534" spans="1:23" x14ac:dyDescent="0.3">
      <c r="A534" s="118"/>
      <c r="B534" s="119" t="s">
        <v>26269</v>
      </c>
      <c r="C534" t="s">
        <v>26275</v>
      </c>
      <c r="E534" s="118"/>
      <c r="F534" s="119" t="s">
        <v>26305</v>
      </c>
      <c r="G534" t="s">
        <v>26311</v>
      </c>
      <c r="I534" s="118"/>
      <c r="J534" s="119" t="s">
        <v>26341</v>
      </c>
      <c r="K534" t="s">
        <v>26347</v>
      </c>
      <c r="M534" s="118"/>
      <c r="N534" s="119" t="s">
        <v>26377</v>
      </c>
      <c r="O534" t="s">
        <v>26383</v>
      </c>
      <c r="Q534" s="118"/>
      <c r="R534" s="119" t="s">
        <v>26413</v>
      </c>
      <c r="S534" t="s">
        <v>26419</v>
      </c>
      <c r="U534" s="118"/>
      <c r="V534" s="119" t="s">
        <v>26449</v>
      </c>
      <c r="W534" t="s">
        <v>26455</v>
      </c>
    </row>
    <row r="535" spans="1:23" x14ac:dyDescent="0.3">
      <c r="A535" s="118"/>
      <c r="B535" s="119" t="s">
        <v>26280</v>
      </c>
      <c r="C535" t="s">
        <v>26286</v>
      </c>
      <c r="E535" s="118"/>
      <c r="F535" s="119" t="s">
        <v>26316</v>
      </c>
      <c r="G535" t="s">
        <v>26322</v>
      </c>
      <c r="I535" s="118"/>
      <c r="J535" s="119" t="s">
        <v>26352</v>
      </c>
      <c r="K535" t="s">
        <v>26358</v>
      </c>
      <c r="M535" s="118"/>
      <c r="N535" s="119" t="s">
        <v>26388</v>
      </c>
      <c r="O535" t="s">
        <v>26394</v>
      </c>
      <c r="Q535" s="118"/>
      <c r="R535" s="119" t="s">
        <v>26424</v>
      </c>
      <c r="S535" t="s">
        <v>26430</v>
      </c>
      <c r="U535" s="118"/>
      <c r="V535" s="119" t="s">
        <v>26460</v>
      </c>
      <c r="W535" t="s">
        <v>26466</v>
      </c>
    </row>
    <row r="536" spans="1:23" x14ac:dyDescent="0.3">
      <c r="A536" s="118"/>
      <c r="B536" s="119" t="s">
        <v>26281</v>
      </c>
      <c r="C536" t="s">
        <v>26287</v>
      </c>
      <c r="E536" s="118"/>
      <c r="F536" s="119" t="s">
        <v>26317</v>
      </c>
      <c r="G536" t="s">
        <v>26323</v>
      </c>
      <c r="I536" s="118"/>
      <c r="J536" s="119" t="s">
        <v>26353</v>
      </c>
      <c r="K536" t="s">
        <v>26359</v>
      </c>
      <c r="M536" s="118"/>
      <c r="N536" s="119" t="s">
        <v>26389</v>
      </c>
      <c r="O536" t="s">
        <v>26395</v>
      </c>
      <c r="Q536" s="118"/>
      <c r="R536" s="119" t="s">
        <v>26425</v>
      </c>
      <c r="S536" t="s">
        <v>26431</v>
      </c>
      <c r="U536" s="118"/>
      <c r="V536" s="119" t="s">
        <v>26461</v>
      </c>
      <c r="W536" t="s">
        <v>26467</v>
      </c>
    </row>
    <row r="537" spans="1:23" x14ac:dyDescent="0.3">
      <c r="A537" s="118"/>
      <c r="B537" s="119" t="s">
        <v>26292</v>
      </c>
      <c r="C537" t="s">
        <v>26298</v>
      </c>
      <c r="E537" s="118"/>
      <c r="F537" s="119" t="s">
        <v>26328</v>
      </c>
      <c r="G537" t="s">
        <v>26334</v>
      </c>
      <c r="I537" s="118"/>
      <c r="J537" s="119" t="s">
        <v>26364</v>
      </c>
      <c r="K537" t="s">
        <v>26370</v>
      </c>
      <c r="M537" s="118"/>
      <c r="N537" s="119" t="s">
        <v>26400</v>
      </c>
      <c r="O537" t="s">
        <v>26406</v>
      </c>
      <c r="Q537" s="118"/>
      <c r="R537" s="119" t="s">
        <v>26436</v>
      </c>
      <c r="S537" t="s">
        <v>26442</v>
      </c>
      <c r="U537" s="118"/>
      <c r="V537" s="119" t="s">
        <v>26472</v>
      </c>
      <c r="W537" t="s">
        <v>26478</v>
      </c>
    </row>
    <row r="538" spans="1:23" x14ac:dyDescent="0.3">
      <c r="A538" s="118"/>
      <c r="B538" s="119" t="s">
        <v>26293</v>
      </c>
      <c r="C538" t="s">
        <v>26299</v>
      </c>
      <c r="E538" s="118"/>
      <c r="F538" s="119" t="s">
        <v>26329</v>
      </c>
      <c r="G538" t="s">
        <v>26335</v>
      </c>
      <c r="I538" s="118"/>
      <c r="J538" s="119" t="s">
        <v>26365</v>
      </c>
      <c r="K538" t="s">
        <v>26371</v>
      </c>
      <c r="M538" s="118"/>
      <c r="N538" s="119" t="s">
        <v>26401</v>
      </c>
      <c r="O538" t="s">
        <v>26407</v>
      </c>
      <c r="Q538" s="118"/>
      <c r="R538" s="119" t="s">
        <v>26437</v>
      </c>
      <c r="S538" t="s">
        <v>26443</v>
      </c>
      <c r="U538" s="118"/>
      <c r="V538" s="119" t="s">
        <v>26473</v>
      </c>
      <c r="W538" t="s">
        <v>26479</v>
      </c>
    </row>
    <row r="539" spans="1:23" x14ac:dyDescent="0.3">
      <c r="A539" s="118"/>
      <c r="B539" s="119" t="s">
        <v>26484</v>
      </c>
      <c r="C539" t="s">
        <v>26490</v>
      </c>
      <c r="E539" s="118"/>
      <c r="F539" s="119" t="s">
        <v>26520</v>
      </c>
      <c r="G539" t="s">
        <v>26526</v>
      </c>
      <c r="I539" s="118"/>
      <c r="J539" s="119" t="s">
        <v>26556</v>
      </c>
      <c r="K539" t="s">
        <v>26562</v>
      </c>
      <c r="M539" s="118"/>
      <c r="N539" s="119" t="s">
        <v>26592</v>
      </c>
      <c r="O539" t="s">
        <v>26598</v>
      </c>
      <c r="Q539" s="118"/>
      <c r="R539" s="119" t="s">
        <v>26628</v>
      </c>
      <c r="S539" t="s">
        <v>26634</v>
      </c>
      <c r="U539" s="118"/>
      <c r="V539" s="119" t="s">
        <v>26664</v>
      </c>
      <c r="W539" t="s">
        <v>26670</v>
      </c>
    </row>
    <row r="540" spans="1:23" x14ac:dyDescent="0.3">
      <c r="A540" s="118"/>
      <c r="B540" s="119" t="s">
        <v>26485</v>
      </c>
      <c r="C540" t="s">
        <v>26491</v>
      </c>
      <c r="E540" s="118"/>
      <c r="F540" s="119" t="s">
        <v>26521</v>
      </c>
      <c r="G540" t="s">
        <v>26527</v>
      </c>
      <c r="I540" s="118"/>
      <c r="J540" s="119" t="s">
        <v>26557</v>
      </c>
      <c r="K540" t="s">
        <v>26563</v>
      </c>
      <c r="M540" s="118"/>
      <c r="N540" s="119" t="s">
        <v>26593</v>
      </c>
      <c r="O540" t="s">
        <v>26599</v>
      </c>
      <c r="Q540" s="118"/>
      <c r="R540" s="119" t="s">
        <v>26629</v>
      </c>
      <c r="S540" t="s">
        <v>26635</v>
      </c>
      <c r="U540" s="118"/>
      <c r="V540" s="119" t="s">
        <v>26665</v>
      </c>
      <c r="W540" t="s">
        <v>26671</v>
      </c>
    </row>
    <row r="541" spans="1:23" x14ac:dyDescent="0.3">
      <c r="A541" s="118"/>
      <c r="B541" s="119" t="s">
        <v>26496</v>
      </c>
      <c r="C541" t="s">
        <v>26502</v>
      </c>
      <c r="E541" s="118"/>
      <c r="F541" s="119" t="s">
        <v>26532</v>
      </c>
      <c r="G541" t="s">
        <v>26538</v>
      </c>
      <c r="I541" s="118"/>
      <c r="J541" s="119" t="s">
        <v>26568</v>
      </c>
      <c r="K541" t="s">
        <v>26574</v>
      </c>
      <c r="M541" s="118"/>
      <c r="N541" s="119" t="s">
        <v>26604</v>
      </c>
      <c r="O541" t="s">
        <v>26610</v>
      </c>
      <c r="Q541" s="118"/>
      <c r="R541" s="119" t="s">
        <v>26640</v>
      </c>
      <c r="S541" t="s">
        <v>26646</v>
      </c>
      <c r="U541" s="118"/>
      <c r="V541" s="119" t="s">
        <v>26676</v>
      </c>
      <c r="W541" t="s">
        <v>26682</v>
      </c>
    </row>
    <row r="542" spans="1:23" x14ac:dyDescent="0.3">
      <c r="A542" s="118"/>
      <c r="B542" s="119" t="s">
        <v>26497</v>
      </c>
      <c r="C542" t="s">
        <v>26503</v>
      </c>
      <c r="E542" s="118"/>
      <c r="F542" s="119" t="s">
        <v>26533</v>
      </c>
      <c r="G542" t="s">
        <v>26539</v>
      </c>
      <c r="I542" s="118"/>
      <c r="J542" s="119" t="s">
        <v>26569</v>
      </c>
      <c r="K542" t="s">
        <v>26575</v>
      </c>
      <c r="M542" s="118"/>
      <c r="N542" s="119" t="s">
        <v>26605</v>
      </c>
      <c r="O542" t="s">
        <v>26611</v>
      </c>
      <c r="Q542" s="118"/>
      <c r="R542" s="119" t="s">
        <v>26641</v>
      </c>
      <c r="S542" t="s">
        <v>26647</v>
      </c>
      <c r="U542" s="118"/>
      <c r="V542" s="119" t="s">
        <v>26677</v>
      </c>
      <c r="W542" t="s">
        <v>26683</v>
      </c>
    </row>
    <row r="543" spans="1:23" x14ac:dyDescent="0.3">
      <c r="A543" s="118"/>
      <c r="B543" s="119" t="s">
        <v>26508</v>
      </c>
      <c r="C543" t="s">
        <v>26514</v>
      </c>
      <c r="E543" s="118"/>
      <c r="F543" s="119" t="s">
        <v>26544</v>
      </c>
      <c r="G543" t="s">
        <v>26550</v>
      </c>
      <c r="I543" s="118"/>
      <c r="J543" s="119" t="s">
        <v>26580</v>
      </c>
      <c r="K543" t="s">
        <v>26586</v>
      </c>
      <c r="M543" s="118"/>
      <c r="N543" s="119" t="s">
        <v>26616</v>
      </c>
      <c r="O543" t="s">
        <v>26622</v>
      </c>
      <c r="Q543" s="118"/>
      <c r="R543" s="119" t="s">
        <v>26652</v>
      </c>
      <c r="S543" t="s">
        <v>26658</v>
      </c>
      <c r="U543" s="118"/>
      <c r="V543" s="119" t="s">
        <v>26688</v>
      </c>
      <c r="W543" t="s">
        <v>26694</v>
      </c>
    </row>
    <row r="544" spans="1:23" x14ac:dyDescent="0.3">
      <c r="A544" s="118"/>
      <c r="B544" s="119" t="s">
        <v>26509</v>
      </c>
      <c r="C544" t="s">
        <v>26515</v>
      </c>
      <c r="E544" s="118"/>
      <c r="F544" s="119" t="s">
        <v>26545</v>
      </c>
      <c r="G544" t="s">
        <v>26551</v>
      </c>
      <c r="I544" s="118"/>
      <c r="J544" s="119" t="s">
        <v>26581</v>
      </c>
      <c r="K544" t="s">
        <v>26587</v>
      </c>
      <c r="M544" s="118"/>
      <c r="N544" s="119" t="s">
        <v>26617</v>
      </c>
      <c r="O544" t="s">
        <v>26623</v>
      </c>
      <c r="Q544" s="118"/>
      <c r="R544" s="119" t="s">
        <v>26653</v>
      </c>
      <c r="S544" t="s">
        <v>26659</v>
      </c>
      <c r="U544" s="118"/>
      <c r="V544" s="119" t="s">
        <v>26689</v>
      </c>
      <c r="W544" t="s">
        <v>26695</v>
      </c>
    </row>
    <row r="545" spans="1:23" x14ac:dyDescent="0.3">
      <c r="A545" s="118"/>
      <c r="B545" s="119" t="s">
        <v>26700</v>
      </c>
      <c r="C545" t="s">
        <v>26706</v>
      </c>
      <c r="E545" s="118"/>
      <c r="F545" s="119" t="s">
        <v>26736</v>
      </c>
      <c r="G545" t="s">
        <v>26742</v>
      </c>
      <c r="I545" s="118"/>
      <c r="J545" s="119" t="s">
        <v>26772</v>
      </c>
      <c r="K545" t="s">
        <v>26778</v>
      </c>
      <c r="M545" s="118"/>
      <c r="N545" s="119" t="s">
        <v>26808</v>
      </c>
      <c r="O545" t="s">
        <v>26814</v>
      </c>
      <c r="Q545" s="118"/>
      <c r="R545" s="119" t="s">
        <v>26844</v>
      </c>
      <c r="S545" t="s">
        <v>26850</v>
      </c>
      <c r="U545" s="118"/>
      <c r="V545" s="119" t="s">
        <v>26880</v>
      </c>
      <c r="W545" t="s">
        <v>26886</v>
      </c>
    </row>
    <row r="546" spans="1:23" x14ac:dyDescent="0.3">
      <c r="A546" s="118"/>
      <c r="B546" s="119" t="s">
        <v>26701</v>
      </c>
      <c r="C546" t="s">
        <v>26707</v>
      </c>
      <c r="E546" s="118"/>
      <c r="F546" s="119" t="s">
        <v>26737</v>
      </c>
      <c r="G546" t="s">
        <v>26743</v>
      </c>
      <c r="I546" s="118"/>
      <c r="J546" s="119" t="s">
        <v>26773</v>
      </c>
      <c r="K546" t="s">
        <v>26779</v>
      </c>
      <c r="M546" s="118"/>
      <c r="N546" s="119" t="s">
        <v>26809</v>
      </c>
      <c r="O546" t="s">
        <v>26815</v>
      </c>
      <c r="Q546" s="118"/>
      <c r="R546" s="119" t="s">
        <v>26845</v>
      </c>
      <c r="S546" t="s">
        <v>26851</v>
      </c>
      <c r="U546" s="118"/>
      <c r="V546" s="119" t="s">
        <v>26881</v>
      </c>
      <c r="W546" t="s">
        <v>26887</v>
      </c>
    </row>
    <row r="547" spans="1:23" x14ac:dyDescent="0.3">
      <c r="A547" s="118"/>
      <c r="B547" s="119" t="s">
        <v>26712</v>
      </c>
      <c r="C547" t="s">
        <v>26718</v>
      </c>
      <c r="E547" s="118"/>
      <c r="F547" s="119" t="s">
        <v>26748</v>
      </c>
      <c r="G547" t="s">
        <v>26754</v>
      </c>
      <c r="I547" s="118"/>
      <c r="J547" s="119" t="s">
        <v>26784</v>
      </c>
      <c r="K547" t="s">
        <v>26790</v>
      </c>
      <c r="M547" s="118"/>
      <c r="N547" s="119" t="s">
        <v>26820</v>
      </c>
      <c r="O547" t="s">
        <v>26826</v>
      </c>
      <c r="Q547" s="118"/>
      <c r="R547" s="119" t="s">
        <v>26856</v>
      </c>
      <c r="S547" t="s">
        <v>26862</v>
      </c>
      <c r="U547" s="118"/>
      <c r="V547" s="119" t="s">
        <v>26892</v>
      </c>
      <c r="W547" t="s">
        <v>26898</v>
      </c>
    </row>
    <row r="548" spans="1:23" x14ac:dyDescent="0.3">
      <c r="A548" s="118"/>
      <c r="B548" s="119" t="s">
        <v>26713</v>
      </c>
      <c r="C548" t="s">
        <v>26719</v>
      </c>
      <c r="E548" s="118"/>
      <c r="F548" s="119" t="s">
        <v>26749</v>
      </c>
      <c r="G548" t="s">
        <v>26755</v>
      </c>
      <c r="I548" s="118"/>
      <c r="J548" s="119" t="s">
        <v>26785</v>
      </c>
      <c r="K548" t="s">
        <v>26791</v>
      </c>
      <c r="M548" s="118"/>
      <c r="N548" s="119" t="s">
        <v>26821</v>
      </c>
      <c r="O548" t="s">
        <v>26827</v>
      </c>
      <c r="Q548" s="118"/>
      <c r="R548" s="119" t="s">
        <v>26857</v>
      </c>
      <c r="S548" t="s">
        <v>26863</v>
      </c>
      <c r="U548" s="118"/>
      <c r="V548" s="119" t="s">
        <v>26893</v>
      </c>
      <c r="W548" t="s">
        <v>26899</v>
      </c>
    </row>
    <row r="549" spans="1:23" x14ac:dyDescent="0.3">
      <c r="A549" s="118"/>
      <c r="B549" s="119" t="s">
        <v>26724</v>
      </c>
      <c r="C549" t="s">
        <v>26730</v>
      </c>
      <c r="E549" s="118"/>
      <c r="F549" s="119" t="s">
        <v>26760</v>
      </c>
      <c r="G549" t="s">
        <v>26766</v>
      </c>
      <c r="I549" s="118"/>
      <c r="J549" s="119" t="s">
        <v>26796</v>
      </c>
      <c r="K549" t="s">
        <v>26802</v>
      </c>
      <c r="M549" s="118"/>
      <c r="N549" s="119" t="s">
        <v>26832</v>
      </c>
      <c r="O549" t="s">
        <v>26838</v>
      </c>
      <c r="Q549" s="118"/>
      <c r="R549" s="119" t="s">
        <v>26868</v>
      </c>
      <c r="S549" t="s">
        <v>26874</v>
      </c>
      <c r="U549" s="118"/>
      <c r="V549" s="119" t="s">
        <v>26904</v>
      </c>
      <c r="W549" t="s">
        <v>26910</v>
      </c>
    </row>
    <row r="550" spans="1:23" x14ac:dyDescent="0.3">
      <c r="A550" s="118"/>
      <c r="B550" s="119" t="s">
        <v>26725</v>
      </c>
      <c r="C550" t="s">
        <v>26731</v>
      </c>
      <c r="E550" s="118"/>
      <c r="F550" s="119" t="s">
        <v>26761</v>
      </c>
      <c r="G550" t="s">
        <v>26767</v>
      </c>
      <c r="I550" s="118"/>
      <c r="J550" s="119" t="s">
        <v>26797</v>
      </c>
      <c r="K550" t="s">
        <v>26803</v>
      </c>
      <c r="M550" s="118"/>
      <c r="N550" s="119" t="s">
        <v>26833</v>
      </c>
      <c r="O550" t="s">
        <v>26839</v>
      </c>
      <c r="Q550" s="118"/>
      <c r="R550" s="119" t="s">
        <v>26869</v>
      </c>
      <c r="S550" t="s">
        <v>26875</v>
      </c>
      <c r="U550" s="118"/>
      <c r="V550" s="119" t="s">
        <v>26905</v>
      </c>
      <c r="W550" t="s">
        <v>26911</v>
      </c>
    </row>
    <row r="551" spans="1:23" x14ac:dyDescent="0.3">
      <c r="A551" s="118"/>
      <c r="B551" s="119" t="s">
        <v>26916</v>
      </c>
      <c r="C551" t="s">
        <v>26922</v>
      </c>
      <c r="E551" s="118"/>
      <c r="F551" s="119" t="s">
        <v>26952</v>
      </c>
      <c r="G551" t="s">
        <v>26958</v>
      </c>
      <c r="I551" s="118"/>
      <c r="J551" s="119" t="s">
        <v>26988</v>
      </c>
      <c r="K551" t="s">
        <v>26994</v>
      </c>
      <c r="M551" s="118"/>
      <c r="N551" s="119" t="s">
        <v>27024</v>
      </c>
      <c r="O551" t="s">
        <v>27030</v>
      </c>
      <c r="Q551" s="118"/>
      <c r="R551" s="119" t="s">
        <v>27060</v>
      </c>
      <c r="S551" t="s">
        <v>27066</v>
      </c>
      <c r="U551" s="118"/>
      <c r="V551" s="119" t="s">
        <v>27096</v>
      </c>
      <c r="W551" t="s">
        <v>27102</v>
      </c>
    </row>
    <row r="552" spans="1:23" x14ac:dyDescent="0.3">
      <c r="A552" s="118"/>
      <c r="B552" s="119" t="s">
        <v>26917</v>
      </c>
      <c r="C552" t="s">
        <v>26923</v>
      </c>
      <c r="E552" s="118"/>
      <c r="F552" s="119" t="s">
        <v>26953</v>
      </c>
      <c r="G552" t="s">
        <v>26959</v>
      </c>
      <c r="I552" s="118"/>
      <c r="J552" s="119" t="s">
        <v>26989</v>
      </c>
      <c r="K552" t="s">
        <v>26995</v>
      </c>
      <c r="M552" s="118"/>
      <c r="N552" s="119" t="s">
        <v>27025</v>
      </c>
      <c r="O552" t="s">
        <v>27031</v>
      </c>
      <c r="Q552" s="118"/>
      <c r="R552" s="119" t="s">
        <v>27061</v>
      </c>
      <c r="S552" t="s">
        <v>27067</v>
      </c>
      <c r="U552" s="118"/>
      <c r="V552" s="119" t="s">
        <v>27097</v>
      </c>
      <c r="W552" t="s">
        <v>27103</v>
      </c>
    </row>
    <row r="553" spans="1:23" x14ac:dyDescent="0.3">
      <c r="A553" s="118"/>
      <c r="B553" s="119" t="s">
        <v>26928</v>
      </c>
      <c r="C553" t="s">
        <v>26934</v>
      </c>
      <c r="E553" s="118"/>
      <c r="F553" s="119" t="s">
        <v>26964</v>
      </c>
      <c r="G553" t="s">
        <v>26970</v>
      </c>
      <c r="I553" s="118"/>
      <c r="J553" s="119" t="s">
        <v>27000</v>
      </c>
      <c r="K553" t="s">
        <v>27006</v>
      </c>
      <c r="M553" s="118"/>
      <c r="N553" s="119" t="s">
        <v>27036</v>
      </c>
      <c r="O553" t="s">
        <v>27042</v>
      </c>
      <c r="Q553" s="118"/>
      <c r="R553" s="119" t="s">
        <v>27072</v>
      </c>
      <c r="S553" t="s">
        <v>27078</v>
      </c>
      <c r="U553" s="118"/>
      <c r="V553" s="119" t="s">
        <v>27108</v>
      </c>
      <c r="W553" t="s">
        <v>27114</v>
      </c>
    </row>
    <row r="554" spans="1:23" x14ac:dyDescent="0.3">
      <c r="A554" s="118"/>
      <c r="B554" s="119" t="s">
        <v>26929</v>
      </c>
      <c r="C554" t="s">
        <v>26935</v>
      </c>
      <c r="E554" s="118"/>
      <c r="F554" s="119" t="s">
        <v>26965</v>
      </c>
      <c r="G554" t="s">
        <v>26971</v>
      </c>
      <c r="I554" s="118"/>
      <c r="J554" s="119" t="s">
        <v>27001</v>
      </c>
      <c r="K554" t="s">
        <v>27007</v>
      </c>
      <c r="M554" s="118"/>
      <c r="N554" s="119" t="s">
        <v>27037</v>
      </c>
      <c r="O554" t="s">
        <v>27043</v>
      </c>
      <c r="Q554" s="118"/>
      <c r="R554" s="119" t="s">
        <v>27073</v>
      </c>
      <c r="S554" t="s">
        <v>27079</v>
      </c>
      <c r="U554" s="118"/>
      <c r="V554" s="119" t="s">
        <v>27109</v>
      </c>
      <c r="W554" t="s">
        <v>27115</v>
      </c>
    </row>
    <row r="555" spans="1:23" x14ac:dyDescent="0.3">
      <c r="A555" s="118"/>
      <c r="B555" s="119" t="s">
        <v>26940</v>
      </c>
      <c r="C555" t="s">
        <v>26946</v>
      </c>
      <c r="E555" s="118"/>
      <c r="F555" s="119" t="s">
        <v>26976</v>
      </c>
      <c r="G555" t="s">
        <v>26982</v>
      </c>
      <c r="I555" s="118"/>
      <c r="J555" s="119" t="s">
        <v>27012</v>
      </c>
      <c r="K555" t="s">
        <v>27018</v>
      </c>
      <c r="M555" s="118"/>
      <c r="N555" s="119" t="s">
        <v>27048</v>
      </c>
      <c r="O555" t="s">
        <v>27054</v>
      </c>
      <c r="Q555" s="118"/>
      <c r="R555" s="119" t="s">
        <v>27084</v>
      </c>
      <c r="S555" t="s">
        <v>27090</v>
      </c>
      <c r="U555" s="118"/>
      <c r="V555" s="119" t="s">
        <v>27120</v>
      </c>
      <c r="W555" t="s">
        <v>27126</v>
      </c>
    </row>
    <row r="556" spans="1:23" x14ac:dyDescent="0.3">
      <c r="A556" s="118"/>
      <c r="B556" s="119" t="s">
        <v>26941</v>
      </c>
      <c r="C556" t="s">
        <v>26947</v>
      </c>
      <c r="E556" s="118"/>
      <c r="F556" s="119" t="s">
        <v>26977</v>
      </c>
      <c r="G556" t="s">
        <v>26983</v>
      </c>
      <c r="I556" s="118"/>
      <c r="J556" s="119" t="s">
        <v>27013</v>
      </c>
      <c r="K556" t="s">
        <v>27019</v>
      </c>
      <c r="M556" s="118"/>
      <c r="N556" s="119" t="s">
        <v>27049</v>
      </c>
      <c r="O556" t="s">
        <v>27055</v>
      </c>
      <c r="Q556" s="118"/>
      <c r="R556" s="119" t="s">
        <v>27085</v>
      </c>
      <c r="S556" t="s">
        <v>27091</v>
      </c>
      <c r="U556" s="118"/>
      <c r="V556" s="119" t="s">
        <v>27121</v>
      </c>
      <c r="W556" t="s">
        <v>27127</v>
      </c>
    </row>
    <row r="557" spans="1:23" x14ac:dyDescent="0.3">
      <c r="A557" s="118"/>
      <c r="B557" s="119" t="s">
        <v>27132</v>
      </c>
      <c r="C557" t="s">
        <v>27138</v>
      </c>
      <c r="E557" s="118"/>
      <c r="F557" s="119" t="s">
        <v>27168</v>
      </c>
      <c r="G557" t="s">
        <v>27174</v>
      </c>
      <c r="I557" s="118"/>
      <c r="J557" s="119" t="s">
        <v>27204</v>
      </c>
      <c r="K557" t="s">
        <v>27210</v>
      </c>
      <c r="M557" s="118"/>
      <c r="N557" s="119" t="s">
        <v>27240</v>
      </c>
      <c r="O557" t="s">
        <v>27246</v>
      </c>
      <c r="Q557" s="118"/>
      <c r="R557" s="119" t="s">
        <v>27276</v>
      </c>
      <c r="S557" t="s">
        <v>27282</v>
      </c>
      <c r="U557" s="118"/>
      <c r="V557" s="119" t="s">
        <v>27312</v>
      </c>
      <c r="W557" t="s">
        <v>27318</v>
      </c>
    </row>
    <row r="558" spans="1:23" x14ac:dyDescent="0.3">
      <c r="A558" s="118"/>
      <c r="B558" s="119" t="s">
        <v>27133</v>
      </c>
      <c r="C558" t="s">
        <v>27139</v>
      </c>
      <c r="E558" s="118"/>
      <c r="F558" s="119" t="s">
        <v>27169</v>
      </c>
      <c r="G558" t="s">
        <v>27175</v>
      </c>
      <c r="I558" s="118"/>
      <c r="J558" s="119" t="s">
        <v>27205</v>
      </c>
      <c r="K558" t="s">
        <v>27211</v>
      </c>
      <c r="M558" s="118"/>
      <c r="N558" s="119" t="s">
        <v>27241</v>
      </c>
      <c r="O558" t="s">
        <v>27247</v>
      </c>
      <c r="Q558" s="118"/>
      <c r="R558" s="119" t="s">
        <v>27277</v>
      </c>
      <c r="S558" t="s">
        <v>27283</v>
      </c>
      <c r="U558" s="118"/>
      <c r="V558" s="119" t="s">
        <v>27313</v>
      </c>
      <c r="W558" t="s">
        <v>27319</v>
      </c>
    </row>
    <row r="559" spans="1:23" x14ac:dyDescent="0.3">
      <c r="A559" s="118"/>
      <c r="B559" s="119" t="s">
        <v>27144</v>
      </c>
      <c r="C559" t="s">
        <v>27150</v>
      </c>
      <c r="E559" s="118"/>
      <c r="F559" s="119" t="s">
        <v>27180</v>
      </c>
      <c r="G559" t="s">
        <v>27186</v>
      </c>
      <c r="I559" s="118"/>
      <c r="J559" s="119" t="s">
        <v>27216</v>
      </c>
      <c r="K559" t="s">
        <v>27222</v>
      </c>
      <c r="M559" s="118"/>
      <c r="N559" s="119" t="s">
        <v>27252</v>
      </c>
      <c r="O559" t="s">
        <v>27258</v>
      </c>
      <c r="Q559" s="118"/>
      <c r="R559" s="119" t="s">
        <v>27288</v>
      </c>
      <c r="S559" t="s">
        <v>27294</v>
      </c>
      <c r="U559" s="118"/>
      <c r="V559" s="119" t="s">
        <v>27324</v>
      </c>
      <c r="W559" t="s">
        <v>27330</v>
      </c>
    </row>
    <row r="560" spans="1:23" x14ac:dyDescent="0.3">
      <c r="A560" s="118"/>
      <c r="B560" s="119" t="s">
        <v>27145</v>
      </c>
      <c r="C560" t="s">
        <v>27151</v>
      </c>
      <c r="E560" s="118"/>
      <c r="F560" s="119" t="s">
        <v>27181</v>
      </c>
      <c r="G560" t="s">
        <v>27187</v>
      </c>
      <c r="I560" s="118"/>
      <c r="J560" s="119" t="s">
        <v>27217</v>
      </c>
      <c r="K560" t="s">
        <v>27223</v>
      </c>
      <c r="M560" s="118"/>
      <c r="N560" s="119" t="s">
        <v>27253</v>
      </c>
      <c r="O560" t="s">
        <v>27259</v>
      </c>
      <c r="Q560" s="118"/>
      <c r="R560" s="119" t="s">
        <v>27289</v>
      </c>
      <c r="S560" t="s">
        <v>27295</v>
      </c>
      <c r="U560" s="118"/>
      <c r="V560" s="119" t="s">
        <v>27325</v>
      </c>
      <c r="W560" t="s">
        <v>27331</v>
      </c>
    </row>
    <row r="561" spans="1:23" x14ac:dyDescent="0.3">
      <c r="A561" s="118"/>
      <c r="B561" s="119" t="s">
        <v>27156</v>
      </c>
      <c r="C561" t="s">
        <v>27162</v>
      </c>
      <c r="E561" s="118"/>
      <c r="F561" s="119" t="s">
        <v>27192</v>
      </c>
      <c r="G561" t="s">
        <v>27198</v>
      </c>
      <c r="I561" s="118"/>
      <c r="J561" s="119" t="s">
        <v>27228</v>
      </c>
      <c r="K561" t="s">
        <v>27234</v>
      </c>
      <c r="M561" s="118"/>
      <c r="N561" s="119" t="s">
        <v>27264</v>
      </c>
      <c r="O561" t="s">
        <v>27270</v>
      </c>
      <c r="Q561" s="118"/>
      <c r="R561" s="119" t="s">
        <v>27300</v>
      </c>
      <c r="S561" t="s">
        <v>27306</v>
      </c>
      <c r="U561" s="118"/>
      <c r="V561" s="119" t="s">
        <v>27336</v>
      </c>
      <c r="W561" t="s">
        <v>27342</v>
      </c>
    </row>
    <row r="562" spans="1:23" x14ac:dyDescent="0.3">
      <c r="A562" s="118"/>
      <c r="B562" s="119" t="s">
        <v>27157</v>
      </c>
      <c r="C562" t="s">
        <v>27163</v>
      </c>
      <c r="E562" s="118"/>
      <c r="F562" s="119" t="s">
        <v>27193</v>
      </c>
      <c r="G562" t="s">
        <v>27199</v>
      </c>
      <c r="I562" s="118"/>
      <c r="J562" s="119" t="s">
        <v>27229</v>
      </c>
      <c r="K562" t="s">
        <v>27235</v>
      </c>
      <c r="M562" s="118"/>
      <c r="N562" s="119" t="s">
        <v>27265</v>
      </c>
      <c r="O562" t="s">
        <v>27271</v>
      </c>
      <c r="Q562" s="118"/>
      <c r="R562" s="119" t="s">
        <v>27301</v>
      </c>
      <c r="S562" t="s">
        <v>27307</v>
      </c>
      <c r="U562" s="118"/>
      <c r="V562" s="119" t="s">
        <v>27337</v>
      </c>
      <c r="W562" t="s">
        <v>27343</v>
      </c>
    </row>
    <row r="563" spans="1:23" x14ac:dyDescent="0.3">
      <c r="A563" s="118"/>
      <c r="B563" s="119" t="s">
        <v>27348</v>
      </c>
      <c r="C563" t="s">
        <v>27354</v>
      </c>
      <c r="E563" s="118"/>
      <c r="F563" s="119" t="s">
        <v>27384</v>
      </c>
      <c r="G563" t="s">
        <v>27390</v>
      </c>
      <c r="I563" s="118"/>
      <c r="J563" s="119" t="s">
        <v>27420</v>
      </c>
      <c r="K563" t="s">
        <v>27426</v>
      </c>
      <c r="M563" s="118"/>
      <c r="N563" s="119" t="s">
        <v>27456</v>
      </c>
      <c r="O563" t="s">
        <v>27462</v>
      </c>
      <c r="Q563" s="118"/>
      <c r="R563" s="119" t="s">
        <v>27492</v>
      </c>
      <c r="S563" t="s">
        <v>27498</v>
      </c>
      <c r="U563" s="118"/>
      <c r="V563" s="119" t="s">
        <v>27528</v>
      </c>
      <c r="W563" t="s">
        <v>27534</v>
      </c>
    </row>
    <row r="564" spans="1:23" x14ac:dyDescent="0.3">
      <c r="A564" s="118"/>
      <c r="B564" s="119" t="s">
        <v>27349</v>
      </c>
      <c r="C564" t="s">
        <v>27355</v>
      </c>
      <c r="E564" s="118"/>
      <c r="F564" s="119" t="s">
        <v>27385</v>
      </c>
      <c r="G564" t="s">
        <v>27391</v>
      </c>
      <c r="I564" s="118"/>
      <c r="J564" s="119" t="s">
        <v>27421</v>
      </c>
      <c r="K564" t="s">
        <v>27427</v>
      </c>
      <c r="M564" s="118"/>
      <c r="N564" s="119" t="s">
        <v>27457</v>
      </c>
      <c r="O564" t="s">
        <v>27463</v>
      </c>
      <c r="Q564" s="118"/>
      <c r="R564" s="119" t="s">
        <v>27493</v>
      </c>
      <c r="S564" t="s">
        <v>27499</v>
      </c>
      <c r="U564" s="118"/>
      <c r="V564" s="119" t="s">
        <v>27529</v>
      </c>
      <c r="W564" t="s">
        <v>27535</v>
      </c>
    </row>
    <row r="565" spans="1:23" x14ac:dyDescent="0.3">
      <c r="A565" s="118"/>
      <c r="B565" s="119" t="s">
        <v>27360</v>
      </c>
      <c r="C565" t="s">
        <v>27366</v>
      </c>
      <c r="E565" s="118"/>
      <c r="F565" s="119" t="s">
        <v>27396</v>
      </c>
      <c r="G565" t="s">
        <v>27402</v>
      </c>
      <c r="I565" s="118"/>
      <c r="J565" s="119" t="s">
        <v>27432</v>
      </c>
      <c r="K565" t="s">
        <v>27438</v>
      </c>
      <c r="M565" s="118"/>
      <c r="N565" s="119" t="s">
        <v>27468</v>
      </c>
      <c r="O565" t="s">
        <v>27474</v>
      </c>
      <c r="Q565" s="118"/>
      <c r="R565" s="119" t="s">
        <v>27504</v>
      </c>
      <c r="S565" t="s">
        <v>27510</v>
      </c>
      <c r="U565" s="118"/>
      <c r="V565" s="119" t="s">
        <v>27540</v>
      </c>
      <c r="W565" t="s">
        <v>27546</v>
      </c>
    </row>
    <row r="566" spans="1:23" x14ac:dyDescent="0.3">
      <c r="A566" s="118"/>
      <c r="B566" s="119" t="s">
        <v>27361</v>
      </c>
      <c r="C566" t="s">
        <v>27367</v>
      </c>
      <c r="E566" s="118"/>
      <c r="F566" s="119" t="s">
        <v>27397</v>
      </c>
      <c r="G566" t="s">
        <v>27403</v>
      </c>
      <c r="I566" s="118"/>
      <c r="J566" s="119" t="s">
        <v>27433</v>
      </c>
      <c r="K566" t="s">
        <v>27439</v>
      </c>
      <c r="M566" s="118"/>
      <c r="N566" s="119" t="s">
        <v>27469</v>
      </c>
      <c r="O566" t="s">
        <v>27475</v>
      </c>
      <c r="Q566" s="118"/>
      <c r="R566" s="119" t="s">
        <v>27505</v>
      </c>
      <c r="S566" t="s">
        <v>27511</v>
      </c>
      <c r="U566" s="118"/>
      <c r="V566" s="119" t="s">
        <v>27541</v>
      </c>
      <c r="W566" t="s">
        <v>27547</v>
      </c>
    </row>
    <row r="567" spans="1:23" x14ac:dyDescent="0.3">
      <c r="A567" s="118"/>
      <c r="B567" s="119" t="s">
        <v>27372</v>
      </c>
      <c r="C567" t="s">
        <v>27378</v>
      </c>
      <c r="E567" s="118"/>
      <c r="F567" s="119" t="s">
        <v>27408</v>
      </c>
      <c r="G567" t="s">
        <v>27414</v>
      </c>
      <c r="I567" s="118"/>
      <c r="J567" s="119" t="s">
        <v>27444</v>
      </c>
      <c r="K567" t="s">
        <v>27450</v>
      </c>
      <c r="M567" s="118"/>
      <c r="N567" s="119" t="s">
        <v>27480</v>
      </c>
      <c r="O567" t="s">
        <v>27486</v>
      </c>
      <c r="Q567" s="118"/>
      <c r="R567" s="119" t="s">
        <v>27516</v>
      </c>
      <c r="S567" t="s">
        <v>27522</v>
      </c>
      <c r="U567" s="118"/>
      <c r="V567" s="119" t="s">
        <v>27552</v>
      </c>
      <c r="W567" t="s">
        <v>27558</v>
      </c>
    </row>
    <row r="568" spans="1:23" x14ac:dyDescent="0.3">
      <c r="A568" s="118"/>
      <c r="B568" s="119" t="s">
        <v>27373</v>
      </c>
      <c r="C568" t="s">
        <v>27379</v>
      </c>
      <c r="E568" s="118"/>
      <c r="F568" s="119" t="s">
        <v>27409</v>
      </c>
      <c r="G568" t="s">
        <v>27415</v>
      </c>
      <c r="I568" s="118"/>
      <c r="J568" s="119" t="s">
        <v>27445</v>
      </c>
      <c r="K568" t="s">
        <v>27451</v>
      </c>
      <c r="M568" s="118"/>
      <c r="N568" s="119" t="s">
        <v>27481</v>
      </c>
      <c r="O568" t="s">
        <v>27487</v>
      </c>
      <c r="Q568" s="118"/>
      <c r="R568" s="119" t="s">
        <v>27517</v>
      </c>
      <c r="S568" t="s">
        <v>27523</v>
      </c>
      <c r="U568" s="118"/>
      <c r="V568" s="119" t="s">
        <v>27553</v>
      </c>
      <c r="W568" t="s">
        <v>27559</v>
      </c>
    </row>
    <row r="569" spans="1:23" x14ac:dyDescent="0.3">
      <c r="A569" s="118"/>
      <c r="B569" s="119" t="s">
        <v>27564</v>
      </c>
      <c r="C569" t="s">
        <v>27570</v>
      </c>
      <c r="E569" s="118"/>
      <c r="F569" s="119" t="s">
        <v>27600</v>
      </c>
      <c r="G569" t="s">
        <v>27606</v>
      </c>
      <c r="I569" s="118"/>
      <c r="J569" s="119" t="s">
        <v>27636</v>
      </c>
      <c r="K569" t="s">
        <v>27642</v>
      </c>
      <c r="M569" s="118"/>
      <c r="N569" s="119" t="s">
        <v>27672</v>
      </c>
      <c r="O569" t="s">
        <v>27678</v>
      </c>
      <c r="Q569" s="118"/>
      <c r="R569" s="119" t="s">
        <v>27708</v>
      </c>
      <c r="S569" t="s">
        <v>27714</v>
      </c>
      <c r="U569" s="118"/>
      <c r="V569" s="119" t="s">
        <v>27744</v>
      </c>
      <c r="W569" t="s">
        <v>27750</v>
      </c>
    </row>
    <row r="570" spans="1:23" x14ac:dyDescent="0.3">
      <c r="A570" s="118"/>
      <c r="B570" s="119" t="s">
        <v>27565</v>
      </c>
      <c r="C570" t="s">
        <v>27571</v>
      </c>
      <c r="E570" s="118"/>
      <c r="F570" s="119" t="s">
        <v>27601</v>
      </c>
      <c r="G570" t="s">
        <v>27607</v>
      </c>
      <c r="I570" s="118"/>
      <c r="J570" s="119" t="s">
        <v>27637</v>
      </c>
      <c r="K570" t="s">
        <v>27643</v>
      </c>
      <c r="M570" s="118"/>
      <c r="N570" s="119" t="s">
        <v>27673</v>
      </c>
      <c r="O570" t="s">
        <v>27679</v>
      </c>
      <c r="Q570" s="118"/>
      <c r="R570" s="119" t="s">
        <v>27709</v>
      </c>
      <c r="S570" t="s">
        <v>27715</v>
      </c>
      <c r="U570" s="118"/>
      <c r="V570" s="119" t="s">
        <v>27745</v>
      </c>
      <c r="W570" t="s">
        <v>27751</v>
      </c>
    </row>
    <row r="571" spans="1:23" x14ac:dyDescent="0.3">
      <c r="A571" s="118"/>
      <c r="B571" s="119" t="s">
        <v>27576</v>
      </c>
      <c r="C571" t="s">
        <v>27582</v>
      </c>
      <c r="E571" s="118"/>
      <c r="F571" s="119" t="s">
        <v>27612</v>
      </c>
      <c r="G571" t="s">
        <v>27618</v>
      </c>
      <c r="I571" s="118"/>
      <c r="J571" s="119" t="s">
        <v>27648</v>
      </c>
      <c r="K571" t="s">
        <v>27654</v>
      </c>
      <c r="M571" s="118"/>
      <c r="N571" s="119" t="s">
        <v>27684</v>
      </c>
      <c r="O571" t="s">
        <v>27690</v>
      </c>
      <c r="Q571" s="118"/>
      <c r="R571" s="119" t="s">
        <v>27720</v>
      </c>
      <c r="S571" t="s">
        <v>27726</v>
      </c>
      <c r="U571" s="118"/>
      <c r="V571" s="119" t="s">
        <v>27756</v>
      </c>
      <c r="W571" t="s">
        <v>27762</v>
      </c>
    </row>
    <row r="572" spans="1:23" x14ac:dyDescent="0.3">
      <c r="A572" s="118"/>
      <c r="B572" s="119" t="s">
        <v>27577</v>
      </c>
      <c r="C572" t="s">
        <v>27583</v>
      </c>
      <c r="E572" s="118"/>
      <c r="F572" s="119" t="s">
        <v>27613</v>
      </c>
      <c r="G572" t="s">
        <v>27619</v>
      </c>
      <c r="I572" s="118"/>
      <c r="J572" s="119" t="s">
        <v>27649</v>
      </c>
      <c r="K572" t="s">
        <v>27655</v>
      </c>
      <c r="M572" s="118"/>
      <c r="N572" s="119" t="s">
        <v>27685</v>
      </c>
      <c r="O572" t="s">
        <v>27691</v>
      </c>
      <c r="Q572" s="118"/>
      <c r="R572" s="119" t="s">
        <v>27721</v>
      </c>
      <c r="S572" t="s">
        <v>27727</v>
      </c>
      <c r="U572" s="118"/>
      <c r="V572" s="119" t="s">
        <v>27757</v>
      </c>
      <c r="W572" t="s">
        <v>27763</v>
      </c>
    </row>
    <row r="573" spans="1:23" x14ac:dyDescent="0.3">
      <c r="A573" s="118"/>
      <c r="B573" s="119" t="s">
        <v>27588</v>
      </c>
      <c r="C573" t="s">
        <v>27594</v>
      </c>
      <c r="E573" s="118"/>
      <c r="F573" s="119" t="s">
        <v>27624</v>
      </c>
      <c r="G573" t="s">
        <v>27630</v>
      </c>
      <c r="I573" s="118"/>
      <c r="J573" s="119" t="s">
        <v>27660</v>
      </c>
      <c r="K573" t="s">
        <v>27666</v>
      </c>
      <c r="M573" s="118"/>
      <c r="N573" s="119" t="s">
        <v>27696</v>
      </c>
      <c r="O573" t="s">
        <v>27702</v>
      </c>
      <c r="Q573" s="118"/>
      <c r="R573" s="119" t="s">
        <v>27732</v>
      </c>
      <c r="S573" t="s">
        <v>27738</v>
      </c>
      <c r="U573" s="118"/>
      <c r="V573" s="119" t="s">
        <v>27768</v>
      </c>
      <c r="W573" t="s">
        <v>27774</v>
      </c>
    </row>
    <row r="574" spans="1:23" x14ac:dyDescent="0.3">
      <c r="A574" s="118"/>
      <c r="B574" s="119" t="s">
        <v>27589</v>
      </c>
      <c r="C574" t="s">
        <v>27595</v>
      </c>
      <c r="E574" s="118"/>
      <c r="F574" s="119" t="s">
        <v>27625</v>
      </c>
      <c r="G574" t="s">
        <v>27631</v>
      </c>
      <c r="I574" s="118"/>
      <c r="J574" s="119" t="s">
        <v>27661</v>
      </c>
      <c r="K574" t="s">
        <v>27667</v>
      </c>
      <c r="M574" s="118"/>
      <c r="N574" s="119" t="s">
        <v>27697</v>
      </c>
      <c r="O574" t="s">
        <v>27703</v>
      </c>
      <c r="Q574" s="118"/>
      <c r="R574" s="119" t="s">
        <v>27733</v>
      </c>
      <c r="S574" t="s">
        <v>27739</v>
      </c>
      <c r="U574" s="118"/>
      <c r="V574" s="119" t="s">
        <v>27769</v>
      </c>
      <c r="W574" t="s">
        <v>27775</v>
      </c>
    </row>
    <row r="575" spans="1:23" x14ac:dyDescent="0.3">
      <c r="A575" s="118"/>
      <c r="B575" s="119" t="s">
        <v>27780</v>
      </c>
      <c r="C575" t="s">
        <v>27786</v>
      </c>
      <c r="E575" s="118"/>
      <c r="F575" s="119" t="s">
        <v>27816</v>
      </c>
      <c r="G575" t="s">
        <v>27822</v>
      </c>
      <c r="I575" s="118"/>
      <c r="J575" s="119" t="s">
        <v>27852</v>
      </c>
      <c r="K575" t="s">
        <v>27858</v>
      </c>
      <c r="M575" s="118"/>
      <c r="N575" s="119" t="s">
        <v>27888</v>
      </c>
      <c r="O575" t="s">
        <v>27894</v>
      </c>
      <c r="Q575" s="118"/>
      <c r="R575" s="119" t="s">
        <v>27924</v>
      </c>
      <c r="S575" t="s">
        <v>27930</v>
      </c>
      <c r="U575" s="118"/>
      <c r="V575" s="119" t="s">
        <v>27960</v>
      </c>
      <c r="W575" t="s">
        <v>27966</v>
      </c>
    </row>
    <row r="576" spans="1:23" x14ac:dyDescent="0.3">
      <c r="A576" s="118"/>
      <c r="B576" s="119" t="s">
        <v>27781</v>
      </c>
      <c r="C576" t="s">
        <v>27787</v>
      </c>
      <c r="E576" s="118"/>
      <c r="F576" s="119" t="s">
        <v>27817</v>
      </c>
      <c r="G576" t="s">
        <v>27823</v>
      </c>
      <c r="I576" s="118"/>
      <c r="J576" s="119" t="s">
        <v>27853</v>
      </c>
      <c r="K576" t="s">
        <v>27859</v>
      </c>
      <c r="M576" s="118"/>
      <c r="N576" s="119" t="s">
        <v>27889</v>
      </c>
      <c r="O576" t="s">
        <v>27895</v>
      </c>
      <c r="Q576" s="118"/>
      <c r="R576" s="119" t="s">
        <v>27925</v>
      </c>
      <c r="S576" t="s">
        <v>27931</v>
      </c>
      <c r="U576" s="118"/>
      <c r="V576" s="119" t="s">
        <v>27961</v>
      </c>
      <c r="W576" t="s">
        <v>27967</v>
      </c>
    </row>
    <row r="577" spans="1:23" x14ac:dyDescent="0.3">
      <c r="A577" s="118"/>
      <c r="B577" s="119" t="s">
        <v>27792</v>
      </c>
      <c r="C577" t="s">
        <v>27798</v>
      </c>
      <c r="E577" s="118"/>
      <c r="F577" s="119" t="s">
        <v>27828</v>
      </c>
      <c r="G577" t="s">
        <v>27834</v>
      </c>
      <c r="I577" s="118"/>
      <c r="J577" s="119" t="s">
        <v>27864</v>
      </c>
      <c r="K577" t="s">
        <v>27870</v>
      </c>
      <c r="M577" s="118"/>
      <c r="N577" s="119" t="s">
        <v>27900</v>
      </c>
      <c r="O577" t="s">
        <v>27906</v>
      </c>
      <c r="Q577" s="118"/>
      <c r="R577" s="119" t="s">
        <v>27936</v>
      </c>
      <c r="S577" t="s">
        <v>27942</v>
      </c>
      <c r="U577" s="118"/>
      <c r="V577" s="119" t="s">
        <v>27972</v>
      </c>
      <c r="W577" t="s">
        <v>27978</v>
      </c>
    </row>
    <row r="578" spans="1:23" x14ac:dyDescent="0.3">
      <c r="A578" s="118"/>
      <c r="B578" s="119" t="s">
        <v>27793</v>
      </c>
      <c r="C578" t="s">
        <v>27799</v>
      </c>
      <c r="E578" s="118"/>
      <c r="F578" s="119" t="s">
        <v>27829</v>
      </c>
      <c r="G578" t="s">
        <v>27835</v>
      </c>
      <c r="I578" s="118"/>
      <c r="J578" s="119" t="s">
        <v>27865</v>
      </c>
      <c r="K578" t="s">
        <v>27871</v>
      </c>
      <c r="M578" s="118"/>
      <c r="N578" s="119" t="s">
        <v>27901</v>
      </c>
      <c r="O578" t="s">
        <v>27907</v>
      </c>
      <c r="Q578" s="118"/>
      <c r="R578" s="119" t="s">
        <v>27937</v>
      </c>
      <c r="S578" t="s">
        <v>27943</v>
      </c>
      <c r="U578" s="118"/>
      <c r="V578" s="119" t="s">
        <v>27973</v>
      </c>
      <c r="W578" t="s">
        <v>27979</v>
      </c>
    </row>
    <row r="579" spans="1:23" x14ac:dyDescent="0.3">
      <c r="A579" s="118"/>
      <c r="B579" s="119" t="s">
        <v>27804</v>
      </c>
      <c r="C579" t="s">
        <v>27810</v>
      </c>
      <c r="E579" s="118"/>
      <c r="F579" s="119" t="s">
        <v>27840</v>
      </c>
      <c r="G579" t="s">
        <v>27846</v>
      </c>
      <c r="I579" s="118"/>
      <c r="J579" s="119" t="s">
        <v>27876</v>
      </c>
      <c r="K579" t="s">
        <v>27882</v>
      </c>
      <c r="M579" s="118"/>
      <c r="N579" s="119" t="s">
        <v>27912</v>
      </c>
      <c r="O579" t="s">
        <v>27918</v>
      </c>
      <c r="Q579" s="118"/>
      <c r="R579" s="119" t="s">
        <v>27948</v>
      </c>
      <c r="S579" t="s">
        <v>27954</v>
      </c>
      <c r="U579" s="118"/>
      <c r="V579" s="119" t="s">
        <v>27984</v>
      </c>
      <c r="W579" t="s">
        <v>27990</v>
      </c>
    </row>
    <row r="580" spans="1:23" x14ac:dyDescent="0.3">
      <c r="A580" s="118"/>
      <c r="B580" s="119" t="s">
        <v>27805</v>
      </c>
      <c r="C580" t="s">
        <v>27811</v>
      </c>
      <c r="E580" s="118"/>
      <c r="F580" s="119" t="s">
        <v>27841</v>
      </c>
      <c r="G580" t="s">
        <v>27847</v>
      </c>
      <c r="I580" s="118"/>
      <c r="J580" s="119" t="s">
        <v>27877</v>
      </c>
      <c r="K580" t="s">
        <v>27883</v>
      </c>
      <c r="M580" s="118"/>
      <c r="N580" s="119" t="s">
        <v>27913</v>
      </c>
      <c r="O580" t="s">
        <v>27919</v>
      </c>
      <c r="Q580" s="118"/>
      <c r="R580" s="119" t="s">
        <v>27949</v>
      </c>
      <c r="S580" t="s">
        <v>27955</v>
      </c>
      <c r="U580" s="118"/>
      <c r="V580" s="119" t="s">
        <v>27985</v>
      </c>
      <c r="W580" t="s">
        <v>27991</v>
      </c>
    </row>
    <row r="581" spans="1:23" x14ac:dyDescent="0.3">
      <c r="A581" s="118"/>
      <c r="B581" s="119" t="s">
        <v>27996</v>
      </c>
      <c r="C581" t="s">
        <v>28002</v>
      </c>
      <c r="E581" s="118"/>
      <c r="F581" s="119" t="s">
        <v>28032</v>
      </c>
      <c r="G581" t="s">
        <v>28038</v>
      </c>
      <c r="I581" s="118"/>
      <c r="J581" s="119" t="s">
        <v>28068</v>
      </c>
      <c r="K581" t="s">
        <v>28074</v>
      </c>
      <c r="M581" s="118"/>
      <c r="N581" s="119" t="s">
        <v>28104</v>
      </c>
      <c r="O581" t="s">
        <v>28110</v>
      </c>
      <c r="Q581" s="118"/>
      <c r="R581" s="119" t="s">
        <v>28140</v>
      </c>
      <c r="S581" t="s">
        <v>28146</v>
      </c>
      <c r="U581" s="118"/>
      <c r="V581" s="119" t="s">
        <v>28176</v>
      </c>
      <c r="W581" t="s">
        <v>28182</v>
      </c>
    </row>
    <row r="582" spans="1:23" x14ac:dyDescent="0.3">
      <c r="A582" s="118"/>
      <c r="B582" s="119" t="s">
        <v>27997</v>
      </c>
      <c r="C582" t="s">
        <v>28003</v>
      </c>
      <c r="E582" s="118"/>
      <c r="F582" s="119" t="s">
        <v>28033</v>
      </c>
      <c r="G582" t="s">
        <v>28039</v>
      </c>
      <c r="I582" s="118"/>
      <c r="J582" s="119" t="s">
        <v>28069</v>
      </c>
      <c r="K582" t="s">
        <v>28075</v>
      </c>
      <c r="M582" s="118"/>
      <c r="N582" s="119" t="s">
        <v>28105</v>
      </c>
      <c r="O582" t="s">
        <v>28111</v>
      </c>
      <c r="Q582" s="118"/>
      <c r="R582" s="119" t="s">
        <v>28141</v>
      </c>
      <c r="S582" t="s">
        <v>28147</v>
      </c>
      <c r="U582" s="118"/>
      <c r="V582" s="119" t="s">
        <v>28177</v>
      </c>
      <c r="W582" t="s">
        <v>28183</v>
      </c>
    </row>
    <row r="583" spans="1:23" x14ac:dyDescent="0.3">
      <c r="A583" s="118"/>
      <c r="B583" s="119" t="s">
        <v>28008</v>
      </c>
      <c r="C583" t="s">
        <v>28014</v>
      </c>
      <c r="E583" s="118"/>
      <c r="F583" s="119" t="s">
        <v>28044</v>
      </c>
      <c r="G583" t="s">
        <v>28050</v>
      </c>
      <c r="I583" s="118"/>
      <c r="J583" s="119" t="s">
        <v>28080</v>
      </c>
      <c r="K583" t="s">
        <v>28086</v>
      </c>
      <c r="M583" s="118"/>
      <c r="N583" s="119" t="s">
        <v>28116</v>
      </c>
      <c r="O583" t="s">
        <v>28122</v>
      </c>
      <c r="Q583" s="118"/>
      <c r="R583" s="119" t="s">
        <v>28152</v>
      </c>
      <c r="S583" t="s">
        <v>28158</v>
      </c>
      <c r="U583" s="118"/>
      <c r="V583" s="119" t="s">
        <v>28188</v>
      </c>
      <c r="W583" t="s">
        <v>28194</v>
      </c>
    </row>
    <row r="584" spans="1:23" x14ac:dyDescent="0.3">
      <c r="A584" s="118"/>
      <c r="B584" s="119" t="s">
        <v>28009</v>
      </c>
      <c r="C584" t="s">
        <v>28015</v>
      </c>
      <c r="E584" s="118"/>
      <c r="F584" s="119" t="s">
        <v>28045</v>
      </c>
      <c r="G584" t="s">
        <v>28051</v>
      </c>
      <c r="I584" s="118"/>
      <c r="J584" s="119" t="s">
        <v>28081</v>
      </c>
      <c r="K584" t="s">
        <v>28087</v>
      </c>
      <c r="M584" s="118"/>
      <c r="N584" s="119" t="s">
        <v>28117</v>
      </c>
      <c r="O584" t="s">
        <v>28123</v>
      </c>
      <c r="Q584" s="118"/>
      <c r="R584" s="119" t="s">
        <v>28153</v>
      </c>
      <c r="S584" t="s">
        <v>28159</v>
      </c>
      <c r="U584" s="118"/>
      <c r="V584" s="119" t="s">
        <v>28189</v>
      </c>
      <c r="W584" t="s">
        <v>28195</v>
      </c>
    </row>
    <row r="585" spans="1:23" x14ac:dyDescent="0.3">
      <c r="A585" s="118"/>
      <c r="B585" s="119" t="s">
        <v>28020</v>
      </c>
      <c r="C585" t="s">
        <v>28026</v>
      </c>
      <c r="E585" s="118"/>
      <c r="F585" s="119" t="s">
        <v>28056</v>
      </c>
      <c r="G585" t="s">
        <v>28062</v>
      </c>
      <c r="I585" s="118"/>
      <c r="J585" s="119" t="s">
        <v>28092</v>
      </c>
      <c r="K585" t="s">
        <v>28098</v>
      </c>
      <c r="M585" s="118"/>
      <c r="N585" s="119" t="s">
        <v>28128</v>
      </c>
      <c r="O585" t="s">
        <v>28134</v>
      </c>
      <c r="Q585" s="118"/>
      <c r="R585" s="119" t="s">
        <v>28164</v>
      </c>
      <c r="S585" t="s">
        <v>28170</v>
      </c>
      <c r="U585" s="118"/>
      <c r="V585" s="119" t="s">
        <v>28200</v>
      </c>
      <c r="W585" t="s">
        <v>28206</v>
      </c>
    </row>
    <row r="586" spans="1:23" x14ac:dyDescent="0.3">
      <c r="A586" s="118"/>
      <c r="B586" s="119" t="s">
        <v>28021</v>
      </c>
      <c r="C586" t="s">
        <v>28027</v>
      </c>
      <c r="E586" s="118"/>
      <c r="F586" s="119" t="s">
        <v>28057</v>
      </c>
      <c r="G586" t="s">
        <v>28063</v>
      </c>
      <c r="I586" s="118"/>
      <c r="J586" s="119" t="s">
        <v>28093</v>
      </c>
      <c r="K586" t="s">
        <v>28099</v>
      </c>
      <c r="M586" s="118"/>
      <c r="N586" s="119" t="s">
        <v>28129</v>
      </c>
      <c r="O586" t="s">
        <v>28135</v>
      </c>
      <c r="Q586" s="118"/>
      <c r="R586" s="119" t="s">
        <v>28165</v>
      </c>
      <c r="S586" t="s">
        <v>28171</v>
      </c>
      <c r="U586" s="118"/>
      <c r="V586" s="119" t="s">
        <v>28201</v>
      </c>
      <c r="W586" t="s">
        <v>28207</v>
      </c>
    </row>
    <row r="587" spans="1:23" x14ac:dyDescent="0.3">
      <c r="A587" s="118"/>
      <c r="B587" s="119" t="s">
        <v>28212</v>
      </c>
      <c r="C587" t="s">
        <v>28218</v>
      </c>
      <c r="E587" s="118"/>
      <c r="F587" s="119" t="s">
        <v>28248</v>
      </c>
      <c r="G587" t="s">
        <v>28254</v>
      </c>
      <c r="I587" s="118"/>
      <c r="J587" s="119" t="s">
        <v>28284</v>
      </c>
      <c r="K587" t="s">
        <v>28290</v>
      </c>
      <c r="M587" s="118"/>
      <c r="N587" s="119" t="s">
        <v>28320</v>
      </c>
      <c r="O587" t="s">
        <v>28326</v>
      </c>
      <c r="Q587" s="118"/>
      <c r="R587" s="119" t="s">
        <v>28356</v>
      </c>
      <c r="S587" t="s">
        <v>28362</v>
      </c>
      <c r="U587" s="118"/>
      <c r="V587" s="119" t="s">
        <v>28392</v>
      </c>
      <c r="W587" t="s">
        <v>28398</v>
      </c>
    </row>
    <row r="588" spans="1:23" x14ac:dyDescent="0.3">
      <c r="A588" s="118"/>
      <c r="B588" s="119" t="s">
        <v>28213</v>
      </c>
      <c r="C588" t="s">
        <v>28219</v>
      </c>
      <c r="E588" s="118"/>
      <c r="F588" s="119" t="s">
        <v>28249</v>
      </c>
      <c r="G588" t="s">
        <v>28255</v>
      </c>
      <c r="I588" s="118"/>
      <c r="J588" s="119" t="s">
        <v>28285</v>
      </c>
      <c r="K588" t="s">
        <v>28291</v>
      </c>
      <c r="M588" s="118"/>
      <c r="N588" s="119" t="s">
        <v>28321</v>
      </c>
      <c r="O588" t="s">
        <v>28327</v>
      </c>
      <c r="Q588" s="118"/>
      <c r="R588" s="119" t="s">
        <v>28357</v>
      </c>
      <c r="S588" t="s">
        <v>28363</v>
      </c>
      <c r="U588" s="118"/>
      <c r="V588" s="119" t="s">
        <v>28393</v>
      </c>
      <c r="W588" t="s">
        <v>28399</v>
      </c>
    </row>
    <row r="589" spans="1:23" x14ac:dyDescent="0.3">
      <c r="A589" s="118"/>
      <c r="B589" s="119" t="s">
        <v>28224</v>
      </c>
      <c r="C589" t="s">
        <v>28230</v>
      </c>
      <c r="E589" s="118"/>
      <c r="F589" s="119" t="s">
        <v>28260</v>
      </c>
      <c r="G589" t="s">
        <v>28266</v>
      </c>
      <c r="I589" s="118"/>
      <c r="J589" s="119" t="s">
        <v>28296</v>
      </c>
      <c r="K589" t="s">
        <v>28302</v>
      </c>
      <c r="M589" s="118"/>
      <c r="N589" s="119" t="s">
        <v>28332</v>
      </c>
      <c r="O589" t="s">
        <v>28338</v>
      </c>
      <c r="Q589" s="118"/>
      <c r="R589" s="119" t="s">
        <v>28368</v>
      </c>
      <c r="S589" t="s">
        <v>28374</v>
      </c>
      <c r="U589" s="118"/>
      <c r="V589" s="119" t="s">
        <v>28404</v>
      </c>
      <c r="W589" t="s">
        <v>28410</v>
      </c>
    </row>
    <row r="590" spans="1:23" x14ac:dyDescent="0.3">
      <c r="A590" s="118"/>
      <c r="B590" s="119" t="s">
        <v>28225</v>
      </c>
      <c r="C590" t="s">
        <v>28231</v>
      </c>
      <c r="E590" s="118"/>
      <c r="F590" s="119" t="s">
        <v>28261</v>
      </c>
      <c r="G590" t="s">
        <v>28267</v>
      </c>
      <c r="I590" s="118"/>
      <c r="J590" s="119" t="s">
        <v>28297</v>
      </c>
      <c r="K590" t="s">
        <v>28303</v>
      </c>
      <c r="M590" s="118"/>
      <c r="N590" s="119" t="s">
        <v>28333</v>
      </c>
      <c r="O590" t="s">
        <v>28339</v>
      </c>
      <c r="Q590" s="118"/>
      <c r="R590" s="119" t="s">
        <v>28369</v>
      </c>
      <c r="S590" t="s">
        <v>28375</v>
      </c>
      <c r="U590" s="118"/>
      <c r="V590" s="119" t="s">
        <v>28405</v>
      </c>
      <c r="W590" t="s">
        <v>28411</v>
      </c>
    </row>
    <row r="591" spans="1:23" x14ac:dyDescent="0.3">
      <c r="A591" s="118"/>
      <c r="B591" s="119" t="s">
        <v>28236</v>
      </c>
      <c r="C591" t="s">
        <v>28242</v>
      </c>
      <c r="E591" s="118"/>
      <c r="F591" s="119" t="s">
        <v>28272</v>
      </c>
      <c r="G591" t="s">
        <v>28278</v>
      </c>
      <c r="I591" s="118"/>
      <c r="J591" s="119" t="s">
        <v>28308</v>
      </c>
      <c r="K591" t="s">
        <v>28314</v>
      </c>
      <c r="M591" s="118"/>
      <c r="N591" s="119" t="s">
        <v>28344</v>
      </c>
      <c r="O591" t="s">
        <v>28350</v>
      </c>
      <c r="Q591" s="118"/>
      <c r="R591" s="119" t="s">
        <v>28380</v>
      </c>
      <c r="S591" t="s">
        <v>28386</v>
      </c>
      <c r="U591" s="118"/>
      <c r="V591" s="119" t="s">
        <v>28416</v>
      </c>
      <c r="W591" t="s">
        <v>28422</v>
      </c>
    </row>
    <row r="592" spans="1:23" x14ac:dyDescent="0.3">
      <c r="A592" s="118"/>
      <c r="B592" s="119" t="s">
        <v>28237</v>
      </c>
      <c r="C592" t="s">
        <v>28243</v>
      </c>
      <c r="E592" s="118"/>
      <c r="F592" s="119" t="s">
        <v>28273</v>
      </c>
      <c r="G592" t="s">
        <v>28279</v>
      </c>
      <c r="I592" s="118"/>
      <c r="J592" s="119" t="s">
        <v>28309</v>
      </c>
      <c r="K592" t="s">
        <v>28315</v>
      </c>
      <c r="M592" s="118"/>
      <c r="N592" s="119" t="s">
        <v>28345</v>
      </c>
      <c r="O592" t="s">
        <v>28351</v>
      </c>
      <c r="Q592" s="118"/>
      <c r="R592" s="119" t="s">
        <v>28381</v>
      </c>
      <c r="S592" t="s">
        <v>28387</v>
      </c>
      <c r="U592" s="118"/>
      <c r="V592" s="119" t="s">
        <v>28417</v>
      </c>
      <c r="W592" t="s">
        <v>28423</v>
      </c>
    </row>
    <row r="593" spans="1:23" x14ac:dyDescent="0.3">
      <c r="A593" s="118"/>
      <c r="B593" s="119" t="s">
        <v>28428</v>
      </c>
      <c r="C593" t="s">
        <v>28434</v>
      </c>
      <c r="E593" s="118"/>
      <c r="F593" s="119" t="s">
        <v>28464</v>
      </c>
      <c r="G593" t="s">
        <v>28470</v>
      </c>
      <c r="I593" s="118"/>
      <c r="J593" s="119" t="s">
        <v>28500</v>
      </c>
      <c r="K593" t="s">
        <v>28506</v>
      </c>
      <c r="M593" s="118"/>
      <c r="N593" s="119" t="s">
        <v>28536</v>
      </c>
      <c r="O593" t="s">
        <v>28542</v>
      </c>
      <c r="Q593" s="118"/>
      <c r="R593" s="119" t="s">
        <v>28572</v>
      </c>
      <c r="S593" t="s">
        <v>28578</v>
      </c>
      <c r="U593" s="118"/>
      <c r="V593" s="119" t="s">
        <v>28608</v>
      </c>
      <c r="W593" t="s">
        <v>28614</v>
      </c>
    </row>
    <row r="594" spans="1:23" x14ac:dyDescent="0.3">
      <c r="A594" s="118"/>
      <c r="B594" s="119" t="s">
        <v>28429</v>
      </c>
      <c r="C594" t="s">
        <v>28435</v>
      </c>
      <c r="E594" s="118"/>
      <c r="F594" s="119" t="s">
        <v>28465</v>
      </c>
      <c r="G594" t="s">
        <v>28471</v>
      </c>
      <c r="I594" s="118"/>
      <c r="J594" s="119" t="s">
        <v>28501</v>
      </c>
      <c r="K594" t="s">
        <v>28507</v>
      </c>
      <c r="M594" s="118"/>
      <c r="N594" s="119" t="s">
        <v>28537</v>
      </c>
      <c r="O594" t="s">
        <v>28543</v>
      </c>
      <c r="Q594" s="118"/>
      <c r="R594" s="119" t="s">
        <v>28573</v>
      </c>
      <c r="S594" t="s">
        <v>28579</v>
      </c>
      <c r="U594" s="118"/>
      <c r="V594" s="119" t="s">
        <v>28609</v>
      </c>
      <c r="W594" t="s">
        <v>28615</v>
      </c>
    </row>
    <row r="595" spans="1:23" x14ac:dyDescent="0.3">
      <c r="A595" s="118"/>
      <c r="B595" s="119" t="s">
        <v>28440</v>
      </c>
      <c r="C595" t="s">
        <v>28446</v>
      </c>
      <c r="E595" s="118"/>
      <c r="F595" s="119" t="s">
        <v>28476</v>
      </c>
      <c r="G595" t="s">
        <v>28482</v>
      </c>
      <c r="I595" s="118"/>
      <c r="J595" s="119" t="s">
        <v>28512</v>
      </c>
      <c r="K595" t="s">
        <v>28518</v>
      </c>
      <c r="M595" s="118"/>
      <c r="N595" s="119" t="s">
        <v>28548</v>
      </c>
      <c r="O595" t="s">
        <v>28554</v>
      </c>
      <c r="Q595" s="118"/>
      <c r="R595" s="119" t="s">
        <v>28584</v>
      </c>
      <c r="S595" t="s">
        <v>28590</v>
      </c>
      <c r="U595" s="118"/>
      <c r="V595" s="119" t="s">
        <v>28620</v>
      </c>
      <c r="W595" t="s">
        <v>28626</v>
      </c>
    </row>
    <row r="596" spans="1:23" x14ac:dyDescent="0.3">
      <c r="A596" s="118"/>
      <c r="B596" s="119" t="s">
        <v>28441</v>
      </c>
      <c r="C596" t="s">
        <v>28447</v>
      </c>
      <c r="E596" s="118"/>
      <c r="F596" s="119" t="s">
        <v>28477</v>
      </c>
      <c r="G596" t="s">
        <v>28483</v>
      </c>
      <c r="I596" s="118"/>
      <c r="J596" s="119" t="s">
        <v>28513</v>
      </c>
      <c r="K596" t="s">
        <v>28519</v>
      </c>
      <c r="M596" s="118"/>
      <c r="N596" s="119" t="s">
        <v>28549</v>
      </c>
      <c r="O596" t="s">
        <v>28555</v>
      </c>
      <c r="Q596" s="118"/>
      <c r="R596" s="119" t="s">
        <v>28585</v>
      </c>
      <c r="S596" t="s">
        <v>28591</v>
      </c>
      <c r="U596" s="118"/>
      <c r="V596" s="119" t="s">
        <v>28621</v>
      </c>
      <c r="W596" t="s">
        <v>28627</v>
      </c>
    </row>
    <row r="597" spans="1:23" x14ac:dyDescent="0.3">
      <c r="A597" s="118"/>
      <c r="B597" s="119" t="s">
        <v>28452</v>
      </c>
      <c r="C597" t="s">
        <v>28458</v>
      </c>
      <c r="E597" s="118"/>
      <c r="F597" s="119" t="s">
        <v>28488</v>
      </c>
      <c r="G597" t="s">
        <v>28494</v>
      </c>
      <c r="I597" s="118"/>
      <c r="J597" s="119" t="s">
        <v>28524</v>
      </c>
      <c r="K597" t="s">
        <v>28530</v>
      </c>
      <c r="M597" s="118"/>
      <c r="N597" s="119" t="s">
        <v>28560</v>
      </c>
      <c r="O597" t="s">
        <v>28566</v>
      </c>
      <c r="Q597" s="118"/>
      <c r="R597" s="119" t="s">
        <v>28596</v>
      </c>
      <c r="S597" t="s">
        <v>28602</v>
      </c>
      <c r="U597" s="118"/>
      <c r="V597" s="119" t="s">
        <v>28632</v>
      </c>
      <c r="W597" t="s">
        <v>28638</v>
      </c>
    </row>
    <row r="598" spans="1:23" x14ac:dyDescent="0.3">
      <c r="A598" s="118"/>
      <c r="B598" s="119" t="s">
        <v>28453</v>
      </c>
      <c r="C598" t="s">
        <v>28459</v>
      </c>
      <c r="E598" s="118"/>
      <c r="F598" s="119" t="s">
        <v>28489</v>
      </c>
      <c r="G598" t="s">
        <v>28495</v>
      </c>
      <c r="I598" s="118"/>
      <c r="J598" s="119" t="s">
        <v>28525</v>
      </c>
      <c r="K598" t="s">
        <v>28531</v>
      </c>
      <c r="M598" s="118"/>
      <c r="N598" s="119" t="s">
        <v>28561</v>
      </c>
      <c r="O598" t="s">
        <v>28567</v>
      </c>
      <c r="Q598" s="118"/>
      <c r="R598" s="119" t="s">
        <v>28597</v>
      </c>
      <c r="S598" t="s">
        <v>28603</v>
      </c>
      <c r="U598" s="118"/>
      <c r="V598" s="119" t="s">
        <v>28633</v>
      </c>
      <c r="W598" t="s">
        <v>28639</v>
      </c>
    </row>
    <row r="599" spans="1:23" x14ac:dyDescent="0.3">
      <c r="A599" s="118"/>
      <c r="B599" s="119" t="s">
        <v>28644</v>
      </c>
      <c r="C599" t="s">
        <v>28650</v>
      </c>
      <c r="E599" s="118"/>
      <c r="F599" s="119" t="s">
        <v>28680</v>
      </c>
      <c r="G599" t="s">
        <v>28686</v>
      </c>
      <c r="I599" s="118"/>
      <c r="J599" s="119" t="s">
        <v>28716</v>
      </c>
      <c r="K599" t="s">
        <v>28722</v>
      </c>
      <c r="M599" s="118"/>
      <c r="N599" s="119" t="s">
        <v>28752</v>
      </c>
      <c r="O599" t="s">
        <v>28758</v>
      </c>
      <c r="Q599" s="118"/>
      <c r="R599" s="119"/>
      <c r="U599" s="118"/>
      <c r="V599" s="119"/>
    </row>
    <row r="600" spans="1:23" x14ac:dyDescent="0.3">
      <c r="A600" s="118"/>
      <c r="B600" s="119" t="s">
        <v>28645</v>
      </c>
      <c r="C600" t="s">
        <v>28651</v>
      </c>
      <c r="E600" s="118"/>
      <c r="F600" s="119" t="s">
        <v>28681</v>
      </c>
      <c r="G600" t="s">
        <v>28687</v>
      </c>
      <c r="I600" s="118"/>
      <c r="J600" s="119" t="s">
        <v>28717</v>
      </c>
      <c r="K600" t="s">
        <v>28723</v>
      </c>
      <c r="M600" s="118"/>
      <c r="N600" s="119" t="s">
        <v>28753</v>
      </c>
      <c r="O600" t="s">
        <v>28759</v>
      </c>
      <c r="Q600" s="118"/>
      <c r="R600" s="119"/>
      <c r="U600" s="118"/>
      <c r="V600" s="119"/>
    </row>
    <row r="601" spans="1:23" x14ac:dyDescent="0.3">
      <c r="A601" s="118"/>
      <c r="B601" s="119" t="s">
        <v>28656</v>
      </c>
      <c r="C601" t="s">
        <v>28662</v>
      </c>
      <c r="E601" s="118"/>
      <c r="F601" s="119" t="s">
        <v>28692</v>
      </c>
      <c r="G601" t="s">
        <v>28698</v>
      </c>
      <c r="I601" s="118"/>
      <c r="J601" s="119" t="s">
        <v>28728</v>
      </c>
      <c r="K601" t="s">
        <v>28734</v>
      </c>
      <c r="M601" s="118"/>
      <c r="N601" s="119"/>
      <c r="Q601" s="118"/>
      <c r="R601" s="119"/>
      <c r="U601" s="118"/>
      <c r="V601" s="119"/>
    </row>
    <row r="602" spans="1:23" x14ac:dyDescent="0.3">
      <c r="A602" s="118"/>
      <c r="B602" s="119" t="s">
        <v>28657</v>
      </c>
      <c r="C602" t="s">
        <v>28663</v>
      </c>
      <c r="E602" s="118"/>
      <c r="F602" s="119" t="s">
        <v>28693</v>
      </c>
      <c r="G602" t="s">
        <v>28699</v>
      </c>
      <c r="I602" s="118"/>
      <c r="J602" s="119" t="s">
        <v>28729</v>
      </c>
      <c r="K602" t="s">
        <v>28735</v>
      </c>
      <c r="M602" s="118"/>
      <c r="N602" s="119"/>
      <c r="Q602" s="118"/>
      <c r="R602" s="119"/>
      <c r="U602" s="118"/>
      <c r="V602" s="119"/>
    </row>
    <row r="603" spans="1:23" x14ac:dyDescent="0.3">
      <c r="A603" s="118"/>
      <c r="B603" s="119" t="s">
        <v>28668</v>
      </c>
      <c r="C603" t="s">
        <v>28674</v>
      </c>
      <c r="E603" s="118"/>
      <c r="F603" s="119" t="s">
        <v>28704</v>
      </c>
      <c r="G603" t="s">
        <v>28710</v>
      </c>
      <c r="I603" s="118"/>
      <c r="J603" s="119" t="s">
        <v>28740</v>
      </c>
      <c r="K603" t="s">
        <v>28746</v>
      </c>
      <c r="M603" s="118"/>
      <c r="N603" s="119"/>
      <c r="Q603" s="118"/>
      <c r="R603" s="119"/>
      <c r="U603" s="118"/>
      <c r="V603" s="119"/>
    </row>
    <row r="604" spans="1:23" x14ac:dyDescent="0.3">
      <c r="A604" s="118"/>
      <c r="B604" s="119" t="s">
        <v>28669</v>
      </c>
      <c r="C604" t="s">
        <v>28675</v>
      </c>
      <c r="E604" s="118"/>
      <c r="F604" s="119" t="s">
        <v>28705</v>
      </c>
      <c r="G604" t="s">
        <v>28711</v>
      </c>
      <c r="I604" s="118"/>
      <c r="J604" s="119" t="s">
        <v>28741</v>
      </c>
      <c r="K604" t="s">
        <v>28747</v>
      </c>
      <c r="M604" s="118"/>
      <c r="N604" s="119"/>
      <c r="Q604" s="118"/>
      <c r="R604" s="119"/>
      <c r="U604" s="118"/>
      <c r="V604" s="119"/>
    </row>
    <row r="605" spans="1:23" x14ac:dyDescent="0.3">
      <c r="A605" s="118"/>
      <c r="B605" s="119"/>
      <c r="E605" s="118"/>
      <c r="F605" s="119"/>
      <c r="I605" s="118"/>
      <c r="J605" s="119"/>
      <c r="M605" s="118"/>
      <c r="N605" s="119"/>
      <c r="Q605" s="118"/>
      <c r="R605" s="119"/>
      <c r="U605" s="118"/>
      <c r="V605" s="119"/>
    </row>
    <row r="606" spans="1:23" x14ac:dyDescent="0.3">
      <c r="A606" s="118"/>
      <c r="B606" s="119"/>
      <c r="E606" s="118"/>
      <c r="F606" s="119"/>
      <c r="I606" s="118"/>
      <c r="J606" s="119"/>
      <c r="M606" s="118"/>
      <c r="N606" s="119"/>
      <c r="Q606" s="118"/>
      <c r="R606" s="119"/>
      <c r="U606" s="118"/>
      <c r="V606" s="119"/>
    </row>
    <row r="607" spans="1:23" x14ac:dyDescent="0.3">
      <c r="A607" s="118"/>
      <c r="B607" s="119"/>
      <c r="E607" s="118"/>
      <c r="F607" s="119"/>
      <c r="I607" s="118"/>
      <c r="J607" s="119"/>
      <c r="M607" s="118"/>
      <c r="N607" s="119"/>
      <c r="Q607" s="118"/>
      <c r="R607" s="119"/>
      <c r="U607" s="118"/>
      <c r="V607" s="119"/>
    </row>
    <row r="608" spans="1:23" x14ac:dyDescent="0.3">
      <c r="A608" s="118"/>
      <c r="B608" s="119"/>
      <c r="E608" s="118"/>
      <c r="F608" s="119"/>
      <c r="I608" s="118"/>
      <c r="J608" s="119"/>
      <c r="M608" s="118"/>
      <c r="N608" s="119"/>
      <c r="Q608" s="118"/>
      <c r="R608" s="119"/>
      <c r="U608" s="118"/>
      <c r="V608" s="119"/>
    </row>
    <row r="609" spans="1:22" x14ac:dyDescent="0.3">
      <c r="A609" s="118"/>
      <c r="B609" s="119"/>
      <c r="E609" s="118"/>
      <c r="F609" s="119"/>
      <c r="I609" s="118"/>
      <c r="J609" s="119"/>
      <c r="M609" s="118"/>
      <c r="N609" s="119"/>
      <c r="Q609" s="118"/>
      <c r="R609" s="119"/>
      <c r="U609" s="118"/>
      <c r="V609" s="119"/>
    </row>
    <row r="610" spans="1:22" x14ac:dyDescent="0.3">
      <c r="A610" s="118"/>
      <c r="B610" s="119"/>
      <c r="E610" s="118"/>
      <c r="F610" s="119"/>
      <c r="I610" s="118"/>
      <c r="J610" s="119"/>
      <c r="M610" s="118"/>
      <c r="N610" s="119"/>
      <c r="Q610" s="118"/>
      <c r="R610" s="119"/>
      <c r="U610" s="118"/>
      <c r="V610" s="119"/>
    </row>
    <row r="611" spans="1:22" x14ac:dyDescent="0.3">
      <c r="A611" s="118"/>
      <c r="B611" s="119"/>
      <c r="E611" s="118"/>
      <c r="F611" s="119"/>
      <c r="I611" s="118"/>
      <c r="J611" s="119"/>
      <c r="M611" s="118"/>
      <c r="N611" s="119"/>
      <c r="Q611" s="118"/>
      <c r="R611" s="119"/>
      <c r="U611" s="118"/>
      <c r="V611" s="119"/>
    </row>
    <row r="612" spans="1:22" x14ac:dyDescent="0.3">
      <c r="A612" s="118"/>
      <c r="B612" s="119"/>
      <c r="E612" s="118"/>
      <c r="F612" s="119"/>
      <c r="I612" s="118"/>
      <c r="J612" s="119"/>
      <c r="M612" s="118"/>
      <c r="N612" s="119"/>
      <c r="Q612" s="118"/>
      <c r="R612" s="119"/>
      <c r="U612" s="118"/>
      <c r="V612" s="119"/>
    </row>
    <row r="613" spans="1:22" x14ac:dyDescent="0.3">
      <c r="A613" s="118"/>
      <c r="B613" s="119"/>
      <c r="E613" s="118"/>
      <c r="F613" s="119"/>
      <c r="I613" s="118"/>
      <c r="J613" s="119"/>
      <c r="M613" s="118"/>
      <c r="N613" s="119"/>
      <c r="Q613" s="118"/>
      <c r="R613" s="119"/>
      <c r="U613" s="118"/>
      <c r="V613" s="119"/>
    </row>
    <row r="614" spans="1:22" x14ac:dyDescent="0.3">
      <c r="A614" s="118"/>
      <c r="B614" s="119"/>
      <c r="E614" s="118"/>
      <c r="F614" s="119"/>
      <c r="I614" s="118"/>
      <c r="J614" s="119"/>
      <c r="M614" s="118"/>
      <c r="N614" s="119"/>
      <c r="Q614" s="118"/>
      <c r="R614" s="119"/>
      <c r="U614" s="118"/>
      <c r="V614" s="119"/>
    </row>
    <row r="615" spans="1:22" x14ac:dyDescent="0.3">
      <c r="A615" s="118"/>
      <c r="B615" s="119"/>
      <c r="E615" s="118"/>
      <c r="F615" s="119"/>
      <c r="I615" s="118"/>
      <c r="J615" s="119"/>
      <c r="M615" s="118"/>
      <c r="N615" s="119"/>
      <c r="Q615" s="118"/>
      <c r="R615" s="119"/>
      <c r="U615" s="118"/>
      <c r="V615" s="119"/>
    </row>
    <row r="616" spans="1:22" x14ac:dyDescent="0.3">
      <c r="A616" s="118"/>
      <c r="B616" s="119"/>
      <c r="E616" s="118"/>
      <c r="F616" s="119"/>
      <c r="I616" s="118"/>
      <c r="J616" s="119"/>
      <c r="M616" s="118"/>
      <c r="N616" s="119"/>
      <c r="Q616" s="118"/>
      <c r="R616" s="119"/>
      <c r="U616" s="118"/>
      <c r="V616" s="119"/>
    </row>
    <row r="617" spans="1:22" x14ac:dyDescent="0.3">
      <c r="A617" s="118"/>
      <c r="B617" s="119"/>
      <c r="E617" s="118"/>
      <c r="F617" s="119"/>
      <c r="I617" s="118"/>
      <c r="J617" s="119"/>
      <c r="M617" s="118"/>
      <c r="N617" s="119"/>
      <c r="Q617" s="118"/>
      <c r="R617" s="119"/>
      <c r="U617" s="118"/>
      <c r="V617" s="119"/>
    </row>
    <row r="618" spans="1:22" x14ac:dyDescent="0.3">
      <c r="A618" s="118"/>
      <c r="B618" s="119"/>
      <c r="E618" s="118"/>
      <c r="F618" s="119"/>
      <c r="I618" s="118"/>
      <c r="J618" s="119"/>
      <c r="M618" s="118"/>
      <c r="N618" s="119"/>
      <c r="Q618" s="118"/>
      <c r="R618" s="119"/>
      <c r="U618" s="118"/>
      <c r="V618" s="119"/>
    </row>
    <row r="619" spans="1:22" x14ac:dyDescent="0.3">
      <c r="A619" s="118"/>
      <c r="B619" s="119"/>
      <c r="E619" s="118"/>
      <c r="F619" s="119"/>
      <c r="I619" s="118"/>
      <c r="J619" s="119"/>
      <c r="M619" s="118"/>
      <c r="N619" s="119"/>
      <c r="Q619" s="118"/>
      <c r="R619" s="119"/>
      <c r="U619" s="118"/>
      <c r="V619" s="119"/>
    </row>
    <row r="620" spans="1:22" x14ac:dyDescent="0.3">
      <c r="A620" s="118"/>
      <c r="B620" s="119"/>
      <c r="E620" s="118"/>
      <c r="F620" s="119"/>
      <c r="I620" s="118"/>
      <c r="J620" s="119"/>
      <c r="M620" s="118"/>
      <c r="N620" s="119"/>
      <c r="Q620" s="118"/>
      <c r="R620" s="119"/>
      <c r="U620" s="118"/>
      <c r="V620" s="119"/>
    </row>
    <row r="621" spans="1:22" x14ac:dyDescent="0.3">
      <c r="A621" s="118"/>
      <c r="B621" s="119"/>
      <c r="E621" s="118"/>
      <c r="F621" s="119"/>
      <c r="I621" s="118"/>
      <c r="J621" s="119"/>
      <c r="M621" s="118"/>
      <c r="N621" s="119"/>
      <c r="Q621" s="118"/>
      <c r="R621" s="119"/>
      <c r="U621" s="118"/>
      <c r="V621" s="119"/>
    </row>
    <row r="622" spans="1:22" x14ac:dyDescent="0.3">
      <c r="A622" s="118"/>
      <c r="B622" s="119"/>
      <c r="E622" s="118"/>
      <c r="F622" s="119"/>
      <c r="I622" s="118"/>
      <c r="J622" s="119"/>
      <c r="M622" s="118"/>
      <c r="N622" s="119"/>
      <c r="Q622" s="118"/>
      <c r="R622" s="119"/>
      <c r="U622" s="118"/>
      <c r="V622" s="119"/>
    </row>
    <row r="623" spans="1:22" x14ac:dyDescent="0.3">
      <c r="A623" s="118"/>
      <c r="B623" s="119"/>
      <c r="E623" s="118"/>
      <c r="F623" s="119"/>
      <c r="I623" s="118"/>
      <c r="J623" s="119"/>
      <c r="M623" s="118"/>
      <c r="N623" s="119"/>
      <c r="Q623" s="118"/>
      <c r="R623" s="119"/>
      <c r="U623" s="118"/>
      <c r="V623" s="119"/>
    </row>
    <row r="624" spans="1:22" x14ac:dyDescent="0.3">
      <c r="A624" s="118"/>
      <c r="B624" s="119"/>
      <c r="E624" s="118"/>
      <c r="F624" s="119"/>
      <c r="I624" s="118"/>
      <c r="J624" s="119"/>
      <c r="M624" s="118"/>
      <c r="N624" s="119"/>
      <c r="Q624" s="118"/>
      <c r="R624" s="119"/>
      <c r="U624" s="118"/>
      <c r="V624" s="119"/>
    </row>
    <row r="625" spans="1:22" x14ac:dyDescent="0.3">
      <c r="A625" s="118"/>
      <c r="B625" s="119"/>
      <c r="E625" s="118"/>
      <c r="F625" s="119"/>
      <c r="I625" s="118"/>
      <c r="J625" s="119"/>
      <c r="M625" s="118"/>
      <c r="N625" s="119"/>
      <c r="Q625" s="118"/>
      <c r="R625" s="119"/>
      <c r="U625" s="118"/>
      <c r="V625" s="119"/>
    </row>
    <row r="626" spans="1:22" x14ac:dyDescent="0.3">
      <c r="A626" s="118"/>
      <c r="B626" s="119"/>
      <c r="E626" s="118"/>
      <c r="F626" s="119"/>
      <c r="I626" s="118"/>
      <c r="J626" s="119"/>
      <c r="M626" s="118"/>
      <c r="N626" s="119"/>
      <c r="Q626" s="118"/>
      <c r="R626" s="119"/>
      <c r="U626" s="118"/>
      <c r="V626" s="119"/>
    </row>
    <row r="627" spans="1:22" x14ac:dyDescent="0.3">
      <c r="A627" s="118"/>
      <c r="B627" s="119"/>
      <c r="E627" s="118"/>
      <c r="F627" s="119"/>
      <c r="I627" s="118"/>
      <c r="J627" s="119"/>
      <c r="M627" s="118"/>
      <c r="N627" s="119"/>
      <c r="Q627" s="118"/>
      <c r="R627" s="119"/>
      <c r="U627" s="118"/>
      <c r="V627" s="119"/>
    </row>
    <row r="628" spans="1:22" x14ac:dyDescent="0.3">
      <c r="A628" s="118"/>
      <c r="B628" s="119"/>
      <c r="E628" s="118"/>
      <c r="F628" s="119"/>
      <c r="I628" s="118"/>
      <c r="J628" s="119"/>
      <c r="M628" s="118"/>
      <c r="N628" s="119"/>
      <c r="Q628" s="118"/>
      <c r="R628" s="119"/>
      <c r="U628" s="118"/>
      <c r="V628" s="119"/>
    </row>
    <row r="629" spans="1:22" x14ac:dyDescent="0.3">
      <c r="A629" s="118"/>
      <c r="B629" s="119"/>
      <c r="E629" s="118"/>
      <c r="F629" s="119"/>
      <c r="I629" s="118"/>
      <c r="J629" s="119"/>
      <c r="M629" s="118"/>
      <c r="N629" s="119"/>
      <c r="Q629" s="118"/>
      <c r="R629" s="119"/>
      <c r="U629" s="118"/>
      <c r="V629" s="119"/>
    </row>
    <row r="630" spans="1:22" x14ac:dyDescent="0.3">
      <c r="A630" s="118"/>
      <c r="B630" s="119"/>
      <c r="E630" s="118"/>
      <c r="F630" s="119"/>
      <c r="I630" s="118"/>
      <c r="J630" s="119"/>
      <c r="M630" s="118"/>
      <c r="N630" s="119"/>
      <c r="Q630" s="118"/>
      <c r="R630" s="119"/>
      <c r="U630" s="118"/>
      <c r="V630" s="119"/>
    </row>
    <row r="631" spans="1:22" x14ac:dyDescent="0.3">
      <c r="A631" s="118"/>
      <c r="B631" s="119"/>
      <c r="E631" s="118"/>
      <c r="F631" s="119"/>
      <c r="I631" s="118"/>
      <c r="J631" s="119"/>
      <c r="M631" s="118"/>
      <c r="N631" s="119"/>
      <c r="Q631" s="118"/>
      <c r="R631" s="119"/>
      <c r="U631" s="118"/>
      <c r="V631" s="119"/>
    </row>
    <row r="632" spans="1:22" x14ac:dyDescent="0.3">
      <c r="A632" s="118"/>
      <c r="B632" s="119"/>
      <c r="E632" s="118"/>
      <c r="F632" s="119"/>
      <c r="I632" s="118"/>
      <c r="J632" s="119"/>
      <c r="M632" s="118"/>
      <c r="N632" s="119"/>
      <c r="Q632" s="118"/>
      <c r="R632" s="119"/>
      <c r="U632" s="118"/>
      <c r="V632" s="119"/>
    </row>
    <row r="633" spans="1:22" x14ac:dyDescent="0.3">
      <c r="A633" s="118"/>
      <c r="B633" s="119"/>
      <c r="E633" s="118"/>
      <c r="F633" s="119"/>
      <c r="I633" s="118"/>
      <c r="J633" s="119"/>
      <c r="M633" s="118"/>
      <c r="N633" s="119"/>
      <c r="Q633" s="118"/>
      <c r="R633" s="119"/>
      <c r="U633" s="118"/>
      <c r="V633" s="119"/>
    </row>
    <row r="634" spans="1:22" x14ac:dyDescent="0.3">
      <c r="A634" s="118"/>
      <c r="B634" s="119"/>
      <c r="E634" s="118"/>
      <c r="F634" s="119"/>
      <c r="I634" s="118"/>
      <c r="J634" s="119"/>
      <c r="M634" s="118"/>
      <c r="N634" s="119"/>
      <c r="Q634" s="118"/>
      <c r="R634" s="119"/>
      <c r="U634" s="118"/>
      <c r="V634" s="119"/>
    </row>
    <row r="635" spans="1:22" x14ac:dyDescent="0.3">
      <c r="A635" s="118"/>
      <c r="B635" s="119"/>
      <c r="E635" s="118"/>
      <c r="F635" s="119"/>
      <c r="I635" s="118"/>
      <c r="J635" s="119"/>
      <c r="M635" s="118"/>
      <c r="N635" s="119"/>
      <c r="Q635" s="118"/>
      <c r="R635" s="119"/>
      <c r="U635" s="118"/>
      <c r="V635" s="119"/>
    </row>
    <row r="636" spans="1:22" x14ac:dyDescent="0.3">
      <c r="A636" s="118"/>
      <c r="B636" s="119"/>
      <c r="E636" s="118"/>
      <c r="F636" s="119"/>
      <c r="I636" s="118"/>
      <c r="J636" s="119"/>
      <c r="M636" s="118"/>
      <c r="N636" s="119"/>
      <c r="Q636" s="118"/>
      <c r="R636" s="119"/>
      <c r="U636" s="118"/>
      <c r="V636" s="119"/>
    </row>
    <row r="637" spans="1:22" x14ac:dyDescent="0.3">
      <c r="A637" s="118"/>
      <c r="B637" s="119"/>
      <c r="E637" s="118"/>
      <c r="F637" s="119"/>
      <c r="I637" s="118"/>
      <c r="J637" s="119"/>
      <c r="M637" s="118"/>
      <c r="N637" s="119"/>
      <c r="Q637" s="118"/>
      <c r="R637" s="119"/>
      <c r="U637" s="118"/>
      <c r="V637" s="119"/>
    </row>
    <row r="638" spans="1:22" x14ac:dyDescent="0.3">
      <c r="A638" s="118"/>
      <c r="B638" s="119"/>
      <c r="E638" s="118"/>
      <c r="F638" s="119"/>
      <c r="I638" s="118"/>
      <c r="J638" s="119"/>
      <c r="M638" s="118"/>
      <c r="N638" s="119"/>
      <c r="Q638" s="118"/>
      <c r="R638" s="119"/>
      <c r="U638" s="118"/>
      <c r="V638" s="119"/>
    </row>
    <row r="639" spans="1:22" x14ac:dyDescent="0.3">
      <c r="A639" s="118"/>
      <c r="B639" s="119"/>
      <c r="E639" s="118"/>
      <c r="F639" s="119"/>
      <c r="I639" s="118"/>
      <c r="J639" s="119"/>
      <c r="M639" s="118"/>
      <c r="N639" s="119"/>
      <c r="Q639" s="118"/>
      <c r="R639" s="119"/>
      <c r="U639" s="118"/>
      <c r="V639" s="119"/>
    </row>
    <row r="640" spans="1:22" x14ac:dyDescent="0.3">
      <c r="A640" s="118"/>
      <c r="B640" s="119"/>
      <c r="E640" s="118"/>
      <c r="F640" s="119"/>
      <c r="I640" s="118"/>
      <c r="J640" s="119"/>
      <c r="M640" s="118"/>
      <c r="N640" s="119"/>
      <c r="Q640" s="118"/>
      <c r="R640" s="119"/>
      <c r="U640" s="118"/>
      <c r="V640" s="119"/>
    </row>
    <row r="641" spans="1:22" x14ac:dyDescent="0.3">
      <c r="A641" s="118"/>
      <c r="B641" s="119"/>
      <c r="E641" s="118"/>
      <c r="F641" s="119"/>
      <c r="I641" s="118"/>
      <c r="J641" s="119"/>
      <c r="M641" s="118"/>
      <c r="N641" s="119"/>
      <c r="Q641" s="118"/>
      <c r="R641" s="119"/>
      <c r="U641" s="118"/>
      <c r="V641" s="119"/>
    </row>
    <row r="642" spans="1:22" x14ac:dyDescent="0.3">
      <c r="A642" s="118"/>
      <c r="B642" s="119"/>
      <c r="E642" s="118"/>
      <c r="F642" s="119"/>
      <c r="I642" s="118"/>
      <c r="J642" s="119"/>
      <c r="M642" s="118"/>
      <c r="N642" s="119"/>
      <c r="Q642" s="118"/>
      <c r="R642" s="119"/>
      <c r="U642" s="118"/>
      <c r="V642" s="119"/>
    </row>
    <row r="643" spans="1:22" x14ac:dyDescent="0.3">
      <c r="A643" s="118"/>
      <c r="B643" s="119"/>
      <c r="E643" s="118"/>
      <c r="F643" s="119"/>
      <c r="I643" s="118"/>
      <c r="J643" s="119"/>
      <c r="M643" s="118"/>
      <c r="N643" s="119"/>
      <c r="Q643" s="118"/>
      <c r="R643" s="119"/>
      <c r="U643" s="118"/>
      <c r="V643" s="119"/>
    </row>
    <row r="644" spans="1:22" x14ac:dyDescent="0.3">
      <c r="A644" s="118"/>
      <c r="B644" s="119"/>
      <c r="E644" s="118"/>
      <c r="F644" s="119"/>
      <c r="I644" s="118"/>
      <c r="J644" s="119"/>
      <c r="M644" s="118"/>
      <c r="N644" s="119"/>
      <c r="Q644" s="118"/>
      <c r="R644" s="119"/>
      <c r="U644" s="118"/>
      <c r="V644" s="119"/>
    </row>
    <row r="645" spans="1:22" x14ac:dyDescent="0.3">
      <c r="A645" s="118"/>
      <c r="B645" s="119"/>
      <c r="E645" s="118"/>
      <c r="F645" s="119"/>
      <c r="I645" s="118"/>
      <c r="J645" s="119"/>
      <c r="M645" s="118"/>
      <c r="N645" s="119"/>
      <c r="Q645" s="118"/>
      <c r="R645" s="119"/>
      <c r="U645" s="118"/>
      <c r="V645" s="119"/>
    </row>
    <row r="646" spans="1:22" x14ac:dyDescent="0.3">
      <c r="A646" s="118"/>
      <c r="B646" s="119"/>
      <c r="E646" s="118"/>
      <c r="F646" s="119"/>
      <c r="I646" s="118"/>
      <c r="J646" s="119"/>
      <c r="M646" s="118"/>
      <c r="N646" s="119"/>
      <c r="Q646" s="118"/>
      <c r="R646" s="119"/>
      <c r="U646" s="118"/>
      <c r="V646" s="119"/>
    </row>
    <row r="647" spans="1:22" x14ac:dyDescent="0.3">
      <c r="A647" s="118"/>
      <c r="B647" s="119"/>
      <c r="E647" s="118"/>
      <c r="F647" s="119"/>
      <c r="I647" s="118"/>
      <c r="J647" s="119"/>
      <c r="M647" s="118"/>
      <c r="N647" s="119"/>
      <c r="Q647" s="118"/>
      <c r="R647" s="119"/>
      <c r="U647" s="118"/>
      <c r="V647" s="119"/>
    </row>
    <row r="648" spans="1:22" x14ac:dyDescent="0.3">
      <c r="A648" s="118"/>
      <c r="B648" s="119"/>
      <c r="E648" s="118"/>
      <c r="F648" s="119"/>
      <c r="I648" s="118"/>
      <c r="J648" s="119"/>
      <c r="M648" s="118"/>
      <c r="N648" s="119"/>
      <c r="Q648" s="118"/>
      <c r="R648" s="119"/>
      <c r="U648" s="118"/>
      <c r="V648" s="119"/>
    </row>
    <row r="649" spans="1:22" x14ac:dyDescent="0.3">
      <c r="A649" s="118"/>
      <c r="B649" s="119"/>
      <c r="E649" s="118"/>
      <c r="F649" s="119"/>
      <c r="I649" s="118"/>
      <c r="J649" s="119"/>
      <c r="M649" s="118"/>
      <c r="N649" s="119"/>
      <c r="Q649" s="118"/>
      <c r="R649" s="119"/>
      <c r="U649" s="118"/>
      <c r="V649" s="119"/>
    </row>
    <row r="650" spans="1:22" x14ac:dyDescent="0.3">
      <c r="A650" s="118"/>
      <c r="B650" s="119"/>
      <c r="E650" s="118"/>
      <c r="F650" s="119"/>
      <c r="I650" s="118"/>
      <c r="J650" s="119"/>
      <c r="M650" s="118"/>
      <c r="N650" s="119"/>
      <c r="Q650" s="118"/>
      <c r="R650" s="119"/>
      <c r="U650" s="118"/>
      <c r="V650" s="119"/>
    </row>
    <row r="651" spans="1:22" x14ac:dyDescent="0.3">
      <c r="A651" s="118"/>
      <c r="B651" s="119"/>
      <c r="E651" s="118"/>
      <c r="F651" s="119"/>
      <c r="I651" s="118"/>
      <c r="J651" s="119"/>
      <c r="M651" s="118"/>
      <c r="N651" s="119"/>
      <c r="Q651" s="118"/>
      <c r="R651" s="119"/>
      <c r="U651" s="118"/>
      <c r="V651" s="119"/>
    </row>
    <row r="652" spans="1:22" x14ac:dyDescent="0.3">
      <c r="A652" s="118"/>
      <c r="B652" s="119"/>
      <c r="E652" s="118"/>
      <c r="F652" s="119"/>
      <c r="I652" s="118"/>
      <c r="J652" s="119"/>
      <c r="M652" s="118"/>
      <c r="N652" s="119"/>
      <c r="Q652" s="118"/>
      <c r="R652" s="119"/>
      <c r="U652" s="118"/>
      <c r="V652" s="119"/>
    </row>
    <row r="653" spans="1:22" x14ac:dyDescent="0.3">
      <c r="A653" s="118"/>
      <c r="B653" s="119"/>
      <c r="E653" s="118"/>
      <c r="F653" s="119"/>
      <c r="I653" s="118"/>
      <c r="J653" s="119"/>
      <c r="M653" s="118"/>
      <c r="N653" s="119"/>
      <c r="Q653" s="118"/>
      <c r="R653" s="119"/>
      <c r="U653" s="118"/>
      <c r="V653" s="119"/>
    </row>
    <row r="654" spans="1:22" x14ac:dyDescent="0.3">
      <c r="A654" s="118"/>
      <c r="B654" s="119"/>
      <c r="E654" s="118"/>
      <c r="F654" s="119"/>
      <c r="I654" s="118"/>
      <c r="J654" s="119"/>
      <c r="M654" s="118"/>
      <c r="N654" s="119"/>
      <c r="Q654" s="118"/>
      <c r="R654" s="119"/>
      <c r="U654" s="118"/>
      <c r="V654" s="119"/>
    </row>
    <row r="655" spans="1:22" x14ac:dyDescent="0.3">
      <c r="A655" s="118"/>
      <c r="B655" s="119"/>
      <c r="E655" s="118"/>
      <c r="F655" s="119"/>
      <c r="I655" s="118"/>
      <c r="J655" s="119"/>
      <c r="M655" s="118"/>
      <c r="N655" s="119"/>
      <c r="Q655" s="118"/>
      <c r="R655" s="119"/>
      <c r="U655" s="118"/>
      <c r="V655" s="119"/>
    </row>
    <row r="656" spans="1:22" x14ac:dyDescent="0.3">
      <c r="A656" s="118"/>
      <c r="B656" s="119"/>
      <c r="E656" s="118"/>
      <c r="F656" s="119"/>
      <c r="I656" s="118"/>
      <c r="J656" s="119"/>
      <c r="M656" s="118"/>
      <c r="N656" s="119"/>
      <c r="Q656" s="118"/>
      <c r="R656" s="119"/>
      <c r="U656" s="118"/>
      <c r="V656" s="119"/>
    </row>
    <row r="657" spans="1:22" x14ac:dyDescent="0.3">
      <c r="A657" s="118"/>
      <c r="B657" s="119"/>
      <c r="E657" s="118"/>
      <c r="F657" s="119"/>
      <c r="I657" s="118"/>
      <c r="J657" s="119"/>
      <c r="M657" s="118"/>
      <c r="N657" s="119"/>
      <c r="Q657" s="118"/>
      <c r="R657" s="119"/>
      <c r="U657" s="118"/>
      <c r="V657" s="119"/>
    </row>
    <row r="658" spans="1:22" x14ac:dyDescent="0.3">
      <c r="A658" s="118"/>
      <c r="B658" s="119"/>
      <c r="E658" s="118"/>
      <c r="F658" s="119"/>
      <c r="I658" s="118"/>
      <c r="J658" s="119"/>
      <c r="M658" s="118"/>
      <c r="N658" s="119"/>
      <c r="Q658" s="118"/>
      <c r="R658" s="119"/>
      <c r="U658" s="118"/>
      <c r="V658" s="119"/>
    </row>
    <row r="659" spans="1:22" x14ac:dyDescent="0.3">
      <c r="A659" s="118"/>
      <c r="B659" s="119"/>
      <c r="E659" s="118"/>
      <c r="F659" s="119"/>
      <c r="I659" s="118"/>
      <c r="J659" s="119"/>
      <c r="M659" s="118"/>
      <c r="N659" s="119"/>
      <c r="Q659" s="118"/>
      <c r="R659" s="119"/>
      <c r="U659" s="118"/>
      <c r="V659" s="119"/>
    </row>
    <row r="660" spans="1:22" x14ac:dyDescent="0.3">
      <c r="A660" s="118"/>
      <c r="B660" s="119"/>
      <c r="E660" s="118"/>
      <c r="F660" s="119"/>
      <c r="I660" s="118"/>
      <c r="J660" s="119"/>
      <c r="M660" s="118"/>
      <c r="N660" s="119"/>
      <c r="Q660" s="118"/>
      <c r="R660" s="119"/>
      <c r="U660" s="118"/>
      <c r="V660" s="119"/>
    </row>
    <row r="661" spans="1:22" x14ac:dyDescent="0.3">
      <c r="A661" s="118"/>
      <c r="B661" s="119"/>
      <c r="E661" s="118"/>
      <c r="F661" s="119"/>
      <c r="I661" s="118"/>
      <c r="J661" s="119"/>
      <c r="M661" s="118"/>
      <c r="N661" s="119"/>
      <c r="Q661" s="118"/>
      <c r="R661" s="119"/>
      <c r="U661" s="118"/>
      <c r="V661" s="119"/>
    </row>
    <row r="662" spans="1:22" x14ac:dyDescent="0.3">
      <c r="A662" s="118"/>
      <c r="B662" s="119"/>
      <c r="E662" s="118"/>
      <c r="F662" s="119"/>
      <c r="I662" s="118"/>
      <c r="J662" s="119"/>
      <c r="M662" s="118"/>
      <c r="N662" s="119"/>
      <c r="Q662" s="118"/>
      <c r="R662" s="119"/>
      <c r="U662" s="118"/>
      <c r="V662" s="119"/>
    </row>
    <row r="663" spans="1:22" x14ac:dyDescent="0.3">
      <c r="A663" s="118"/>
      <c r="B663" s="119"/>
      <c r="E663" s="118"/>
      <c r="F663" s="119"/>
      <c r="I663" s="118"/>
      <c r="J663" s="119"/>
      <c r="M663" s="118"/>
      <c r="N663" s="119"/>
      <c r="Q663" s="118"/>
      <c r="R663" s="119"/>
      <c r="U663" s="118"/>
      <c r="V663" s="119"/>
    </row>
    <row r="664" spans="1:22" x14ac:dyDescent="0.3">
      <c r="A664" s="118"/>
      <c r="B664" s="119"/>
      <c r="E664" s="118"/>
      <c r="F664" s="119"/>
      <c r="I664" s="118"/>
      <c r="J664" s="119"/>
      <c r="M664" s="118"/>
      <c r="N664" s="119"/>
      <c r="Q664" s="118"/>
      <c r="R664" s="119"/>
      <c r="U664" s="118"/>
      <c r="V664" s="119"/>
    </row>
    <row r="665" spans="1:22" x14ac:dyDescent="0.3">
      <c r="A665" s="118"/>
      <c r="B665" s="119"/>
      <c r="E665" s="118"/>
      <c r="F665" s="119"/>
      <c r="I665" s="118"/>
      <c r="J665" s="119"/>
      <c r="M665" s="118"/>
      <c r="N665" s="119"/>
      <c r="Q665" s="118"/>
      <c r="R665" s="119"/>
      <c r="U665" s="118"/>
      <c r="V665" s="119"/>
    </row>
    <row r="666" spans="1:22" x14ac:dyDescent="0.3">
      <c r="A666" s="118"/>
      <c r="B666" s="119"/>
      <c r="E666" s="118"/>
      <c r="F666" s="119"/>
      <c r="I666" s="118"/>
      <c r="J666" s="119"/>
      <c r="M666" s="118"/>
      <c r="N666" s="119"/>
      <c r="Q666" s="118"/>
      <c r="R666" s="119"/>
      <c r="U666" s="118"/>
      <c r="V666" s="119"/>
    </row>
    <row r="667" spans="1:22" x14ac:dyDescent="0.3">
      <c r="A667" s="118"/>
      <c r="B667" s="119"/>
      <c r="E667" s="118"/>
      <c r="F667" s="119"/>
      <c r="I667" s="118"/>
      <c r="J667" s="119"/>
      <c r="M667" s="118"/>
      <c r="N667" s="119"/>
      <c r="Q667" s="118"/>
      <c r="R667" s="119"/>
      <c r="U667" s="118"/>
      <c r="V667" s="119"/>
    </row>
    <row r="668" spans="1:22" x14ac:dyDescent="0.3">
      <c r="A668" s="118"/>
      <c r="B668" s="119"/>
      <c r="E668" s="118"/>
      <c r="F668" s="119"/>
      <c r="I668" s="118"/>
      <c r="J668" s="119"/>
      <c r="M668" s="118"/>
      <c r="N668" s="119"/>
      <c r="Q668" s="118"/>
      <c r="R668" s="119"/>
      <c r="U668" s="118"/>
      <c r="V668" s="119"/>
    </row>
    <row r="669" spans="1:22" x14ac:dyDescent="0.3">
      <c r="A669" s="118"/>
      <c r="B669" s="119"/>
      <c r="E669" s="118"/>
      <c r="F669" s="119"/>
      <c r="I669" s="118"/>
      <c r="J669" s="119"/>
      <c r="M669" s="118"/>
      <c r="N669" s="119"/>
      <c r="Q669" s="118"/>
      <c r="R669" s="119"/>
      <c r="U669" s="118"/>
      <c r="V669" s="119"/>
    </row>
    <row r="670" spans="1:22" x14ac:dyDescent="0.3">
      <c r="A670" s="118"/>
      <c r="B670" s="119"/>
      <c r="E670" s="118"/>
      <c r="F670" s="119"/>
      <c r="I670" s="118"/>
      <c r="J670" s="119"/>
      <c r="M670" s="118"/>
      <c r="N670" s="119"/>
      <c r="Q670" s="118"/>
      <c r="R670" s="119"/>
      <c r="U670" s="118"/>
      <c r="V670" s="119"/>
    </row>
    <row r="671" spans="1:22" x14ac:dyDescent="0.3">
      <c r="A671" s="118"/>
      <c r="B671" s="119"/>
      <c r="E671" s="118"/>
      <c r="F671" s="119"/>
      <c r="I671" s="118"/>
      <c r="J671" s="119"/>
      <c r="M671" s="118"/>
      <c r="N671" s="119"/>
      <c r="Q671" s="118"/>
      <c r="R671" s="119"/>
      <c r="U671" s="118"/>
      <c r="V671" s="119"/>
    </row>
    <row r="672" spans="1:22" x14ac:dyDescent="0.3">
      <c r="A672" s="118"/>
      <c r="B672" s="119"/>
      <c r="E672" s="118"/>
      <c r="F672" s="119"/>
      <c r="I672" s="118"/>
      <c r="J672" s="119"/>
      <c r="M672" s="118"/>
      <c r="N672" s="119"/>
      <c r="Q672" s="118"/>
      <c r="R672" s="119"/>
      <c r="U672" s="118"/>
      <c r="V672" s="119"/>
    </row>
    <row r="673" spans="1:22" x14ac:dyDescent="0.3">
      <c r="A673" s="118"/>
      <c r="B673" s="119"/>
      <c r="E673" s="118"/>
      <c r="F673" s="119"/>
      <c r="I673" s="118"/>
      <c r="J673" s="119"/>
      <c r="M673" s="118"/>
      <c r="N673" s="119"/>
      <c r="Q673" s="118"/>
      <c r="R673" s="119"/>
      <c r="U673" s="118"/>
      <c r="V673" s="119"/>
    </row>
    <row r="674" spans="1:22" x14ac:dyDescent="0.3">
      <c r="A674" s="118"/>
      <c r="B674" s="119"/>
      <c r="E674" s="118"/>
      <c r="F674" s="119"/>
      <c r="I674" s="118"/>
      <c r="J674" s="119"/>
      <c r="M674" s="118"/>
      <c r="N674" s="119"/>
      <c r="Q674" s="118"/>
      <c r="R674" s="119"/>
      <c r="U674" s="118"/>
      <c r="V674" s="119"/>
    </row>
    <row r="675" spans="1:22" x14ac:dyDescent="0.3">
      <c r="A675" s="118"/>
      <c r="B675" s="119"/>
      <c r="E675" s="118"/>
      <c r="F675" s="119"/>
      <c r="I675" s="118"/>
      <c r="J675" s="119"/>
      <c r="M675" s="118"/>
      <c r="N675" s="119"/>
      <c r="Q675" s="118"/>
      <c r="R675" s="119"/>
      <c r="U675" s="118"/>
      <c r="V675" s="119"/>
    </row>
    <row r="676" spans="1:22" x14ac:dyDescent="0.3">
      <c r="A676" s="118"/>
      <c r="B676" s="119"/>
      <c r="E676" s="118"/>
      <c r="F676" s="119"/>
      <c r="I676" s="118"/>
      <c r="J676" s="119"/>
      <c r="M676" s="118"/>
      <c r="N676" s="119"/>
      <c r="Q676" s="118"/>
      <c r="R676" s="119"/>
      <c r="U676" s="118"/>
      <c r="V676" s="119"/>
    </row>
    <row r="677" spans="1:22" x14ac:dyDescent="0.3">
      <c r="A677" s="118"/>
      <c r="B677" s="119"/>
      <c r="E677" s="118"/>
      <c r="F677" s="119"/>
      <c r="I677" s="118"/>
      <c r="J677" s="119"/>
      <c r="M677" s="118"/>
      <c r="N677" s="119"/>
      <c r="Q677" s="118"/>
      <c r="R677" s="119"/>
      <c r="U677" s="118"/>
      <c r="V677" s="119"/>
    </row>
    <row r="678" spans="1:22" x14ac:dyDescent="0.3">
      <c r="A678" s="118"/>
      <c r="B678" s="119"/>
      <c r="E678" s="118"/>
      <c r="F678" s="119"/>
      <c r="I678" s="118"/>
      <c r="J678" s="119"/>
      <c r="M678" s="118"/>
      <c r="N678" s="119"/>
      <c r="Q678" s="118"/>
      <c r="R678" s="119"/>
      <c r="U678" s="118"/>
      <c r="V678" s="119"/>
    </row>
    <row r="679" spans="1:22" x14ac:dyDescent="0.3">
      <c r="A679" s="118"/>
      <c r="B679" s="119"/>
      <c r="E679" s="118"/>
      <c r="F679" s="119"/>
      <c r="I679" s="118"/>
      <c r="J679" s="119"/>
      <c r="M679" s="118"/>
      <c r="N679" s="119"/>
      <c r="Q679" s="118"/>
      <c r="R679" s="119"/>
      <c r="U679" s="118"/>
      <c r="V679" s="119"/>
    </row>
    <row r="680" spans="1:22" x14ac:dyDescent="0.3">
      <c r="A680" s="118"/>
      <c r="B680" s="119"/>
      <c r="E680" s="118"/>
      <c r="F680" s="119"/>
      <c r="I680" s="118"/>
      <c r="J680" s="119"/>
      <c r="M680" s="118"/>
      <c r="N680" s="119"/>
      <c r="Q680" s="118"/>
      <c r="R680" s="119"/>
      <c r="U680" s="118"/>
      <c r="V680" s="119"/>
    </row>
    <row r="681" spans="1:22" x14ac:dyDescent="0.3">
      <c r="A681" s="118"/>
      <c r="B681" s="119"/>
      <c r="E681" s="118"/>
      <c r="F681" s="119"/>
      <c r="I681" s="118"/>
      <c r="J681" s="119"/>
      <c r="M681" s="118"/>
      <c r="N681" s="119"/>
      <c r="Q681" s="118"/>
      <c r="R681" s="119"/>
      <c r="U681" s="118"/>
      <c r="V681" s="119"/>
    </row>
    <row r="682" spans="1:22" x14ac:dyDescent="0.3">
      <c r="A682" s="118"/>
      <c r="B682" s="119"/>
      <c r="E682" s="118"/>
      <c r="F682" s="119"/>
      <c r="I682" s="118"/>
      <c r="J682" s="119"/>
      <c r="M682" s="118"/>
      <c r="N682" s="119"/>
      <c r="Q682" s="118"/>
      <c r="R682" s="119"/>
      <c r="U682" s="118"/>
      <c r="V682" s="119"/>
    </row>
    <row r="683" spans="1:22" x14ac:dyDescent="0.3">
      <c r="A683" s="118"/>
      <c r="B683" s="119"/>
      <c r="E683" s="118"/>
      <c r="F683" s="119"/>
      <c r="I683" s="118"/>
      <c r="J683" s="119"/>
      <c r="M683" s="118"/>
      <c r="N683" s="119"/>
      <c r="Q683" s="118"/>
      <c r="R683" s="119"/>
      <c r="U683" s="118"/>
      <c r="V683" s="119"/>
    </row>
    <row r="684" spans="1:22" x14ac:dyDescent="0.3">
      <c r="A684" s="118"/>
      <c r="B684" s="119"/>
      <c r="E684" s="118"/>
      <c r="F684" s="119"/>
      <c r="I684" s="118"/>
      <c r="J684" s="119"/>
      <c r="M684" s="118"/>
      <c r="N684" s="119"/>
      <c r="Q684" s="118"/>
      <c r="R684" s="119"/>
      <c r="U684" s="118"/>
      <c r="V684" s="119"/>
    </row>
    <row r="685" spans="1:22" x14ac:dyDescent="0.3">
      <c r="A685" s="118"/>
      <c r="B685" s="119"/>
      <c r="E685" s="118"/>
      <c r="F685" s="119"/>
      <c r="I685" s="118"/>
      <c r="J685" s="119"/>
      <c r="M685" s="118"/>
      <c r="N685" s="119"/>
      <c r="Q685" s="118"/>
      <c r="R685" s="119"/>
      <c r="U685" s="118"/>
      <c r="V685" s="119"/>
    </row>
    <row r="686" spans="1:22" x14ac:dyDescent="0.3">
      <c r="A686" s="118"/>
      <c r="B686" s="119"/>
      <c r="E686" s="118"/>
      <c r="F686" s="119"/>
      <c r="I686" s="118"/>
      <c r="J686" s="119"/>
      <c r="M686" s="118"/>
      <c r="N686" s="119"/>
      <c r="Q686" s="118"/>
      <c r="R686" s="119"/>
      <c r="U686" s="118"/>
      <c r="V686" s="119"/>
    </row>
    <row r="687" spans="1:22" x14ac:dyDescent="0.3">
      <c r="A687" s="118"/>
      <c r="B687" s="119"/>
      <c r="E687" s="118"/>
      <c r="F687" s="119"/>
      <c r="I687" s="118"/>
      <c r="J687" s="119"/>
      <c r="M687" s="118"/>
      <c r="N687" s="119"/>
      <c r="Q687" s="118"/>
      <c r="R687" s="119"/>
      <c r="U687" s="118"/>
      <c r="V687" s="119"/>
    </row>
    <row r="688" spans="1:22" x14ac:dyDescent="0.3">
      <c r="A688" s="118"/>
      <c r="B688" s="119"/>
      <c r="E688" s="118"/>
      <c r="F688" s="119"/>
      <c r="I688" s="118"/>
      <c r="J688" s="119"/>
      <c r="M688" s="118"/>
      <c r="N688" s="119"/>
      <c r="Q688" s="118"/>
      <c r="R688" s="119"/>
      <c r="U688" s="118"/>
      <c r="V688" s="119"/>
    </row>
    <row r="689" spans="1:22" x14ac:dyDescent="0.3">
      <c r="A689" s="118"/>
      <c r="B689" s="119"/>
      <c r="E689" s="118"/>
      <c r="F689" s="119"/>
      <c r="I689" s="118"/>
      <c r="J689" s="119"/>
      <c r="M689" s="118"/>
      <c r="N689" s="119"/>
      <c r="Q689" s="118"/>
      <c r="R689" s="119"/>
      <c r="U689" s="118"/>
      <c r="V689" s="119"/>
    </row>
    <row r="690" spans="1:22" x14ac:dyDescent="0.3">
      <c r="A690" s="118"/>
      <c r="B690" s="119"/>
      <c r="E690" s="118"/>
      <c r="F690" s="119"/>
      <c r="I690" s="118"/>
      <c r="J690" s="119"/>
      <c r="M690" s="118"/>
      <c r="N690" s="119"/>
      <c r="Q690" s="118"/>
      <c r="R690" s="119"/>
      <c r="U690" s="118"/>
      <c r="V690" s="119"/>
    </row>
    <row r="691" spans="1:22" x14ac:dyDescent="0.3">
      <c r="A691" s="118"/>
      <c r="B691" s="119"/>
      <c r="E691" s="118"/>
      <c r="F691" s="119"/>
      <c r="I691" s="118"/>
      <c r="J691" s="119"/>
      <c r="M691" s="118"/>
      <c r="N691" s="119"/>
      <c r="Q691" s="118"/>
      <c r="R691" s="119"/>
      <c r="U691" s="118"/>
      <c r="V691" s="119"/>
    </row>
    <row r="692" spans="1:22" x14ac:dyDescent="0.3">
      <c r="A692" s="118"/>
      <c r="B692" s="119"/>
      <c r="E692" s="118"/>
      <c r="F692" s="119"/>
      <c r="I692" s="118"/>
      <c r="J692" s="119"/>
      <c r="M692" s="118"/>
      <c r="N692" s="119"/>
      <c r="Q692" s="118"/>
      <c r="R692" s="119"/>
      <c r="U692" s="118"/>
      <c r="V692" s="119"/>
    </row>
    <row r="693" spans="1:22" x14ac:dyDescent="0.3">
      <c r="A693" s="118"/>
      <c r="B693" s="119"/>
      <c r="E693" s="118"/>
      <c r="F693" s="119"/>
      <c r="I693" s="118"/>
      <c r="J693" s="119"/>
      <c r="M693" s="118"/>
      <c r="N693" s="119"/>
      <c r="Q693" s="118"/>
      <c r="R693" s="119"/>
      <c r="U693" s="118"/>
      <c r="V693" s="119"/>
    </row>
    <row r="694" spans="1:22" x14ac:dyDescent="0.3">
      <c r="A694" s="118"/>
      <c r="B694" s="119"/>
      <c r="E694" s="118"/>
      <c r="F694" s="119"/>
      <c r="I694" s="118"/>
      <c r="J694" s="119"/>
      <c r="M694" s="118"/>
      <c r="N694" s="119"/>
      <c r="Q694" s="118"/>
      <c r="R694" s="119"/>
      <c r="U694" s="118"/>
      <c r="V694" s="119"/>
    </row>
    <row r="695" spans="1:22" x14ac:dyDescent="0.3">
      <c r="A695" s="118"/>
      <c r="B695" s="119"/>
      <c r="E695" s="118"/>
      <c r="F695" s="119"/>
      <c r="I695" s="118"/>
      <c r="J695" s="119"/>
      <c r="M695" s="118"/>
      <c r="N695" s="119"/>
      <c r="Q695" s="118"/>
      <c r="R695" s="119"/>
      <c r="U695" s="118"/>
      <c r="V695" s="119"/>
    </row>
    <row r="696" spans="1:22" x14ac:dyDescent="0.3">
      <c r="A696" s="118"/>
      <c r="B696" s="119"/>
      <c r="E696" s="118"/>
      <c r="F696" s="119"/>
      <c r="I696" s="118"/>
      <c r="J696" s="119"/>
      <c r="M696" s="118"/>
      <c r="N696" s="119"/>
      <c r="Q696" s="118"/>
      <c r="R696" s="119"/>
      <c r="U696" s="118"/>
      <c r="V696" s="119"/>
    </row>
    <row r="697" spans="1:22" x14ac:dyDescent="0.3">
      <c r="A697" s="118"/>
      <c r="B697" s="119"/>
      <c r="E697" s="118"/>
      <c r="F697" s="119"/>
      <c r="I697" s="118"/>
      <c r="J697" s="119"/>
      <c r="M697" s="118"/>
      <c r="N697" s="119"/>
      <c r="Q697" s="118"/>
      <c r="R697" s="119"/>
      <c r="U697" s="118"/>
      <c r="V697" s="119"/>
    </row>
    <row r="698" spans="1:22" x14ac:dyDescent="0.3">
      <c r="A698" s="118"/>
      <c r="B698" s="119"/>
      <c r="E698" s="118"/>
      <c r="F698" s="119"/>
      <c r="I698" s="118"/>
      <c r="J698" s="119"/>
      <c r="M698" s="118"/>
      <c r="N698" s="119"/>
      <c r="Q698" s="118"/>
      <c r="R698" s="119"/>
      <c r="U698" s="118"/>
      <c r="V698" s="119"/>
    </row>
    <row r="699" spans="1:22" x14ac:dyDescent="0.3">
      <c r="A699" s="118"/>
      <c r="B699" s="119"/>
      <c r="E699" s="118"/>
      <c r="F699" s="119"/>
      <c r="I699" s="118"/>
      <c r="J699" s="119"/>
      <c r="M699" s="118"/>
      <c r="N699" s="119"/>
      <c r="Q699" s="118"/>
      <c r="R699" s="119"/>
      <c r="U699" s="118"/>
      <c r="V699" s="119"/>
    </row>
    <row r="700" spans="1:22" x14ac:dyDescent="0.3">
      <c r="A700" s="118"/>
      <c r="B700" s="119"/>
      <c r="E700" s="118"/>
      <c r="F700" s="119"/>
      <c r="I700" s="118"/>
      <c r="J700" s="119"/>
      <c r="M700" s="118"/>
      <c r="N700" s="119"/>
      <c r="Q700" s="118"/>
      <c r="R700" s="119"/>
      <c r="U700" s="118"/>
      <c r="V700" s="119"/>
    </row>
    <row r="701" spans="1:22" x14ac:dyDescent="0.3">
      <c r="A701" s="118"/>
      <c r="B701" s="119"/>
      <c r="E701" s="118"/>
      <c r="F701" s="119"/>
      <c r="I701" s="118"/>
      <c r="J701" s="119"/>
      <c r="M701" s="118"/>
      <c r="N701" s="119"/>
      <c r="Q701" s="118"/>
      <c r="R701" s="119"/>
      <c r="U701" s="118"/>
      <c r="V701" s="119"/>
    </row>
    <row r="702" spans="1:22" x14ac:dyDescent="0.3">
      <c r="A702" s="118"/>
      <c r="B702" s="119"/>
      <c r="E702" s="118"/>
      <c r="F702" s="119"/>
      <c r="I702" s="118"/>
      <c r="J702" s="119"/>
      <c r="M702" s="118"/>
      <c r="N702" s="119"/>
      <c r="Q702" s="118"/>
      <c r="R702" s="119"/>
      <c r="U702" s="118"/>
      <c r="V702" s="119"/>
    </row>
    <row r="703" spans="1:22" x14ac:dyDescent="0.3">
      <c r="A703" s="118"/>
      <c r="B703" s="119"/>
      <c r="E703" s="118"/>
      <c r="F703" s="119"/>
      <c r="I703" s="118"/>
      <c r="J703" s="119"/>
      <c r="M703" s="118"/>
      <c r="N703" s="119"/>
      <c r="Q703" s="118"/>
      <c r="R703" s="119"/>
      <c r="U703" s="118"/>
      <c r="V703" s="119"/>
    </row>
    <row r="704" spans="1:22" x14ac:dyDescent="0.3">
      <c r="A704" s="118"/>
      <c r="B704" s="119"/>
      <c r="E704" s="118"/>
      <c r="F704" s="119"/>
      <c r="I704" s="118"/>
      <c r="J704" s="119"/>
      <c r="M704" s="118"/>
      <c r="N704" s="119"/>
      <c r="Q704" s="118"/>
      <c r="R704" s="119"/>
      <c r="U704" s="118"/>
      <c r="V704" s="119"/>
    </row>
    <row r="705" spans="1:22" x14ac:dyDescent="0.3">
      <c r="A705" s="118"/>
      <c r="B705" s="119"/>
      <c r="E705" s="118"/>
      <c r="F705" s="119"/>
      <c r="I705" s="118"/>
      <c r="J705" s="119"/>
      <c r="M705" s="118"/>
      <c r="N705" s="119"/>
      <c r="Q705" s="118"/>
      <c r="R705" s="119"/>
      <c r="U705" s="118"/>
      <c r="V705" s="119"/>
    </row>
    <row r="706" spans="1:22" x14ac:dyDescent="0.3">
      <c r="A706" s="118"/>
      <c r="B706" s="119"/>
      <c r="E706" s="118"/>
      <c r="F706" s="119"/>
      <c r="I706" s="118"/>
      <c r="J706" s="119"/>
      <c r="M706" s="118"/>
      <c r="N706" s="119"/>
      <c r="Q706" s="118"/>
      <c r="R706" s="119"/>
      <c r="U706" s="118"/>
      <c r="V706" s="119"/>
    </row>
    <row r="707" spans="1:22" x14ac:dyDescent="0.3">
      <c r="A707" s="118"/>
      <c r="B707" s="119"/>
      <c r="E707" s="118"/>
      <c r="F707" s="119"/>
      <c r="I707" s="118"/>
      <c r="J707" s="119"/>
      <c r="M707" s="118"/>
      <c r="N707" s="119"/>
      <c r="Q707" s="118"/>
      <c r="R707" s="119"/>
      <c r="U707" s="118"/>
      <c r="V707" s="119"/>
    </row>
    <row r="708" spans="1:22" x14ac:dyDescent="0.3">
      <c r="A708" s="118"/>
      <c r="B708" s="119"/>
      <c r="E708" s="118"/>
      <c r="F708" s="119"/>
      <c r="I708" s="118"/>
      <c r="J708" s="119"/>
      <c r="M708" s="118"/>
      <c r="N708" s="119"/>
      <c r="Q708" s="118"/>
      <c r="R708" s="119"/>
      <c r="U708" s="118"/>
      <c r="V708" s="119"/>
    </row>
    <row r="709" spans="1:22" x14ac:dyDescent="0.3">
      <c r="A709" s="118"/>
      <c r="B709" s="119"/>
      <c r="E709" s="118"/>
      <c r="F709" s="119"/>
      <c r="I709" s="118"/>
      <c r="J709" s="119"/>
      <c r="M709" s="118"/>
      <c r="N709" s="119"/>
      <c r="Q709" s="118"/>
      <c r="R709" s="119"/>
      <c r="U709" s="118"/>
      <c r="V709" s="119"/>
    </row>
    <row r="710" spans="1:22" x14ac:dyDescent="0.3">
      <c r="A710" s="118"/>
      <c r="B710" s="119"/>
      <c r="E710" s="118"/>
      <c r="F710" s="119"/>
      <c r="I710" s="118"/>
      <c r="J710" s="119"/>
      <c r="M710" s="118"/>
      <c r="N710" s="119"/>
      <c r="Q710" s="118"/>
      <c r="R710" s="119"/>
      <c r="U710" s="118"/>
      <c r="V710" s="119"/>
    </row>
    <row r="711" spans="1:22" x14ac:dyDescent="0.3">
      <c r="A711" s="118"/>
      <c r="B711" s="119"/>
      <c r="E711" s="118"/>
      <c r="F711" s="119"/>
      <c r="I711" s="118"/>
      <c r="J711" s="119"/>
      <c r="M711" s="118"/>
      <c r="N711" s="119"/>
      <c r="Q711" s="118"/>
      <c r="R711" s="119"/>
      <c r="U711" s="118"/>
      <c r="V711" s="119"/>
    </row>
    <row r="712" spans="1:22" x14ac:dyDescent="0.3">
      <c r="A712" s="118"/>
      <c r="B712" s="119"/>
      <c r="E712" s="118"/>
      <c r="F712" s="119"/>
      <c r="I712" s="118"/>
      <c r="J712" s="119"/>
      <c r="M712" s="118"/>
      <c r="N712" s="119"/>
      <c r="Q712" s="118"/>
      <c r="R712" s="119"/>
      <c r="U712" s="118"/>
      <c r="V712" s="119"/>
    </row>
    <row r="713" spans="1:22" x14ac:dyDescent="0.3">
      <c r="A713" s="118"/>
      <c r="B713" s="119"/>
      <c r="E713" s="118"/>
      <c r="F713" s="119"/>
      <c r="I713" s="118"/>
      <c r="J713" s="119"/>
      <c r="M713" s="118"/>
      <c r="N713" s="119"/>
      <c r="Q713" s="118"/>
      <c r="R713" s="119"/>
      <c r="U713" s="118"/>
      <c r="V713" s="119"/>
    </row>
    <row r="714" spans="1:22" x14ac:dyDescent="0.3">
      <c r="A714" s="118"/>
      <c r="B714" s="119"/>
      <c r="E714" s="118"/>
      <c r="F714" s="119"/>
      <c r="I714" s="118"/>
      <c r="J714" s="119"/>
      <c r="M714" s="118"/>
      <c r="N714" s="119"/>
      <c r="Q714" s="118"/>
      <c r="R714" s="119"/>
      <c r="U714" s="118"/>
      <c r="V714" s="119"/>
    </row>
    <row r="715" spans="1:22" x14ac:dyDescent="0.3">
      <c r="A715" s="118"/>
      <c r="B715" s="119"/>
      <c r="E715" s="118"/>
      <c r="F715" s="119"/>
      <c r="I715" s="118"/>
      <c r="J715" s="119"/>
      <c r="M715" s="118"/>
      <c r="N715" s="119"/>
      <c r="Q715" s="118"/>
      <c r="R715" s="119"/>
      <c r="U715" s="118"/>
      <c r="V715" s="119"/>
    </row>
    <row r="716" spans="1:22" x14ac:dyDescent="0.3">
      <c r="A716" s="118"/>
      <c r="B716" s="119"/>
      <c r="E716" s="118"/>
      <c r="F716" s="119"/>
      <c r="I716" s="118"/>
      <c r="J716" s="119"/>
      <c r="M716" s="118"/>
      <c r="N716" s="119"/>
      <c r="Q716" s="118"/>
      <c r="R716" s="119"/>
      <c r="U716" s="118"/>
      <c r="V716" s="119"/>
    </row>
    <row r="717" spans="1:22" x14ac:dyDescent="0.3">
      <c r="A717" s="118"/>
      <c r="B717" s="119"/>
      <c r="E717" s="118"/>
      <c r="F717" s="119"/>
      <c r="I717" s="118"/>
      <c r="J717" s="119"/>
      <c r="M717" s="118"/>
      <c r="N717" s="119"/>
      <c r="Q717" s="118"/>
      <c r="R717" s="119"/>
      <c r="U717" s="118"/>
      <c r="V717" s="119"/>
    </row>
    <row r="718" spans="1:22" x14ac:dyDescent="0.3">
      <c r="A718" s="118"/>
      <c r="B718" s="119"/>
      <c r="E718" s="118"/>
      <c r="F718" s="119"/>
      <c r="I718" s="118"/>
      <c r="J718" s="119"/>
      <c r="M718" s="118"/>
      <c r="N718" s="119"/>
      <c r="Q718" s="118"/>
      <c r="R718" s="119"/>
      <c r="U718" s="118"/>
      <c r="V718" s="119"/>
    </row>
    <row r="719" spans="1:22" x14ac:dyDescent="0.3">
      <c r="A719" s="118"/>
      <c r="B719" s="119"/>
      <c r="E719" s="118"/>
      <c r="F719" s="119"/>
      <c r="I719" s="118"/>
      <c r="J719" s="119"/>
      <c r="M719" s="118"/>
      <c r="N719" s="119"/>
      <c r="Q719" s="118"/>
      <c r="R719" s="119"/>
      <c r="U719" s="118"/>
      <c r="V719" s="119"/>
    </row>
    <row r="720" spans="1:22" x14ac:dyDescent="0.3">
      <c r="A720" s="118"/>
      <c r="B720" s="119"/>
      <c r="E720" s="118"/>
      <c r="F720" s="119"/>
      <c r="I720" s="118"/>
      <c r="J720" s="119"/>
      <c r="M720" s="118"/>
      <c r="N720" s="119"/>
      <c r="Q720" s="118"/>
      <c r="R720" s="119"/>
      <c r="U720" s="118"/>
      <c r="V720" s="119"/>
    </row>
    <row r="721" spans="1:22" x14ac:dyDescent="0.3">
      <c r="A721" s="118"/>
      <c r="B721" s="119"/>
      <c r="E721" s="118"/>
      <c r="F721" s="119"/>
      <c r="I721" s="118"/>
      <c r="J721" s="119"/>
      <c r="M721" s="118"/>
      <c r="N721" s="119"/>
      <c r="Q721" s="118"/>
      <c r="R721" s="119"/>
      <c r="U721" s="118"/>
      <c r="V721" s="119"/>
    </row>
    <row r="722" spans="1:22" x14ac:dyDescent="0.3">
      <c r="A722" s="118"/>
      <c r="B722" s="119"/>
      <c r="E722" s="118"/>
      <c r="F722" s="119"/>
      <c r="I722" s="118"/>
      <c r="J722" s="119"/>
      <c r="M722" s="118"/>
      <c r="N722" s="119"/>
      <c r="Q722" s="118"/>
      <c r="R722" s="119"/>
      <c r="U722" s="118"/>
      <c r="V722" s="119"/>
    </row>
    <row r="723" spans="1:22" x14ac:dyDescent="0.3">
      <c r="A723" s="118"/>
      <c r="B723" s="119"/>
      <c r="E723" s="118"/>
      <c r="F723" s="119"/>
      <c r="I723" s="118"/>
      <c r="J723" s="119"/>
      <c r="M723" s="118"/>
      <c r="N723" s="119"/>
      <c r="Q723" s="118"/>
      <c r="R723" s="119"/>
      <c r="U723" s="118"/>
      <c r="V723" s="119"/>
    </row>
    <row r="724" spans="1:22" x14ac:dyDescent="0.3">
      <c r="A724" s="118"/>
      <c r="B724" s="119"/>
      <c r="E724" s="118"/>
      <c r="F724" s="119"/>
      <c r="I724" s="118"/>
      <c r="J724" s="119"/>
      <c r="M724" s="118"/>
      <c r="N724" s="119"/>
      <c r="Q724" s="118"/>
      <c r="R724" s="119"/>
      <c r="U724" s="118"/>
      <c r="V724" s="119"/>
    </row>
    <row r="725" spans="1:22" x14ac:dyDescent="0.3">
      <c r="A725" s="118"/>
      <c r="B725" s="119"/>
      <c r="E725" s="118"/>
      <c r="F725" s="119"/>
      <c r="I725" s="118"/>
      <c r="J725" s="119"/>
      <c r="M725" s="118"/>
      <c r="N725" s="119"/>
      <c r="Q725" s="118"/>
      <c r="R725" s="119"/>
      <c r="U725" s="118"/>
      <c r="V725" s="119"/>
    </row>
    <row r="726" spans="1:22" x14ac:dyDescent="0.3">
      <c r="A726" s="118"/>
      <c r="B726" s="119"/>
      <c r="E726" s="118"/>
      <c r="F726" s="119"/>
      <c r="I726" s="118"/>
      <c r="J726" s="119"/>
      <c r="M726" s="118"/>
      <c r="N726" s="119"/>
      <c r="Q726" s="118"/>
      <c r="R726" s="119"/>
      <c r="U726" s="118"/>
      <c r="V726" s="119"/>
    </row>
    <row r="727" spans="1:22" x14ac:dyDescent="0.3">
      <c r="A727" s="118"/>
      <c r="B727" s="119"/>
      <c r="E727" s="118"/>
      <c r="F727" s="119"/>
      <c r="I727" s="118"/>
      <c r="J727" s="119"/>
      <c r="M727" s="118"/>
      <c r="N727" s="119"/>
      <c r="Q727" s="118"/>
      <c r="R727" s="119"/>
      <c r="U727" s="118"/>
      <c r="V727" s="119"/>
    </row>
    <row r="728" spans="1:22" x14ac:dyDescent="0.3">
      <c r="A728" s="118"/>
      <c r="B728" s="119"/>
      <c r="E728" s="118"/>
      <c r="F728" s="119"/>
      <c r="I728" s="118"/>
      <c r="J728" s="119"/>
      <c r="M728" s="118"/>
      <c r="N728" s="119"/>
      <c r="Q728" s="118"/>
      <c r="R728" s="119"/>
      <c r="U728" s="118"/>
      <c r="V728" s="119"/>
    </row>
    <row r="729" spans="1:22" x14ac:dyDescent="0.3">
      <c r="A729" s="118"/>
      <c r="B729" s="119"/>
      <c r="E729" s="118"/>
      <c r="F729" s="119"/>
      <c r="I729" s="118"/>
      <c r="J729" s="119"/>
      <c r="M729" s="118"/>
      <c r="N729" s="119"/>
      <c r="Q729" s="118"/>
      <c r="R729" s="119"/>
      <c r="U729" s="118"/>
      <c r="V729" s="119"/>
    </row>
    <row r="730" spans="1:22" x14ac:dyDescent="0.3">
      <c r="A730" s="118"/>
      <c r="B730" s="119"/>
      <c r="E730" s="118"/>
      <c r="F730" s="119"/>
      <c r="I730" s="118"/>
      <c r="J730" s="119"/>
      <c r="M730" s="118"/>
      <c r="N730" s="119"/>
      <c r="Q730" s="118"/>
      <c r="R730" s="119"/>
      <c r="U730" s="118"/>
      <c r="V730" s="119"/>
    </row>
    <row r="731" spans="1:22" x14ac:dyDescent="0.3">
      <c r="A731" s="118"/>
      <c r="B731" s="119"/>
      <c r="E731" s="118"/>
      <c r="F731" s="119"/>
      <c r="I731" s="118"/>
      <c r="J731" s="119"/>
      <c r="M731" s="118"/>
      <c r="N731" s="119"/>
      <c r="Q731" s="118"/>
      <c r="R731" s="119"/>
      <c r="U731" s="118"/>
      <c r="V731" s="119"/>
    </row>
    <row r="732" spans="1:22" x14ac:dyDescent="0.3">
      <c r="A732" s="118"/>
      <c r="B732" s="119"/>
      <c r="E732" s="118"/>
      <c r="F732" s="119"/>
      <c r="I732" s="118"/>
      <c r="J732" s="119"/>
      <c r="M732" s="118"/>
      <c r="N732" s="119"/>
      <c r="Q732" s="118"/>
      <c r="R732" s="119"/>
      <c r="U732" s="118"/>
      <c r="V732" s="119"/>
    </row>
    <row r="733" spans="1:22" x14ac:dyDescent="0.3">
      <c r="A733" s="118"/>
      <c r="B733" s="119"/>
      <c r="E733" s="118"/>
      <c r="F733" s="119"/>
      <c r="I733" s="118"/>
      <c r="J733" s="119"/>
      <c r="M733" s="118"/>
      <c r="N733" s="119"/>
      <c r="Q733" s="118"/>
      <c r="R733" s="119"/>
      <c r="U733" s="118"/>
      <c r="V733" s="119"/>
    </row>
    <row r="734" spans="1:22" x14ac:dyDescent="0.3">
      <c r="A734" s="118"/>
      <c r="B734" s="119"/>
      <c r="E734" s="118"/>
      <c r="F734" s="119"/>
      <c r="I734" s="118"/>
      <c r="J734" s="119"/>
      <c r="M734" s="118"/>
      <c r="N734" s="119"/>
      <c r="Q734" s="118"/>
      <c r="R734" s="119"/>
      <c r="U734" s="118"/>
      <c r="V734" s="119"/>
    </row>
    <row r="735" spans="1:22" x14ac:dyDescent="0.3">
      <c r="A735" s="118"/>
      <c r="B735" s="119"/>
      <c r="E735" s="118"/>
      <c r="F735" s="119"/>
      <c r="I735" s="118"/>
      <c r="J735" s="119"/>
      <c r="M735" s="118"/>
      <c r="N735" s="119"/>
      <c r="Q735" s="118"/>
      <c r="R735" s="119"/>
      <c r="U735" s="118"/>
      <c r="V735" s="119"/>
    </row>
    <row r="736" spans="1:22" x14ac:dyDescent="0.3">
      <c r="A736" s="118"/>
      <c r="B736" s="119"/>
      <c r="E736" s="118"/>
      <c r="F736" s="119"/>
      <c r="I736" s="118"/>
      <c r="J736" s="119"/>
      <c r="M736" s="118"/>
      <c r="N736" s="119"/>
      <c r="Q736" s="118"/>
      <c r="R736" s="119"/>
      <c r="U736" s="118"/>
      <c r="V736" s="119"/>
    </row>
    <row r="737" spans="1:22" x14ac:dyDescent="0.3">
      <c r="A737" s="118"/>
      <c r="B737" s="119"/>
      <c r="E737" s="118"/>
      <c r="F737" s="119"/>
      <c r="I737" s="118"/>
      <c r="J737" s="119"/>
      <c r="M737" s="118"/>
      <c r="N737" s="119"/>
      <c r="Q737" s="118"/>
      <c r="R737" s="119"/>
      <c r="U737" s="118"/>
      <c r="V737" s="119"/>
    </row>
    <row r="738" spans="1:22" x14ac:dyDescent="0.3">
      <c r="A738" s="118"/>
      <c r="B738" s="119"/>
      <c r="E738" s="118"/>
      <c r="F738" s="119"/>
      <c r="I738" s="118"/>
      <c r="J738" s="119"/>
      <c r="M738" s="118"/>
      <c r="N738" s="119"/>
      <c r="Q738" s="118"/>
      <c r="R738" s="119"/>
      <c r="U738" s="118"/>
      <c r="V738" s="119"/>
    </row>
    <row r="739" spans="1:22" x14ac:dyDescent="0.3">
      <c r="A739" s="118"/>
      <c r="B739" s="119"/>
      <c r="E739" s="118"/>
      <c r="F739" s="119"/>
      <c r="I739" s="118"/>
      <c r="J739" s="119"/>
      <c r="M739" s="118"/>
      <c r="N739" s="119"/>
      <c r="Q739" s="118"/>
      <c r="R739" s="119"/>
      <c r="U739" s="118"/>
      <c r="V739" s="119"/>
    </row>
    <row r="740" spans="1:22" x14ac:dyDescent="0.3">
      <c r="A740" s="118"/>
      <c r="B740" s="119"/>
      <c r="E740" s="118"/>
      <c r="F740" s="119"/>
      <c r="I740" s="118"/>
      <c r="J740" s="119"/>
      <c r="M740" s="118"/>
      <c r="N740" s="119"/>
      <c r="Q740" s="118"/>
      <c r="R740" s="119"/>
      <c r="U740" s="118"/>
      <c r="V740" s="119"/>
    </row>
    <row r="741" spans="1:22" x14ac:dyDescent="0.3">
      <c r="A741" s="118"/>
      <c r="B741" s="119"/>
      <c r="E741" s="118"/>
      <c r="F741" s="119"/>
      <c r="I741" s="118"/>
      <c r="J741" s="119"/>
      <c r="M741" s="118"/>
      <c r="N741" s="119"/>
      <c r="Q741" s="118"/>
      <c r="R741" s="119"/>
      <c r="U741" s="118"/>
      <c r="V741" s="119"/>
    </row>
    <row r="742" spans="1:22" x14ac:dyDescent="0.3">
      <c r="A742" s="118"/>
      <c r="B742" s="119"/>
      <c r="E742" s="118"/>
      <c r="F742" s="119"/>
      <c r="I742" s="118"/>
      <c r="J742" s="119"/>
      <c r="M742" s="118"/>
      <c r="N742" s="119"/>
      <c r="Q742" s="118"/>
      <c r="R742" s="119"/>
      <c r="U742" s="118"/>
      <c r="V742" s="119"/>
    </row>
    <row r="743" spans="1:22" x14ac:dyDescent="0.3">
      <c r="A743" s="118"/>
      <c r="B743" s="119"/>
      <c r="E743" s="118"/>
      <c r="F743" s="119"/>
      <c r="I743" s="118"/>
      <c r="J743" s="119"/>
      <c r="M743" s="118"/>
      <c r="N743" s="119"/>
      <c r="Q743" s="118"/>
      <c r="R743" s="119"/>
      <c r="U743" s="118"/>
      <c r="V743" s="119"/>
    </row>
    <row r="744" spans="1:22" x14ac:dyDescent="0.3">
      <c r="A744" s="118"/>
      <c r="B744" s="119"/>
      <c r="E744" s="118"/>
      <c r="F744" s="119"/>
      <c r="I744" s="118"/>
      <c r="J744" s="119"/>
      <c r="M744" s="118"/>
      <c r="N744" s="119"/>
      <c r="Q744" s="118"/>
      <c r="R744" s="119"/>
      <c r="U744" s="118"/>
      <c r="V744" s="119"/>
    </row>
    <row r="745" spans="1:22" x14ac:dyDescent="0.3">
      <c r="A745" s="118"/>
      <c r="B745" s="119"/>
      <c r="E745" s="118"/>
      <c r="F745" s="119"/>
      <c r="I745" s="118"/>
      <c r="J745" s="119"/>
      <c r="M745" s="118"/>
      <c r="N745" s="119"/>
      <c r="Q745" s="118"/>
      <c r="R745" s="119"/>
      <c r="U745" s="118"/>
      <c r="V745" s="119"/>
    </row>
    <row r="746" spans="1:22" x14ac:dyDescent="0.3">
      <c r="A746" s="118"/>
      <c r="B746" s="119"/>
      <c r="E746" s="118"/>
      <c r="F746" s="119"/>
      <c r="I746" s="118"/>
      <c r="J746" s="119"/>
      <c r="M746" s="118"/>
      <c r="N746" s="119"/>
      <c r="Q746" s="118"/>
      <c r="R746" s="119"/>
      <c r="U746" s="118"/>
      <c r="V746" s="119"/>
    </row>
    <row r="747" spans="1:22" x14ac:dyDescent="0.3">
      <c r="A747" s="118"/>
      <c r="B747" s="119"/>
      <c r="E747" s="118"/>
      <c r="F747" s="119"/>
      <c r="I747" s="118"/>
      <c r="J747" s="119"/>
      <c r="M747" s="118"/>
      <c r="N747" s="119"/>
      <c r="Q747" s="118"/>
      <c r="R747" s="119"/>
      <c r="U747" s="118"/>
      <c r="V747" s="119"/>
    </row>
    <row r="748" spans="1:22" x14ac:dyDescent="0.3">
      <c r="A748" s="118"/>
      <c r="B748" s="119"/>
      <c r="E748" s="118"/>
      <c r="F748" s="119"/>
      <c r="I748" s="118"/>
      <c r="J748" s="119"/>
      <c r="M748" s="118"/>
      <c r="N748" s="119"/>
      <c r="Q748" s="118"/>
      <c r="R748" s="119"/>
      <c r="U748" s="118"/>
      <c r="V748" s="119"/>
    </row>
    <row r="749" spans="1:22" x14ac:dyDescent="0.3">
      <c r="A749" s="118"/>
      <c r="B749" s="119"/>
      <c r="E749" s="118"/>
      <c r="F749" s="119"/>
      <c r="I749" s="118"/>
      <c r="J749" s="119"/>
      <c r="M749" s="118"/>
      <c r="N749" s="119"/>
      <c r="Q749" s="118"/>
      <c r="R749" s="119"/>
      <c r="U749" s="118"/>
      <c r="V749" s="119"/>
    </row>
    <row r="750" spans="1:22" x14ac:dyDescent="0.3">
      <c r="A750" s="118"/>
      <c r="B750" s="119"/>
      <c r="E750" s="118"/>
      <c r="F750" s="119"/>
      <c r="I750" s="118"/>
      <c r="J750" s="119"/>
      <c r="M750" s="118"/>
      <c r="N750" s="119"/>
      <c r="Q750" s="118"/>
      <c r="R750" s="119"/>
      <c r="U750" s="118"/>
      <c r="V750" s="119"/>
    </row>
    <row r="751" spans="1:22" x14ac:dyDescent="0.3">
      <c r="A751" s="118"/>
      <c r="B751" s="119"/>
      <c r="E751" s="118"/>
      <c r="F751" s="119"/>
      <c r="I751" s="118"/>
      <c r="J751" s="119"/>
      <c r="M751" s="118"/>
      <c r="N751" s="119"/>
      <c r="Q751" s="118"/>
      <c r="R751" s="119"/>
      <c r="U751" s="118"/>
      <c r="V751" s="119"/>
    </row>
    <row r="752" spans="1:22" x14ac:dyDescent="0.3">
      <c r="A752" s="118"/>
      <c r="B752" s="119"/>
      <c r="E752" s="118"/>
      <c r="F752" s="119"/>
      <c r="I752" s="118"/>
      <c r="J752" s="119"/>
      <c r="M752" s="118"/>
      <c r="N752" s="119"/>
      <c r="Q752" s="118"/>
      <c r="R752" s="119"/>
      <c r="U752" s="118"/>
      <c r="V752" s="119"/>
    </row>
    <row r="753" spans="1:22" x14ac:dyDescent="0.3">
      <c r="A753" s="118"/>
      <c r="B753" s="119"/>
      <c r="E753" s="118"/>
      <c r="F753" s="119"/>
      <c r="I753" s="118"/>
      <c r="J753" s="119"/>
      <c r="M753" s="118"/>
      <c r="N753" s="119"/>
      <c r="Q753" s="118"/>
      <c r="R753" s="119"/>
      <c r="U753" s="118"/>
      <c r="V753" s="119"/>
    </row>
    <row r="754" spans="1:22" x14ac:dyDescent="0.3">
      <c r="A754" s="118"/>
      <c r="B754" s="119"/>
      <c r="E754" s="118"/>
      <c r="F754" s="119"/>
      <c r="I754" s="118"/>
      <c r="J754" s="119"/>
      <c r="M754" s="118"/>
      <c r="N754" s="119"/>
      <c r="Q754" s="118"/>
      <c r="R754" s="119"/>
      <c r="U754" s="118"/>
      <c r="V754" s="119"/>
    </row>
    <row r="755" spans="1:22" x14ac:dyDescent="0.3">
      <c r="A755" s="118"/>
      <c r="B755" s="119"/>
      <c r="E755" s="118"/>
      <c r="F755" s="119"/>
      <c r="I755" s="118"/>
      <c r="J755" s="119"/>
      <c r="M755" s="118"/>
      <c r="N755" s="119"/>
      <c r="Q755" s="118"/>
      <c r="R755" s="119"/>
      <c r="U755" s="118"/>
      <c r="V755" s="119"/>
    </row>
    <row r="756" spans="1:22" x14ac:dyDescent="0.3">
      <c r="A756" s="118"/>
      <c r="B756" s="119"/>
      <c r="E756" s="118"/>
      <c r="F756" s="119"/>
      <c r="I756" s="118"/>
      <c r="J756" s="119"/>
      <c r="M756" s="118"/>
      <c r="N756" s="119"/>
      <c r="Q756" s="118"/>
      <c r="R756" s="119"/>
      <c r="U756" s="118"/>
      <c r="V756" s="119"/>
    </row>
    <row r="757" spans="1:22" x14ac:dyDescent="0.3">
      <c r="A757" s="118"/>
      <c r="B757" s="119"/>
      <c r="E757" s="118"/>
      <c r="F757" s="119"/>
      <c r="I757" s="118"/>
      <c r="J757" s="119"/>
      <c r="M757" s="118"/>
      <c r="N757" s="119"/>
      <c r="Q757" s="118"/>
      <c r="R757" s="119"/>
      <c r="U757" s="118"/>
      <c r="V757" s="119"/>
    </row>
    <row r="758" spans="1:22" x14ac:dyDescent="0.3">
      <c r="A758" s="118"/>
      <c r="B758" s="119"/>
      <c r="E758" s="118"/>
      <c r="F758" s="119"/>
      <c r="I758" s="118"/>
      <c r="J758" s="119"/>
      <c r="M758" s="118"/>
      <c r="N758" s="119"/>
      <c r="Q758" s="118"/>
      <c r="R758" s="119"/>
      <c r="U758" s="118"/>
      <c r="V758" s="119"/>
    </row>
    <row r="759" spans="1:22" x14ac:dyDescent="0.3">
      <c r="A759" s="118"/>
      <c r="B759" s="119"/>
      <c r="E759" s="118"/>
      <c r="F759" s="119"/>
      <c r="I759" s="118"/>
      <c r="J759" s="119"/>
      <c r="M759" s="118"/>
      <c r="N759" s="119"/>
      <c r="Q759" s="118"/>
      <c r="R759" s="119"/>
      <c r="U759" s="118"/>
      <c r="V759" s="119"/>
    </row>
    <row r="760" spans="1:22" x14ac:dyDescent="0.3">
      <c r="A760" s="118"/>
      <c r="B760" s="119"/>
      <c r="E760" s="118"/>
      <c r="F760" s="119"/>
      <c r="I760" s="118"/>
      <c r="J760" s="119"/>
      <c r="M760" s="118"/>
      <c r="N760" s="119"/>
      <c r="Q760" s="118"/>
      <c r="R760" s="119"/>
      <c r="U760" s="118"/>
      <c r="V760" s="119"/>
    </row>
    <row r="761" spans="1:22" x14ac:dyDescent="0.3">
      <c r="A761" s="118"/>
      <c r="B761" s="119"/>
      <c r="E761" s="118"/>
      <c r="F761" s="119"/>
      <c r="I761" s="118"/>
      <c r="J761" s="119"/>
      <c r="M761" s="118"/>
      <c r="N761" s="119"/>
      <c r="Q761" s="118"/>
      <c r="R761" s="119"/>
      <c r="U761" s="118"/>
      <c r="V761" s="119"/>
    </row>
    <row r="762" spans="1:22" x14ac:dyDescent="0.3">
      <c r="A762" s="118"/>
      <c r="B762" s="119"/>
      <c r="E762" s="118"/>
      <c r="F762" s="119"/>
      <c r="I762" s="118"/>
      <c r="J762" s="119"/>
      <c r="M762" s="118"/>
      <c r="N762" s="119"/>
      <c r="Q762" s="118"/>
      <c r="R762" s="119"/>
      <c r="U762" s="118"/>
      <c r="V762" s="119"/>
    </row>
    <row r="763" spans="1:22" x14ac:dyDescent="0.3">
      <c r="A763" s="118"/>
      <c r="B763" s="119"/>
      <c r="E763" s="118"/>
      <c r="F763" s="119"/>
      <c r="I763" s="118"/>
      <c r="J763" s="119"/>
      <c r="M763" s="118"/>
      <c r="N763" s="119"/>
      <c r="Q763" s="118"/>
      <c r="R763" s="119"/>
      <c r="U763" s="118"/>
      <c r="V763" s="119"/>
    </row>
    <row r="764" spans="1:22" x14ac:dyDescent="0.3">
      <c r="A764" s="118"/>
      <c r="B764" s="119"/>
      <c r="E764" s="118"/>
      <c r="F764" s="119"/>
      <c r="I764" s="118"/>
      <c r="J764" s="119"/>
      <c r="M764" s="118"/>
      <c r="N764" s="119"/>
      <c r="Q764" s="118"/>
      <c r="R764" s="119"/>
      <c r="U764" s="118"/>
      <c r="V764" s="119"/>
    </row>
    <row r="765" spans="1:22" x14ac:dyDescent="0.3">
      <c r="A765" s="118"/>
      <c r="B765" s="119"/>
      <c r="E765" s="118"/>
      <c r="F765" s="119"/>
      <c r="I765" s="118"/>
      <c r="J765" s="119"/>
      <c r="M765" s="118"/>
      <c r="N765" s="119"/>
      <c r="Q765" s="118"/>
      <c r="R765" s="119"/>
      <c r="U765" s="118"/>
      <c r="V765" s="119"/>
    </row>
    <row r="766" spans="1:22" x14ac:dyDescent="0.3">
      <c r="A766" s="118"/>
      <c r="B766" s="119"/>
      <c r="E766" s="118"/>
      <c r="F766" s="119"/>
      <c r="I766" s="118"/>
      <c r="J766" s="119"/>
      <c r="M766" s="118"/>
      <c r="N766" s="119"/>
      <c r="Q766" s="118"/>
      <c r="R766" s="119"/>
      <c r="U766" s="118"/>
      <c r="V766" s="119"/>
    </row>
    <row r="767" spans="1:22" x14ac:dyDescent="0.3">
      <c r="A767" s="118"/>
      <c r="B767" s="119"/>
      <c r="E767" s="118"/>
      <c r="F767" s="119"/>
      <c r="I767" s="118"/>
      <c r="J767" s="119"/>
      <c r="M767" s="118"/>
      <c r="N767" s="119"/>
      <c r="Q767" s="118"/>
      <c r="R767" s="119"/>
      <c r="U767" s="118"/>
      <c r="V767" s="119"/>
    </row>
    <row r="768" spans="1:22" x14ac:dyDescent="0.3">
      <c r="A768" s="118"/>
      <c r="B768" s="119"/>
      <c r="E768" s="118"/>
      <c r="F768" s="119"/>
      <c r="I768" s="118"/>
      <c r="J768" s="119"/>
      <c r="M768" s="118"/>
      <c r="N768" s="119"/>
      <c r="Q768" s="118"/>
      <c r="R768" s="119"/>
      <c r="U768" s="118"/>
      <c r="V768" s="119"/>
    </row>
    <row r="769" spans="1:22" x14ac:dyDescent="0.3">
      <c r="A769" s="118"/>
      <c r="B769" s="119"/>
      <c r="E769" s="118"/>
      <c r="F769" s="119"/>
      <c r="I769" s="118"/>
      <c r="J769" s="119"/>
      <c r="M769" s="118"/>
      <c r="N769" s="119"/>
      <c r="Q769" s="118"/>
      <c r="R769" s="119"/>
      <c r="U769" s="118"/>
      <c r="V769" s="119"/>
    </row>
    <row r="770" spans="1:22" x14ac:dyDescent="0.3">
      <c r="A770" s="118"/>
      <c r="B770" s="119"/>
      <c r="E770" s="118"/>
      <c r="F770" s="119"/>
      <c r="I770" s="118"/>
      <c r="J770" s="119"/>
      <c r="M770" s="118"/>
      <c r="N770" s="119"/>
      <c r="Q770" s="118"/>
      <c r="R770" s="119"/>
      <c r="U770" s="118"/>
      <c r="V770" s="119"/>
    </row>
    <row r="771" spans="1:22" x14ac:dyDescent="0.3">
      <c r="A771" s="118"/>
      <c r="B771" s="119"/>
      <c r="E771" s="118"/>
      <c r="F771" s="119"/>
      <c r="I771" s="118"/>
      <c r="J771" s="119"/>
      <c r="M771" s="118"/>
      <c r="N771" s="119"/>
      <c r="Q771" s="118"/>
      <c r="R771" s="119"/>
      <c r="U771" s="118"/>
      <c r="V771" s="119"/>
    </row>
    <row r="772" spans="1:22" x14ac:dyDescent="0.3">
      <c r="A772" s="118"/>
      <c r="B772" s="119"/>
      <c r="E772" s="118"/>
      <c r="F772" s="119"/>
      <c r="I772" s="118"/>
      <c r="J772" s="119"/>
      <c r="M772" s="118"/>
      <c r="N772" s="119"/>
      <c r="Q772" s="118"/>
      <c r="R772" s="119"/>
      <c r="U772" s="118"/>
      <c r="V772" s="119"/>
    </row>
    <row r="773" spans="1:22" x14ac:dyDescent="0.3">
      <c r="A773" s="118"/>
      <c r="B773" s="119"/>
      <c r="E773" s="118"/>
      <c r="F773" s="119"/>
      <c r="I773" s="118"/>
      <c r="J773" s="119"/>
      <c r="M773" s="118"/>
      <c r="N773" s="119"/>
      <c r="Q773" s="118"/>
      <c r="R773" s="119"/>
      <c r="U773" s="118"/>
      <c r="V773" s="119"/>
    </row>
    <row r="774" spans="1:22" x14ac:dyDescent="0.3">
      <c r="A774" s="118"/>
      <c r="B774" s="119"/>
      <c r="E774" s="118"/>
      <c r="F774" s="119"/>
      <c r="I774" s="118"/>
      <c r="J774" s="119"/>
      <c r="M774" s="118"/>
      <c r="N774" s="119"/>
      <c r="Q774" s="118"/>
      <c r="R774" s="119"/>
      <c r="U774" s="118"/>
      <c r="V774" s="119"/>
    </row>
    <row r="775" spans="1:22" x14ac:dyDescent="0.3">
      <c r="A775" s="118"/>
      <c r="B775" s="119"/>
      <c r="E775" s="118"/>
      <c r="F775" s="119"/>
      <c r="I775" s="118"/>
      <c r="J775" s="119"/>
      <c r="M775" s="118"/>
      <c r="N775" s="119"/>
      <c r="Q775" s="118"/>
      <c r="R775" s="119"/>
      <c r="U775" s="118"/>
      <c r="V775" s="119"/>
    </row>
    <row r="776" spans="1:22" x14ac:dyDescent="0.3">
      <c r="A776" s="118"/>
      <c r="B776" s="119"/>
      <c r="E776" s="118"/>
      <c r="F776" s="119"/>
      <c r="I776" s="118"/>
      <c r="J776" s="119"/>
      <c r="M776" s="118"/>
      <c r="N776" s="119"/>
      <c r="Q776" s="118"/>
      <c r="R776" s="119"/>
      <c r="U776" s="118"/>
      <c r="V776" s="119"/>
    </row>
    <row r="777" spans="1:22" x14ac:dyDescent="0.3">
      <c r="A777" s="118"/>
      <c r="B777" s="119"/>
      <c r="E777" s="118"/>
      <c r="F777" s="119"/>
      <c r="I777" s="118"/>
      <c r="J777" s="119"/>
      <c r="M777" s="118"/>
      <c r="N777" s="119"/>
      <c r="Q777" s="118"/>
      <c r="R777" s="119"/>
      <c r="U777" s="118"/>
      <c r="V777" s="119"/>
    </row>
    <row r="778" spans="1:22" x14ac:dyDescent="0.3">
      <c r="A778" s="118"/>
      <c r="B778" s="119"/>
      <c r="E778" s="118"/>
      <c r="F778" s="119"/>
      <c r="I778" s="118"/>
      <c r="J778" s="119"/>
      <c r="M778" s="118"/>
      <c r="N778" s="119"/>
      <c r="Q778" s="118"/>
      <c r="R778" s="119"/>
      <c r="U778" s="118"/>
      <c r="V778" s="119"/>
    </row>
    <row r="779" spans="1:22" x14ac:dyDescent="0.3">
      <c r="A779" s="118"/>
      <c r="B779" s="119"/>
      <c r="E779" s="118"/>
      <c r="F779" s="119"/>
      <c r="I779" s="118"/>
      <c r="J779" s="119"/>
      <c r="M779" s="118"/>
      <c r="N779" s="119"/>
      <c r="Q779" s="118"/>
      <c r="R779" s="119"/>
      <c r="U779" s="118"/>
      <c r="V779" s="119"/>
    </row>
    <row r="780" spans="1:22" x14ac:dyDescent="0.3">
      <c r="A780" s="118"/>
      <c r="B780" s="119"/>
      <c r="E780" s="118"/>
      <c r="F780" s="119"/>
      <c r="I780" s="118"/>
      <c r="J780" s="119"/>
      <c r="M780" s="118"/>
      <c r="N780" s="119"/>
      <c r="Q780" s="118"/>
      <c r="R780" s="119"/>
      <c r="U780" s="118"/>
      <c r="V780" s="119"/>
    </row>
    <row r="781" spans="1:22" x14ac:dyDescent="0.3">
      <c r="A781" s="118"/>
      <c r="B781" s="119"/>
      <c r="E781" s="118"/>
      <c r="F781" s="119"/>
      <c r="I781" s="118"/>
      <c r="J781" s="119"/>
      <c r="M781" s="118"/>
      <c r="N781" s="119"/>
      <c r="Q781" s="118"/>
      <c r="R781" s="119"/>
      <c r="U781" s="118"/>
      <c r="V781" s="119"/>
    </row>
    <row r="782" spans="1:22" x14ac:dyDescent="0.3">
      <c r="A782" s="118"/>
      <c r="B782" s="119"/>
      <c r="E782" s="118"/>
      <c r="F782" s="119"/>
      <c r="I782" s="118"/>
      <c r="J782" s="119"/>
      <c r="M782" s="118"/>
      <c r="N782" s="119"/>
      <c r="Q782" s="118"/>
      <c r="R782" s="119"/>
      <c r="U782" s="118"/>
      <c r="V782" s="119"/>
    </row>
    <row r="783" spans="1:22" x14ac:dyDescent="0.3">
      <c r="A783" s="118"/>
      <c r="B783" s="119"/>
      <c r="E783" s="118"/>
      <c r="F783" s="119"/>
      <c r="I783" s="118"/>
      <c r="J783" s="119"/>
      <c r="M783" s="118"/>
      <c r="N783" s="119"/>
      <c r="Q783" s="118"/>
      <c r="R783" s="119"/>
      <c r="U783" s="118"/>
      <c r="V783" s="119"/>
    </row>
    <row r="784" spans="1:22" x14ac:dyDescent="0.3">
      <c r="A784" s="118"/>
      <c r="B784" s="119"/>
      <c r="E784" s="118"/>
      <c r="F784" s="119"/>
      <c r="I784" s="118"/>
      <c r="J784" s="119"/>
      <c r="M784" s="118"/>
      <c r="N784" s="119"/>
      <c r="Q784" s="118"/>
      <c r="R784" s="119"/>
      <c r="U784" s="118"/>
      <c r="V784" s="119"/>
    </row>
    <row r="785" spans="1:22" x14ac:dyDescent="0.3">
      <c r="A785" s="118"/>
      <c r="B785" s="119"/>
      <c r="E785" s="118"/>
      <c r="F785" s="119"/>
      <c r="I785" s="118"/>
      <c r="J785" s="119"/>
      <c r="M785" s="118"/>
      <c r="N785" s="119"/>
      <c r="Q785" s="118"/>
      <c r="R785" s="119"/>
      <c r="U785" s="118"/>
      <c r="V785" s="119"/>
    </row>
    <row r="786" spans="1:22" x14ac:dyDescent="0.3">
      <c r="A786" s="118"/>
      <c r="B786" s="119"/>
      <c r="E786" s="118"/>
      <c r="F786" s="119"/>
      <c r="I786" s="118"/>
      <c r="J786" s="119"/>
      <c r="M786" s="118"/>
      <c r="N786" s="119"/>
      <c r="Q786" s="118"/>
      <c r="R786" s="119"/>
      <c r="U786" s="118"/>
      <c r="V786" s="119"/>
    </row>
    <row r="787" spans="1:22" x14ac:dyDescent="0.3">
      <c r="A787" s="118"/>
      <c r="B787" s="119"/>
      <c r="E787" s="118"/>
      <c r="F787" s="119"/>
      <c r="I787" s="118"/>
      <c r="J787" s="119"/>
      <c r="M787" s="118"/>
      <c r="N787" s="119"/>
      <c r="Q787" s="118"/>
      <c r="R787" s="119"/>
      <c r="U787" s="118"/>
      <c r="V787" s="119"/>
    </row>
    <row r="788" spans="1:22" x14ac:dyDescent="0.3">
      <c r="A788" s="118"/>
      <c r="B788" s="119"/>
      <c r="E788" s="118"/>
      <c r="F788" s="119"/>
      <c r="I788" s="118"/>
      <c r="J788" s="119"/>
      <c r="M788" s="118"/>
      <c r="N788" s="119"/>
      <c r="Q788" s="118"/>
      <c r="R788" s="119"/>
      <c r="U788" s="118"/>
      <c r="V788" s="119"/>
    </row>
    <row r="789" spans="1:22" x14ac:dyDescent="0.3">
      <c r="A789" s="118"/>
      <c r="B789" s="119"/>
      <c r="E789" s="118"/>
      <c r="F789" s="119"/>
      <c r="I789" s="118"/>
      <c r="J789" s="119"/>
      <c r="M789" s="118"/>
      <c r="N789" s="119"/>
      <c r="Q789" s="118"/>
      <c r="R789" s="119"/>
      <c r="U789" s="118"/>
      <c r="V789" s="119"/>
    </row>
    <row r="790" spans="1:22" x14ac:dyDescent="0.3">
      <c r="A790" s="118"/>
      <c r="B790" s="119"/>
      <c r="E790" s="118"/>
      <c r="F790" s="119"/>
      <c r="I790" s="118"/>
      <c r="J790" s="119"/>
      <c r="M790" s="118"/>
      <c r="N790" s="119"/>
      <c r="Q790" s="118"/>
      <c r="R790" s="119"/>
      <c r="U790" s="118"/>
      <c r="V790" s="119"/>
    </row>
    <row r="791" spans="1:22" x14ac:dyDescent="0.3">
      <c r="A791" s="118"/>
      <c r="B791" s="119"/>
      <c r="E791" s="118"/>
      <c r="F791" s="119"/>
      <c r="I791" s="118"/>
      <c r="J791" s="119"/>
      <c r="M791" s="118"/>
      <c r="N791" s="119"/>
      <c r="Q791" s="118"/>
      <c r="R791" s="119"/>
      <c r="U791" s="118"/>
      <c r="V791" s="119"/>
    </row>
    <row r="792" spans="1:22" x14ac:dyDescent="0.3">
      <c r="A792" s="118"/>
      <c r="B792" s="119"/>
      <c r="E792" s="118"/>
      <c r="F792" s="119"/>
      <c r="I792" s="118"/>
      <c r="J792" s="119"/>
      <c r="M792" s="118"/>
      <c r="N792" s="119"/>
      <c r="Q792" s="118"/>
      <c r="R792" s="119"/>
      <c r="U792" s="118"/>
      <c r="V792" s="119"/>
    </row>
    <row r="793" spans="1:22" x14ac:dyDescent="0.3">
      <c r="A793" s="118"/>
      <c r="B793" s="119"/>
      <c r="E793" s="118"/>
      <c r="F793" s="119"/>
      <c r="I793" s="118"/>
      <c r="J793" s="119"/>
      <c r="M793" s="118"/>
      <c r="N793" s="119"/>
      <c r="Q793" s="118"/>
      <c r="R793" s="119"/>
      <c r="U793" s="118"/>
      <c r="V793" s="119"/>
    </row>
    <row r="794" spans="1:22" x14ac:dyDescent="0.3">
      <c r="A794" s="118"/>
      <c r="B794" s="119"/>
      <c r="E794" s="118"/>
      <c r="F794" s="119"/>
      <c r="I794" s="118"/>
      <c r="J794" s="119"/>
      <c r="M794" s="118"/>
      <c r="N794" s="119"/>
      <c r="Q794" s="118"/>
      <c r="R794" s="119"/>
      <c r="U794" s="118"/>
      <c r="V794" s="119"/>
    </row>
    <row r="795" spans="1:22" x14ac:dyDescent="0.3">
      <c r="A795" s="118"/>
      <c r="B795" s="119"/>
      <c r="E795" s="118"/>
      <c r="F795" s="119"/>
      <c r="I795" s="118"/>
      <c r="J795" s="119"/>
      <c r="M795" s="118"/>
      <c r="N795" s="119"/>
      <c r="Q795" s="118"/>
      <c r="R795" s="119"/>
      <c r="U795" s="118"/>
      <c r="V795" s="119"/>
    </row>
    <row r="796" spans="1:22" x14ac:dyDescent="0.3">
      <c r="A796" s="118"/>
      <c r="B796" s="119"/>
      <c r="E796" s="118"/>
      <c r="F796" s="119"/>
      <c r="I796" s="118"/>
      <c r="J796" s="119"/>
      <c r="M796" s="118"/>
      <c r="N796" s="119"/>
      <c r="Q796" s="118"/>
      <c r="R796" s="119"/>
      <c r="U796" s="118"/>
      <c r="V796" s="119"/>
    </row>
    <row r="797" spans="1:22" x14ac:dyDescent="0.3">
      <c r="A797" s="118"/>
      <c r="B797" s="119"/>
      <c r="E797" s="118"/>
      <c r="F797" s="119"/>
      <c r="I797" s="118"/>
      <c r="J797" s="119"/>
      <c r="M797" s="118"/>
      <c r="N797" s="119"/>
      <c r="Q797" s="118"/>
      <c r="R797" s="119"/>
      <c r="U797" s="118"/>
      <c r="V797" s="119"/>
    </row>
    <row r="798" spans="1:22" x14ac:dyDescent="0.3">
      <c r="A798" s="118"/>
      <c r="B798" s="119"/>
      <c r="E798" s="118"/>
      <c r="F798" s="119"/>
      <c r="I798" s="118"/>
      <c r="J798" s="119"/>
      <c r="M798" s="118"/>
      <c r="N798" s="119"/>
      <c r="Q798" s="118"/>
      <c r="R798" s="119"/>
      <c r="U798" s="118"/>
      <c r="V798" s="119"/>
    </row>
    <row r="799" spans="1:22" x14ac:dyDescent="0.3">
      <c r="A799" s="118"/>
      <c r="B799" s="119"/>
      <c r="E799" s="118"/>
      <c r="F799" s="119"/>
      <c r="I799" s="118"/>
      <c r="J799" s="119"/>
      <c r="M799" s="118"/>
      <c r="N799" s="119"/>
      <c r="Q799" s="118"/>
      <c r="R799" s="119"/>
      <c r="U799" s="118"/>
      <c r="V799" s="119"/>
    </row>
    <row r="800" spans="1:22" x14ac:dyDescent="0.3">
      <c r="A800" s="118"/>
      <c r="B800" s="119"/>
      <c r="E800" s="118"/>
      <c r="F800" s="119"/>
      <c r="I800" s="118"/>
      <c r="J800" s="119"/>
      <c r="M800" s="118"/>
      <c r="N800" s="119"/>
      <c r="Q800" s="118"/>
      <c r="R800" s="119"/>
      <c r="U800" s="118"/>
      <c r="V800" s="119"/>
    </row>
    <row r="801" spans="1:22" x14ac:dyDescent="0.3">
      <c r="A801" s="118"/>
      <c r="B801" s="119"/>
      <c r="E801" s="118"/>
      <c r="F801" s="119"/>
      <c r="I801" s="118"/>
      <c r="J801" s="119"/>
      <c r="M801" s="118"/>
      <c r="N801" s="119"/>
      <c r="Q801" s="118"/>
      <c r="R801" s="119"/>
      <c r="U801" s="118"/>
      <c r="V801" s="119"/>
    </row>
    <row r="802" spans="1:22" x14ac:dyDescent="0.3">
      <c r="A802" s="118"/>
      <c r="B802" s="119"/>
      <c r="E802" s="118"/>
      <c r="F802" s="119"/>
      <c r="I802" s="118"/>
      <c r="J802" s="119"/>
      <c r="M802" s="118"/>
      <c r="N802" s="119"/>
      <c r="Q802" s="118"/>
      <c r="R802" s="119"/>
      <c r="U802" s="118"/>
      <c r="V802" s="119"/>
    </row>
    <row r="803" spans="1:22" x14ac:dyDescent="0.3">
      <c r="A803" s="118"/>
      <c r="B803" s="119"/>
      <c r="E803" s="118"/>
      <c r="F803" s="119"/>
      <c r="I803" s="118"/>
      <c r="J803" s="119"/>
      <c r="M803" s="118"/>
      <c r="N803" s="119"/>
      <c r="Q803" s="118"/>
      <c r="R803" s="119"/>
      <c r="U803" s="118"/>
      <c r="V803" s="119"/>
    </row>
    <row r="804" spans="1:22" x14ac:dyDescent="0.3">
      <c r="A804" s="118"/>
      <c r="B804" s="119"/>
      <c r="E804" s="118"/>
      <c r="F804" s="119"/>
      <c r="I804" s="118"/>
      <c r="J804" s="119"/>
      <c r="M804" s="118"/>
      <c r="N804" s="119"/>
      <c r="Q804" s="118"/>
      <c r="R804" s="119"/>
      <c r="U804" s="118"/>
      <c r="V804" s="119"/>
    </row>
    <row r="805" spans="1:22" x14ac:dyDescent="0.3">
      <c r="A805" s="118"/>
      <c r="B805" s="119"/>
      <c r="E805" s="118"/>
      <c r="F805" s="119"/>
      <c r="I805" s="118"/>
      <c r="J805" s="119"/>
      <c r="M805" s="118"/>
      <c r="N805" s="119"/>
      <c r="Q805" s="118"/>
      <c r="R805" s="119"/>
      <c r="U805" s="118"/>
      <c r="V805" s="119"/>
    </row>
    <row r="806" spans="1:22" x14ac:dyDescent="0.3">
      <c r="A806" s="118"/>
      <c r="B806" s="119"/>
      <c r="E806" s="118"/>
      <c r="F806" s="119"/>
      <c r="I806" s="118"/>
      <c r="J806" s="119"/>
      <c r="M806" s="118"/>
      <c r="N806" s="119"/>
      <c r="Q806" s="118"/>
      <c r="R806" s="119"/>
      <c r="U806" s="118"/>
      <c r="V806" s="119"/>
    </row>
    <row r="807" spans="1:22" x14ac:dyDescent="0.3">
      <c r="A807" s="118"/>
      <c r="B807" s="119"/>
      <c r="E807" s="118"/>
      <c r="F807" s="119"/>
      <c r="I807" s="118"/>
      <c r="J807" s="119"/>
      <c r="M807" s="118"/>
      <c r="N807" s="119"/>
      <c r="Q807" s="118"/>
      <c r="R807" s="119"/>
      <c r="U807" s="118"/>
      <c r="V807" s="119"/>
    </row>
    <row r="808" spans="1:22" x14ac:dyDescent="0.3">
      <c r="A808" s="118"/>
      <c r="B808" s="119"/>
      <c r="E808" s="118"/>
      <c r="F808" s="119"/>
      <c r="I808" s="118"/>
      <c r="J808" s="119"/>
      <c r="M808" s="118"/>
      <c r="N808" s="119"/>
      <c r="Q808" s="118"/>
      <c r="R808" s="119"/>
      <c r="U808" s="118"/>
      <c r="V808" s="119"/>
    </row>
    <row r="809" spans="1:22" x14ac:dyDescent="0.3">
      <c r="A809" s="118"/>
      <c r="B809" s="119"/>
      <c r="E809" s="118"/>
      <c r="F809" s="119"/>
      <c r="I809" s="118"/>
      <c r="J809" s="119"/>
      <c r="M809" s="118"/>
      <c r="N809" s="119"/>
      <c r="Q809" s="118"/>
      <c r="R809" s="119"/>
      <c r="U809" s="118"/>
      <c r="V809" s="119"/>
    </row>
    <row r="810" spans="1:22" x14ac:dyDescent="0.3">
      <c r="A810" s="118"/>
      <c r="B810" s="119"/>
      <c r="E810" s="118"/>
      <c r="F810" s="119"/>
      <c r="I810" s="118"/>
      <c r="J810" s="119"/>
      <c r="M810" s="118"/>
      <c r="N810" s="119"/>
      <c r="Q810" s="118"/>
      <c r="R810" s="119"/>
      <c r="U810" s="118"/>
      <c r="V810" s="119"/>
    </row>
    <row r="811" spans="1:22" x14ac:dyDescent="0.3">
      <c r="A811" s="118"/>
      <c r="B811" s="119"/>
      <c r="E811" s="118"/>
      <c r="F811" s="119"/>
      <c r="I811" s="118"/>
      <c r="J811" s="119"/>
      <c r="M811" s="118"/>
      <c r="N811" s="119"/>
      <c r="Q811" s="118"/>
      <c r="R811" s="119"/>
      <c r="U811" s="118"/>
      <c r="V811" s="119"/>
    </row>
    <row r="812" spans="1:22" x14ac:dyDescent="0.3">
      <c r="A812" s="118"/>
      <c r="B812" s="119"/>
      <c r="E812" s="118"/>
      <c r="F812" s="119"/>
      <c r="I812" s="118"/>
      <c r="J812" s="119"/>
      <c r="M812" s="118"/>
      <c r="N812" s="119"/>
      <c r="Q812" s="118"/>
      <c r="R812" s="119"/>
      <c r="U812" s="118"/>
      <c r="V812" s="119"/>
    </row>
    <row r="813" spans="1:22" x14ac:dyDescent="0.3">
      <c r="A813" s="118"/>
      <c r="B813" s="119"/>
      <c r="E813" s="118"/>
      <c r="F813" s="119"/>
      <c r="I813" s="118"/>
      <c r="J813" s="119"/>
      <c r="M813" s="118"/>
      <c r="N813" s="119"/>
      <c r="Q813" s="118"/>
      <c r="R813" s="119"/>
      <c r="U813" s="118"/>
      <c r="V813" s="119"/>
    </row>
    <row r="814" spans="1:22" x14ac:dyDescent="0.3">
      <c r="A814" s="118"/>
      <c r="B814" s="119"/>
      <c r="E814" s="118"/>
      <c r="F814" s="119"/>
      <c r="I814" s="118"/>
      <c r="J814" s="119"/>
      <c r="M814" s="118"/>
      <c r="N814" s="119"/>
      <c r="Q814" s="118"/>
      <c r="R814" s="119"/>
      <c r="U814" s="118"/>
      <c r="V814" s="119"/>
    </row>
    <row r="815" spans="1:22" x14ac:dyDescent="0.3">
      <c r="A815" s="118"/>
      <c r="B815" s="119"/>
      <c r="E815" s="118"/>
      <c r="F815" s="119"/>
      <c r="I815" s="118"/>
      <c r="J815" s="119"/>
      <c r="M815" s="118"/>
      <c r="N815" s="119"/>
      <c r="Q815" s="118"/>
      <c r="R815" s="119"/>
      <c r="U815" s="118"/>
      <c r="V815" s="119"/>
    </row>
    <row r="816" spans="1:22" x14ac:dyDescent="0.3">
      <c r="A816" s="118"/>
      <c r="B816" s="119"/>
      <c r="E816" s="118"/>
      <c r="F816" s="119"/>
      <c r="I816" s="118"/>
      <c r="J816" s="119"/>
      <c r="M816" s="118"/>
      <c r="N816" s="119"/>
      <c r="Q816" s="118"/>
      <c r="R816" s="119"/>
      <c r="U816" s="118"/>
      <c r="V816" s="119"/>
    </row>
    <row r="817" spans="1:22" x14ac:dyDescent="0.3">
      <c r="A817" s="118"/>
      <c r="B817" s="119"/>
      <c r="E817" s="118"/>
      <c r="F817" s="119"/>
      <c r="I817" s="118"/>
      <c r="J817" s="119"/>
      <c r="M817" s="118"/>
      <c r="N817" s="119"/>
      <c r="Q817" s="118"/>
      <c r="R817" s="119"/>
      <c r="U817" s="118"/>
      <c r="V817" s="119"/>
    </row>
    <row r="818" spans="1:22" x14ac:dyDescent="0.3">
      <c r="A818" s="118"/>
      <c r="B818" s="119"/>
      <c r="E818" s="118"/>
      <c r="F818" s="119"/>
      <c r="I818" s="118"/>
      <c r="J818" s="119"/>
      <c r="M818" s="118"/>
      <c r="N818" s="119"/>
      <c r="Q818" s="118"/>
      <c r="R818" s="119"/>
      <c r="U818" s="118"/>
      <c r="V818" s="119"/>
    </row>
    <row r="819" spans="1:22" x14ac:dyDescent="0.3">
      <c r="A819" s="118"/>
      <c r="B819" s="119"/>
      <c r="E819" s="118"/>
      <c r="F819" s="119"/>
      <c r="I819" s="118"/>
      <c r="J819" s="119"/>
      <c r="M819" s="118"/>
      <c r="N819" s="119"/>
      <c r="Q819" s="118"/>
      <c r="R819" s="119"/>
      <c r="U819" s="118"/>
      <c r="V819" s="119"/>
    </row>
    <row r="820" spans="1:22" x14ac:dyDescent="0.3">
      <c r="A820" s="118"/>
      <c r="B820" s="119"/>
      <c r="E820" s="118"/>
      <c r="F820" s="119"/>
      <c r="I820" s="118"/>
      <c r="J820" s="119"/>
      <c r="M820" s="118"/>
      <c r="N820" s="119"/>
      <c r="Q820" s="118"/>
      <c r="R820" s="119"/>
      <c r="U820" s="118"/>
      <c r="V820" s="119"/>
    </row>
    <row r="821" spans="1:22" x14ac:dyDescent="0.3">
      <c r="A821" s="118"/>
      <c r="B821" s="119"/>
      <c r="E821" s="118"/>
      <c r="F821" s="119"/>
      <c r="I821" s="118"/>
      <c r="J821" s="119"/>
      <c r="M821" s="118"/>
      <c r="N821" s="119"/>
      <c r="Q821" s="118"/>
      <c r="R821" s="119"/>
      <c r="U821" s="118"/>
      <c r="V821" s="119"/>
    </row>
    <row r="822" spans="1:22" x14ac:dyDescent="0.3">
      <c r="A822" s="118"/>
      <c r="B822" s="119"/>
      <c r="E822" s="118"/>
      <c r="F822" s="119"/>
      <c r="I822" s="118"/>
      <c r="J822" s="119"/>
      <c r="M822" s="118"/>
      <c r="N822" s="119"/>
      <c r="Q822" s="118"/>
      <c r="R822" s="119"/>
      <c r="U822" s="118"/>
      <c r="V822" s="119"/>
    </row>
    <row r="823" spans="1:22" x14ac:dyDescent="0.3">
      <c r="A823" s="118"/>
      <c r="B823" s="119"/>
      <c r="E823" s="118"/>
      <c r="F823" s="119"/>
      <c r="I823" s="118"/>
      <c r="J823" s="119"/>
      <c r="M823" s="118"/>
      <c r="N823" s="119"/>
      <c r="Q823" s="118"/>
      <c r="R823" s="119"/>
      <c r="U823" s="118"/>
      <c r="V823" s="119"/>
    </row>
    <row r="824" spans="1:22" x14ac:dyDescent="0.3">
      <c r="A824" s="118"/>
      <c r="B824" s="119"/>
      <c r="E824" s="118"/>
      <c r="F824" s="119"/>
      <c r="I824" s="118"/>
      <c r="J824" s="119"/>
      <c r="M824" s="118"/>
      <c r="N824" s="119"/>
      <c r="Q824" s="118"/>
      <c r="R824" s="119"/>
      <c r="U824" s="118"/>
      <c r="V824" s="119"/>
    </row>
    <row r="825" spans="1:22" x14ac:dyDescent="0.3">
      <c r="A825" s="118"/>
      <c r="B825" s="119"/>
      <c r="E825" s="118"/>
      <c r="F825" s="119"/>
      <c r="I825" s="118"/>
      <c r="J825" s="119"/>
      <c r="M825" s="118"/>
      <c r="N825" s="119"/>
      <c r="Q825" s="118"/>
      <c r="R825" s="119"/>
      <c r="U825" s="118"/>
      <c r="V825" s="119"/>
    </row>
    <row r="826" spans="1:22" x14ac:dyDescent="0.3">
      <c r="A826" s="118"/>
      <c r="B826" s="119"/>
      <c r="E826" s="118"/>
      <c r="F826" s="119"/>
      <c r="I826" s="118"/>
      <c r="J826" s="119"/>
      <c r="M826" s="118"/>
      <c r="N826" s="119"/>
      <c r="Q826" s="118"/>
      <c r="R826" s="119"/>
      <c r="U826" s="118"/>
      <c r="V826" s="119"/>
    </row>
    <row r="827" spans="1:22" x14ac:dyDescent="0.3">
      <c r="A827" s="118"/>
      <c r="B827" s="119"/>
      <c r="E827" s="118"/>
      <c r="F827" s="119"/>
      <c r="I827" s="118"/>
      <c r="J827" s="119"/>
      <c r="M827" s="118"/>
      <c r="N827" s="119"/>
      <c r="Q827" s="118"/>
      <c r="R827" s="119"/>
      <c r="U827" s="118"/>
      <c r="V827" s="119"/>
    </row>
    <row r="828" spans="1:22" x14ac:dyDescent="0.3">
      <c r="A828" s="118"/>
      <c r="B828" s="119"/>
      <c r="E828" s="118"/>
      <c r="F828" s="119"/>
      <c r="I828" s="118"/>
      <c r="J828" s="119"/>
      <c r="M828" s="118"/>
      <c r="N828" s="119"/>
      <c r="Q828" s="118"/>
      <c r="R828" s="119"/>
      <c r="U828" s="118"/>
      <c r="V828" s="119"/>
    </row>
    <row r="829" spans="1:22" x14ac:dyDescent="0.3">
      <c r="A829" s="118"/>
      <c r="B829" s="119"/>
      <c r="E829" s="118"/>
      <c r="F829" s="119"/>
      <c r="I829" s="118"/>
      <c r="J829" s="119"/>
      <c r="M829" s="118"/>
      <c r="N829" s="119"/>
      <c r="Q829" s="118"/>
      <c r="R829" s="119"/>
      <c r="U829" s="118"/>
      <c r="V829" s="119"/>
    </row>
    <row r="830" spans="1:22" x14ac:dyDescent="0.3">
      <c r="A830" s="118"/>
      <c r="B830" s="119"/>
      <c r="E830" s="118"/>
      <c r="F830" s="119"/>
      <c r="I830" s="118"/>
      <c r="J830" s="119"/>
      <c r="M830" s="118"/>
      <c r="N830" s="119"/>
      <c r="Q830" s="118"/>
      <c r="R830" s="119"/>
      <c r="U830" s="118"/>
      <c r="V830" s="119"/>
    </row>
    <row r="831" spans="1:22" x14ac:dyDescent="0.3">
      <c r="A831" s="118"/>
      <c r="B831" s="119"/>
      <c r="E831" s="118"/>
      <c r="F831" s="119"/>
      <c r="I831" s="118"/>
      <c r="J831" s="119"/>
      <c r="M831" s="118"/>
      <c r="N831" s="119"/>
      <c r="Q831" s="118"/>
      <c r="R831" s="119"/>
      <c r="U831" s="118"/>
      <c r="V831" s="119"/>
    </row>
    <row r="832" spans="1:22" x14ac:dyDescent="0.3">
      <c r="A832" s="118"/>
      <c r="B832" s="119"/>
      <c r="E832" s="118"/>
      <c r="F832" s="119"/>
      <c r="I832" s="118"/>
      <c r="J832" s="119"/>
      <c r="M832" s="118"/>
      <c r="N832" s="119"/>
      <c r="Q832" s="118"/>
      <c r="R832" s="119"/>
      <c r="U832" s="118"/>
      <c r="V832" s="119"/>
    </row>
    <row r="833" spans="1:22" x14ac:dyDescent="0.3">
      <c r="A833" s="118"/>
      <c r="B833" s="119"/>
      <c r="E833" s="118"/>
      <c r="F833" s="119"/>
      <c r="I833" s="118"/>
      <c r="J833" s="119"/>
      <c r="M833" s="118"/>
      <c r="N833" s="119"/>
      <c r="Q833" s="118"/>
      <c r="R833" s="119"/>
      <c r="U833" s="118"/>
      <c r="V833" s="119"/>
    </row>
    <row r="834" spans="1:22" x14ac:dyDescent="0.3">
      <c r="A834" s="118"/>
      <c r="B834" s="119"/>
      <c r="E834" s="118"/>
      <c r="F834" s="119"/>
      <c r="I834" s="118"/>
      <c r="J834" s="119"/>
      <c r="M834" s="118"/>
      <c r="N834" s="119"/>
      <c r="Q834" s="118"/>
      <c r="R834" s="119"/>
      <c r="U834" s="118"/>
      <c r="V834" s="119"/>
    </row>
    <row r="835" spans="1:22" x14ac:dyDescent="0.3">
      <c r="A835" s="118"/>
      <c r="B835" s="119"/>
      <c r="E835" s="118"/>
      <c r="F835" s="119"/>
      <c r="I835" s="118"/>
      <c r="J835" s="119"/>
      <c r="M835" s="118"/>
      <c r="N835" s="119"/>
      <c r="Q835" s="118"/>
      <c r="R835" s="119"/>
      <c r="U835" s="118"/>
      <c r="V835" s="119"/>
    </row>
    <row r="836" spans="1:22" x14ac:dyDescent="0.3">
      <c r="A836" s="118"/>
      <c r="B836" s="119"/>
      <c r="E836" s="118"/>
      <c r="F836" s="119"/>
      <c r="I836" s="118"/>
      <c r="J836" s="119"/>
      <c r="M836" s="118"/>
      <c r="N836" s="119"/>
      <c r="Q836" s="118"/>
      <c r="R836" s="119"/>
      <c r="U836" s="118"/>
      <c r="V836" s="119"/>
    </row>
    <row r="837" spans="1:22" x14ac:dyDescent="0.3">
      <c r="A837" s="118"/>
      <c r="B837" s="119"/>
      <c r="E837" s="118"/>
      <c r="F837" s="119"/>
      <c r="I837" s="118"/>
      <c r="J837" s="119"/>
      <c r="M837" s="118"/>
      <c r="N837" s="119"/>
      <c r="Q837" s="118"/>
      <c r="R837" s="119"/>
      <c r="U837" s="118"/>
      <c r="V837" s="119"/>
    </row>
    <row r="838" spans="1:22" x14ac:dyDescent="0.3">
      <c r="A838" s="118"/>
      <c r="B838" s="119"/>
      <c r="E838" s="118"/>
      <c r="F838" s="119"/>
      <c r="I838" s="118"/>
      <c r="J838" s="119"/>
      <c r="M838" s="118"/>
      <c r="N838" s="119"/>
      <c r="Q838" s="118"/>
      <c r="R838" s="119"/>
      <c r="U838" s="118"/>
      <c r="V838" s="119"/>
    </row>
    <row r="839" spans="1:22" x14ac:dyDescent="0.3">
      <c r="A839" s="118"/>
      <c r="B839" s="119"/>
      <c r="E839" s="118"/>
      <c r="F839" s="119"/>
      <c r="I839" s="118"/>
      <c r="J839" s="119"/>
      <c r="M839" s="118"/>
      <c r="N839" s="119"/>
      <c r="Q839" s="118"/>
      <c r="R839" s="119"/>
      <c r="U839" s="118"/>
      <c r="V839" s="119"/>
    </row>
    <row r="840" spans="1:22" x14ac:dyDescent="0.3">
      <c r="A840" s="118"/>
      <c r="B840" s="119"/>
      <c r="E840" s="118"/>
      <c r="F840" s="119"/>
      <c r="I840" s="118"/>
      <c r="J840" s="119"/>
      <c r="M840" s="118"/>
      <c r="N840" s="119"/>
      <c r="Q840" s="118"/>
      <c r="R840" s="119"/>
      <c r="U840" s="118"/>
      <c r="V840" s="119"/>
    </row>
    <row r="841" spans="1:22" x14ac:dyDescent="0.3">
      <c r="A841" s="118"/>
      <c r="B841" s="119"/>
      <c r="E841" s="118"/>
      <c r="F841" s="119"/>
      <c r="I841" s="118"/>
      <c r="J841" s="119"/>
      <c r="M841" s="118"/>
      <c r="N841" s="119"/>
      <c r="Q841" s="118"/>
      <c r="R841" s="119"/>
      <c r="U841" s="118"/>
      <c r="V841" s="119"/>
    </row>
    <row r="842" spans="1:22" x14ac:dyDescent="0.3">
      <c r="A842" s="118"/>
      <c r="B842" s="119"/>
      <c r="E842" s="118"/>
      <c r="F842" s="119"/>
      <c r="I842" s="118"/>
      <c r="J842" s="119"/>
      <c r="M842" s="118"/>
      <c r="N842" s="119"/>
      <c r="Q842" s="118"/>
      <c r="R842" s="119"/>
      <c r="U842" s="118"/>
      <c r="V842" s="119"/>
    </row>
    <row r="843" spans="1:22" x14ac:dyDescent="0.3">
      <c r="A843" s="118"/>
      <c r="B843" s="119"/>
      <c r="E843" s="118"/>
      <c r="F843" s="119"/>
      <c r="I843" s="118"/>
      <c r="J843" s="119"/>
      <c r="M843" s="118"/>
      <c r="N843" s="119"/>
      <c r="Q843" s="118"/>
      <c r="R843" s="119"/>
      <c r="U843" s="118"/>
      <c r="V843" s="119"/>
    </row>
    <row r="844" spans="1:22" x14ac:dyDescent="0.3">
      <c r="A844" s="118"/>
      <c r="B844" s="119"/>
      <c r="E844" s="118"/>
      <c r="F844" s="119"/>
      <c r="I844" s="118"/>
      <c r="J844" s="119"/>
      <c r="M844" s="118"/>
      <c r="N844" s="119"/>
      <c r="Q844" s="118"/>
      <c r="R844" s="119"/>
      <c r="U844" s="118"/>
      <c r="V844" s="119"/>
    </row>
    <row r="845" spans="1:22" x14ac:dyDescent="0.3">
      <c r="A845" s="118"/>
      <c r="B845" s="119"/>
      <c r="E845" s="118"/>
      <c r="F845" s="119"/>
      <c r="I845" s="118"/>
      <c r="J845" s="119"/>
      <c r="M845" s="118"/>
      <c r="N845" s="119"/>
      <c r="Q845" s="118"/>
      <c r="R845" s="119"/>
      <c r="U845" s="118"/>
      <c r="V845" s="119"/>
    </row>
    <row r="846" spans="1:22" x14ac:dyDescent="0.3">
      <c r="A846" s="118"/>
      <c r="B846" s="119"/>
      <c r="E846" s="118"/>
      <c r="F846" s="119"/>
      <c r="I846" s="118"/>
      <c r="J846" s="119"/>
      <c r="M846" s="118"/>
      <c r="N846" s="119"/>
      <c r="Q846" s="118"/>
      <c r="R846" s="119"/>
      <c r="U846" s="118"/>
      <c r="V846" s="119"/>
    </row>
    <row r="847" spans="1:22" x14ac:dyDescent="0.3">
      <c r="A847" s="118"/>
      <c r="B847" s="119"/>
      <c r="E847" s="118"/>
      <c r="F847" s="119"/>
      <c r="I847" s="118"/>
      <c r="J847" s="119"/>
      <c r="M847" s="118"/>
      <c r="N847" s="119"/>
      <c r="Q847" s="118"/>
      <c r="R847" s="119"/>
      <c r="U847" s="118"/>
      <c r="V847" s="119"/>
    </row>
    <row r="848" spans="1:22" x14ac:dyDescent="0.3">
      <c r="A848" s="118"/>
      <c r="B848" s="119"/>
      <c r="E848" s="118"/>
      <c r="F848" s="119"/>
      <c r="I848" s="118"/>
      <c r="J848" s="119"/>
      <c r="M848" s="118"/>
      <c r="N848" s="119"/>
      <c r="Q848" s="118"/>
      <c r="R848" s="119"/>
      <c r="U848" s="118"/>
      <c r="V848" s="119"/>
    </row>
    <row r="849" spans="1:22" x14ac:dyDescent="0.3">
      <c r="A849" s="118"/>
      <c r="B849" s="119"/>
      <c r="E849" s="118"/>
      <c r="F849" s="119"/>
      <c r="I849" s="118"/>
      <c r="J849" s="119"/>
      <c r="M849" s="118"/>
      <c r="N849" s="119"/>
      <c r="Q849" s="118"/>
      <c r="R849" s="119"/>
      <c r="U849" s="118"/>
      <c r="V849" s="119"/>
    </row>
    <row r="850" spans="1:22" x14ac:dyDescent="0.3">
      <c r="A850" s="118"/>
      <c r="B850" s="119"/>
      <c r="E850" s="118"/>
      <c r="F850" s="119"/>
      <c r="I850" s="118"/>
      <c r="J850" s="119"/>
      <c r="M850" s="118"/>
      <c r="N850" s="119"/>
      <c r="Q850" s="118"/>
      <c r="R850" s="119"/>
      <c r="U850" s="118"/>
      <c r="V850" s="119"/>
    </row>
    <row r="851" spans="1:22" x14ac:dyDescent="0.3">
      <c r="A851" s="118"/>
      <c r="B851" s="119"/>
      <c r="E851" s="118"/>
      <c r="F851" s="119"/>
      <c r="I851" s="118"/>
      <c r="J851" s="119"/>
      <c r="M851" s="118"/>
      <c r="N851" s="119"/>
      <c r="Q851" s="118"/>
      <c r="R851" s="119"/>
      <c r="U851" s="118"/>
      <c r="V851" s="119"/>
    </row>
    <row r="852" spans="1:22" x14ac:dyDescent="0.3">
      <c r="A852" s="118"/>
      <c r="B852" s="119"/>
      <c r="E852" s="118"/>
      <c r="F852" s="119"/>
      <c r="I852" s="118"/>
      <c r="J852" s="119"/>
      <c r="M852" s="118"/>
      <c r="N852" s="119"/>
      <c r="Q852" s="118"/>
      <c r="R852" s="119"/>
      <c r="U852" s="118"/>
      <c r="V852" s="119"/>
    </row>
    <row r="853" spans="1:22" x14ac:dyDescent="0.3">
      <c r="A853" s="118"/>
      <c r="B853" s="119"/>
      <c r="E853" s="118"/>
      <c r="F853" s="119"/>
      <c r="I853" s="118"/>
      <c r="J853" s="119"/>
      <c r="M853" s="118"/>
      <c r="N853" s="119"/>
      <c r="Q853" s="118"/>
      <c r="R853" s="119"/>
      <c r="U853" s="118"/>
      <c r="V853" s="119"/>
    </row>
    <row r="854" spans="1:22" x14ac:dyDescent="0.3">
      <c r="A854" s="118"/>
      <c r="B854" s="119"/>
      <c r="E854" s="118"/>
      <c r="F854" s="119"/>
      <c r="I854" s="118"/>
      <c r="J854" s="119"/>
      <c r="M854" s="118"/>
      <c r="N854" s="119"/>
      <c r="Q854" s="118"/>
      <c r="R854" s="119"/>
      <c r="U854" s="118"/>
      <c r="V854" s="119"/>
    </row>
    <row r="855" spans="1:22" x14ac:dyDescent="0.3">
      <c r="A855" s="118"/>
      <c r="B855" s="119"/>
      <c r="E855" s="118"/>
      <c r="F855" s="119"/>
      <c r="I855" s="118"/>
      <c r="J855" s="119"/>
      <c r="M855" s="118"/>
      <c r="N855" s="119"/>
      <c r="Q855" s="118"/>
      <c r="R855" s="119"/>
      <c r="U855" s="118"/>
      <c r="V855" s="119"/>
    </row>
    <row r="856" spans="1:22" x14ac:dyDescent="0.3">
      <c r="A856" s="118"/>
      <c r="B856" s="119"/>
      <c r="E856" s="118"/>
      <c r="F856" s="119"/>
      <c r="I856" s="118"/>
      <c r="J856" s="119"/>
      <c r="M856" s="118"/>
      <c r="N856" s="119"/>
      <c r="Q856" s="118"/>
      <c r="R856" s="119"/>
      <c r="U856" s="118"/>
      <c r="V856" s="119"/>
    </row>
    <row r="857" spans="1:22" x14ac:dyDescent="0.3">
      <c r="A857" s="118"/>
      <c r="B857" s="119"/>
      <c r="E857" s="118"/>
      <c r="F857" s="119"/>
      <c r="I857" s="118"/>
      <c r="J857" s="119"/>
      <c r="M857" s="118"/>
      <c r="N857" s="119"/>
      <c r="Q857" s="118"/>
      <c r="R857" s="119"/>
      <c r="U857" s="118"/>
      <c r="V857" s="119"/>
    </row>
    <row r="858" spans="1:22" x14ac:dyDescent="0.3">
      <c r="A858" s="118"/>
      <c r="B858" s="119"/>
      <c r="E858" s="118"/>
      <c r="F858" s="119"/>
      <c r="I858" s="118"/>
      <c r="J858" s="119"/>
      <c r="M858" s="118"/>
      <c r="N858" s="119"/>
      <c r="Q858" s="118"/>
      <c r="R858" s="119"/>
      <c r="U858" s="118"/>
      <c r="V858" s="119"/>
    </row>
    <row r="859" spans="1:22" x14ac:dyDescent="0.3">
      <c r="A859" s="118"/>
      <c r="B859" s="119"/>
      <c r="E859" s="118"/>
      <c r="F859" s="119"/>
      <c r="I859" s="118"/>
      <c r="J859" s="119"/>
      <c r="M859" s="118"/>
      <c r="N859" s="119"/>
      <c r="Q859" s="118"/>
      <c r="R859" s="119"/>
      <c r="U859" s="118"/>
      <c r="V859" s="119"/>
    </row>
    <row r="860" spans="1:22" x14ac:dyDescent="0.3">
      <c r="A860" s="118"/>
      <c r="B860" s="119"/>
      <c r="E860" s="118"/>
      <c r="F860" s="119"/>
      <c r="I860" s="118"/>
      <c r="J860" s="119"/>
      <c r="M860" s="118"/>
      <c r="N860" s="119"/>
      <c r="Q860" s="118"/>
      <c r="R860" s="119"/>
      <c r="U860" s="118"/>
      <c r="V860" s="119"/>
    </row>
    <row r="861" spans="1:22" x14ac:dyDescent="0.3">
      <c r="A861" s="118"/>
      <c r="B861" s="119"/>
      <c r="E861" s="118"/>
      <c r="F861" s="119"/>
      <c r="I861" s="118"/>
      <c r="J861" s="119"/>
      <c r="M861" s="118"/>
      <c r="N861" s="119"/>
      <c r="Q861" s="118"/>
      <c r="R861" s="119"/>
      <c r="U861" s="118"/>
      <c r="V861" s="119"/>
    </row>
    <row r="862" spans="1:22" x14ac:dyDescent="0.3">
      <c r="A862" s="118"/>
      <c r="B862" s="119"/>
      <c r="E862" s="118"/>
      <c r="F862" s="119"/>
      <c r="I862" s="118"/>
      <c r="J862" s="119"/>
      <c r="M862" s="118"/>
      <c r="N862" s="119"/>
      <c r="Q862" s="118"/>
      <c r="R862" s="119"/>
      <c r="U862" s="118"/>
      <c r="V862" s="119"/>
    </row>
    <row r="863" spans="1:22" x14ac:dyDescent="0.3">
      <c r="A863" s="118"/>
      <c r="B863" s="119"/>
      <c r="E863" s="118"/>
      <c r="F863" s="119"/>
      <c r="I863" s="118"/>
      <c r="J863" s="119"/>
      <c r="M863" s="118"/>
      <c r="N863" s="119"/>
      <c r="Q863" s="118"/>
      <c r="R863" s="119"/>
      <c r="U863" s="118"/>
      <c r="V863" s="119"/>
    </row>
    <row r="864" spans="1:22" x14ac:dyDescent="0.3">
      <c r="A864" s="118"/>
      <c r="B864" s="119"/>
      <c r="E864" s="118"/>
      <c r="F864" s="119"/>
      <c r="I864" s="118"/>
      <c r="J864" s="119"/>
      <c r="M864" s="118"/>
      <c r="N864" s="119"/>
      <c r="Q864" s="118"/>
      <c r="R864" s="119"/>
      <c r="U864" s="118"/>
      <c r="V864" s="119"/>
    </row>
    <row r="865" spans="1:22" x14ac:dyDescent="0.3">
      <c r="A865" s="118"/>
      <c r="B865" s="119"/>
      <c r="E865" s="118"/>
      <c r="F865" s="119"/>
      <c r="I865" s="118"/>
      <c r="J865" s="119"/>
      <c r="M865" s="118"/>
      <c r="N865" s="119"/>
      <c r="Q865" s="118"/>
      <c r="R865" s="119"/>
      <c r="U865" s="118"/>
      <c r="V865" s="119"/>
    </row>
    <row r="866" spans="1:22" x14ac:dyDescent="0.3">
      <c r="A866" s="118"/>
      <c r="B866" s="119"/>
      <c r="E866" s="118"/>
      <c r="F866" s="119"/>
      <c r="I866" s="118"/>
      <c r="J866" s="119"/>
      <c r="M866" s="118"/>
      <c r="N866" s="119"/>
      <c r="Q866" s="118"/>
      <c r="R866" s="119"/>
      <c r="U866" s="118"/>
      <c r="V866" s="119"/>
    </row>
    <row r="867" spans="1:22" x14ac:dyDescent="0.3">
      <c r="A867" s="118"/>
      <c r="B867" s="119"/>
      <c r="E867" s="118"/>
      <c r="F867" s="119"/>
      <c r="I867" s="118"/>
      <c r="J867" s="119"/>
      <c r="M867" s="118"/>
      <c r="N867" s="119"/>
      <c r="Q867" s="118"/>
      <c r="R867" s="119"/>
      <c r="U867" s="118"/>
      <c r="V867" s="119"/>
    </row>
    <row r="868" spans="1:22" x14ac:dyDescent="0.3">
      <c r="A868" s="118"/>
      <c r="B868" s="119"/>
      <c r="E868" s="118"/>
      <c r="F868" s="119"/>
      <c r="I868" s="118"/>
      <c r="J868" s="119"/>
      <c r="M868" s="118"/>
      <c r="N868" s="119"/>
      <c r="Q868" s="118"/>
      <c r="R868" s="119"/>
      <c r="U868" s="118"/>
      <c r="V868" s="119"/>
    </row>
    <row r="869" spans="1:22" x14ac:dyDescent="0.3">
      <c r="A869" s="118"/>
      <c r="B869" s="119"/>
      <c r="E869" s="118"/>
      <c r="F869" s="119"/>
      <c r="I869" s="118"/>
      <c r="J869" s="119"/>
      <c r="M869" s="118"/>
      <c r="N869" s="119"/>
      <c r="Q869" s="118"/>
      <c r="R869" s="119"/>
      <c r="U869" s="118"/>
      <c r="V869" s="119"/>
    </row>
    <row r="870" spans="1:22" x14ac:dyDescent="0.3">
      <c r="A870" s="118"/>
      <c r="B870" s="119"/>
      <c r="E870" s="118"/>
      <c r="F870" s="119"/>
      <c r="I870" s="118"/>
      <c r="J870" s="119"/>
      <c r="M870" s="118"/>
      <c r="N870" s="119"/>
      <c r="Q870" s="118"/>
      <c r="R870" s="119"/>
      <c r="U870" s="118"/>
      <c r="V870" s="119"/>
    </row>
    <row r="871" spans="1:22" x14ac:dyDescent="0.3">
      <c r="A871" s="118"/>
      <c r="B871" s="119"/>
      <c r="E871" s="118"/>
      <c r="F871" s="119"/>
      <c r="I871" s="118"/>
      <c r="J871" s="119"/>
      <c r="M871" s="118"/>
      <c r="N871" s="119"/>
      <c r="Q871" s="118"/>
      <c r="R871" s="119"/>
      <c r="U871" s="118"/>
      <c r="V871" s="119"/>
    </row>
    <row r="872" spans="1:22" x14ac:dyDescent="0.3">
      <c r="A872" s="118"/>
      <c r="B872" s="119"/>
      <c r="E872" s="118"/>
      <c r="F872" s="119"/>
      <c r="I872" s="118"/>
      <c r="J872" s="119"/>
      <c r="M872" s="118"/>
      <c r="N872" s="119"/>
      <c r="Q872" s="118"/>
      <c r="R872" s="119"/>
      <c r="U872" s="118"/>
      <c r="V872" s="119"/>
    </row>
    <row r="873" spans="1:22" x14ac:dyDescent="0.3">
      <c r="A873" s="118"/>
      <c r="B873" s="119"/>
      <c r="E873" s="118"/>
      <c r="F873" s="119"/>
      <c r="I873" s="118"/>
      <c r="J873" s="119"/>
      <c r="M873" s="118"/>
      <c r="N873" s="119"/>
      <c r="Q873" s="118"/>
      <c r="R873" s="119"/>
      <c r="U873" s="118"/>
      <c r="V873" s="119"/>
    </row>
    <row r="874" spans="1:22" x14ac:dyDescent="0.3">
      <c r="A874" s="118"/>
      <c r="B874" s="119"/>
      <c r="E874" s="118"/>
      <c r="F874" s="119"/>
      <c r="I874" s="118"/>
      <c r="J874" s="119"/>
      <c r="M874" s="118"/>
      <c r="N874" s="119"/>
      <c r="Q874" s="118"/>
      <c r="R874" s="119"/>
      <c r="U874" s="118"/>
      <c r="V874" s="119"/>
    </row>
    <row r="875" spans="1:22" x14ac:dyDescent="0.3">
      <c r="A875" s="118"/>
      <c r="B875" s="119"/>
      <c r="E875" s="118"/>
      <c r="F875" s="119"/>
      <c r="I875" s="118"/>
      <c r="J875" s="119"/>
      <c r="M875" s="118"/>
      <c r="N875" s="119"/>
      <c r="Q875" s="118"/>
      <c r="R875" s="119"/>
      <c r="U875" s="118"/>
      <c r="V875" s="119"/>
    </row>
    <row r="876" spans="1:22" x14ac:dyDescent="0.3">
      <c r="A876" s="118"/>
      <c r="B876" s="119"/>
      <c r="E876" s="118"/>
      <c r="F876" s="119"/>
      <c r="I876" s="118"/>
      <c r="J876" s="119"/>
      <c r="M876" s="118"/>
      <c r="N876" s="119"/>
      <c r="Q876" s="118"/>
      <c r="R876" s="119"/>
      <c r="U876" s="118"/>
      <c r="V876" s="119"/>
    </row>
    <row r="877" spans="1:22" x14ac:dyDescent="0.3">
      <c r="A877" s="118"/>
      <c r="B877" s="119"/>
      <c r="E877" s="118"/>
      <c r="F877" s="119"/>
      <c r="I877" s="118"/>
      <c r="J877" s="119"/>
      <c r="M877" s="118"/>
      <c r="N877" s="119"/>
      <c r="Q877" s="118"/>
      <c r="R877" s="119"/>
      <c r="U877" s="118"/>
      <c r="V877" s="119"/>
    </row>
    <row r="878" spans="1:22" x14ac:dyDescent="0.3">
      <c r="A878" s="118"/>
      <c r="B878" s="119"/>
      <c r="E878" s="118"/>
      <c r="F878" s="119"/>
      <c r="I878" s="118"/>
      <c r="J878" s="119"/>
      <c r="M878" s="118"/>
      <c r="N878" s="119"/>
      <c r="Q878" s="118"/>
      <c r="R878" s="119"/>
      <c r="U878" s="118"/>
      <c r="V878" s="119"/>
    </row>
    <row r="879" spans="1:22" x14ac:dyDescent="0.3">
      <c r="A879" s="118"/>
      <c r="B879" s="119"/>
      <c r="E879" s="118"/>
      <c r="F879" s="119"/>
      <c r="I879" s="118"/>
      <c r="J879" s="119"/>
      <c r="M879" s="118"/>
      <c r="N879" s="119"/>
      <c r="Q879" s="118"/>
      <c r="R879" s="119"/>
      <c r="U879" s="118"/>
      <c r="V879" s="119"/>
    </row>
    <row r="880" spans="1:22" x14ac:dyDescent="0.3">
      <c r="A880" s="118"/>
      <c r="B880" s="119"/>
      <c r="E880" s="118"/>
      <c r="F880" s="119"/>
      <c r="I880" s="118"/>
      <c r="J880" s="119"/>
      <c r="M880" s="118"/>
      <c r="N880" s="119"/>
      <c r="Q880" s="118"/>
      <c r="R880" s="119"/>
      <c r="U880" s="118"/>
      <c r="V880" s="119"/>
    </row>
    <row r="881" spans="1:22" x14ac:dyDescent="0.3">
      <c r="A881" s="118"/>
      <c r="B881" s="119"/>
      <c r="E881" s="118"/>
      <c r="F881" s="119"/>
      <c r="I881" s="118"/>
      <c r="J881" s="119"/>
      <c r="M881" s="118"/>
      <c r="N881" s="119"/>
      <c r="Q881" s="118"/>
      <c r="R881" s="119"/>
      <c r="U881" s="118"/>
      <c r="V881" s="119"/>
    </row>
    <row r="882" spans="1:22" x14ac:dyDescent="0.3">
      <c r="A882" s="118"/>
      <c r="B882" s="119"/>
      <c r="E882" s="118"/>
      <c r="F882" s="119"/>
      <c r="I882" s="118"/>
      <c r="J882" s="119"/>
      <c r="M882" s="118"/>
      <c r="N882" s="119"/>
      <c r="Q882" s="118"/>
      <c r="R882" s="119"/>
      <c r="U882" s="118"/>
      <c r="V882" s="119"/>
    </row>
    <row r="883" spans="1:22" x14ac:dyDescent="0.3">
      <c r="A883" s="118"/>
      <c r="B883" s="119"/>
      <c r="E883" s="118"/>
      <c r="F883" s="119"/>
      <c r="I883" s="118"/>
      <c r="J883" s="119"/>
      <c r="M883" s="118"/>
      <c r="N883" s="119"/>
      <c r="Q883" s="118"/>
      <c r="R883" s="119"/>
      <c r="U883" s="118"/>
      <c r="V883" s="119"/>
    </row>
    <row r="884" spans="1:22" x14ac:dyDescent="0.3">
      <c r="A884" s="118"/>
      <c r="B884" s="119"/>
      <c r="E884" s="118"/>
      <c r="F884" s="119"/>
      <c r="I884" s="118"/>
      <c r="J884" s="119"/>
      <c r="M884" s="118"/>
      <c r="N884" s="119"/>
      <c r="Q884" s="118"/>
      <c r="R884" s="119"/>
      <c r="U884" s="118"/>
      <c r="V884" s="119"/>
    </row>
    <row r="885" spans="1:22" x14ac:dyDescent="0.3">
      <c r="A885" s="118"/>
      <c r="B885" s="119"/>
      <c r="E885" s="118"/>
      <c r="F885" s="119"/>
      <c r="I885" s="118"/>
      <c r="J885" s="119"/>
      <c r="M885" s="118"/>
      <c r="N885" s="119"/>
      <c r="Q885" s="118"/>
      <c r="R885" s="119"/>
      <c r="U885" s="118"/>
      <c r="V885" s="119"/>
    </row>
    <row r="886" spans="1:22" x14ac:dyDescent="0.3">
      <c r="A886" s="118"/>
      <c r="B886" s="119"/>
      <c r="E886" s="118"/>
      <c r="F886" s="119"/>
      <c r="I886" s="118"/>
      <c r="J886" s="119"/>
      <c r="M886" s="118"/>
      <c r="N886" s="119"/>
      <c r="Q886" s="118"/>
      <c r="R886" s="119"/>
      <c r="U886" s="118"/>
      <c r="V886" s="119"/>
    </row>
    <row r="887" spans="1:22" x14ac:dyDescent="0.3">
      <c r="A887" s="118"/>
      <c r="B887" s="119"/>
      <c r="E887" s="118"/>
      <c r="F887" s="119"/>
      <c r="I887" s="118"/>
      <c r="J887" s="119"/>
      <c r="M887" s="118"/>
      <c r="N887" s="119"/>
      <c r="Q887" s="118"/>
      <c r="R887" s="119"/>
      <c r="U887" s="118"/>
      <c r="V887" s="119"/>
    </row>
    <row r="888" spans="1:22" x14ac:dyDescent="0.3">
      <c r="A888" s="118"/>
      <c r="B888" s="119"/>
      <c r="E888" s="118"/>
      <c r="F888" s="119"/>
      <c r="I888" s="118"/>
      <c r="J888" s="119"/>
      <c r="M888" s="118"/>
      <c r="N888" s="119"/>
      <c r="Q888" s="118"/>
      <c r="R888" s="119"/>
      <c r="U888" s="118"/>
      <c r="V888" s="119"/>
    </row>
    <row r="889" spans="1:22" x14ac:dyDescent="0.3">
      <c r="A889" s="118"/>
      <c r="B889" s="119"/>
      <c r="E889" s="118"/>
      <c r="F889" s="119"/>
      <c r="I889" s="118"/>
      <c r="J889" s="119"/>
      <c r="M889" s="118"/>
      <c r="N889" s="119"/>
      <c r="Q889" s="118"/>
      <c r="R889" s="119"/>
      <c r="U889" s="118"/>
      <c r="V889" s="119"/>
    </row>
    <row r="890" spans="1:22" x14ac:dyDescent="0.3">
      <c r="A890" s="118"/>
      <c r="B890" s="119"/>
      <c r="E890" s="118"/>
      <c r="F890" s="119"/>
      <c r="I890" s="118"/>
      <c r="J890" s="119"/>
      <c r="M890" s="118"/>
      <c r="N890" s="119"/>
      <c r="Q890" s="118"/>
      <c r="R890" s="119"/>
      <c r="U890" s="118"/>
      <c r="V890" s="119"/>
    </row>
    <row r="891" spans="1:22" x14ac:dyDescent="0.3">
      <c r="A891" s="118"/>
      <c r="B891" s="119"/>
      <c r="E891" s="118"/>
      <c r="F891" s="119"/>
      <c r="I891" s="118"/>
      <c r="J891" s="119"/>
      <c r="M891" s="118"/>
      <c r="N891" s="119"/>
      <c r="Q891" s="118"/>
      <c r="R891" s="119"/>
      <c r="U891" s="118"/>
      <c r="V891" s="119"/>
    </row>
    <row r="892" spans="1:22" x14ac:dyDescent="0.3">
      <c r="A892" s="118"/>
      <c r="B892" s="119"/>
      <c r="E892" s="118"/>
      <c r="F892" s="119"/>
      <c r="I892" s="118"/>
      <c r="J892" s="119"/>
      <c r="M892" s="118"/>
      <c r="N892" s="119"/>
      <c r="Q892" s="118"/>
      <c r="R892" s="119"/>
      <c r="U892" s="118"/>
      <c r="V892" s="119"/>
    </row>
    <row r="893" spans="1:22" x14ac:dyDescent="0.3">
      <c r="A893" s="118"/>
      <c r="B893" s="119"/>
      <c r="E893" s="118"/>
      <c r="F893" s="119"/>
      <c r="I893" s="118"/>
      <c r="J893" s="119"/>
      <c r="M893" s="118"/>
      <c r="N893" s="119"/>
      <c r="Q893" s="118"/>
      <c r="R893" s="119"/>
      <c r="U893" s="118"/>
      <c r="V893" s="119"/>
    </row>
    <row r="894" spans="1:22" x14ac:dyDescent="0.3">
      <c r="A894" s="118"/>
      <c r="B894" s="119"/>
      <c r="E894" s="118"/>
      <c r="F894" s="119"/>
      <c r="I894" s="118"/>
      <c r="J894" s="119"/>
      <c r="M894" s="118"/>
      <c r="N894" s="119"/>
      <c r="Q894" s="118"/>
      <c r="R894" s="119"/>
      <c r="U894" s="118"/>
      <c r="V894" s="119"/>
    </row>
    <row r="895" spans="1:22" x14ac:dyDescent="0.3">
      <c r="A895" s="118"/>
      <c r="B895" s="119"/>
      <c r="E895" s="118"/>
      <c r="F895" s="119"/>
      <c r="I895" s="118"/>
      <c r="J895" s="119"/>
      <c r="M895" s="118"/>
      <c r="N895" s="119"/>
      <c r="Q895" s="118"/>
      <c r="R895" s="119"/>
      <c r="U895" s="118"/>
      <c r="V895" s="119"/>
    </row>
    <row r="896" spans="1:22" x14ac:dyDescent="0.3">
      <c r="A896" s="118"/>
      <c r="B896" s="119"/>
      <c r="E896" s="118"/>
      <c r="F896" s="119"/>
      <c r="I896" s="118"/>
      <c r="J896" s="119"/>
      <c r="M896" s="118"/>
      <c r="N896" s="119"/>
      <c r="Q896" s="118"/>
      <c r="R896" s="119"/>
      <c r="U896" s="118"/>
      <c r="V896" s="119"/>
    </row>
    <row r="897" spans="1:22" x14ac:dyDescent="0.3">
      <c r="A897" s="118"/>
      <c r="B897" s="119"/>
      <c r="E897" s="118"/>
      <c r="F897" s="119"/>
      <c r="I897" s="118"/>
      <c r="J897" s="119"/>
      <c r="M897" s="118"/>
      <c r="N897" s="119"/>
      <c r="Q897" s="118"/>
      <c r="R897" s="119"/>
      <c r="U897" s="118"/>
      <c r="V897" s="119"/>
    </row>
    <row r="898" spans="1:22" x14ac:dyDescent="0.3">
      <c r="A898" s="118"/>
      <c r="B898" s="119"/>
      <c r="E898" s="118"/>
      <c r="F898" s="119"/>
      <c r="I898" s="118"/>
      <c r="J898" s="119"/>
      <c r="M898" s="118"/>
      <c r="N898" s="119"/>
      <c r="Q898" s="118"/>
      <c r="R898" s="119"/>
      <c r="U898" s="118"/>
      <c r="V898" s="119"/>
    </row>
    <row r="899" spans="1:22" x14ac:dyDescent="0.3">
      <c r="A899" s="118"/>
      <c r="B899" s="119"/>
      <c r="E899" s="118"/>
      <c r="F899" s="119"/>
      <c r="I899" s="118"/>
      <c r="J899" s="119"/>
      <c r="M899" s="118"/>
      <c r="N899" s="119"/>
      <c r="Q899" s="118"/>
      <c r="R899" s="119"/>
      <c r="U899" s="118"/>
      <c r="V899" s="119"/>
    </row>
    <row r="900" spans="1:22" x14ac:dyDescent="0.3">
      <c r="A900" s="118"/>
      <c r="B900" s="119"/>
      <c r="E900" s="118"/>
      <c r="F900" s="119"/>
      <c r="I900" s="118"/>
      <c r="J900" s="119"/>
      <c r="M900" s="118"/>
      <c r="N900" s="119"/>
      <c r="Q900" s="118"/>
      <c r="R900" s="119"/>
      <c r="U900" s="118"/>
      <c r="V900" s="119"/>
    </row>
    <row r="901" spans="1:22" x14ac:dyDescent="0.3">
      <c r="A901" s="118"/>
      <c r="B901" s="119"/>
      <c r="E901" s="118"/>
      <c r="F901" s="119"/>
      <c r="I901" s="118"/>
      <c r="J901" s="119"/>
      <c r="M901" s="118"/>
      <c r="N901" s="119"/>
      <c r="Q901" s="118"/>
      <c r="R901" s="119"/>
      <c r="U901" s="118"/>
      <c r="V901" s="119"/>
    </row>
    <row r="902" spans="1:22" x14ac:dyDescent="0.3">
      <c r="A902" s="118"/>
      <c r="B902" s="119"/>
      <c r="E902" s="118"/>
      <c r="F902" s="119"/>
      <c r="I902" s="118"/>
      <c r="J902" s="119"/>
      <c r="M902" s="118"/>
      <c r="N902" s="119"/>
      <c r="Q902" s="118"/>
      <c r="R902" s="119"/>
      <c r="U902" s="118"/>
      <c r="V902" s="119"/>
    </row>
    <row r="903" spans="1:22" x14ac:dyDescent="0.3">
      <c r="A903" s="118"/>
      <c r="B903" s="119"/>
      <c r="E903" s="118"/>
      <c r="F903" s="119"/>
      <c r="I903" s="118"/>
      <c r="J903" s="119"/>
      <c r="M903" s="118"/>
      <c r="N903" s="119"/>
      <c r="Q903" s="118"/>
      <c r="R903" s="119"/>
      <c r="U903" s="118"/>
      <c r="V903" s="119"/>
    </row>
    <row r="904" spans="1:22" x14ac:dyDescent="0.3">
      <c r="A904" s="118"/>
      <c r="B904" s="119"/>
      <c r="E904" s="118"/>
      <c r="F904" s="119"/>
      <c r="I904" s="118"/>
      <c r="J904" s="119"/>
      <c r="M904" s="118"/>
      <c r="N904" s="119"/>
      <c r="Q904" s="118"/>
      <c r="R904" s="119"/>
      <c r="U904" s="118"/>
      <c r="V904" s="119"/>
    </row>
    <row r="905" spans="1:22" x14ac:dyDescent="0.3">
      <c r="A905" s="118"/>
      <c r="B905" s="119"/>
      <c r="E905" s="118"/>
      <c r="F905" s="119"/>
      <c r="I905" s="118"/>
      <c r="J905" s="119"/>
      <c r="M905" s="118"/>
      <c r="N905" s="119"/>
      <c r="Q905" s="118"/>
      <c r="R905" s="119"/>
      <c r="U905" s="118"/>
      <c r="V905" s="119"/>
    </row>
    <row r="906" spans="1:22" x14ac:dyDescent="0.3">
      <c r="A906" s="118"/>
      <c r="B906" s="119"/>
      <c r="E906" s="118"/>
      <c r="F906" s="119"/>
      <c r="I906" s="118"/>
      <c r="J906" s="119"/>
      <c r="M906" s="118"/>
      <c r="N906" s="119"/>
      <c r="Q906" s="118"/>
      <c r="R906" s="119"/>
      <c r="U906" s="118"/>
      <c r="V906" s="119"/>
    </row>
    <row r="907" spans="1:22" x14ac:dyDescent="0.3">
      <c r="A907" s="118"/>
      <c r="B907" s="119"/>
      <c r="E907" s="118"/>
      <c r="F907" s="119"/>
      <c r="I907" s="118"/>
      <c r="J907" s="119"/>
      <c r="M907" s="118"/>
      <c r="N907" s="119"/>
      <c r="Q907" s="118"/>
      <c r="R907" s="119"/>
      <c r="U907" s="118"/>
      <c r="V907" s="119"/>
    </row>
    <row r="908" spans="1:22" x14ac:dyDescent="0.3">
      <c r="A908" s="118"/>
      <c r="B908" s="119"/>
      <c r="E908" s="118"/>
      <c r="F908" s="119"/>
      <c r="I908" s="118"/>
      <c r="J908" s="119"/>
      <c r="M908" s="118"/>
      <c r="N908" s="119"/>
      <c r="Q908" s="118"/>
      <c r="R908" s="119"/>
      <c r="U908" s="118"/>
      <c r="V908" s="119"/>
    </row>
    <row r="909" spans="1:22" x14ac:dyDescent="0.3">
      <c r="A909" s="118"/>
      <c r="B909" s="119"/>
      <c r="E909" s="118"/>
      <c r="F909" s="119"/>
      <c r="I909" s="118"/>
      <c r="J909" s="119"/>
      <c r="M909" s="118"/>
      <c r="N909" s="119"/>
      <c r="Q909" s="118"/>
      <c r="R909" s="119"/>
      <c r="U909" s="118"/>
      <c r="V909" s="119"/>
    </row>
    <row r="910" spans="1:22" x14ac:dyDescent="0.3">
      <c r="A910" s="118"/>
      <c r="B910" s="119"/>
      <c r="E910" s="118"/>
      <c r="F910" s="119"/>
      <c r="I910" s="118"/>
      <c r="J910" s="119"/>
      <c r="M910" s="118"/>
      <c r="N910" s="119"/>
      <c r="Q910" s="118"/>
      <c r="R910" s="119"/>
      <c r="U910" s="118"/>
      <c r="V910" s="119"/>
    </row>
    <row r="911" spans="1:22" x14ac:dyDescent="0.3">
      <c r="A911" s="118"/>
      <c r="B911" s="119"/>
      <c r="E911" s="118"/>
      <c r="F911" s="119"/>
      <c r="I911" s="118"/>
      <c r="J911" s="119"/>
      <c r="M911" s="118"/>
      <c r="N911" s="119"/>
      <c r="Q911" s="118"/>
      <c r="R911" s="119"/>
      <c r="U911" s="118"/>
      <c r="V911" s="119"/>
    </row>
    <row r="912" spans="1:22" x14ac:dyDescent="0.3">
      <c r="A912" s="118"/>
      <c r="B912" s="119"/>
      <c r="E912" s="118"/>
      <c r="F912" s="119"/>
      <c r="I912" s="118"/>
      <c r="J912" s="119"/>
      <c r="M912" s="118"/>
      <c r="N912" s="119"/>
      <c r="Q912" s="118"/>
      <c r="R912" s="119"/>
      <c r="U912" s="118"/>
      <c r="V912" s="119"/>
    </row>
    <row r="913" spans="1:22" x14ac:dyDescent="0.3">
      <c r="A913" s="118"/>
      <c r="B913" s="119"/>
      <c r="E913" s="118"/>
      <c r="F913" s="119"/>
      <c r="I913" s="118"/>
      <c r="J913" s="119"/>
      <c r="M913" s="118"/>
      <c r="N913" s="119"/>
      <c r="Q913" s="118"/>
      <c r="R913" s="119"/>
      <c r="U913" s="118"/>
      <c r="V913" s="119"/>
    </row>
    <row r="914" spans="1:22" x14ac:dyDescent="0.3">
      <c r="A914" s="118"/>
      <c r="B914" s="119"/>
      <c r="E914" s="118"/>
      <c r="F914" s="119"/>
      <c r="I914" s="118"/>
      <c r="J914" s="119"/>
      <c r="M914" s="118"/>
      <c r="N914" s="119"/>
      <c r="Q914" s="118"/>
      <c r="R914" s="119"/>
      <c r="U914" s="118"/>
      <c r="V914" s="119"/>
    </row>
    <row r="915" spans="1:22" x14ac:dyDescent="0.3">
      <c r="A915" s="118"/>
      <c r="B915" s="119"/>
      <c r="E915" s="118"/>
      <c r="F915" s="119"/>
      <c r="I915" s="118"/>
      <c r="J915" s="119"/>
      <c r="M915" s="118"/>
      <c r="N915" s="119"/>
      <c r="Q915" s="118"/>
      <c r="R915" s="119"/>
      <c r="U915" s="118"/>
      <c r="V915" s="119"/>
    </row>
    <row r="916" spans="1:22" x14ac:dyDescent="0.3">
      <c r="A916" s="118"/>
      <c r="B916" s="119"/>
      <c r="E916" s="118"/>
      <c r="F916" s="119"/>
      <c r="I916" s="118"/>
      <c r="J916" s="119"/>
      <c r="M916" s="118"/>
      <c r="N916" s="119"/>
      <c r="Q916" s="118"/>
      <c r="R916" s="119"/>
      <c r="U916" s="118"/>
      <c r="V916" s="119"/>
    </row>
    <row r="917" spans="1:22" x14ac:dyDescent="0.3">
      <c r="A917" s="118"/>
      <c r="B917" s="119"/>
      <c r="E917" s="118"/>
      <c r="F917" s="119"/>
      <c r="I917" s="118"/>
      <c r="J917" s="119"/>
      <c r="M917" s="118"/>
      <c r="N917" s="119"/>
      <c r="Q917" s="118"/>
      <c r="R917" s="119"/>
      <c r="U917" s="118"/>
      <c r="V917" s="119"/>
    </row>
    <row r="918" spans="1:22" x14ac:dyDescent="0.3">
      <c r="A918" s="118"/>
      <c r="B918" s="119"/>
      <c r="E918" s="118"/>
      <c r="F918" s="119"/>
      <c r="I918" s="118"/>
      <c r="J918" s="119"/>
      <c r="M918" s="118"/>
      <c r="N918" s="119"/>
      <c r="Q918" s="118"/>
      <c r="R918" s="119"/>
      <c r="U918" s="118"/>
      <c r="V918" s="119"/>
    </row>
    <row r="919" spans="1:22" x14ac:dyDescent="0.3">
      <c r="A919" s="118"/>
      <c r="B919" s="119"/>
      <c r="E919" s="118"/>
      <c r="F919" s="119"/>
      <c r="I919" s="118"/>
      <c r="J919" s="119"/>
      <c r="M919" s="118"/>
      <c r="N919" s="119"/>
      <c r="Q919" s="118"/>
      <c r="R919" s="119"/>
      <c r="U919" s="118"/>
      <c r="V919" s="119"/>
    </row>
    <row r="920" spans="1:22" x14ac:dyDescent="0.3">
      <c r="A920" s="118"/>
      <c r="B920" s="119"/>
      <c r="E920" s="118"/>
      <c r="F920" s="119"/>
      <c r="I920" s="118"/>
      <c r="J920" s="119"/>
      <c r="M920" s="118"/>
      <c r="N920" s="119"/>
      <c r="Q920" s="118"/>
      <c r="R920" s="119"/>
      <c r="U920" s="118"/>
      <c r="V920" s="119"/>
    </row>
    <row r="921" spans="1:22" x14ac:dyDescent="0.3">
      <c r="A921" s="118"/>
      <c r="B921" s="119"/>
      <c r="E921" s="118"/>
      <c r="F921" s="119"/>
      <c r="I921" s="118"/>
      <c r="J921" s="119"/>
      <c r="M921" s="118"/>
      <c r="N921" s="119"/>
      <c r="Q921" s="118"/>
      <c r="R921" s="119"/>
      <c r="U921" s="118"/>
      <c r="V921" s="119"/>
    </row>
    <row r="922" spans="1:22" x14ac:dyDescent="0.3">
      <c r="A922" s="118"/>
      <c r="B922" s="119"/>
      <c r="E922" s="118"/>
      <c r="F922" s="119"/>
      <c r="I922" s="118"/>
      <c r="J922" s="119"/>
      <c r="M922" s="118"/>
      <c r="N922" s="119"/>
      <c r="Q922" s="118"/>
      <c r="R922" s="119"/>
      <c r="U922" s="118"/>
      <c r="V922" s="119"/>
    </row>
    <row r="923" spans="1:22" x14ac:dyDescent="0.3">
      <c r="A923" s="118"/>
      <c r="B923" s="119"/>
      <c r="E923" s="118"/>
      <c r="F923" s="119"/>
      <c r="I923" s="118"/>
      <c r="J923" s="119"/>
      <c r="M923" s="118"/>
      <c r="N923" s="119"/>
      <c r="Q923" s="118"/>
      <c r="R923" s="119"/>
      <c r="U923" s="118"/>
      <c r="V923" s="119"/>
    </row>
    <row r="924" spans="1:22" x14ac:dyDescent="0.3">
      <c r="A924" s="118"/>
      <c r="B924" s="119"/>
      <c r="E924" s="118"/>
      <c r="F924" s="119"/>
      <c r="I924" s="118"/>
      <c r="J924" s="119"/>
      <c r="M924" s="118"/>
      <c r="N924" s="119"/>
      <c r="Q924" s="118"/>
      <c r="R924" s="119"/>
      <c r="U924" s="118"/>
      <c r="V924" s="119"/>
    </row>
    <row r="925" spans="1:22" x14ac:dyDescent="0.3">
      <c r="A925" s="118"/>
      <c r="B925" s="119"/>
      <c r="E925" s="118"/>
      <c r="F925" s="119"/>
      <c r="I925" s="118"/>
      <c r="J925" s="119"/>
      <c r="M925" s="118"/>
      <c r="N925" s="119"/>
      <c r="Q925" s="118"/>
      <c r="R925" s="119"/>
      <c r="U925" s="118"/>
      <c r="V925" s="119"/>
    </row>
    <row r="926" spans="1:22" x14ac:dyDescent="0.3">
      <c r="A926" s="118"/>
      <c r="B926" s="119"/>
      <c r="E926" s="118"/>
      <c r="F926" s="119"/>
      <c r="I926" s="118"/>
      <c r="J926" s="119"/>
      <c r="M926" s="118"/>
      <c r="N926" s="119"/>
      <c r="Q926" s="118"/>
      <c r="R926" s="119"/>
      <c r="U926" s="118"/>
      <c r="V926" s="119"/>
    </row>
    <row r="927" spans="1:22" x14ac:dyDescent="0.3">
      <c r="A927" s="118"/>
      <c r="B927" s="119"/>
      <c r="E927" s="118"/>
      <c r="F927" s="119"/>
      <c r="I927" s="118"/>
      <c r="J927" s="119"/>
      <c r="M927" s="118"/>
      <c r="N927" s="119"/>
      <c r="Q927" s="118"/>
      <c r="R927" s="119"/>
      <c r="U927" s="118"/>
      <c r="V927" s="119"/>
    </row>
    <row r="928" spans="1:22" x14ac:dyDescent="0.3">
      <c r="A928" s="118"/>
      <c r="B928" s="119"/>
      <c r="E928" s="118"/>
      <c r="F928" s="119"/>
      <c r="I928" s="118"/>
      <c r="J928" s="119"/>
      <c r="M928" s="118"/>
      <c r="N928" s="119"/>
      <c r="Q928" s="118"/>
      <c r="R928" s="119"/>
      <c r="U928" s="118"/>
      <c r="V928" s="119"/>
    </row>
    <row r="929" spans="1:22" x14ac:dyDescent="0.3">
      <c r="A929" s="118"/>
      <c r="B929" s="119"/>
      <c r="E929" s="118"/>
      <c r="F929" s="119"/>
      <c r="I929" s="118"/>
      <c r="J929" s="119"/>
      <c r="M929" s="118"/>
      <c r="N929" s="119"/>
      <c r="Q929" s="118"/>
      <c r="R929" s="119"/>
      <c r="U929" s="118"/>
      <c r="V929" s="119"/>
    </row>
    <row r="930" spans="1:22" x14ac:dyDescent="0.3">
      <c r="A930" s="118"/>
      <c r="B930" s="119"/>
      <c r="E930" s="118"/>
      <c r="F930" s="119"/>
      <c r="I930" s="118"/>
      <c r="J930" s="119"/>
      <c r="M930" s="118"/>
      <c r="N930" s="119"/>
      <c r="Q930" s="118"/>
      <c r="R930" s="119"/>
      <c r="U930" s="118"/>
      <c r="V930" s="119"/>
    </row>
    <row r="931" spans="1:22" x14ac:dyDescent="0.3">
      <c r="A931" s="118"/>
      <c r="B931" s="119"/>
      <c r="E931" s="118"/>
      <c r="F931" s="119"/>
      <c r="I931" s="118"/>
      <c r="J931" s="119"/>
      <c r="M931" s="118"/>
      <c r="N931" s="119"/>
      <c r="Q931" s="118"/>
      <c r="R931" s="119"/>
      <c r="U931" s="118"/>
      <c r="V931" s="119"/>
    </row>
    <row r="932" spans="1:22" x14ac:dyDescent="0.3">
      <c r="A932" s="118"/>
      <c r="B932" s="119"/>
      <c r="E932" s="118"/>
      <c r="F932" s="119"/>
      <c r="I932" s="118"/>
      <c r="J932" s="119"/>
      <c r="M932" s="118"/>
      <c r="N932" s="119"/>
      <c r="Q932" s="118"/>
      <c r="R932" s="119"/>
      <c r="U932" s="118"/>
      <c r="V932" s="119"/>
    </row>
    <row r="933" spans="1:22" x14ac:dyDescent="0.3">
      <c r="A933" s="118"/>
      <c r="B933" s="119"/>
      <c r="E933" s="118"/>
      <c r="F933" s="119"/>
      <c r="I933" s="118"/>
      <c r="J933" s="119"/>
      <c r="M933" s="118"/>
      <c r="N933" s="119"/>
      <c r="Q933" s="118"/>
      <c r="R933" s="119"/>
      <c r="U933" s="118"/>
      <c r="V933" s="119"/>
    </row>
    <row r="934" spans="1:22" x14ac:dyDescent="0.3">
      <c r="A934" s="118"/>
      <c r="B934" s="119"/>
      <c r="E934" s="118"/>
      <c r="F934" s="119"/>
      <c r="I934" s="118"/>
      <c r="J934" s="119"/>
      <c r="M934" s="118"/>
      <c r="N934" s="119"/>
      <c r="Q934" s="118"/>
      <c r="R934" s="119"/>
      <c r="U934" s="118"/>
      <c r="V934" s="119"/>
    </row>
    <row r="935" spans="1:22" x14ac:dyDescent="0.3">
      <c r="A935" s="118"/>
      <c r="B935" s="119"/>
      <c r="E935" s="118"/>
      <c r="F935" s="119"/>
      <c r="I935" s="118"/>
      <c r="J935" s="119"/>
      <c r="M935" s="118"/>
      <c r="N935" s="119"/>
      <c r="Q935" s="118"/>
      <c r="R935" s="119"/>
      <c r="U935" s="118"/>
      <c r="V935" s="119"/>
    </row>
    <row r="936" spans="1:22" x14ac:dyDescent="0.3">
      <c r="A936" s="118"/>
      <c r="B936" s="119"/>
      <c r="E936" s="118"/>
      <c r="F936" s="119"/>
      <c r="I936" s="118"/>
      <c r="J936" s="119"/>
      <c r="M936" s="118"/>
      <c r="N936" s="119"/>
      <c r="Q936" s="118"/>
      <c r="R936" s="119"/>
      <c r="U936" s="118"/>
      <c r="V936" s="119"/>
    </row>
    <row r="937" spans="1:22" x14ac:dyDescent="0.3">
      <c r="A937" s="118"/>
      <c r="B937" s="119"/>
      <c r="E937" s="118"/>
      <c r="F937" s="119"/>
      <c r="I937" s="118"/>
      <c r="J937" s="119"/>
      <c r="M937" s="118"/>
      <c r="N937" s="119"/>
      <c r="Q937" s="118"/>
      <c r="R937" s="119"/>
      <c r="U937" s="118"/>
      <c r="V937" s="119"/>
    </row>
    <row r="938" spans="1:22" x14ac:dyDescent="0.3">
      <c r="A938" s="118"/>
      <c r="B938" s="119"/>
      <c r="E938" s="118"/>
      <c r="F938" s="119"/>
      <c r="I938" s="118"/>
      <c r="J938" s="119"/>
      <c r="M938" s="118"/>
      <c r="N938" s="119"/>
      <c r="Q938" s="118"/>
      <c r="R938" s="119"/>
      <c r="U938" s="118"/>
      <c r="V938" s="119"/>
    </row>
    <row r="939" spans="1:22" x14ac:dyDescent="0.3">
      <c r="A939" s="118"/>
      <c r="B939" s="119"/>
      <c r="E939" s="118"/>
      <c r="F939" s="119"/>
      <c r="I939" s="118"/>
      <c r="J939" s="119"/>
      <c r="M939" s="118"/>
      <c r="N939" s="119"/>
      <c r="Q939" s="118"/>
      <c r="R939" s="119"/>
      <c r="U939" s="118"/>
      <c r="V939" s="119"/>
    </row>
    <row r="940" spans="1:22" x14ac:dyDescent="0.3">
      <c r="A940" s="118"/>
      <c r="B940" s="119"/>
      <c r="E940" s="118"/>
      <c r="F940" s="119"/>
      <c r="I940" s="118"/>
      <c r="J940" s="119"/>
      <c r="M940" s="118"/>
      <c r="N940" s="119"/>
      <c r="Q940" s="118"/>
      <c r="R940" s="119"/>
      <c r="U940" s="118"/>
      <c r="V940" s="119"/>
    </row>
    <row r="941" spans="1:22" x14ac:dyDescent="0.3">
      <c r="A941" s="118"/>
      <c r="B941" s="119"/>
      <c r="E941" s="118"/>
      <c r="F941" s="119"/>
      <c r="I941" s="118"/>
      <c r="J941" s="119"/>
      <c r="M941" s="118"/>
      <c r="N941" s="119"/>
      <c r="Q941" s="118"/>
      <c r="R941" s="119"/>
      <c r="U941" s="118"/>
      <c r="V941" s="119"/>
    </row>
    <row r="942" spans="1:22" x14ac:dyDescent="0.3">
      <c r="A942" s="118"/>
      <c r="B942" s="119"/>
      <c r="E942" s="118"/>
      <c r="F942" s="119"/>
      <c r="I942" s="118"/>
      <c r="J942" s="119"/>
      <c r="M942" s="118"/>
      <c r="N942" s="119"/>
      <c r="Q942" s="118"/>
      <c r="R942" s="119"/>
      <c r="U942" s="118"/>
      <c r="V942" s="119"/>
    </row>
    <row r="943" spans="1:22" x14ac:dyDescent="0.3">
      <c r="A943" s="118"/>
      <c r="B943" s="119"/>
      <c r="E943" s="118"/>
      <c r="F943" s="119"/>
      <c r="I943" s="118"/>
      <c r="J943" s="119"/>
      <c r="M943" s="118"/>
      <c r="N943" s="119"/>
      <c r="Q943" s="118"/>
      <c r="R943" s="119"/>
      <c r="U943" s="118"/>
      <c r="V943" s="119"/>
    </row>
    <row r="944" spans="1:22" x14ac:dyDescent="0.3">
      <c r="A944" s="118"/>
      <c r="B944" s="119"/>
      <c r="E944" s="118"/>
      <c r="F944" s="119"/>
      <c r="I944" s="118"/>
      <c r="J944" s="119"/>
      <c r="M944" s="118"/>
      <c r="N944" s="119"/>
      <c r="Q944" s="118"/>
      <c r="R944" s="119"/>
      <c r="U944" s="118"/>
      <c r="V944" s="119"/>
    </row>
    <row r="945" spans="1:22" x14ac:dyDescent="0.3">
      <c r="A945" s="118"/>
      <c r="B945" s="119"/>
      <c r="E945" s="118"/>
      <c r="F945" s="119"/>
      <c r="I945" s="118"/>
      <c r="J945" s="119"/>
      <c r="M945" s="118"/>
      <c r="N945" s="119"/>
      <c r="Q945" s="118"/>
      <c r="R945" s="119"/>
      <c r="U945" s="118"/>
      <c r="V945" s="119"/>
    </row>
    <row r="946" spans="1:22" x14ac:dyDescent="0.3">
      <c r="A946" s="118"/>
      <c r="B946" s="119"/>
      <c r="E946" s="118"/>
      <c r="F946" s="119"/>
      <c r="I946" s="118"/>
      <c r="J946" s="119"/>
      <c r="M946" s="118"/>
      <c r="N946" s="119"/>
      <c r="Q946" s="118"/>
      <c r="R946" s="119"/>
      <c r="U946" s="118"/>
      <c r="V946" s="119"/>
    </row>
    <row r="947" spans="1:22" x14ac:dyDescent="0.3">
      <c r="A947" s="118"/>
      <c r="B947" s="119"/>
      <c r="E947" s="118"/>
      <c r="F947" s="119"/>
      <c r="I947" s="118"/>
      <c r="J947" s="119"/>
      <c r="M947" s="118"/>
      <c r="N947" s="119"/>
      <c r="Q947" s="118"/>
      <c r="R947" s="119"/>
      <c r="U947" s="118"/>
      <c r="V947" s="119"/>
    </row>
    <row r="948" spans="1:22" x14ac:dyDescent="0.3">
      <c r="A948" s="118"/>
      <c r="B948" s="119"/>
      <c r="E948" s="118"/>
      <c r="F948" s="119"/>
      <c r="I948" s="118"/>
      <c r="J948" s="119"/>
      <c r="M948" s="118"/>
      <c r="N948" s="119"/>
      <c r="Q948" s="118"/>
      <c r="R948" s="119"/>
      <c r="U948" s="118"/>
      <c r="V948" s="119"/>
    </row>
    <row r="949" spans="1:22" x14ac:dyDescent="0.3">
      <c r="A949" s="118"/>
      <c r="B949" s="119"/>
      <c r="E949" s="118"/>
      <c r="F949" s="119"/>
      <c r="I949" s="118"/>
      <c r="J949" s="119"/>
      <c r="M949" s="118"/>
      <c r="N949" s="119"/>
      <c r="Q949" s="118"/>
      <c r="R949" s="119"/>
      <c r="U949" s="118"/>
      <c r="V949" s="119"/>
    </row>
    <row r="950" spans="1:22" x14ac:dyDescent="0.3">
      <c r="A950" s="118"/>
      <c r="B950" s="119"/>
      <c r="E950" s="118"/>
      <c r="F950" s="119"/>
      <c r="I950" s="118"/>
      <c r="J950" s="119"/>
      <c r="M950" s="118"/>
      <c r="N950" s="119"/>
      <c r="Q950" s="118"/>
      <c r="R950" s="119"/>
      <c r="U950" s="118"/>
      <c r="V950" s="119"/>
    </row>
    <row r="951" spans="1:22" x14ac:dyDescent="0.3">
      <c r="A951" s="118"/>
      <c r="B951" s="119"/>
      <c r="E951" s="118"/>
      <c r="F951" s="119"/>
      <c r="I951" s="118"/>
      <c r="J951" s="119"/>
      <c r="M951" s="118"/>
      <c r="N951" s="119"/>
      <c r="Q951" s="118"/>
      <c r="R951" s="119"/>
      <c r="U951" s="118"/>
      <c r="V951" s="119"/>
    </row>
    <row r="952" spans="1:22" x14ac:dyDescent="0.3">
      <c r="A952" s="118"/>
      <c r="B952" s="119"/>
      <c r="E952" s="118"/>
      <c r="F952" s="119"/>
      <c r="I952" s="118"/>
      <c r="J952" s="119"/>
      <c r="M952" s="118"/>
      <c r="N952" s="119"/>
      <c r="Q952" s="118"/>
      <c r="R952" s="119"/>
      <c r="U952" s="118"/>
      <c r="V952" s="119"/>
    </row>
    <row r="953" spans="1:22" x14ac:dyDescent="0.3">
      <c r="A953" s="118"/>
      <c r="B953" s="119"/>
      <c r="E953" s="118"/>
      <c r="F953" s="119"/>
      <c r="I953" s="118"/>
      <c r="J953" s="119"/>
      <c r="M953" s="118"/>
      <c r="N953" s="119"/>
      <c r="Q953" s="118"/>
      <c r="R953" s="119"/>
      <c r="U953" s="118"/>
      <c r="V953" s="119"/>
    </row>
    <row r="954" spans="1:22" x14ac:dyDescent="0.3">
      <c r="A954" s="118"/>
      <c r="B954" s="119"/>
      <c r="E954" s="118"/>
      <c r="F954" s="119"/>
      <c r="I954" s="118"/>
      <c r="J954" s="119"/>
      <c r="M954" s="118"/>
      <c r="N954" s="119"/>
      <c r="Q954" s="118"/>
      <c r="R954" s="119"/>
      <c r="U954" s="118"/>
      <c r="V954" s="119"/>
    </row>
    <row r="955" spans="1:22" x14ac:dyDescent="0.3">
      <c r="A955" s="118"/>
      <c r="B955" s="119"/>
      <c r="E955" s="118"/>
      <c r="F955" s="119"/>
      <c r="I955" s="118"/>
      <c r="J955" s="119"/>
      <c r="M955" s="118"/>
      <c r="N955" s="119"/>
      <c r="Q955" s="118"/>
      <c r="R955" s="119"/>
      <c r="U955" s="118"/>
      <c r="V955" s="119"/>
    </row>
    <row r="956" spans="1:22" x14ac:dyDescent="0.3">
      <c r="A956" s="118"/>
      <c r="B956" s="119"/>
      <c r="E956" s="118"/>
      <c r="F956" s="119"/>
      <c r="I956" s="118"/>
      <c r="J956" s="119"/>
      <c r="M956" s="118"/>
      <c r="N956" s="119"/>
      <c r="Q956" s="118"/>
      <c r="R956" s="119"/>
      <c r="U956" s="118"/>
      <c r="V956" s="119"/>
    </row>
    <row r="957" spans="1:22" x14ac:dyDescent="0.3">
      <c r="A957" s="118"/>
      <c r="B957" s="119"/>
      <c r="E957" s="118"/>
      <c r="F957" s="119"/>
      <c r="I957" s="118"/>
      <c r="J957" s="119"/>
      <c r="M957" s="118"/>
      <c r="N957" s="119"/>
      <c r="Q957" s="118"/>
      <c r="R957" s="119"/>
      <c r="U957" s="118"/>
      <c r="V957" s="119"/>
    </row>
    <row r="958" spans="1:22" x14ac:dyDescent="0.3">
      <c r="A958" s="118"/>
      <c r="B958" s="119"/>
      <c r="E958" s="118"/>
      <c r="F958" s="119"/>
      <c r="I958" s="118"/>
      <c r="J958" s="119"/>
      <c r="M958" s="118"/>
      <c r="N958" s="119"/>
      <c r="Q958" s="118"/>
      <c r="R958" s="119"/>
      <c r="U958" s="118"/>
      <c r="V958" s="119"/>
    </row>
    <row r="959" spans="1:22" x14ac:dyDescent="0.3">
      <c r="A959" s="118"/>
      <c r="B959" s="119"/>
      <c r="E959" s="118"/>
      <c r="F959" s="119"/>
      <c r="I959" s="118"/>
      <c r="J959" s="119"/>
      <c r="M959" s="118"/>
      <c r="N959" s="119"/>
      <c r="Q959" s="118"/>
      <c r="R959" s="119"/>
      <c r="U959" s="118"/>
      <c r="V959" s="119"/>
    </row>
    <row r="960" spans="1:22" x14ac:dyDescent="0.3">
      <c r="A960" s="118"/>
      <c r="B960" s="119"/>
      <c r="E960" s="118"/>
      <c r="F960" s="119"/>
      <c r="I960" s="118"/>
      <c r="J960" s="119"/>
      <c r="M960" s="118"/>
      <c r="N960" s="119"/>
      <c r="Q960" s="118"/>
      <c r="R960" s="119"/>
      <c r="U960" s="118"/>
      <c r="V960" s="119"/>
    </row>
    <row r="961" spans="1:22" x14ac:dyDescent="0.3">
      <c r="A961" s="118"/>
      <c r="B961" s="119"/>
      <c r="E961" s="118"/>
      <c r="F961" s="119"/>
      <c r="I961" s="118"/>
      <c r="J961" s="119"/>
      <c r="M961" s="118"/>
      <c r="N961" s="119"/>
      <c r="Q961" s="118"/>
      <c r="R961" s="119"/>
      <c r="U961" s="118"/>
      <c r="V961" s="119"/>
    </row>
    <row r="962" spans="1:22" x14ac:dyDescent="0.3">
      <c r="A962" s="118"/>
      <c r="B962" s="119"/>
      <c r="E962" s="118"/>
      <c r="F962" s="119"/>
      <c r="I962" s="118"/>
      <c r="J962" s="119"/>
      <c r="M962" s="118"/>
      <c r="N962" s="119"/>
      <c r="Q962" s="118"/>
      <c r="R962" s="119"/>
      <c r="U962" s="118"/>
      <c r="V962" s="119"/>
    </row>
    <row r="963" spans="1:22" x14ac:dyDescent="0.3">
      <c r="A963" s="118"/>
      <c r="B963" s="119"/>
      <c r="E963" s="118"/>
      <c r="F963" s="119"/>
      <c r="I963" s="118"/>
      <c r="J963" s="119"/>
      <c r="M963" s="118"/>
      <c r="N963" s="119"/>
      <c r="Q963" s="118"/>
      <c r="R963" s="119"/>
      <c r="U963" s="118"/>
      <c r="V963" s="119"/>
    </row>
    <row r="964" spans="1:22" x14ac:dyDescent="0.3">
      <c r="A964" s="118"/>
      <c r="B964" s="119"/>
      <c r="E964" s="118"/>
      <c r="F964" s="119"/>
      <c r="I964" s="118"/>
      <c r="J964" s="119"/>
      <c r="M964" s="118"/>
      <c r="N964" s="119"/>
      <c r="Q964" s="118"/>
      <c r="R964" s="119"/>
      <c r="U964" s="118"/>
      <c r="V964" s="119"/>
    </row>
    <row r="965" spans="1:22" x14ac:dyDescent="0.3">
      <c r="A965" s="118"/>
      <c r="B965" s="119"/>
      <c r="E965" s="118"/>
      <c r="F965" s="119"/>
      <c r="I965" s="118"/>
      <c r="J965" s="119"/>
      <c r="M965" s="118"/>
      <c r="N965" s="119"/>
      <c r="Q965" s="118"/>
      <c r="R965" s="119"/>
      <c r="U965" s="118"/>
      <c r="V965" s="119"/>
    </row>
    <row r="966" spans="1:22" x14ac:dyDescent="0.3">
      <c r="A966" s="118"/>
      <c r="B966" s="119"/>
      <c r="E966" s="118"/>
      <c r="F966" s="119"/>
      <c r="I966" s="118"/>
      <c r="J966" s="119"/>
      <c r="M966" s="118"/>
      <c r="N966" s="119"/>
      <c r="Q966" s="118"/>
      <c r="R966" s="119"/>
      <c r="U966" s="118"/>
      <c r="V966" s="119"/>
    </row>
    <row r="967" spans="1:22" x14ac:dyDescent="0.3">
      <c r="A967" s="118"/>
      <c r="B967" s="119"/>
      <c r="E967" s="118"/>
      <c r="F967" s="119"/>
      <c r="I967" s="118"/>
      <c r="J967" s="119"/>
      <c r="M967" s="118"/>
      <c r="N967" s="119"/>
      <c r="Q967" s="118"/>
      <c r="R967" s="119"/>
      <c r="U967" s="118"/>
      <c r="V967" s="119"/>
    </row>
    <row r="968" spans="1:22" x14ac:dyDescent="0.3">
      <c r="A968" s="118"/>
      <c r="B968" s="119"/>
      <c r="E968" s="118"/>
      <c r="F968" s="119"/>
      <c r="I968" s="118"/>
      <c r="J968" s="119"/>
      <c r="M968" s="118"/>
      <c r="N968" s="119"/>
      <c r="Q968" s="118"/>
      <c r="R968" s="119"/>
      <c r="U968" s="118"/>
      <c r="V968" s="119"/>
    </row>
    <row r="969" spans="1:22" x14ac:dyDescent="0.3">
      <c r="A969" s="118"/>
      <c r="B969" s="119"/>
      <c r="E969" s="118"/>
      <c r="F969" s="119"/>
      <c r="I969" s="118"/>
      <c r="J969" s="119"/>
      <c r="M969" s="118"/>
      <c r="N969" s="119"/>
      <c r="Q969" s="118"/>
      <c r="R969" s="119"/>
      <c r="U969" s="118"/>
      <c r="V969" s="119"/>
    </row>
    <row r="970" spans="1:22" x14ac:dyDescent="0.3">
      <c r="A970" s="118"/>
      <c r="B970" s="119"/>
      <c r="E970" s="118"/>
      <c r="F970" s="119"/>
      <c r="I970" s="118"/>
      <c r="J970" s="119"/>
      <c r="M970" s="118"/>
      <c r="N970" s="119"/>
      <c r="Q970" s="118"/>
      <c r="R970" s="119"/>
      <c r="U970" s="118"/>
      <c r="V970" s="119"/>
    </row>
    <row r="971" spans="1:22" x14ac:dyDescent="0.3">
      <c r="A971" s="118"/>
      <c r="B971" s="119"/>
      <c r="E971" s="118"/>
      <c r="F971" s="119"/>
      <c r="I971" s="118"/>
      <c r="J971" s="119"/>
      <c r="M971" s="118"/>
      <c r="N971" s="119"/>
      <c r="Q971" s="118"/>
      <c r="R971" s="119"/>
      <c r="U971" s="118"/>
      <c r="V971" s="119"/>
    </row>
    <row r="972" spans="1:22" x14ac:dyDescent="0.3">
      <c r="A972" s="118"/>
      <c r="B972" s="119"/>
      <c r="E972" s="118"/>
      <c r="F972" s="119"/>
      <c r="I972" s="118"/>
      <c r="J972" s="119"/>
      <c r="M972" s="118"/>
      <c r="N972" s="119"/>
      <c r="Q972" s="118"/>
      <c r="R972" s="119"/>
      <c r="U972" s="118"/>
      <c r="V972" s="119"/>
    </row>
    <row r="973" spans="1:22" x14ac:dyDescent="0.3">
      <c r="A973" s="118"/>
      <c r="B973" s="119"/>
      <c r="E973" s="118"/>
      <c r="F973" s="119"/>
      <c r="I973" s="118"/>
      <c r="J973" s="119"/>
      <c r="M973" s="118"/>
      <c r="N973" s="119"/>
      <c r="Q973" s="118"/>
      <c r="R973" s="119"/>
      <c r="U973" s="118"/>
      <c r="V973" s="119"/>
    </row>
    <row r="974" spans="1:22" x14ac:dyDescent="0.3">
      <c r="A974" s="118"/>
      <c r="B974" s="119"/>
      <c r="E974" s="118"/>
      <c r="F974" s="119"/>
      <c r="I974" s="118"/>
      <c r="J974" s="119"/>
      <c r="M974" s="118"/>
      <c r="N974" s="119"/>
      <c r="Q974" s="118"/>
      <c r="R974" s="119"/>
      <c r="U974" s="118"/>
      <c r="V974" s="119"/>
    </row>
    <row r="975" spans="1:22" x14ac:dyDescent="0.3">
      <c r="A975" s="118"/>
      <c r="B975" s="119"/>
      <c r="E975" s="118"/>
      <c r="F975" s="119"/>
      <c r="I975" s="118"/>
      <c r="J975" s="119"/>
      <c r="M975" s="118"/>
      <c r="N975" s="119"/>
      <c r="Q975" s="118"/>
      <c r="R975" s="119"/>
      <c r="U975" s="118"/>
      <c r="V975" s="119"/>
    </row>
    <row r="976" spans="1:22" x14ac:dyDescent="0.3">
      <c r="A976" s="118"/>
      <c r="B976" s="119"/>
      <c r="E976" s="118"/>
      <c r="F976" s="119"/>
      <c r="I976" s="118"/>
      <c r="J976" s="119"/>
      <c r="M976" s="118"/>
      <c r="N976" s="119"/>
      <c r="Q976" s="118"/>
      <c r="R976" s="119"/>
      <c r="U976" s="118"/>
      <c r="V976" s="119"/>
    </row>
    <row r="977" spans="1:22" x14ac:dyDescent="0.3">
      <c r="A977" s="118"/>
      <c r="B977" s="119"/>
      <c r="E977" s="118"/>
      <c r="F977" s="119"/>
      <c r="I977" s="118"/>
      <c r="J977" s="119"/>
      <c r="M977" s="118"/>
      <c r="N977" s="119"/>
      <c r="Q977" s="118"/>
      <c r="R977" s="119"/>
      <c r="U977" s="118"/>
      <c r="V977" s="119"/>
    </row>
    <row r="978" spans="1:22" x14ac:dyDescent="0.3">
      <c r="A978" s="118"/>
      <c r="B978" s="119"/>
      <c r="E978" s="118"/>
      <c r="F978" s="119"/>
      <c r="I978" s="118"/>
      <c r="J978" s="119"/>
      <c r="M978" s="118"/>
      <c r="N978" s="119"/>
      <c r="Q978" s="118"/>
      <c r="R978" s="119"/>
      <c r="U978" s="118"/>
      <c r="V978" s="119"/>
    </row>
    <row r="979" spans="1:22" x14ac:dyDescent="0.3">
      <c r="A979" s="118"/>
      <c r="B979" s="119"/>
      <c r="E979" s="118"/>
      <c r="F979" s="119"/>
      <c r="I979" s="118"/>
      <c r="J979" s="119"/>
      <c r="M979" s="118"/>
      <c r="N979" s="119"/>
      <c r="Q979" s="118"/>
      <c r="R979" s="119"/>
      <c r="U979" s="118"/>
      <c r="V979" s="119"/>
    </row>
    <row r="980" spans="1:22" x14ac:dyDescent="0.3">
      <c r="A980" s="118"/>
      <c r="B980" s="119"/>
      <c r="E980" s="118"/>
      <c r="F980" s="119"/>
      <c r="I980" s="118"/>
      <c r="J980" s="119"/>
      <c r="M980" s="118"/>
      <c r="N980" s="119"/>
      <c r="Q980" s="118"/>
      <c r="R980" s="119"/>
      <c r="U980" s="118"/>
      <c r="V980" s="119"/>
    </row>
    <row r="981" spans="1:22" x14ac:dyDescent="0.3">
      <c r="A981" s="118"/>
      <c r="B981" s="119"/>
      <c r="E981" s="118"/>
      <c r="F981" s="119"/>
      <c r="I981" s="118"/>
      <c r="J981" s="119"/>
      <c r="M981" s="118"/>
      <c r="N981" s="119"/>
      <c r="Q981" s="118"/>
      <c r="R981" s="119"/>
      <c r="U981" s="118"/>
      <c r="V981" s="119"/>
    </row>
    <row r="982" spans="1:22" x14ac:dyDescent="0.3">
      <c r="A982" s="118"/>
      <c r="B982" s="119"/>
      <c r="E982" s="118"/>
      <c r="F982" s="119"/>
      <c r="I982" s="118"/>
      <c r="J982" s="119"/>
      <c r="M982" s="118"/>
      <c r="N982" s="119"/>
      <c r="Q982" s="118"/>
      <c r="R982" s="119"/>
      <c r="U982" s="118"/>
      <c r="V982" s="119"/>
    </row>
    <row r="983" spans="1:22" x14ac:dyDescent="0.3">
      <c r="A983" s="118"/>
      <c r="B983" s="119"/>
      <c r="E983" s="118"/>
      <c r="F983" s="119"/>
      <c r="I983" s="118"/>
      <c r="J983" s="119"/>
      <c r="M983" s="118"/>
      <c r="N983" s="119"/>
      <c r="Q983" s="118"/>
      <c r="R983" s="119"/>
      <c r="U983" s="118"/>
      <c r="V983" s="119"/>
    </row>
    <row r="984" spans="1:22" x14ac:dyDescent="0.3">
      <c r="A984" s="118"/>
      <c r="B984" s="119"/>
      <c r="E984" s="118"/>
      <c r="F984" s="119"/>
      <c r="I984" s="118"/>
      <c r="J984" s="119"/>
      <c r="M984" s="118"/>
      <c r="N984" s="119"/>
      <c r="Q984" s="118"/>
      <c r="R984" s="119"/>
      <c r="U984" s="118"/>
      <c r="V984" s="119"/>
    </row>
    <row r="985" spans="1:22" x14ac:dyDescent="0.3">
      <c r="A985" s="118"/>
      <c r="B985" s="119"/>
      <c r="E985" s="118"/>
      <c r="F985" s="119"/>
      <c r="I985" s="118"/>
      <c r="J985" s="119"/>
      <c r="M985" s="118"/>
      <c r="N985" s="119"/>
      <c r="Q985" s="118"/>
      <c r="R985" s="119"/>
      <c r="U985" s="118"/>
      <c r="V985" s="119"/>
    </row>
    <row r="986" spans="1:22" x14ac:dyDescent="0.3">
      <c r="A986" s="118"/>
      <c r="B986" s="119"/>
      <c r="E986" s="118"/>
      <c r="F986" s="119"/>
      <c r="I986" s="118"/>
      <c r="J986" s="119"/>
      <c r="M986" s="118"/>
      <c r="N986" s="119"/>
      <c r="Q986" s="118"/>
      <c r="R986" s="119"/>
      <c r="U986" s="118"/>
      <c r="V986" s="119"/>
    </row>
    <row r="987" spans="1:22" x14ac:dyDescent="0.3">
      <c r="A987" s="118"/>
      <c r="B987" s="119"/>
      <c r="E987" s="118"/>
      <c r="F987" s="119"/>
      <c r="I987" s="118"/>
      <c r="J987" s="119"/>
      <c r="M987" s="118"/>
      <c r="N987" s="119"/>
      <c r="Q987" s="118"/>
      <c r="R987" s="119"/>
      <c r="U987" s="118"/>
      <c r="V987" s="119"/>
    </row>
    <row r="988" spans="1:22" x14ac:dyDescent="0.3">
      <c r="A988" s="118"/>
      <c r="B988" s="119"/>
      <c r="E988" s="118"/>
      <c r="F988" s="119"/>
      <c r="I988" s="118"/>
      <c r="J988" s="119"/>
      <c r="M988" s="118"/>
      <c r="N988" s="119"/>
      <c r="Q988" s="118"/>
      <c r="R988" s="119"/>
      <c r="U988" s="118"/>
      <c r="V988" s="119"/>
    </row>
    <row r="989" spans="1:22" x14ac:dyDescent="0.3">
      <c r="A989" s="118"/>
      <c r="B989" s="119"/>
      <c r="E989" s="118"/>
      <c r="F989" s="119"/>
      <c r="I989" s="118"/>
      <c r="J989" s="119"/>
      <c r="M989" s="118"/>
      <c r="N989" s="119"/>
      <c r="Q989" s="118"/>
      <c r="R989" s="119"/>
      <c r="U989" s="118"/>
      <c r="V989" s="119"/>
    </row>
    <row r="990" spans="1:22" x14ac:dyDescent="0.3">
      <c r="A990" s="118"/>
      <c r="B990" s="119"/>
      <c r="E990" s="118"/>
      <c r="F990" s="119"/>
      <c r="I990" s="118"/>
      <c r="J990" s="119"/>
      <c r="M990" s="118"/>
      <c r="N990" s="119"/>
      <c r="Q990" s="118"/>
      <c r="R990" s="119"/>
      <c r="U990" s="118"/>
      <c r="V990" s="119"/>
    </row>
    <row r="991" spans="1:22" x14ac:dyDescent="0.3">
      <c r="A991" s="118"/>
      <c r="B991" s="119"/>
      <c r="E991" s="118"/>
      <c r="F991" s="119"/>
      <c r="I991" s="118"/>
      <c r="J991" s="119"/>
      <c r="M991" s="118"/>
      <c r="N991" s="119"/>
      <c r="Q991" s="118"/>
      <c r="R991" s="119"/>
      <c r="U991" s="118"/>
      <c r="V991" s="119"/>
    </row>
    <row r="992" spans="1:22" x14ac:dyDescent="0.3">
      <c r="A992" s="118"/>
      <c r="B992" s="119"/>
      <c r="E992" s="118"/>
      <c r="F992" s="119"/>
      <c r="I992" s="118"/>
      <c r="J992" s="119"/>
      <c r="M992" s="118"/>
      <c r="N992" s="119"/>
      <c r="Q992" s="118"/>
      <c r="R992" s="119"/>
      <c r="U992" s="118"/>
      <c r="V992" s="119"/>
    </row>
    <row r="993" spans="1:22" x14ac:dyDescent="0.3">
      <c r="A993" s="118"/>
      <c r="B993" s="119"/>
      <c r="E993" s="118"/>
      <c r="F993" s="119"/>
      <c r="I993" s="118"/>
      <c r="J993" s="119"/>
      <c r="M993" s="118"/>
      <c r="N993" s="119"/>
      <c r="Q993" s="118"/>
      <c r="R993" s="119"/>
      <c r="U993" s="118"/>
      <c r="V993" s="119"/>
    </row>
    <row r="994" spans="1:22" x14ac:dyDescent="0.3">
      <c r="A994" s="118"/>
      <c r="B994" s="119"/>
      <c r="E994" s="118"/>
      <c r="F994" s="119"/>
      <c r="I994" s="118"/>
      <c r="J994" s="119"/>
      <c r="M994" s="118"/>
      <c r="N994" s="119"/>
      <c r="Q994" s="118"/>
      <c r="R994" s="119"/>
      <c r="U994" s="118"/>
      <c r="V994" s="119"/>
    </row>
    <row r="995" spans="1:22" x14ac:dyDescent="0.3">
      <c r="A995" s="118"/>
      <c r="B995" s="119"/>
      <c r="E995" s="118"/>
      <c r="F995" s="119"/>
      <c r="I995" s="118"/>
      <c r="J995" s="119"/>
      <c r="M995" s="118"/>
      <c r="N995" s="119"/>
      <c r="Q995" s="118"/>
      <c r="R995" s="119"/>
      <c r="U995" s="118"/>
      <c r="V995" s="119"/>
    </row>
    <row r="996" spans="1:22" x14ac:dyDescent="0.3">
      <c r="A996" s="118"/>
      <c r="B996" s="119"/>
      <c r="E996" s="118"/>
      <c r="F996" s="119"/>
      <c r="I996" s="118"/>
      <c r="J996" s="119"/>
      <c r="M996" s="118"/>
      <c r="N996" s="119"/>
      <c r="Q996" s="118"/>
      <c r="R996" s="119"/>
      <c r="U996" s="118"/>
      <c r="V996" s="119"/>
    </row>
    <row r="997" spans="1:22" x14ac:dyDescent="0.3">
      <c r="A997" s="118"/>
      <c r="B997" s="119"/>
      <c r="E997" s="118"/>
      <c r="F997" s="119"/>
      <c r="I997" s="118"/>
      <c r="J997" s="119"/>
      <c r="M997" s="118"/>
      <c r="N997" s="119"/>
      <c r="Q997" s="118"/>
      <c r="R997" s="119"/>
      <c r="U997" s="118"/>
      <c r="V997" s="119"/>
    </row>
    <row r="998" spans="1:22" x14ac:dyDescent="0.3">
      <c r="A998" s="118"/>
      <c r="B998" s="119"/>
      <c r="E998" s="118"/>
      <c r="F998" s="119"/>
      <c r="I998" s="118"/>
      <c r="J998" s="119"/>
      <c r="M998" s="118"/>
      <c r="N998" s="119"/>
      <c r="Q998" s="118"/>
      <c r="R998" s="119"/>
      <c r="U998" s="118"/>
      <c r="V998" s="119"/>
    </row>
    <row r="999" spans="1:22" x14ac:dyDescent="0.3">
      <c r="A999" s="118"/>
      <c r="B999" s="119"/>
      <c r="E999" s="118"/>
      <c r="F999" s="119"/>
      <c r="I999" s="118"/>
      <c r="J999" s="119"/>
      <c r="M999" s="118"/>
      <c r="N999" s="119"/>
      <c r="Q999" s="118"/>
      <c r="R999" s="119"/>
      <c r="U999" s="118"/>
      <c r="V999" s="119"/>
    </row>
    <row r="1000" spans="1:22" x14ac:dyDescent="0.3">
      <c r="A1000" s="118"/>
      <c r="B1000" s="119"/>
      <c r="E1000" s="118"/>
      <c r="F1000" s="119"/>
      <c r="I1000" s="118"/>
      <c r="J1000" s="119"/>
      <c r="M1000" s="118"/>
      <c r="N1000" s="119"/>
      <c r="Q1000" s="118"/>
      <c r="R1000" s="119"/>
      <c r="U1000" s="118"/>
      <c r="V1000" s="119"/>
    </row>
  </sheetData>
  <mergeCells count="30">
    <mergeCell ref="E1:H1"/>
    <mergeCell ref="E2:F2"/>
    <mergeCell ref="G2:H2"/>
    <mergeCell ref="E3:F3"/>
    <mergeCell ref="G3:H3"/>
    <mergeCell ref="A1:D1"/>
    <mergeCell ref="A2:B2"/>
    <mergeCell ref="C2:D2"/>
    <mergeCell ref="A3:B3"/>
    <mergeCell ref="C3:D3"/>
    <mergeCell ref="M1:P1"/>
    <mergeCell ref="M2:N2"/>
    <mergeCell ref="O2:P2"/>
    <mergeCell ref="M3:N3"/>
    <mergeCell ref="O3:P3"/>
    <mergeCell ref="I1:L1"/>
    <mergeCell ref="I2:J2"/>
    <mergeCell ref="K2:L2"/>
    <mergeCell ref="I3:J3"/>
    <mergeCell ref="K3:L3"/>
    <mergeCell ref="U1:X1"/>
    <mergeCell ref="U2:V2"/>
    <mergeCell ref="W2:X2"/>
    <mergeCell ref="U3:V3"/>
    <mergeCell ref="W3:X3"/>
    <mergeCell ref="Q1:T1"/>
    <mergeCell ref="Q2:R2"/>
    <mergeCell ref="S2:T2"/>
    <mergeCell ref="Q3:R3"/>
    <mergeCell ref="S3:T3"/>
  </mergeCells>
  <pageMargins left="0.511811024" right="0.511811024" top="0.78740157499999996" bottom="0.78740157499999996" header="0.31496062000000002" footer="0.31496062000000002"/>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6"/>
  <dimension ref="A1:T1000"/>
  <sheetViews>
    <sheetView topLeftCell="G66" workbookViewId="0">
      <selection activeCell="A4" sqref="A4:T128"/>
    </sheetView>
  </sheetViews>
  <sheetFormatPr defaultRowHeight="14.4" x14ac:dyDescent="0.3"/>
  <cols>
    <col min="1" max="15" width="17.77734375" customWidth="1"/>
    <col min="16" max="21" width="17.44140625" customWidth="1"/>
  </cols>
  <sheetData>
    <row r="1" spans="1:20" x14ac:dyDescent="0.3">
      <c r="A1" s="152" t="s">
        <v>858</v>
      </c>
      <c r="B1" s="153"/>
      <c r="C1" s="153"/>
      <c r="D1" s="153"/>
      <c r="E1" s="153"/>
      <c r="F1" s="152" t="s">
        <v>859</v>
      </c>
      <c r="G1" s="153"/>
      <c r="H1" s="153"/>
      <c r="I1" s="153"/>
      <c r="J1" s="153"/>
      <c r="K1" s="152" t="s">
        <v>860</v>
      </c>
      <c r="L1" s="153"/>
      <c r="M1" s="153"/>
      <c r="N1" s="153"/>
      <c r="O1" s="153"/>
      <c r="P1" s="152" t="s">
        <v>861</v>
      </c>
      <c r="Q1" s="153"/>
      <c r="R1" s="153"/>
      <c r="S1" s="153"/>
      <c r="T1" s="156"/>
    </row>
    <row r="2" spans="1:20" x14ac:dyDescent="0.3">
      <c r="A2" s="154" t="s">
        <v>5977</v>
      </c>
      <c r="B2" s="155"/>
      <c r="C2" s="155"/>
      <c r="D2" s="155" t="s">
        <v>962</v>
      </c>
      <c r="E2" s="155"/>
      <c r="F2" s="154" t="s">
        <v>5977</v>
      </c>
      <c r="G2" s="155"/>
      <c r="H2" s="155"/>
      <c r="I2" s="155" t="s">
        <v>962</v>
      </c>
      <c r="J2" s="155"/>
      <c r="K2" s="154" t="s">
        <v>5977</v>
      </c>
      <c r="L2" s="155"/>
      <c r="M2" s="155"/>
      <c r="N2" s="155" t="s">
        <v>962</v>
      </c>
      <c r="O2" s="155"/>
      <c r="P2" s="154" t="s">
        <v>5977</v>
      </c>
      <c r="Q2" s="155"/>
      <c r="R2" s="155"/>
      <c r="S2" s="155" t="s">
        <v>962</v>
      </c>
      <c r="T2" s="157"/>
    </row>
    <row r="3" spans="1:20" x14ac:dyDescent="0.3">
      <c r="A3" s="129" t="s">
        <v>5978</v>
      </c>
      <c r="B3" s="125" t="s">
        <v>5979</v>
      </c>
      <c r="C3" s="125" t="s">
        <v>5980</v>
      </c>
      <c r="D3" s="125" t="s">
        <v>5978</v>
      </c>
      <c r="E3" s="125" t="s">
        <v>5980</v>
      </c>
      <c r="F3" s="129" t="s">
        <v>5978</v>
      </c>
      <c r="G3" s="125" t="s">
        <v>5979</v>
      </c>
      <c r="H3" s="125" t="s">
        <v>5980</v>
      </c>
      <c r="I3" s="125" t="s">
        <v>5978</v>
      </c>
      <c r="J3" s="125" t="s">
        <v>5980</v>
      </c>
      <c r="K3" s="129" t="s">
        <v>5978</v>
      </c>
      <c r="L3" s="125" t="s">
        <v>5979</v>
      </c>
      <c r="M3" s="125" t="s">
        <v>5980</v>
      </c>
      <c r="N3" s="125" t="s">
        <v>5978</v>
      </c>
      <c r="O3" s="125" t="s">
        <v>5980</v>
      </c>
      <c r="P3" s="129" t="s">
        <v>5978</v>
      </c>
      <c r="Q3" s="125" t="s">
        <v>5979</v>
      </c>
      <c r="R3" s="125" t="s">
        <v>5980</v>
      </c>
      <c r="S3" s="125" t="s">
        <v>5978</v>
      </c>
      <c r="T3" s="130" t="s">
        <v>5980</v>
      </c>
    </row>
    <row r="4" spans="1:20" x14ac:dyDescent="0.3">
      <c r="A4" s="128" t="s">
        <v>5981</v>
      </c>
      <c r="B4" s="46" t="s">
        <v>5984</v>
      </c>
      <c r="C4" s="46" t="s">
        <v>5987</v>
      </c>
      <c r="D4" s="46" t="s">
        <v>5982</v>
      </c>
      <c r="E4" s="46" t="s">
        <v>5983</v>
      </c>
      <c r="F4" s="128" t="s">
        <v>5999</v>
      </c>
      <c r="G4" s="46" t="s">
        <v>6002</v>
      </c>
      <c r="H4" s="46" t="s">
        <v>6005</v>
      </c>
      <c r="I4" s="46" t="s">
        <v>6000</v>
      </c>
      <c r="J4" s="46" t="s">
        <v>6001</v>
      </c>
      <c r="K4" s="128" t="s">
        <v>6017</v>
      </c>
      <c r="L4" s="46" t="s">
        <v>6020</v>
      </c>
      <c r="M4" s="46" t="s">
        <v>6023</v>
      </c>
      <c r="N4" s="46" t="s">
        <v>6018</v>
      </c>
      <c r="O4" s="46" t="s">
        <v>6019</v>
      </c>
      <c r="P4" s="128" t="s">
        <v>6035</v>
      </c>
      <c r="Q4" s="46" t="s">
        <v>6038</v>
      </c>
      <c r="R4" s="46" t="s">
        <v>6041</v>
      </c>
      <c r="S4" s="46" t="s">
        <v>6036</v>
      </c>
      <c r="T4" s="131" t="s">
        <v>6037</v>
      </c>
    </row>
    <row r="5" spans="1:20" x14ac:dyDescent="0.3">
      <c r="A5" s="128" t="s">
        <v>5990</v>
      </c>
      <c r="B5" s="46" t="s">
        <v>5993</v>
      </c>
      <c r="C5" s="46" t="s">
        <v>5996</v>
      </c>
      <c r="D5" s="46" t="s">
        <v>5985</v>
      </c>
      <c r="E5" s="46" t="s">
        <v>5986</v>
      </c>
      <c r="F5" s="128" t="s">
        <v>6008</v>
      </c>
      <c r="G5" s="46" t="s">
        <v>6011</v>
      </c>
      <c r="H5" s="46" t="s">
        <v>6014</v>
      </c>
      <c r="I5" s="46" t="s">
        <v>6003</v>
      </c>
      <c r="J5" s="46" t="s">
        <v>6004</v>
      </c>
      <c r="K5" s="128" t="s">
        <v>6026</v>
      </c>
      <c r="L5" s="46" t="s">
        <v>6029</v>
      </c>
      <c r="M5" s="46" t="s">
        <v>6032</v>
      </c>
      <c r="N5" s="46" t="s">
        <v>6021</v>
      </c>
      <c r="O5" s="46" t="s">
        <v>6022</v>
      </c>
      <c r="P5" s="128" t="s">
        <v>6044</v>
      </c>
      <c r="Q5" s="46" t="s">
        <v>6047</v>
      </c>
      <c r="R5" s="46" t="s">
        <v>6050</v>
      </c>
      <c r="S5" s="46" t="s">
        <v>6039</v>
      </c>
      <c r="T5" s="131" t="s">
        <v>6040</v>
      </c>
    </row>
    <row r="6" spans="1:20" x14ac:dyDescent="0.3">
      <c r="A6" s="128" t="s">
        <v>6053</v>
      </c>
      <c r="B6" s="46" t="s">
        <v>6056</v>
      </c>
      <c r="C6" s="46" t="s">
        <v>6059</v>
      </c>
      <c r="D6" s="46" t="s">
        <v>5988</v>
      </c>
      <c r="E6" s="46" t="s">
        <v>5989</v>
      </c>
      <c r="F6" s="128" t="s">
        <v>6071</v>
      </c>
      <c r="G6" s="46" t="s">
        <v>6074</v>
      </c>
      <c r="H6" s="46" t="s">
        <v>6077</v>
      </c>
      <c r="I6" s="46" t="s">
        <v>6006</v>
      </c>
      <c r="J6" s="46" t="s">
        <v>6007</v>
      </c>
      <c r="K6" s="128" t="s">
        <v>6089</v>
      </c>
      <c r="L6" s="46" t="s">
        <v>6092</v>
      </c>
      <c r="M6" s="46" t="s">
        <v>6095</v>
      </c>
      <c r="N6" s="46" t="s">
        <v>6024</v>
      </c>
      <c r="O6" s="46" t="s">
        <v>6025</v>
      </c>
      <c r="P6" s="128" t="s">
        <v>6107</v>
      </c>
      <c r="Q6" s="46" t="s">
        <v>6110</v>
      </c>
      <c r="R6" s="46" t="s">
        <v>6113</v>
      </c>
      <c r="S6" s="46" t="s">
        <v>6042</v>
      </c>
      <c r="T6" s="131" t="s">
        <v>6043</v>
      </c>
    </row>
    <row r="7" spans="1:20" x14ac:dyDescent="0.3">
      <c r="A7" s="128" t="s">
        <v>6062</v>
      </c>
      <c r="B7" s="46" t="s">
        <v>6065</v>
      </c>
      <c r="C7" s="46" t="s">
        <v>6068</v>
      </c>
      <c r="D7" s="46" t="s">
        <v>5991</v>
      </c>
      <c r="E7" s="46" t="s">
        <v>5992</v>
      </c>
      <c r="F7" s="128" t="s">
        <v>6080</v>
      </c>
      <c r="G7" s="46" t="s">
        <v>6083</v>
      </c>
      <c r="H7" s="46" t="s">
        <v>6086</v>
      </c>
      <c r="I7" s="46" t="s">
        <v>6009</v>
      </c>
      <c r="J7" s="46" t="s">
        <v>6010</v>
      </c>
      <c r="K7" s="128" t="s">
        <v>6098</v>
      </c>
      <c r="L7" s="46" t="s">
        <v>6101</v>
      </c>
      <c r="M7" s="46" t="s">
        <v>6104</v>
      </c>
      <c r="N7" s="46" t="s">
        <v>6027</v>
      </c>
      <c r="O7" s="46" t="s">
        <v>6028</v>
      </c>
      <c r="P7" s="128" t="s">
        <v>6116</v>
      </c>
      <c r="Q7" s="46" t="s">
        <v>6119</v>
      </c>
      <c r="R7" s="46" t="s">
        <v>6122</v>
      </c>
      <c r="S7" s="46" t="s">
        <v>6045</v>
      </c>
      <c r="T7" s="131" t="s">
        <v>6046</v>
      </c>
    </row>
    <row r="8" spans="1:20" x14ac:dyDescent="0.3">
      <c r="A8" s="128" t="s">
        <v>6125</v>
      </c>
      <c r="B8" s="46" t="s">
        <v>6128</v>
      </c>
      <c r="C8" s="46" t="s">
        <v>6131</v>
      </c>
      <c r="D8" s="46" t="s">
        <v>5994</v>
      </c>
      <c r="E8" s="46" t="s">
        <v>5995</v>
      </c>
      <c r="F8" s="128" t="s">
        <v>6143</v>
      </c>
      <c r="G8" s="46" t="s">
        <v>6146</v>
      </c>
      <c r="H8" s="46" t="s">
        <v>6149</v>
      </c>
      <c r="I8" s="46" t="s">
        <v>6012</v>
      </c>
      <c r="J8" s="46" t="s">
        <v>6013</v>
      </c>
      <c r="K8" s="128" t="s">
        <v>6161</v>
      </c>
      <c r="L8" s="46" t="s">
        <v>6164</v>
      </c>
      <c r="M8" s="46" t="s">
        <v>6167</v>
      </c>
      <c r="N8" s="46" t="s">
        <v>6030</v>
      </c>
      <c r="O8" s="46" t="s">
        <v>6031</v>
      </c>
      <c r="P8" s="128" t="s">
        <v>6179</v>
      </c>
      <c r="Q8" s="46" t="s">
        <v>6182</v>
      </c>
      <c r="R8" s="46" t="s">
        <v>6185</v>
      </c>
      <c r="S8" s="46" t="s">
        <v>6048</v>
      </c>
      <c r="T8" s="131" t="s">
        <v>6049</v>
      </c>
    </row>
    <row r="9" spans="1:20" x14ac:dyDescent="0.3">
      <c r="A9" s="128" t="s">
        <v>6134</v>
      </c>
      <c r="B9" s="46" t="s">
        <v>6137</v>
      </c>
      <c r="C9" s="46" t="s">
        <v>6140</v>
      </c>
      <c r="D9" s="46" t="s">
        <v>5997</v>
      </c>
      <c r="E9" s="46" t="s">
        <v>5998</v>
      </c>
      <c r="F9" s="128" t="s">
        <v>6152</v>
      </c>
      <c r="G9" s="46" t="s">
        <v>6155</v>
      </c>
      <c r="H9" s="46" t="s">
        <v>6158</v>
      </c>
      <c r="I9" s="46" t="s">
        <v>6015</v>
      </c>
      <c r="J9" s="46" t="s">
        <v>6016</v>
      </c>
      <c r="K9" s="128" t="s">
        <v>6170</v>
      </c>
      <c r="L9" s="46" t="s">
        <v>6173</v>
      </c>
      <c r="M9" s="46" t="s">
        <v>6176</v>
      </c>
      <c r="N9" s="46" t="s">
        <v>6033</v>
      </c>
      <c r="O9" s="46" t="s">
        <v>6034</v>
      </c>
      <c r="P9" s="128" t="s">
        <v>6188</v>
      </c>
      <c r="Q9" s="46" t="s">
        <v>6191</v>
      </c>
      <c r="R9" s="46" t="s">
        <v>6194</v>
      </c>
      <c r="S9" s="46" t="s">
        <v>6051</v>
      </c>
      <c r="T9" s="131" t="s">
        <v>6052</v>
      </c>
    </row>
    <row r="10" spans="1:20" x14ac:dyDescent="0.3">
      <c r="A10" s="128" t="s">
        <v>6197</v>
      </c>
      <c r="B10" s="46" t="s">
        <v>6200</v>
      </c>
      <c r="C10" s="46" t="s">
        <v>6203</v>
      </c>
      <c r="D10" s="46" t="s">
        <v>6054</v>
      </c>
      <c r="E10" s="46" t="s">
        <v>6055</v>
      </c>
      <c r="F10" s="128" t="s">
        <v>6215</v>
      </c>
      <c r="G10" s="46" t="s">
        <v>6218</v>
      </c>
      <c r="H10" s="46" t="s">
        <v>6221</v>
      </c>
      <c r="I10" s="46" t="s">
        <v>6072</v>
      </c>
      <c r="J10" s="46" t="s">
        <v>6073</v>
      </c>
      <c r="K10" s="128" t="s">
        <v>6233</v>
      </c>
      <c r="L10" s="46" t="s">
        <v>6236</v>
      </c>
      <c r="M10" s="46" t="s">
        <v>6239</v>
      </c>
      <c r="N10" s="46" t="s">
        <v>6090</v>
      </c>
      <c r="O10" s="46" t="s">
        <v>6091</v>
      </c>
      <c r="P10" s="128" t="s">
        <v>6251</v>
      </c>
      <c r="Q10" s="46" t="s">
        <v>6254</v>
      </c>
      <c r="R10" s="46" t="s">
        <v>6257</v>
      </c>
      <c r="S10" s="46" t="s">
        <v>6108</v>
      </c>
      <c r="T10" s="131" t="s">
        <v>6109</v>
      </c>
    </row>
    <row r="11" spans="1:20" x14ac:dyDescent="0.3">
      <c r="A11" s="128" t="s">
        <v>6206</v>
      </c>
      <c r="B11" s="46" t="s">
        <v>6209</v>
      </c>
      <c r="C11" s="46" t="s">
        <v>6212</v>
      </c>
      <c r="D11" s="46" t="s">
        <v>6057</v>
      </c>
      <c r="E11" s="46" t="s">
        <v>6058</v>
      </c>
      <c r="F11" s="128" t="s">
        <v>6224</v>
      </c>
      <c r="G11" s="46" t="s">
        <v>6227</v>
      </c>
      <c r="H11" s="46" t="s">
        <v>6230</v>
      </c>
      <c r="I11" s="46" t="s">
        <v>6075</v>
      </c>
      <c r="J11" s="46" t="s">
        <v>6076</v>
      </c>
      <c r="K11" s="128" t="s">
        <v>6242</v>
      </c>
      <c r="L11" s="46" t="s">
        <v>6245</v>
      </c>
      <c r="M11" s="46" t="s">
        <v>6248</v>
      </c>
      <c r="N11" s="46" t="s">
        <v>6093</v>
      </c>
      <c r="O11" s="46" t="s">
        <v>6094</v>
      </c>
      <c r="P11" s="128" t="s">
        <v>6260</v>
      </c>
      <c r="Q11" s="46" t="s">
        <v>6263</v>
      </c>
      <c r="R11" s="46" t="s">
        <v>6266</v>
      </c>
      <c r="S11" s="46" t="s">
        <v>6111</v>
      </c>
      <c r="T11" s="131" t="s">
        <v>6112</v>
      </c>
    </row>
    <row r="12" spans="1:20" x14ac:dyDescent="0.3">
      <c r="A12" s="128" t="s">
        <v>6269</v>
      </c>
      <c r="B12" s="46" t="s">
        <v>6272</v>
      </c>
      <c r="C12" s="46" t="s">
        <v>6275</v>
      </c>
      <c r="D12" s="46" t="s">
        <v>6060</v>
      </c>
      <c r="E12" s="46" t="s">
        <v>6061</v>
      </c>
      <c r="F12" s="128" t="s">
        <v>6287</v>
      </c>
      <c r="G12" s="46" t="s">
        <v>6290</v>
      </c>
      <c r="H12" s="46" t="s">
        <v>6293</v>
      </c>
      <c r="I12" s="46" t="s">
        <v>6078</v>
      </c>
      <c r="J12" s="46" t="s">
        <v>6079</v>
      </c>
      <c r="K12" s="128" t="s">
        <v>6305</v>
      </c>
      <c r="L12" s="46" t="s">
        <v>6308</v>
      </c>
      <c r="M12" s="46" t="s">
        <v>6311</v>
      </c>
      <c r="N12" s="46" t="s">
        <v>6096</v>
      </c>
      <c r="O12" s="46" t="s">
        <v>6097</v>
      </c>
      <c r="P12" s="128" t="s">
        <v>6323</v>
      </c>
      <c r="Q12" s="46" t="s">
        <v>6326</v>
      </c>
      <c r="R12" s="46" t="s">
        <v>6329</v>
      </c>
      <c r="S12" s="46" t="s">
        <v>6114</v>
      </c>
      <c r="T12" s="131" t="s">
        <v>6115</v>
      </c>
    </row>
    <row r="13" spans="1:20" x14ac:dyDescent="0.3">
      <c r="A13" s="128" t="s">
        <v>6278</v>
      </c>
      <c r="B13" s="46" t="s">
        <v>6281</v>
      </c>
      <c r="C13" s="46" t="s">
        <v>6284</v>
      </c>
      <c r="D13" s="46" t="s">
        <v>6063</v>
      </c>
      <c r="E13" s="46" t="s">
        <v>6064</v>
      </c>
      <c r="F13" s="128" t="s">
        <v>6296</v>
      </c>
      <c r="G13" s="46" t="s">
        <v>6299</v>
      </c>
      <c r="H13" s="46" t="s">
        <v>6302</v>
      </c>
      <c r="I13" s="46" t="s">
        <v>6081</v>
      </c>
      <c r="J13" s="46" t="s">
        <v>6082</v>
      </c>
      <c r="K13" s="128" t="s">
        <v>6314</v>
      </c>
      <c r="L13" s="46" t="s">
        <v>6317</v>
      </c>
      <c r="M13" s="46" t="s">
        <v>6320</v>
      </c>
      <c r="N13" s="46" t="s">
        <v>6099</v>
      </c>
      <c r="O13" s="46" t="s">
        <v>6100</v>
      </c>
      <c r="P13" s="128" t="s">
        <v>6332</v>
      </c>
      <c r="Q13" s="46" t="s">
        <v>6335</v>
      </c>
      <c r="R13" s="46" t="s">
        <v>6338</v>
      </c>
      <c r="S13" s="46" t="s">
        <v>6117</v>
      </c>
      <c r="T13" s="131" t="s">
        <v>6118</v>
      </c>
    </row>
    <row r="14" spans="1:20" x14ac:dyDescent="0.3">
      <c r="A14" s="128" t="s">
        <v>6341</v>
      </c>
      <c r="B14" s="46" t="s">
        <v>6344</v>
      </c>
      <c r="C14" s="46" t="s">
        <v>6347</v>
      </c>
      <c r="D14" s="46" t="s">
        <v>6066</v>
      </c>
      <c r="E14" s="46" t="s">
        <v>6067</v>
      </c>
      <c r="F14" s="128" t="s">
        <v>6359</v>
      </c>
      <c r="G14" s="46" t="s">
        <v>6362</v>
      </c>
      <c r="H14" s="46" t="s">
        <v>6365</v>
      </c>
      <c r="I14" s="46" t="s">
        <v>6084</v>
      </c>
      <c r="J14" s="46" t="s">
        <v>6085</v>
      </c>
      <c r="K14" s="128" t="s">
        <v>6377</v>
      </c>
      <c r="L14" s="46" t="s">
        <v>6380</v>
      </c>
      <c r="M14" s="46" t="s">
        <v>6383</v>
      </c>
      <c r="N14" s="46" t="s">
        <v>6102</v>
      </c>
      <c r="O14" s="46" t="s">
        <v>6103</v>
      </c>
      <c r="P14" s="128" t="s">
        <v>6395</v>
      </c>
      <c r="Q14" s="46" t="s">
        <v>6398</v>
      </c>
      <c r="R14" s="46" t="s">
        <v>6401</v>
      </c>
      <c r="S14" s="46" t="s">
        <v>6120</v>
      </c>
      <c r="T14" s="131" t="s">
        <v>6121</v>
      </c>
    </row>
    <row r="15" spans="1:20" x14ac:dyDescent="0.3">
      <c r="A15" s="128" t="s">
        <v>6350</v>
      </c>
      <c r="B15" s="46" t="s">
        <v>6353</v>
      </c>
      <c r="C15" s="46" t="s">
        <v>6356</v>
      </c>
      <c r="D15" s="46" t="s">
        <v>6069</v>
      </c>
      <c r="E15" s="46" t="s">
        <v>6070</v>
      </c>
      <c r="F15" s="128" t="s">
        <v>6368</v>
      </c>
      <c r="G15" s="46" t="s">
        <v>6371</v>
      </c>
      <c r="H15" s="46" t="s">
        <v>6374</v>
      </c>
      <c r="I15" s="46" t="s">
        <v>6087</v>
      </c>
      <c r="J15" s="46" t="s">
        <v>6088</v>
      </c>
      <c r="K15" s="128" t="s">
        <v>6386</v>
      </c>
      <c r="L15" s="46" t="s">
        <v>6389</v>
      </c>
      <c r="M15" s="46" t="s">
        <v>6392</v>
      </c>
      <c r="N15" s="46" t="s">
        <v>6105</v>
      </c>
      <c r="O15" s="46" t="s">
        <v>6106</v>
      </c>
      <c r="P15" s="128" t="s">
        <v>6404</v>
      </c>
      <c r="Q15" s="46" t="s">
        <v>6407</v>
      </c>
      <c r="R15" s="46" t="s">
        <v>6410</v>
      </c>
      <c r="S15" s="46" t="s">
        <v>6123</v>
      </c>
      <c r="T15" s="131" t="s">
        <v>6124</v>
      </c>
    </row>
    <row r="16" spans="1:20" x14ac:dyDescent="0.3">
      <c r="A16" s="128" t="s">
        <v>6413</v>
      </c>
      <c r="B16" s="46" t="s">
        <v>6416</v>
      </c>
      <c r="C16" s="46" t="s">
        <v>6419</v>
      </c>
      <c r="D16" s="46" t="s">
        <v>6126</v>
      </c>
      <c r="E16" s="46" t="s">
        <v>6127</v>
      </c>
      <c r="F16" s="128" t="s">
        <v>6431</v>
      </c>
      <c r="G16" s="46" t="s">
        <v>6434</v>
      </c>
      <c r="H16" s="46" t="s">
        <v>6437</v>
      </c>
      <c r="I16" s="46" t="s">
        <v>6144</v>
      </c>
      <c r="J16" s="46" t="s">
        <v>6145</v>
      </c>
      <c r="K16" s="128" t="s">
        <v>6449</v>
      </c>
      <c r="L16" s="46" t="s">
        <v>6452</v>
      </c>
      <c r="M16" s="46" t="s">
        <v>6455</v>
      </c>
      <c r="N16" s="46" t="s">
        <v>6162</v>
      </c>
      <c r="O16" s="46" t="s">
        <v>6163</v>
      </c>
      <c r="P16" s="128" t="s">
        <v>6467</v>
      </c>
      <c r="Q16" s="46" t="s">
        <v>6470</v>
      </c>
      <c r="R16" s="46" t="s">
        <v>6473</v>
      </c>
      <c r="S16" s="46" t="s">
        <v>6180</v>
      </c>
      <c r="T16" s="131" t="s">
        <v>6181</v>
      </c>
    </row>
    <row r="17" spans="1:20" x14ac:dyDescent="0.3">
      <c r="A17" s="128" t="s">
        <v>6422</v>
      </c>
      <c r="B17" s="46" t="s">
        <v>6425</v>
      </c>
      <c r="C17" s="46" t="s">
        <v>6428</v>
      </c>
      <c r="D17" s="46" t="s">
        <v>6129</v>
      </c>
      <c r="E17" s="46" t="s">
        <v>6130</v>
      </c>
      <c r="F17" s="128" t="s">
        <v>6440</v>
      </c>
      <c r="G17" s="46" t="s">
        <v>6443</v>
      </c>
      <c r="H17" s="46" t="s">
        <v>6446</v>
      </c>
      <c r="I17" s="46" t="s">
        <v>6147</v>
      </c>
      <c r="J17" s="46" t="s">
        <v>6148</v>
      </c>
      <c r="K17" s="128" t="s">
        <v>6458</v>
      </c>
      <c r="L17" s="46" t="s">
        <v>6461</v>
      </c>
      <c r="M17" s="46" t="s">
        <v>6464</v>
      </c>
      <c r="N17" s="46" t="s">
        <v>6165</v>
      </c>
      <c r="O17" s="46" t="s">
        <v>6166</v>
      </c>
      <c r="P17" s="128" t="s">
        <v>6476</v>
      </c>
      <c r="Q17" s="46" t="s">
        <v>6479</v>
      </c>
      <c r="R17" s="46" t="s">
        <v>6482</v>
      </c>
      <c r="S17" s="46" t="s">
        <v>6183</v>
      </c>
      <c r="T17" s="131" t="s">
        <v>6184</v>
      </c>
    </row>
    <row r="18" spans="1:20" x14ac:dyDescent="0.3">
      <c r="A18" s="128" t="s">
        <v>6485</v>
      </c>
      <c r="B18" s="46" t="s">
        <v>6488</v>
      </c>
      <c r="C18" s="46" t="s">
        <v>6491</v>
      </c>
      <c r="D18" s="46" t="s">
        <v>6132</v>
      </c>
      <c r="E18" s="46" t="s">
        <v>6133</v>
      </c>
      <c r="F18" s="128" t="s">
        <v>6503</v>
      </c>
      <c r="G18" s="46" t="s">
        <v>6506</v>
      </c>
      <c r="H18" s="46" t="s">
        <v>6509</v>
      </c>
      <c r="I18" s="46" t="s">
        <v>6150</v>
      </c>
      <c r="J18" s="46" t="s">
        <v>6151</v>
      </c>
      <c r="K18" s="128" t="s">
        <v>6521</v>
      </c>
      <c r="L18" s="46" t="s">
        <v>6524</v>
      </c>
      <c r="M18" s="46" t="s">
        <v>6527</v>
      </c>
      <c r="N18" s="46" t="s">
        <v>6168</v>
      </c>
      <c r="O18" s="46" t="s">
        <v>6169</v>
      </c>
      <c r="P18" s="128" t="s">
        <v>6539</v>
      </c>
      <c r="Q18" s="46" t="s">
        <v>6542</v>
      </c>
      <c r="R18" s="46" t="s">
        <v>6545</v>
      </c>
      <c r="S18" s="46" t="s">
        <v>6186</v>
      </c>
      <c r="T18" s="131" t="s">
        <v>6187</v>
      </c>
    </row>
    <row r="19" spans="1:20" x14ac:dyDescent="0.3">
      <c r="A19" s="128" t="s">
        <v>6494</v>
      </c>
      <c r="B19" s="46" t="s">
        <v>6497</v>
      </c>
      <c r="C19" s="46" t="s">
        <v>6500</v>
      </c>
      <c r="D19" s="46" t="s">
        <v>6135</v>
      </c>
      <c r="E19" s="46" t="s">
        <v>6136</v>
      </c>
      <c r="F19" s="128" t="s">
        <v>6512</v>
      </c>
      <c r="G19" s="46" t="s">
        <v>6515</v>
      </c>
      <c r="H19" s="46" t="s">
        <v>6518</v>
      </c>
      <c r="I19" s="46" t="s">
        <v>6153</v>
      </c>
      <c r="J19" s="46" t="s">
        <v>6154</v>
      </c>
      <c r="K19" s="128" t="s">
        <v>6530</v>
      </c>
      <c r="L19" s="46" t="s">
        <v>6533</v>
      </c>
      <c r="M19" s="46" t="s">
        <v>6536</v>
      </c>
      <c r="N19" s="46" t="s">
        <v>6171</v>
      </c>
      <c r="O19" s="46" t="s">
        <v>6172</v>
      </c>
      <c r="P19" s="128" t="s">
        <v>6548</v>
      </c>
      <c r="Q19" s="46" t="s">
        <v>6551</v>
      </c>
      <c r="R19" s="46" t="s">
        <v>6554</v>
      </c>
      <c r="S19" s="46" t="s">
        <v>6189</v>
      </c>
      <c r="T19" s="131" t="s">
        <v>6190</v>
      </c>
    </row>
    <row r="20" spans="1:20" x14ac:dyDescent="0.3">
      <c r="A20" s="128" t="s">
        <v>6557</v>
      </c>
      <c r="B20" s="46" t="s">
        <v>6560</v>
      </c>
      <c r="C20" s="46" t="s">
        <v>6563</v>
      </c>
      <c r="D20" s="46" t="s">
        <v>6138</v>
      </c>
      <c r="E20" s="46" t="s">
        <v>6139</v>
      </c>
      <c r="F20" s="128" t="s">
        <v>6575</v>
      </c>
      <c r="G20" s="46" t="s">
        <v>6578</v>
      </c>
      <c r="H20" s="46" t="s">
        <v>6581</v>
      </c>
      <c r="I20" s="46" t="s">
        <v>6156</v>
      </c>
      <c r="J20" s="46" t="s">
        <v>6157</v>
      </c>
      <c r="K20" s="128" t="s">
        <v>6593</v>
      </c>
      <c r="L20" s="46" t="s">
        <v>6596</v>
      </c>
      <c r="M20" s="46" t="s">
        <v>6599</v>
      </c>
      <c r="N20" s="46" t="s">
        <v>6174</v>
      </c>
      <c r="O20" s="46" t="s">
        <v>6175</v>
      </c>
      <c r="P20" s="128" t="s">
        <v>6611</v>
      </c>
      <c r="Q20" s="46" t="s">
        <v>6614</v>
      </c>
      <c r="R20" s="46" t="s">
        <v>6617</v>
      </c>
      <c r="S20" s="46" t="s">
        <v>6192</v>
      </c>
      <c r="T20" s="131" t="s">
        <v>6193</v>
      </c>
    </row>
    <row r="21" spans="1:20" x14ac:dyDescent="0.3">
      <c r="A21" s="128" t="s">
        <v>6566</v>
      </c>
      <c r="B21" s="46" t="s">
        <v>6569</v>
      </c>
      <c r="C21" s="46" t="s">
        <v>6572</v>
      </c>
      <c r="D21" s="46" t="s">
        <v>6141</v>
      </c>
      <c r="E21" s="46" t="s">
        <v>6142</v>
      </c>
      <c r="F21" s="128" t="s">
        <v>6584</v>
      </c>
      <c r="G21" s="46" t="s">
        <v>6587</v>
      </c>
      <c r="H21" s="46" t="s">
        <v>6590</v>
      </c>
      <c r="I21" s="46" t="s">
        <v>6159</v>
      </c>
      <c r="J21" s="46" t="s">
        <v>6160</v>
      </c>
      <c r="K21" s="128" t="s">
        <v>6602</v>
      </c>
      <c r="L21" s="46" t="s">
        <v>6605</v>
      </c>
      <c r="M21" s="46" t="s">
        <v>6608</v>
      </c>
      <c r="N21" s="46" t="s">
        <v>6177</v>
      </c>
      <c r="O21" s="46" t="s">
        <v>6178</v>
      </c>
      <c r="P21" s="128" t="s">
        <v>6620</v>
      </c>
      <c r="Q21" s="46" t="s">
        <v>6623</v>
      </c>
      <c r="R21" s="46" t="s">
        <v>6626</v>
      </c>
      <c r="S21" s="46" t="s">
        <v>6195</v>
      </c>
      <c r="T21" s="131" t="s">
        <v>6196</v>
      </c>
    </row>
    <row r="22" spans="1:20" x14ac:dyDescent="0.3">
      <c r="A22" s="128" t="s">
        <v>6629</v>
      </c>
      <c r="B22" s="46" t="s">
        <v>6632</v>
      </c>
      <c r="C22" s="46" t="s">
        <v>6635</v>
      </c>
      <c r="D22" s="46" t="s">
        <v>6198</v>
      </c>
      <c r="E22" s="46" t="s">
        <v>6199</v>
      </c>
      <c r="F22" s="128" t="s">
        <v>6647</v>
      </c>
      <c r="G22" s="46" t="s">
        <v>6650</v>
      </c>
      <c r="H22" s="46" t="s">
        <v>6653</v>
      </c>
      <c r="I22" s="46" t="s">
        <v>6216</v>
      </c>
      <c r="J22" s="46" t="s">
        <v>6217</v>
      </c>
      <c r="K22" s="128" t="s">
        <v>6665</v>
      </c>
      <c r="L22" s="46" t="s">
        <v>6668</v>
      </c>
      <c r="M22" s="46" t="s">
        <v>6671</v>
      </c>
      <c r="N22" s="46" t="s">
        <v>6234</v>
      </c>
      <c r="O22" s="46" t="s">
        <v>6235</v>
      </c>
      <c r="P22" s="128" t="s">
        <v>6683</v>
      </c>
      <c r="Q22" s="46" t="s">
        <v>6686</v>
      </c>
      <c r="R22" s="46" t="s">
        <v>6689</v>
      </c>
      <c r="S22" s="46" t="s">
        <v>6252</v>
      </c>
      <c r="T22" s="131" t="s">
        <v>6253</v>
      </c>
    </row>
    <row r="23" spans="1:20" x14ac:dyDescent="0.3">
      <c r="A23" s="128" t="s">
        <v>6638</v>
      </c>
      <c r="B23" s="46" t="s">
        <v>6641</v>
      </c>
      <c r="C23" s="46" t="s">
        <v>6644</v>
      </c>
      <c r="D23" s="46" t="s">
        <v>6201</v>
      </c>
      <c r="E23" s="46" t="s">
        <v>6202</v>
      </c>
      <c r="F23" s="128" t="s">
        <v>6656</v>
      </c>
      <c r="G23" s="46" t="s">
        <v>6659</v>
      </c>
      <c r="H23" s="46" t="s">
        <v>6662</v>
      </c>
      <c r="I23" s="46" t="s">
        <v>6219</v>
      </c>
      <c r="J23" s="46" t="s">
        <v>6220</v>
      </c>
      <c r="K23" s="128" t="s">
        <v>6674</v>
      </c>
      <c r="L23" s="46" t="s">
        <v>6677</v>
      </c>
      <c r="M23" s="46" t="s">
        <v>6680</v>
      </c>
      <c r="N23" s="46" t="s">
        <v>6237</v>
      </c>
      <c r="O23" s="46" t="s">
        <v>6238</v>
      </c>
      <c r="P23" s="128" t="s">
        <v>6692</v>
      </c>
      <c r="Q23" s="46" t="s">
        <v>6695</v>
      </c>
      <c r="R23" s="46" t="s">
        <v>6698</v>
      </c>
      <c r="S23" s="46" t="s">
        <v>6255</v>
      </c>
      <c r="T23" s="131" t="s">
        <v>6256</v>
      </c>
    </row>
    <row r="24" spans="1:20" x14ac:dyDescent="0.3">
      <c r="A24" s="128" t="s">
        <v>6701</v>
      </c>
      <c r="B24" s="46" t="s">
        <v>6704</v>
      </c>
      <c r="C24" s="46" t="s">
        <v>6707</v>
      </c>
      <c r="D24" s="46" t="s">
        <v>6204</v>
      </c>
      <c r="E24" s="46" t="s">
        <v>6205</v>
      </c>
      <c r="F24" s="128" t="s">
        <v>6719</v>
      </c>
      <c r="G24" s="46" t="s">
        <v>6722</v>
      </c>
      <c r="H24" s="46" t="s">
        <v>6725</v>
      </c>
      <c r="I24" s="46" t="s">
        <v>6222</v>
      </c>
      <c r="J24" s="46" t="s">
        <v>6223</v>
      </c>
      <c r="K24" s="128" t="s">
        <v>6737</v>
      </c>
      <c r="L24" s="46" t="s">
        <v>6740</v>
      </c>
      <c r="M24" s="46" t="s">
        <v>6743</v>
      </c>
      <c r="N24" s="46" t="s">
        <v>6240</v>
      </c>
      <c r="O24" s="46" t="s">
        <v>6241</v>
      </c>
      <c r="P24" s="128" t="s">
        <v>6755</v>
      </c>
      <c r="Q24" s="46" t="s">
        <v>6758</v>
      </c>
      <c r="R24" s="46" t="s">
        <v>6761</v>
      </c>
      <c r="S24" s="46" t="s">
        <v>6258</v>
      </c>
      <c r="T24" s="131" t="s">
        <v>6259</v>
      </c>
    </row>
    <row r="25" spans="1:20" x14ac:dyDescent="0.3">
      <c r="A25" s="128" t="s">
        <v>6710</v>
      </c>
      <c r="B25" s="46" t="s">
        <v>6713</v>
      </c>
      <c r="C25" s="46" t="s">
        <v>6716</v>
      </c>
      <c r="D25" s="46" t="s">
        <v>6207</v>
      </c>
      <c r="E25" s="46" t="s">
        <v>6208</v>
      </c>
      <c r="F25" s="128" t="s">
        <v>6728</v>
      </c>
      <c r="G25" s="46" t="s">
        <v>6731</v>
      </c>
      <c r="H25" s="46" t="s">
        <v>6734</v>
      </c>
      <c r="I25" s="46" t="s">
        <v>6225</v>
      </c>
      <c r="J25" s="46" t="s">
        <v>6226</v>
      </c>
      <c r="K25" s="128" t="s">
        <v>6746</v>
      </c>
      <c r="L25" s="46" t="s">
        <v>6749</v>
      </c>
      <c r="M25" s="46" t="s">
        <v>6752</v>
      </c>
      <c r="N25" s="46" t="s">
        <v>6243</v>
      </c>
      <c r="O25" s="46" t="s">
        <v>6244</v>
      </c>
      <c r="P25" s="128" t="s">
        <v>6764</v>
      </c>
      <c r="Q25" s="46" t="s">
        <v>6767</v>
      </c>
      <c r="R25" s="46" t="s">
        <v>6770</v>
      </c>
      <c r="S25" s="46" t="s">
        <v>6261</v>
      </c>
      <c r="T25" s="131" t="s">
        <v>6262</v>
      </c>
    </row>
    <row r="26" spans="1:20" x14ac:dyDescent="0.3">
      <c r="A26" s="128" t="s">
        <v>6773</v>
      </c>
      <c r="B26" s="46" t="s">
        <v>6776</v>
      </c>
      <c r="C26" s="46" t="s">
        <v>6779</v>
      </c>
      <c r="D26" s="46" t="s">
        <v>6210</v>
      </c>
      <c r="E26" s="46" t="s">
        <v>6211</v>
      </c>
      <c r="F26" s="128" t="s">
        <v>6791</v>
      </c>
      <c r="G26" s="46" t="s">
        <v>6794</v>
      </c>
      <c r="H26" s="46" t="s">
        <v>6797</v>
      </c>
      <c r="I26" s="46" t="s">
        <v>6228</v>
      </c>
      <c r="J26" s="46" t="s">
        <v>6229</v>
      </c>
      <c r="K26" s="128" t="s">
        <v>6809</v>
      </c>
      <c r="L26" s="46" t="s">
        <v>6812</v>
      </c>
      <c r="M26" s="46" t="s">
        <v>6815</v>
      </c>
      <c r="N26" s="46" t="s">
        <v>6246</v>
      </c>
      <c r="O26" s="46" t="s">
        <v>6247</v>
      </c>
      <c r="P26" s="128" t="s">
        <v>6827</v>
      </c>
      <c r="Q26" s="46" t="s">
        <v>6830</v>
      </c>
      <c r="R26" s="46" t="s">
        <v>6833</v>
      </c>
      <c r="S26" s="46" t="s">
        <v>6264</v>
      </c>
      <c r="T26" s="131" t="s">
        <v>6265</v>
      </c>
    </row>
    <row r="27" spans="1:20" x14ac:dyDescent="0.3">
      <c r="A27" s="128" t="s">
        <v>6782</v>
      </c>
      <c r="B27" s="46" t="s">
        <v>6785</v>
      </c>
      <c r="C27" s="46" t="s">
        <v>6788</v>
      </c>
      <c r="D27" s="46" t="s">
        <v>6213</v>
      </c>
      <c r="E27" s="46" t="s">
        <v>6214</v>
      </c>
      <c r="F27" s="128" t="s">
        <v>6800</v>
      </c>
      <c r="G27" s="46" t="s">
        <v>6803</v>
      </c>
      <c r="H27" s="46" t="s">
        <v>6806</v>
      </c>
      <c r="I27" s="46" t="s">
        <v>6231</v>
      </c>
      <c r="J27" s="46" t="s">
        <v>6232</v>
      </c>
      <c r="K27" s="128" t="s">
        <v>6818</v>
      </c>
      <c r="L27" s="46" t="s">
        <v>6821</v>
      </c>
      <c r="M27" s="46" t="s">
        <v>6824</v>
      </c>
      <c r="N27" s="46" t="s">
        <v>6249</v>
      </c>
      <c r="O27" s="46" t="s">
        <v>6250</v>
      </c>
      <c r="P27" s="128" t="s">
        <v>6836</v>
      </c>
      <c r="Q27" s="46" t="s">
        <v>6839</v>
      </c>
      <c r="R27" s="46" t="s">
        <v>6842</v>
      </c>
      <c r="S27" s="46" t="s">
        <v>6267</v>
      </c>
      <c r="T27" s="131" t="s">
        <v>6268</v>
      </c>
    </row>
    <row r="28" spans="1:20" x14ac:dyDescent="0.3">
      <c r="A28" s="128" t="s">
        <v>6845</v>
      </c>
      <c r="B28" s="46" t="s">
        <v>6848</v>
      </c>
      <c r="C28" s="46" t="s">
        <v>6851</v>
      </c>
      <c r="D28" s="46" t="s">
        <v>6270</v>
      </c>
      <c r="E28" s="46" t="s">
        <v>6271</v>
      </c>
      <c r="F28" s="128" t="s">
        <v>6863</v>
      </c>
      <c r="G28" s="46" t="s">
        <v>6866</v>
      </c>
      <c r="H28" s="46" t="s">
        <v>6869</v>
      </c>
      <c r="I28" s="46" t="s">
        <v>6288</v>
      </c>
      <c r="J28" s="46" t="s">
        <v>6289</v>
      </c>
      <c r="K28" s="128" t="s">
        <v>6881</v>
      </c>
      <c r="L28" s="46" t="s">
        <v>6884</v>
      </c>
      <c r="M28" s="46" t="s">
        <v>6887</v>
      </c>
      <c r="N28" s="46" t="s">
        <v>6306</v>
      </c>
      <c r="O28" s="46" t="s">
        <v>6307</v>
      </c>
      <c r="P28" s="128" t="s">
        <v>6899</v>
      </c>
      <c r="Q28" s="46" t="s">
        <v>6902</v>
      </c>
      <c r="R28" s="46" t="s">
        <v>6905</v>
      </c>
      <c r="S28" s="46" t="s">
        <v>6324</v>
      </c>
      <c r="T28" s="131" t="s">
        <v>6325</v>
      </c>
    </row>
    <row r="29" spans="1:20" x14ac:dyDescent="0.3">
      <c r="A29" s="128" t="s">
        <v>6854</v>
      </c>
      <c r="B29" s="46" t="s">
        <v>6857</v>
      </c>
      <c r="C29" s="46" t="s">
        <v>6860</v>
      </c>
      <c r="D29" s="46" t="s">
        <v>6273</v>
      </c>
      <c r="E29" s="46" t="s">
        <v>6274</v>
      </c>
      <c r="F29" s="128" t="s">
        <v>6872</v>
      </c>
      <c r="G29" s="46" t="s">
        <v>6875</v>
      </c>
      <c r="H29" s="46" t="s">
        <v>6878</v>
      </c>
      <c r="I29" s="46" t="s">
        <v>6291</v>
      </c>
      <c r="J29" s="46" t="s">
        <v>6292</v>
      </c>
      <c r="K29" s="128" t="s">
        <v>6890</v>
      </c>
      <c r="L29" s="46" t="s">
        <v>6893</v>
      </c>
      <c r="M29" s="46" t="s">
        <v>6896</v>
      </c>
      <c r="N29" s="46" t="s">
        <v>6309</v>
      </c>
      <c r="O29" s="46" t="s">
        <v>6310</v>
      </c>
      <c r="P29" s="128" t="s">
        <v>6908</v>
      </c>
      <c r="Q29" s="46" t="s">
        <v>6911</v>
      </c>
      <c r="R29" s="46" t="s">
        <v>6914</v>
      </c>
      <c r="S29" s="46" t="s">
        <v>6327</v>
      </c>
      <c r="T29" s="131" t="s">
        <v>6328</v>
      </c>
    </row>
    <row r="30" spans="1:20" x14ac:dyDescent="0.3">
      <c r="A30" s="128" t="s">
        <v>6917</v>
      </c>
      <c r="B30" s="46" t="s">
        <v>6920</v>
      </c>
      <c r="C30" s="46" t="s">
        <v>6923</v>
      </c>
      <c r="D30" s="46" t="s">
        <v>6276</v>
      </c>
      <c r="E30" s="46" t="s">
        <v>6277</v>
      </c>
      <c r="F30" s="128" t="s">
        <v>6935</v>
      </c>
      <c r="G30" s="46" t="s">
        <v>6938</v>
      </c>
      <c r="H30" s="46" t="s">
        <v>6941</v>
      </c>
      <c r="I30" s="46" t="s">
        <v>6294</v>
      </c>
      <c r="J30" s="46" t="s">
        <v>6295</v>
      </c>
      <c r="K30" s="128" t="s">
        <v>6953</v>
      </c>
      <c r="L30" s="46" t="s">
        <v>6956</v>
      </c>
      <c r="M30" s="46" t="s">
        <v>6959</v>
      </c>
      <c r="N30" s="46" t="s">
        <v>6312</v>
      </c>
      <c r="O30" s="46" t="s">
        <v>6313</v>
      </c>
      <c r="P30" s="128" t="s">
        <v>6971</v>
      </c>
      <c r="Q30" s="46" t="s">
        <v>6974</v>
      </c>
      <c r="R30" s="46" t="s">
        <v>6977</v>
      </c>
      <c r="S30" s="46" t="s">
        <v>6330</v>
      </c>
      <c r="T30" s="131" t="s">
        <v>6331</v>
      </c>
    </row>
    <row r="31" spans="1:20" x14ac:dyDescent="0.3">
      <c r="A31" s="128" t="s">
        <v>6926</v>
      </c>
      <c r="B31" s="46" t="s">
        <v>6929</v>
      </c>
      <c r="C31" s="46" t="s">
        <v>6932</v>
      </c>
      <c r="D31" s="46" t="s">
        <v>6279</v>
      </c>
      <c r="E31" s="46" t="s">
        <v>6280</v>
      </c>
      <c r="F31" s="128" t="s">
        <v>6944</v>
      </c>
      <c r="G31" s="46" t="s">
        <v>6947</v>
      </c>
      <c r="H31" s="46" t="s">
        <v>6950</v>
      </c>
      <c r="I31" s="46" t="s">
        <v>6297</v>
      </c>
      <c r="J31" s="46" t="s">
        <v>6298</v>
      </c>
      <c r="K31" s="128" t="s">
        <v>6962</v>
      </c>
      <c r="L31" s="46" t="s">
        <v>6965</v>
      </c>
      <c r="M31" s="46" t="s">
        <v>6968</v>
      </c>
      <c r="N31" s="46" t="s">
        <v>6315</v>
      </c>
      <c r="O31" s="46" t="s">
        <v>6316</v>
      </c>
      <c r="P31" s="128" t="s">
        <v>6980</v>
      </c>
      <c r="Q31" s="46" t="s">
        <v>6983</v>
      </c>
      <c r="R31" s="46" t="s">
        <v>6986</v>
      </c>
      <c r="S31" s="46" t="s">
        <v>6333</v>
      </c>
      <c r="T31" s="131" t="s">
        <v>6334</v>
      </c>
    </row>
    <row r="32" spans="1:20" x14ac:dyDescent="0.3">
      <c r="A32" s="128" t="s">
        <v>6989</v>
      </c>
      <c r="B32" s="46" t="s">
        <v>6992</v>
      </c>
      <c r="C32" s="46" t="s">
        <v>6995</v>
      </c>
      <c r="D32" s="46" t="s">
        <v>6282</v>
      </c>
      <c r="E32" s="46" t="s">
        <v>6283</v>
      </c>
      <c r="F32" s="128" t="s">
        <v>7007</v>
      </c>
      <c r="G32" s="46" t="s">
        <v>7010</v>
      </c>
      <c r="H32" s="46" t="s">
        <v>7013</v>
      </c>
      <c r="I32" s="46" t="s">
        <v>6300</v>
      </c>
      <c r="J32" s="46" t="s">
        <v>6301</v>
      </c>
      <c r="K32" s="128" t="s">
        <v>7025</v>
      </c>
      <c r="L32" s="46" t="s">
        <v>7028</v>
      </c>
      <c r="M32" s="46" t="s">
        <v>7031</v>
      </c>
      <c r="N32" s="46" t="s">
        <v>6318</v>
      </c>
      <c r="O32" s="46" t="s">
        <v>6319</v>
      </c>
      <c r="P32" s="128" t="s">
        <v>7043</v>
      </c>
      <c r="Q32" s="46" t="s">
        <v>7046</v>
      </c>
      <c r="R32" s="46" t="s">
        <v>7049</v>
      </c>
      <c r="S32" s="46" t="s">
        <v>6336</v>
      </c>
      <c r="T32" s="131" t="s">
        <v>6337</v>
      </c>
    </row>
    <row r="33" spans="1:20" x14ac:dyDescent="0.3">
      <c r="A33" s="128" t="s">
        <v>6998</v>
      </c>
      <c r="B33" s="46" t="s">
        <v>7001</v>
      </c>
      <c r="C33" s="46" t="s">
        <v>7004</v>
      </c>
      <c r="D33" s="46" t="s">
        <v>6285</v>
      </c>
      <c r="E33" s="46" t="s">
        <v>6286</v>
      </c>
      <c r="F33" s="128" t="s">
        <v>7016</v>
      </c>
      <c r="G33" s="46" t="s">
        <v>7019</v>
      </c>
      <c r="H33" s="46" t="s">
        <v>7022</v>
      </c>
      <c r="I33" s="46" t="s">
        <v>6303</v>
      </c>
      <c r="J33" s="46" t="s">
        <v>6304</v>
      </c>
      <c r="K33" s="128" t="s">
        <v>7034</v>
      </c>
      <c r="L33" s="46" t="s">
        <v>7037</v>
      </c>
      <c r="M33" s="46" t="s">
        <v>7040</v>
      </c>
      <c r="N33" s="46" t="s">
        <v>6321</v>
      </c>
      <c r="O33" s="46" t="s">
        <v>6322</v>
      </c>
      <c r="P33" s="128" t="s">
        <v>7052</v>
      </c>
      <c r="Q33" s="46" t="s">
        <v>7055</v>
      </c>
      <c r="R33" s="46" t="s">
        <v>7058</v>
      </c>
      <c r="S33" s="46" t="s">
        <v>6339</v>
      </c>
      <c r="T33" s="131" t="s">
        <v>6340</v>
      </c>
    </row>
    <row r="34" spans="1:20" x14ac:dyDescent="0.3">
      <c r="A34" s="128" t="s">
        <v>7061</v>
      </c>
      <c r="B34" s="46" t="s">
        <v>7064</v>
      </c>
      <c r="C34" s="46" t="s">
        <v>7067</v>
      </c>
      <c r="D34" s="46" t="s">
        <v>6342</v>
      </c>
      <c r="E34" s="46" t="s">
        <v>6343</v>
      </c>
      <c r="F34" s="128" t="s">
        <v>7079</v>
      </c>
      <c r="G34" s="46" t="s">
        <v>7082</v>
      </c>
      <c r="H34" s="46" t="s">
        <v>7085</v>
      </c>
      <c r="I34" s="46" t="s">
        <v>6360</v>
      </c>
      <c r="J34" s="46" t="s">
        <v>6361</v>
      </c>
      <c r="K34" s="128" t="s">
        <v>7097</v>
      </c>
      <c r="L34" s="46" t="s">
        <v>7100</v>
      </c>
      <c r="M34" s="46" t="s">
        <v>7103</v>
      </c>
      <c r="N34" s="46" t="s">
        <v>6378</v>
      </c>
      <c r="O34" s="46" t="s">
        <v>6379</v>
      </c>
      <c r="P34" s="128" t="s">
        <v>7115</v>
      </c>
      <c r="Q34" s="46" t="s">
        <v>7118</v>
      </c>
      <c r="R34" s="46" t="s">
        <v>7121</v>
      </c>
      <c r="S34" s="46" t="s">
        <v>6396</v>
      </c>
      <c r="T34" s="131" t="s">
        <v>6397</v>
      </c>
    </row>
    <row r="35" spans="1:20" x14ac:dyDescent="0.3">
      <c r="A35" s="128" t="s">
        <v>7070</v>
      </c>
      <c r="B35" s="46" t="s">
        <v>7073</v>
      </c>
      <c r="C35" s="46" t="s">
        <v>7076</v>
      </c>
      <c r="D35" s="46" t="s">
        <v>6345</v>
      </c>
      <c r="E35" s="46" t="s">
        <v>6346</v>
      </c>
      <c r="F35" s="128" t="s">
        <v>7088</v>
      </c>
      <c r="G35" s="46" t="s">
        <v>7091</v>
      </c>
      <c r="H35" s="46" t="s">
        <v>7094</v>
      </c>
      <c r="I35" s="46" t="s">
        <v>6363</v>
      </c>
      <c r="J35" s="46" t="s">
        <v>6364</v>
      </c>
      <c r="K35" s="128" t="s">
        <v>7106</v>
      </c>
      <c r="L35" s="46" t="s">
        <v>7109</v>
      </c>
      <c r="M35" s="46" t="s">
        <v>7112</v>
      </c>
      <c r="N35" s="46" t="s">
        <v>6381</v>
      </c>
      <c r="O35" s="46" t="s">
        <v>6382</v>
      </c>
      <c r="P35" s="128" t="s">
        <v>7124</v>
      </c>
      <c r="Q35" s="46" t="s">
        <v>7127</v>
      </c>
      <c r="R35" s="46" t="s">
        <v>7130</v>
      </c>
      <c r="S35" s="46" t="s">
        <v>6399</v>
      </c>
      <c r="T35" s="131" t="s">
        <v>6400</v>
      </c>
    </row>
    <row r="36" spans="1:20" x14ac:dyDescent="0.3">
      <c r="A36" s="128" t="s">
        <v>7133</v>
      </c>
      <c r="B36" s="46" t="s">
        <v>7136</v>
      </c>
      <c r="C36" s="46" t="s">
        <v>7139</v>
      </c>
      <c r="D36" s="46" t="s">
        <v>6348</v>
      </c>
      <c r="E36" s="46" t="s">
        <v>6349</v>
      </c>
      <c r="F36" s="128" t="s">
        <v>7151</v>
      </c>
      <c r="G36" s="46" t="s">
        <v>7154</v>
      </c>
      <c r="H36" s="46" t="s">
        <v>7157</v>
      </c>
      <c r="I36" s="46" t="s">
        <v>6366</v>
      </c>
      <c r="J36" s="46" t="s">
        <v>6367</v>
      </c>
      <c r="K36" s="128" t="s">
        <v>7169</v>
      </c>
      <c r="L36" s="46" t="s">
        <v>7172</v>
      </c>
      <c r="M36" s="46" t="s">
        <v>7175</v>
      </c>
      <c r="N36" s="46" t="s">
        <v>6384</v>
      </c>
      <c r="O36" s="46" t="s">
        <v>6385</v>
      </c>
      <c r="P36" s="128" t="s">
        <v>7187</v>
      </c>
      <c r="Q36" s="46" t="s">
        <v>7190</v>
      </c>
      <c r="R36" s="46" t="s">
        <v>7193</v>
      </c>
      <c r="S36" s="46" t="s">
        <v>6402</v>
      </c>
      <c r="T36" s="131" t="s">
        <v>6403</v>
      </c>
    </row>
    <row r="37" spans="1:20" x14ac:dyDescent="0.3">
      <c r="A37" s="128" t="s">
        <v>7142</v>
      </c>
      <c r="B37" s="46" t="s">
        <v>7145</v>
      </c>
      <c r="C37" s="46" t="s">
        <v>7148</v>
      </c>
      <c r="D37" s="46" t="s">
        <v>6351</v>
      </c>
      <c r="E37" s="46" t="s">
        <v>6352</v>
      </c>
      <c r="F37" s="128" t="s">
        <v>7160</v>
      </c>
      <c r="G37" s="46" t="s">
        <v>7163</v>
      </c>
      <c r="H37" s="46" t="s">
        <v>7166</v>
      </c>
      <c r="I37" s="46" t="s">
        <v>6369</v>
      </c>
      <c r="J37" s="46" t="s">
        <v>6370</v>
      </c>
      <c r="K37" s="128" t="s">
        <v>7178</v>
      </c>
      <c r="L37" s="46" t="s">
        <v>7181</v>
      </c>
      <c r="M37" s="46" t="s">
        <v>7184</v>
      </c>
      <c r="N37" s="46" t="s">
        <v>6387</v>
      </c>
      <c r="O37" s="46" t="s">
        <v>6388</v>
      </c>
      <c r="P37" s="128" t="s">
        <v>7196</v>
      </c>
      <c r="Q37" s="46" t="s">
        <v>7199</v>
      </c>
      <c r="R37" s="46" t="s">
        <v>7202</v>
      </c>
      <c r="S37" s="46" t="s">
        <v>6405</v>
      </c>
      <c r="T37" s="131" t="s">
        <v>6406</v>
      </c>
    </row>
    <row r="38" spans="1:20" x14ac:dyDescent="0.3">
      <c r="A38" s="128" t="s">
        <v>7205</v>
      </c>
      <c r="B38" s="46" t="s">
        <v>7208</v>
      </c>
      <c r="C38" s="46" t="s">
        <v>7211</v>
      </c>
      <c r="D38" s="46" t="s">
        <v>6354</v>
      </c>
      <c r="E38" s="46" t="s">
        <v>6355</v>
      </c>
      <c r="F38" s="128" t="s">
        <v>7223</v>
      </c>
      <c r="G38" s="46" t="s">
        <v>7226</v>
      </c>
      <c r="H38" s="46" t="s">
        <v>7229</v>
      </c>
      <c r="I38" s="46" t="s">
        <v>6372</v>
      </c>
      <c r="J38" s="46" t="s">
        <v>6373</v>
      </c>
      <c r="K38" s="128"/>
      <c r="L38" s="46"/>
      <c r="M38" s="46"/>
      <c r="N38" s="46" t="s">
        <v>6390</v>
      </c>
      <c r="O38" s="46" t="s">
        <v>6391</v>
      </c>
      <c r="P38" s="128"/>
      <c r="Q38" s="46"/>
      <c r="R38" s="46"/>
      <c r="S38" s="46" t="s">
        <v>6408</v>
      </c>
      <c r="T38" s="131" t="s">
        <v>6409</v>
      </c>
    </row>
    <row r="39" spans="1:20" x14ac:dyDescent="0.3">
      <c r="A39" s="128" t="s">
        <v>7214</v>
      </c>
      <c r="B39" s="46" t="s">
        <v>7217</v>
      </c>
      <c r="C39" s="46" t="s">
        <v>7220</v>
      </c>
      <c r="D39" s="46" t="s">
        <v>6357</v>
      </c>
      <c r="E39" s="46" t="s">
        <v>6358</v>
      </c>
      <c r="F39" s="128" t="s">
        <v>7232</v>
      </c>
      <c r="G39" s="46" t="s">
        <v>7235</v>
      </c>
      <c r="H39" s="46" t="s">
        <v>7238</v>
      </c>
      <c r="I39" s="46" t="s">
        <v>6375</v>
      </c>
      <c r="J39" s="46" t="s">
        <v>6376</v>
      </c>
      <c r="K39" s="128"/>
      <c r="L39" s="46"/>
      <c r="M39" s="46"/>
      <c r="N39" s="46" t="s">
        <v>6393</v>
      </c>
      <c r="O39" s="46" t="s">
        <v>6394</v>
      </c>
      <c r="P39" s="128"/>
      <c r="Q39" s="46"/>
      <c r="R39" s="46"/>
      <c r="S39" s="46" t="s">
        <v>6411</v>
      </c>
      <c r="T39" s="131" t="s">
        <v>6412</v>
      </c>
    </row>
    <row r="40" spans="1:20" x14ac:dyDescent="0.3">
      <c r="A40" s="128"/>
      <c r="B40" s="46"/>
      <c r="C40" s="46"/>
      <c r="D40" s="46" t="s">
        <v>6414</v>
      </c>
      <c r="E40" s="46" t="s">
        <v>6415</v>
      </c>
      <c r="F40" s="128"/>
      <c r="G40" s="46"/>
      <c r="H40" s="46"/>
      <c r="I40" s="46" t="s">
        <v>6432</v>
      </c>
      <c r="J40" s="46" t="s">
        <v>6433</v>
      </c>
      <c r="K40" s="128"/>
      <c r="L40" s="46"/>
      <c r="M40" s="46"/>
      <c r="N40" s="46" t="s">
        <v>6450</v>
      </c>
      <c r="O40" s="46" t="s">
        <v>6451</v>
      </c>
      <c r="P40" s="128"/>
      <c r="Q40" s="46"/>
      <c r="R40" s="46"/>
      <c r="S40" s="46" t="s">
        <v>6468</v>
      </c>
      <c r="T40" s="131" t="s">
        <v>6469</v>
      </c>
    </row>
    <row r="41" spans="1:20" x14ac:dyDescent="0.3">
      <c r="A41" s="128"/>
      <c r="B41" s="46"/>
      <c r="C41" s="46"/>
      <c r="D41" s="46" t="s">
        <v>6417</v>
      </c>
      <c r="E41" s="46" t="s">
        <v>6418</v>
      </c>
      <c r="F41" s="128"/>
      <c r="G41" s="46"/>
      <c r="H41" s="46"/>
      <c r="I41" s="46" t="s">
        <v>6435</v>
      </c>
      <c r="J41" s="46" t="s">
        <v>6436</v>
      </c>
      <c r="K41" s="128"/>
      <c r="L41" s="46"/>
      <c r="M41" s="46"/>
      <c r="N41" s="46" t="s">
        <v>6453</v>
      </c>
      <c r="O41" s="46" t="s">
        <v>6454</v>
      </c>
      <c r="P41" s="128"/>
      <c r="Q41" s="46"/>
      <c r="R41" s="46"/>
      <c r="S41" s="46" t="s">
        <v>6471</v>
      </c>
      <c r="T41" s="131" t="s">
        <v>6472</v>
      </c>
    </row>
    <row r="42" spans="1:20" x14ac:dyDescent="0.3">
      <c r="A42" s="128"/>
      <c r="B42" s="46"/>
      <c r="C42" s="46"/>
      <c r="D42" s="46" t="s">
        <v>6420</v>
      </c>
      <c r="E42" s="46" t="s">
        <v>6421</v>
      </c>
      <c r="F42" s="128"/>
      <c r="G42" s="46"/>
      <c r="H42" s="46"/>
      <c r="I42" s="46" t="s">
        <v>6438</v>
      </c>
      <c r="J42" s="46" t="s">
        <v>6439</v>
      </c>
      <c r="K42" s="128"/>
      <c r="L42" s="46"/>
      <c r="M42" s="46"/>
      <c r="N42" s="46" t="s">
        <v>6456</v>
      </c>
      <c r="O42" s="46" t="s">
        <v>6457</v>
      </c>
      <c r="P42" s="128"/>
      <c r="Q42" s="46"/>
      <c r="R42" s="46"/>
      <c r="S42" s="46" t="s">
        <v>6474</v>
      </c>
      <c r="T42" s="131" t="s">
        <v>6475</v>
      </c>
    </row>
    <row r="43" spans="1:20" x14ac:dyDescent="0.3">
      <c r="A43" s="128"/>
      <c r="B43" s="46"/>
      <c r="C43" s="46"/>
      <c r="D43" s="46" t="s">
        <v>6423</v>
      </c>
      <c r="E43" s="46" t="s">
        <v>6424</v>
      </c>
      <c r="F43" s="128"/>
      <c r="G43" s="46"/>
      <c r="H43" s="46"/>
      <c r="I43" s="46" t="s">
        <v>6441</v>
      </c>
      <c r="J43" s="46" t="s">
        <v>6442</v>
      </c>
      <c r="K43" s="128"/>
      <c r="L43" s="46"/>
      <c r="M43" s="46"/>
      <c r="N43" s="46" t="s">
        <v>6459</v>
      </c>
      <c r="O43" s="46" t="s">
        <v>6460</v>
      </c>
      <c r="P43" s="128"/>
      <c r="Q43" s="46"/>
      <c r="R43" s="46"/>
      <c r="S43" s="46" t="s">
        <v>6477</v>
      </c>
      <c r="T43" s="131" t="s">
        <v>6478</v>
      </c>
    </row>
    <row r="44" spans="1:20" x14ac:dyDescent="0.3">
      <c r="A44" s="128"/>
      <c r="B44" s="46"/>
      <c r="C44" s="46"/>
      <c r="D44" s="46" t="s">
        <v>6426</v>
      </c>
      <c r="E44" s="46" t="s">
        <v>6427</v>
      </c>
      <c r="F44" s="128"/>
      <c r="G44" s="46"/>
      <c r="H44" s="46"/>
      <c r="I44" s="46" t="s">
        <v>6444</v>
      </c>
      <c r="J44" s="46" t="s">
        <v>6445</v>
      </c>
      <c r="K44" s="128"/>
      <c r="L44" s="46"/>
      <c r="M44" s="46"/>
      <c r="N44" s="46" t="s">
        <v>6462</v>
      </c>
      <c r="O44" s="46" t="s">
        <v>6463</v>
      </c>
      <c r="P44" s="128"/>
      <c r="Q44" s="46"/>
      <c r="R44" s="46"/>
      <c r="S44" s="46" t="s">
        <v>6480</v>
      </c>
      <c r="T44" s="131" t="s">
        <v>6481</v>
      </c>
    </row>
    <row r="45" spans="1:20" x14ac:dyDescent="0.3">
      <c r="A45" s="128"/>
      <c r="B45" s="46"/>
      <c r="C45" s="46"/>
      <c r="D45" s="46" t="s">
        <v>6429</v>
      </c>
      <c r="E45" s="46" t="s">
        <v>6430</v>
      </c>
      <c r="F45" s="128"/>
      <c r="G45" s="46"/>
      <c r="H45" s="46"/>
      <c r="I45" s="46" t="s">
        <v>6447</v>
      </c>
      <c r="J45" s="46" t="s">
        <v>6448</v>
      </c>
      <c r="K45" s="128"/>
      <c r="L45" s="46"/>
      <c r="M45" s="46"/>
      <c r="N45" s="46" t="s">
        <v>6465</v>
      </c>
      <c r="O45" s="46" t="s">
        <v>6466</v>
      </c>
      <c r="P45" s="128"/>
      <c r="Q45" s="46"/>
      <c r="R45" s="46"/>
      <c r="S45" s="46" t="s">
        <v>6483</v>
      </c>
      <c r="T45" s="131" t="s">
        <v>6484</v>
      </c>
    </row>
    <row r="46" spans="1:20" x14ac:dyDescent="0.3">
      <c r="A46" s="128"/>
      <c r="B46" s="46"/>
      <c r="C46" s="46"/>
      <c r="D46" s="46" t="s">
        <v>6486</v>
      </c>
      <c r="E46" s="46" t="s">
        <v>6487</v>
      </c>
      <c r="F46" s="128"/>
      <c r="G46" s="46"/>
      <c r="H46" s="46"/>
      <c r="I46" s="46" t="s">
        <v>6504</v>
      </c>
      <c r="J46" s="46" t="s">
        <v>6505</v>
      </c>
      <c r="K46" s="128"/>
      <c r="L46" s="46"/>
      <c r="M46" s="46"/>
      <c r="N46" s="46" t="s">
        <v>6522</v>
      </c>
      <c r="O46" s="46" t="s">
        <v>6523</v>
      </c>
      <c r="P46" s="128"/>
      <c r="Q46" s="46"/>
      <c r="R46" s="46"/>
      <c r="S46" s="46" t="s">
        <v>6540</v>
      </c>
      <c r="T46" s="131" t="s">
        <v>6541</v>
      </c>
    </row>
    <row r="47" spans="1:20" x14ac:dyDescent="0.3">
      <c r="A47" s="128"/>
      <c r="B47" s="46"/>
      <c r="C47" s="46"/>
      <c r="D47" s="46" t="s">
        <v>6489</v>
      </c>
      <c r="E47" s="46" t="s">
        <v>6490</v>
      </c>
      <c r="F47" s="128"/>
      <c r="G47" s="46"/>
      <c r="H47" s="46"/>
      <c r="I47" s="46" t="s">
        <v>6507</v>
      </c>
      <c r="J47" s="46" t="s">
        <v>6508</v>
      </c>
      <c r="K47" s="128"/>
      <c r="L47" s="46"/>
      <c r="M47" s="46"/>
      <c r="N47" s="46" t="s">
        <v>6525</v>
      </c>
      <c r="O47" s="46" t="s">
        <v>6526</v>
      </c>
      <c r="P47" s="128"/>
      <c r="Q47" s="46"/>
      <c r="R47" s="46"/>
      <c r="S47" s="46" t="s">
        <v>6543</v>
      </c>
      <c r="T47" s="131" t="s">
        <v>6544</v>
      </c>
    </row>
    <row r="48" spans="1:20" x14ac:dyDescent="0.3">
      <c r="A48" s="128"/>
      <c r="B48" s="46"/>
      <c r="C48" s="46"/>
      <c r="D48" s="46" t="s">
        <v>6492</v>
      </c>
      <c r="E48" s="46" t="s">
        <v>6493</v>
      </c>
      <c r="F48" s="128"/>
      <c r="G48" s="46"/>
      <c r="H48" s="46"/>
      <c r="I48" s="46" t="s">
        <v>6510</v>
      </c>
      <c r="J48" s="46" t="s">
        <v>6511</v>
      </c>
      <c r="K48" s="128"/>
      <c r="L48" s="46"/>
      <c r="M48" s="46"/>
      <c r="N48" s="46" t="s">
        <v>6528</v>
      </c>
      <c r="O48" s="46" t="s">
        <v>6529</v>
      </c>
      <c r="P48" s="128"/>
      <c r="Q48" s="46"/>
      <c r="R48" s="46"/>
      <c r="S48" s="46" t="s">
        <v>6546</v>
      </c>
      <c r="T48" s="131" t="s">
        <v>6547</v>
      </c>
    </row>
    <row r="49" spans="1:20" x14ac:dyDescent="0.3">
      <c r="A49" s="128"/>
      <c r="B49" s="46"/>
      <c r="C49" s="46"/>
      <c r="D49" s="46" t="s">
        <v>6495</v>
      </c>
      <c r="E49" s="46" t="s">
        <v>6496</v>
      </c>
      <c r="F49" s="128"/>
      <c r="G49" s="46"/>
      <c r="H49" s="46"/>
      <c r="I49" s="46" t="s">
        <v>6513</v>
      </c>
      <c r="J49" s="46" t="s">
        <v>6514</v>
      </c>
      <c r="K49" s="128"/>
      <c r="L49" s="46"/>
      <c r="M49" s="46"/>
      <c r="N49" s="46" t="s">
        <v>6531</v>
      </c>
      <c r="O49" s="46" t="s">
        <v>6532</v>
      </c>
      <c r="P49" s="128"/>
      <c r="Q49" s="46"/>
      <c r="R49" s="46"/>
      <c r="S49" s="46" t="s">
        <v>6549</v>
      </c>
      <c r="T49" s="131" t="s">
        <v>6550</v>
      </c>
    </row>
    <row r="50" spans="1:20" x14ac:dyDescent="0.3">
      <c r="A50" s="128"/>
      <c r="B50" s="46"/>
      <c r="C50" s="46"/>
      <c r="D50" s="46" t="s">
        <v>6498</v>
      </c>
      <c r="E50" s="46" t="s">
        <v>6499</v>
      </c>
      <c r="F50" s="128"/>
      <c r="G50" s="46"/>
      <c r="H50" s="46"/>
      <c r="I50" s="46" t="s">
        <v>6516</v>
      </c>
      <c r="J50" s="46" t="s">
        <v>6517</v>
      </c>
      <c r="K50" s="128"/>
      <c r="L50" s="46"/>
      <c r="M50" s="46"/>
      <c r="N50" s="46" t="s">
        <v>6534</v>
      </c>
      <c r="O50" s="46" t="s">
        <v>6535</v>
      </c>
      <c r="P50" s="128"/>
      <c r="Q50" s="46"/>
      <c r="R50" s="46"/>
      <c r="S50" s="46" t="s">
        <v>6552</v>
      </c>
      <c r="T50" s="131" t="s">
        <v>6553</v>
      </c>
    </row>
    <row r="51" spans="1:20" x14ac:dyDescent="0.3">
      <c r="A51" s="128"/>
      <c r="B51" s="46"/>
      <c r="C51" s="46"/>
      <c r="D51" s="46" t="s">
        <v>6501</v>
      </c>
      <c r="E51" s="46" t="s">
        <v>6502</v>
      </c>
      <c r="F51" s="128"/>
      <c r="G51" s="46"/>
      <c r="H51" s="46"/>
      <c r="I51" s="46" t="s">
        <v>6519</v>
      </c>
      <c r="J51" s="46" t="s">
        <v>6520</v>
      </c>
      <c r="K51" s="128"/>
      <c r="L51" s="46"/>
      <c r="M51" s="46"/>
      <c r="N51" s="46" t="s">
        <v>6537</v>
      </c>
      <c r="O51" s="46" t="s">
        <v>6538</v>
      </c>
      <c r="P51" s="128"/>
      <c r="Q51" s="46"/>
      <c r="R51" s="46"/>
      <c r="S51" s="46" t="s">
        <v>6555</v>
      </c>
      <c r="T51" s="131" t="s">
        <v>6556</v>
      </c>
    </row>
    <row r="52" spans="1:20" x14ac:dyDescent="0.3">
      <c r="A52" s="128"/>
      <c r="B52" s="46"/>
      <c r="C52" s="46"/>
      <c r="D52" s="46" t="s">
        <v>6558</v>
      </c>
      <c r="E52" s="46" t="s">
        <v>6559</v>
      </c>
      <c r="F52" s="128"/>
      <c r="G52" s="46"/>
      <c r="H52" s="46"/>
      <c r="I52" s="46" t="s">
        <v>6576</v>
      </c>
      <c r="J52" s="46" t="s">
        <v>6577</v>
      </c>
      <c r="K52" s="128"/>
      <c r="L52" s="46"/>
      <c r="M52" s="46"/>
      <c r="N52" s="46" t="s">
        <v>6594</v>
      </c>
      <c r="O52" s="46" t="s">
        <v>6595</v>
      </c>
      <c r="P52" s="128"/>
      <c r="Q52" s="46"/>
      <c r="R52" s="46"/>
      <c r="S52" s="46" t="s">
        <v>6612</v>
      </c>
      <c r="T52" s="131" t="s">
        <v>6613</v>
      </c>
    </row>
    <row r="53" spans="1:20" x14ac:dyDescent="0.3">
      <c r="A53" s="128"/>
      <c r="B53" s="46"/>
      <c r="C53" s="46"/>
      <c r="D53" s="46" t="s">
        <v>6561</v>
      </c>
      <c r="E53" s="46" t="s">
        <v>6562</v>
      </c>
      <c r="F53" s="128"/>
      <c r="G53" s="46"/>
      <c r="H53" s="46"/>
      <c r="I53" s="46" t="s">
        <v>6579</v>
      </c>
      <c r="J53" s="46" t="s">
        <v>6580</v>
      </c>
      <c r="K53" s="128"/>
      <c r="L53" s="46"/>
      <c r="M53" s="46"/>
      <c r="N53" s="46" t="s">
        <v>6597</v>
      </c>
      <c r="O53" s="46" t="s">
        <v>6598</v>
      </c>
      <c r="P53" s="128"/>
      <c r="Q53" s="46"/>
      <c r="R53" s="46"/>
      <c r="S53" s="46" t="s">
        <v>6615</v>
      </c>
      <c r="T53" s="131" t="s">
        <v>6616</v>
      </c>
    </row>
    <row r="54" spans="1:20" x14ac:dyDescent="0.3">
      <c r="A54" s="128"/>
      <c r="B54" s="46"/>
      <c r="C54" s="46"/>
      <c r="D54" s="46" t="s">
        <v>6564</v>
      </c>
      <c r="E54" s="46" t="s">
        <v>6565</v>
      </c>
      <c r="F54" s="128"/>
      <c r="G54" s="46"/>
      <c r="H54" s="46"/>
      <c r="I54" s="46" t="s">
        <v>6582</v>
      </c>
      <c r="J54" s="46" t="s">
        <v>6583</v>
      </c>
      <c r="K54" s="128"/>
      <c r="L54" s="46"/>
      <c r="M54" s="46"/>
      <c r="N54" s="46" t="s">
        <v>6600</v>
      </c>
      <c r="O54" s="46" t="s">
        <v>6601</v>
      </c>
      <c r="P54" s="128"/>
      <c r="Q54" s="46"/>
      <c r="R54" s="46"/>
      <c r="S54" s="46" t="s">
        <v>6618</v>
      </c>
      <c r="T54" s="131" t="s">
        <v>6619</v>
      </c>
    </row>
    <row r="55" spans="1:20" x14ac:dyDescent="0.3">
      <c r="A55" s="128"/>
      <c r="B55" s="46"/>
      <c r="C55" s="46"/>
      <c r="D55" s="46" t="s">
        <v>6567</v>
      </c>
      <c r="E55" s="46" t="s">
        <v>6568</v>
      </c>
      <c r="F55" s="128"/>
      <c r="G55" s="46"/>
      <c r="H55" s="46"/>
      <c r="I55" s="46" t="s">
        <v>6585</v>
      </c>
      <c r="J55" s="46" t="s">
        <v>6586</v>
      </c>
      <c r="K55" s="128"/>
      <c r="L55" s="46"/>
      <c r="M55" s="46"/>
      <c r="N55" s="46" t="s">
        <v>6603</v>
      </c>
      <c r="O55" s="46" t="s">
        <v>6604</v>
      </c>
      <c r="P55" s="128"/>
      <c r="Q55" s="46"/>
      <c r="R55" s="46"/>
      <c r="S55" s="46" t="s">
        <v>6621</v>
      </c>
      <c r="T55" s="131" t="s">
        <v>6622</v>
      </c>
    </row>
    <row r="56" spans="1:20" x14ac:dyDescent="0.3">
      <c r="A56" s="128"/>
      <c r="B56" s="46"/>
      <c r="C56" s="46"/>
      <c r="D56" s="46" t="s">
        <v>6570</v>
      </c>
      <c r="E56" s="46" t="s">
        <v>6571</v>
      </c>
      <c r="F56" s="128"/>
      <c r="G56" s="46"/>
      <c r="H56" s="46"/>
      <c r="I56" s="46" t="s">
        <v>6588</v>
      </c>
      <c r="J56" s="46" t="s">
        <v>6589</v>
      </c>
      <c r="K56" s="128"/>
      <c r="L56" s="46"/>
      <c r="M56" s="46"/>
      <c r="N56" s="46" t="s">
        <v>6606</v>
      </c>
      <c r="O56" s="46" t="s">
        <v>6607</v>
      </c>
      <c r="P56" s="128"/>
      <c r="Q56" s="46"/>
      <c r="R56" s="46"/>
      <c r="S56" s="46" t="s">
        <v>6624</v>
      </c>
      <c r="T56" s="131" t="s">
        <v>6625</v>
      </c>
    </row>
    <row r="57" spans="1:20" x14ac:dyDescent="0.3">
      <c r="A57" s="128"/>
      <c r="B57" s="46"/>
      <c r="C57" s="46"/>
      <c r="D57" s="46" t="s">
        <v>6573</v>
      </c>
      <c r="E57" s="46" t="s">
        <v>6574</v>
      </c>
      <c r="F57" s="128"/>
      <c r="G57" s="46"/>
      <c r="H57" s="46"/>
      <c r="I57" s="46" t="s">
        <v>6591</v>
      </c>
      <c r="J57" s="46" t="s">
        <v>6592</v>
      </c>
      <c r="K57" s="128"/>
      <c r="L57" s="46"/>
      <c r="M57" s="46"/>
      <c r="N57" s="46" t="s">
        <v>6609</v>
      </c>
      <c r="O57" s="46" t="s">
        <v>6610</v>
      </c>
      <c r="P57" s="128"/>
      <c r="Q57" s="46"/>
      <c r="R57" s="46"/>
      <c r="S57" s="46" t="s">
        <v>6627</v>
      </c>
      <c r="T57" s="131" t="s">
        <v>6628</v>
      </c>
    </row>
    <row r="58" spans="1:20" x14ac:dyDescent="0.3">
      <c r="A58" s="128"/>
      <c r="B58" s="46"/>
      <c r="C58" s="46"/>
      <c r="D58" s="46" t="s">
        <v>6630</v>
      </c>
      <c r="E58" s="46" t="s">
        <v>6631</v>
      </c>
      <c r="F58" s="128"/>
      <c r="G58" s="46"/>
      <c r="H58" s="46"/>
      <c r="I58" s="46" t="s">
        <v>6648</v>
      </c>
      <c r="J58" s="46" t="s">
        <v>6649</v>
      </c>
      <c r="K58" s="128"/>
      <c r="L58" s="46"/>
      <c r="M58" s="46"/>
      <c r="N58" s="46" t="s">
        <v>6666</v>
      </c>
      <c r="O58" s="46" t="s">
        <v>6667</v>
      </c>
      <c r="P58" s="128"/>
      <c r="Q58" s="46"/>
      <c r="R58" s="46"/>
      <c r="S58" s="46" t="s">
        <v>6684</v>
      </c>
      <c r="T58" s="131" t="s">
        <v>6685</v>
      </c>
    </row>
    <row r="59" spans="1:20" x14ac:dyDescent="0.3">
      <c r="A59" s="128"/>
      <c r="B59" s="46"/>
      <c r="C59" s="46"/>
      <c r="D59" s="46" t="s">
        <v>6633</v>
      </c>
      <c r="E59" s="46" t="s">
        <v>6634</v>
      </c>
      <c r="F59" s="128"/>
      <c r="G59" s="46"/>
      <c r="H59" s="46"/>
      <c r="I59" s="46" t="s">
        <v>6651</v>
      </c>
      <c r="J59" s="46" t="s">
        <v>6652</v>
      </c>
      <c r="K59" s="128"/>
      <c r="L59" s="46"/>
      <c r="M59" s="46"/>
      <c r="N59" s="46" t="s">
        <v>6669</v>
      </c>
      <c r="O59" s="46" t="s">
        <v>6670</v>
      </c>
      <c r="P59" s="128"/>
      <c r="Q59" s="46"/>
      <c r="R59" s="46"/>
      <c r="S59" s="46" t="s">
        <v>6687</v>
      </c>
      <c r="T59" s="131" t="s">
        <v>6688</v>
      </c>
    </row>
    <row r="60" spans="1:20" x14ac:dyDescent="0.3">
      <c r="A60" s="128"/>
      <c r="B60" s="46"/>
      <c r="C60" s="46"/>
      <c r="D60" s="46" t="s">
        <v>6636</v>
      </c>
      <c r="E60" s="46" t="s">
        <v>6637</v>
      </c>
      <c r="F60" s="128"/>
      <c r="G60" s="46"/>
      <c r="H60" s="46"/>
      <c r="I60" s="46" t="s">
        <v>6654</v>
      </c>
      <c r="J60" s="46" t="s">
        <v>6655</v>
      </c>
      <c r="K60" s="128"/>
      <c r="L60" s="46"/>
      <c r="M60" s="46"/>
      <c r="N60" s="46" t="s">
        <v>6672</v>
      </c>
      <c r="O60" s="46" t="s">
        <v>6673</v>
      </c>
      <c r="P60" s="128"/>
      <c r="Q60" s="46"/>
      <c r="R60" s="46"/>
      <c r="S60" s="46" t="s">
        <v>6690</v>
      </c>
      <c r="T60" s="131" t="s">
        <v>6691</v>
      </c>
    </row>
    <row r="61" spans="1:20" x14ac:dyDescent="0.3">
      <c r="A61" s="128"/>
      <c r="B61" s="46"/>
      <c r="C61" s="46"/>
      <c r="D61" s="46" t="s">
        <v>6639</v>
      </c>
      <c r="E61" s="46" t="s">
        <v>6640</v>
      </c>
      <c r="F61" s="128"/>
      <c r="G61" s="46"/>
      <c r="H61" s="46"/>
      <c r="I61" s="46" t="s">
        <v>6657</v>
      </c>
      <c r="J61" s="46" t="s">
        <v>6658</v>
      </c>
      <c r="K61" s="128"/>
      <c r="L61" s="46"/>
      <c r="M61" s="46"/>
      <c r="N61" s="46" t="s">
        <v>6675</v>
      </c>
      <c r="O61" s="46" t="s">
        <v>6676</v>
      </c>
      <c r="P61" s="128"/>
      <c r="Q61" s="46"/>
      <c r="R61" s="46"/>
      <c r="S61" s="46" t="s">
        <v>6693</v>
      </c>
      <c r="T61" s="131" t="s">
        <v>6694</v>
      </c>
    </row>
    <row r="62" spans="1:20" x14ac:dyDescent="0.3">
      <c r="A62" s="128"/>
      <c r="B62" s="46"/>
      <c r="C62" s="46"/>
      <c r="D62" s="46" t="s">
        <v>6642</v>
      </c>
      <c r="E62" s="46" t="s">
        <v>6643</v>
      </c>
      <c r="F62" s="128"/>
      <c r="G62" s="46"/>
      <c r="H62" s="46"/>
      <c r="I62" s="46" t="s">
        <v>6660</v>
      </c>
      <c r="J62" s="46" t="s">
        <v>6661</v>
      </c>
      <c r="K62" s="128"/>
      <c r="L62" s="46"/>
      <c r="M62" s="46"/>
      <c r="N62" s="46" t="s">
        <v>6678</v>
      </c>
      <c r="O62" s="46" t="s">
        <v>6679</v>
      </c>
      <c r="P62" s="128"/>
      <c r="Q62" s="46"/>
      <c r="R62" s="46"/>
      <c r="S62" s="46" t="s">
        <v>6696</v>
      </c>
      <c r="T62" s="131" t="s">
        <v>6697</v>
      </c>
    </row>
    <row r="63" spans="1:20" x14ac:dyDescent="0.3">
      <c r="A63" s="128"/>
      <c r="B63" s="46"/>
      <c r="C63" s="46"/>
      <c r="D63" s="46" t="s">
        <v>6645</v>
      </c>
      <c r="E63" s="46" t="s">
        <v>6646</v>
      </c>
      <c r="F63" s="128"/>
      <c r="G63" s="46"/>
      <c r="H63" s="46"/>
      <c r="I63" s="46" t="s">
        <v>6663</v>
      </c>
      <c r="J63" s="46" t="s">
        <v>6664</v>
      </c>
      <c r="K63" s="128"/>
      <c r="L63" s="46"/>
      <c r="M63" s="46"/>
      <c r="N63" s="46" t="s">
        <v>6681</v>
      </c>
      <c r="O63" s="46" t="s">
        <v>6682</v>
      </c>
      <c r="P63" s="128"/>
      <c r="Q63" s="46"/>
      <c r="R63" s="46"/>
      <c r="S63" s="46" t="s">
        <v>6699</v>
      </c>
      <c r="T63" s="131" t="s">
        <v>6700</v>
      </c>
    </row>
    <row r="64" spans="1:20" x14ac:dyDescent="0.3">
      <c r="A64" s="128"/>
      <c r="B64" s="46"/>
      <c r="C64" s="46"/>
      <c r="D64" s="46" t="s">
        <v>6702</v>
      </c>
      <c r="E64" s="46" t="s">
        <v>6703</v>
      </c>
      <c r="F64" s="128"/>
      <c r="G64" s="46"/>
      <c r="H64" s="46"/>
      <c r="I64" s="46" t="s">
        <v>6720</v>
      </c>
      <c r="J64" s="46" t="s">
        <v>6721</v>
      </c>
      <c r="K64" s="128"/>
      <c r="L64" s="46"/>
      <c r="M64" s="46"/>
      <c r="N64" s="46" t="s">
        <v>6738</v>
      </c>
      <c r="O64" s="46" t="s">
        <v>6739</v>
      </c>
      <c r="P64" s="128"/>
      <c r="Q64" s="46"/>
      <c r="R64" s="46"/>
      <c r="S64" s="46" t="s">
        <v>6756</v>
      </c>
      <c r="T64" s="131" t="s">
        <v>6757</v>
      </c>
    </row>
    <row r="65" spans="1:20" x14ac:dyDescent="0.3">
      <c r="A65" s="128"/>
      <c r="B65" s="46"/>
      <c r="C65" s="46"/>
      <c r="D65" s="46" t="s">
        <v>6705</v>
      </c>
      <c r="E65" s="46" t="s">
        <v>6706</v>
      </c>
      <c r="F65" s="128"/>
      <c r="G65" s="46"/>
      <c r="H65" s="46"/>
      <c r="I65" s="46" t="s">
        <v>6723</v>
      </c>
      <c r="J65" s="46" t="s">
        <v>6724</v>
      </c>
      <c r="K65" s="128"/>
      <c r="L65" s="46"/>
      <c r="M65" s="46"/>
      <c r="N65" s="46" t="s">
        <v>6741</v>
      </c>
      <c r="O65" s="46" t="s">
        <v>6742</v>
      </c>
      <c r="P65" s="128"/>
      <c r="Q65" s="46"/>
      <c r="R65" s="46"/>
      <c r="S65" s="46" t="s">
        <v>6759</v>
      </c>
      <c r="T65" s="131" t="s">
        <v>6760</v>
      </c>
    </row>
    <row r="66" spans="1:20" x14ac:dyDescent="0.3">
      <c r="A66" s="128"/>
      <c r="B66" s="46"/>
      <c r="C66" s="46"/>
      <c r="D66" s="46" t="s">
        <v>6708</v>
      </c>
      <c r="E66" s="46" t="s">
        <v>6709</v>
      </c>
      <c r="F66" s="128"/>
      <c r="G66" s="46"/>
      <c r="H66" s="46"/>
      <c r="I66" s="46" t="s">
        <v>6726</v>
      </c>
      <c r="J66" s="46" t="s">
        <v>6727</v>
      </c>
      <c r="K66" s="128"/>
      <c r="L66" s="46"/>
      <c r="M66" s="46"/>
      <c r="N66" s="46" t="s">
        <v>6744</v>
      </c>
      <c r="O66" s="46" t="s">
        <v>6745</v>
      </c>
      <c r="P66" s="128"/>
      <c r="Q66" s="46"/>
      <c r="R66" s="46"/>
      <c r="S66" s="46" t="s">
        <v>6762</v>
      </c>
      <c r="T66" s="131" t="s">
        <v>6763</v>
      </c>
    </row>
    <row r="67" spans="1:20" x14ac:dyDescent="0.3">
      <c r="A67" s="128"/>
      <c r="B67" s="46"/>
      <c r="C67" s="46"/>
      <c r="D67" s="46" t="s">
        <v>6711</v>
      </c>
      <c r="E67" s="46" t="s">
        <v>6712</v>
      </c>
      <c r="F67" s="128"/>
      <c r="G67" s="46"/>
      <c r="H67" s="46"/>
      <c r="I67" s="46" t="s">
        <v>6729</v>
      </c>
      <c r="J67" s="46" t="s">
        <v>6730</v>
      </c>
      <c r="K67" s="128"/>
      <c r="L67" s="46"/>
      <c r="M67" s="46"/>
      <c r="N67" s="46" t="s">
        <v>6747</v>
      </c>
      <c r="O67" s="46" t="s">
        <v>6748</v>
      </c>
      <c r="P67" s="128"/>
      <c r="Q67" s="46"/>
      <c r="R67" s="46"/>
      <c r="S67" s="46" t="s">
        <v>6765</v>
      </c>
      <c r="T67" s="131" t="s">
        <v>6766</v>
      </c>
    </row>
    <row r="68" spans="1:20" x14ac:dyDescent="0.3">
      <c r="A68" s="128"/>
      <c r="B68" s="46"/>
      <c r="C68" s="46"/>
      <c r="D68" s="46" t="s">
        <v>6714</v>
      </c>
      <c r="E68" s="46" t="s">
        <v>6715</v>
      </c>
      <c r="F68" s="128"/>
      <c r="G68" s="46"/>
      <c r="H68" s="46"/>
      <c r="I68" s="46" t="s">
        <v>6732</v>
      </c>
      <c r="J68" s="46" t="s">
        <v>6733</v>
      </c>
      <c r="K68" s="128"/>
      <c r="L68" s="46"/>
      <c r="M68" s="46"/>
      <c r="N68" s="46" t="s">
        <v>6750</v>
      </c>
      <c r="O68" s="46" t="s">
        <v>6751</v>
      </c>
      <c r="P68" s="128"/>
      <c r="Q68" s="46"/>
      <c r="R68" s="46"/>
      <c r="S68" s="46" t="s">
        <v>6768</v>
      </c>
      <c r="T68" s="131" t="s">
        <v>6769</v>
      </c>
    </row>
    <row r="69" spans="1:20" x14ac:dyDescent="0.3">
      <c r="A69" s="128"/>
      <c r="B69" s="46"/>
      <c r="C69" s="46"/>
      <c r="D69" s="46" t="s">
        <v>6717</v>
      </c>
      <c r="E69" s="46" t="s">
        <v>6718</v>
      </c>
      <c r="F69" s="128"/>
      <c r="G69" s="46"/>
      <c r="H69" s="46"/>
      <c r="I69" s="46" t="s">
        <v>6735</v>
      </c>
      <c r="J69" s="46" t="s">
        <v>6736</v>
      </c>
      <c r="K69" s="128"/>
      <c r="L69" s="46"/>
      <c r="M69" s="46"/>
      <c r="N69" s="46" t="s">
        <v>6753</v>
      </c>
      <c r="O69" s="46" t="s">
        <v>6754</v>
      </c>
      <c r="P69" s="128"/>
      <c r="Q69" s="46"/>
      <c r="R69" s="46"/>
      <c r="S69" s="46" t="s">
        <v>6771</v>
      </c>
      <c r="T69" s="131" t="s">
        <v>6772</v>
      </c>
    </row>
    <row r="70" spans="1:20" x14ac:dyDescent="0.3">
      <c r="A70" s="128"/>
      <c r="B70" s="46"/>
      <c r="C70" s="46"/>
      <c r="D70" s="46" t="s">
        <v>6774</v>
      </c>
      <c r="E70" s="46" t="s">
        <v>6775</v>
      </c>
      <c r="F70" s="128"/>
      <c r="G70" s="46"/>
      <c r="H70" s="46"/>
      <c r="I70" s="46" t="s">
        <v>6792</v>
      </c>
      <c r="J70" s="46" t="s">
        <v>6793</v>
      </c>
      <c r="K70" s="128"/>
      <c r="L70" s="46"/>
      <c r="M70" s="46"/>
      <c r="N70" s="46" t="s">
        <v>6810</v>
      </c>
      <c r="O70" s="46" t="s">
        <v>6811</v>
      </c>
      <c r="P70" s="128"/>
      <c r="Q70" s="46"/>
      <c r="R70" s="46"/>
      <c r="S70" s="46" t="s">
        <v>6828</v>
      </c>
      <c r="T70" s="131" t="s">
        <v>6829</v>
      </c>
    </row>
    <row r="71" spans="1:20" x14ac:dyDescent="0.3">
      <c r="A71" s="128"/>
      <c r="B71" s="46"/>
      <c r="C71" s="46"/>
      <c r="D71" s="46" t="s">
        <v>6777</v>
      </c>
      <c r="E71" s="46" t="s">
        <v>6778</v>
      </c>
      <c r="F71" s="128"/>
      <c r="G71" s="46"/>
      <c r="H71" s="46"/>
      <c r="I71" s="46" t="s">
        <v>6795</v>
      </c>
      <c r="J71" s="46" t="s">
        <v>6796</v>
      </c>
      <c r="K71" s="128"/>
      <c r="L71" s="46"/>
      <c r="M71" s="46"/>
      <c r="N71" s="46" t="s">
        <v>6813</v>
      </c>
      <c r="O71" s="46" t="s">
        <v>6814</v>
      </c>
      <c r="P71" s="128"/>
      <c r="Q71" s="46"/>
      <c r="R71" s="46"/>
      <c r="S71" s="46" t="s">
        <v>6831</v>
      </c>
      <c r="T71" s="131" t="s">
        <v>6832</v>
      </c>
    </row>
    <row r="72" spans="1:20" x14ac:dyDescent="0.3">
      <c r="A72" s="128"/>
      <c r="B72" s="46"/>
      <c r="C72" s="46"/>
      <c r="D72" s="46" t="s">
        <v>6780</v>
      </c>
      <c r="E72" s="46" t="s">
        <v>6781</v>
      </c>
      <c r="F72" s="128"/>
      <c r="G72" s="46"/>
      <c r="H72" s="46"/>
      <c r="I72" s="46" t="s">
        <v>6798</v>
      </c>
      <c r="J72" s="46" t="s">
        <v>6799</v>
      </c>
      <c r="K72" s="128"/>
      <c r="L72" s="46"/>
      <c r="M72" s="46"/>
      <c r="N72" s="46" t="s">
        <v>6816</v>
      </c>
      <c r="O72" s="46" t="s">
        <v>6817</v>
      </c>
      <c r="P72" s="128"/>
      <c r="Q72" s="46"/>
      <c r="R72" s="46"/>
      <c r="S72" s="46" t="s">
        <v>6834</v>
      </c>
      <c r="T72" s="131" t="s">
        <v>6835</v>
      </c>
    </row>
    <row r="73" spans="1:20" x14ac:dyDescent="0.3">
      <c r="A73" s="128"/>
      <c r="B73" s="46"/>
      <c r="C73" s="46"/>
      <c r="D73" s="46" t="s">
        <v>6783</v>
      </c>
      <c r="E73" s="46" t="s">
        <v>6784</v>
      </c>
      <c r="F73" s="128"/>
      <c r="G73" s="46"/>
      <c r="H73" s="46"/>
      <c r="I73" s="46" t="s">
        <v>6801</v>
      </c>
      <c r="J73" s="46" t="s">
        <v>6802</v>
      </c>
      <c r="K73" s="128"/>
      <c r="L73" s="46"/>
      <c r="M73" s="46"/>
      <c r="N73" s="46" t="s">
        <v>6819</v>
      </c>
      <c r="O73" s="46" t="s">
        <v>6820</v>
      </c>
      <c r="P73" s="128"/>
      <c r="Q73" s="46"/>
      <c r="R73" s="46"/>
      <c r="S73" s="46" t="s">
        <v>6837</v>
      </c>
      <c r="T73" s="131" t="s">
        <v>6838</v>
      </c>
    </row>
    <row r="74" spans="1:20" x14ac:dyDescent="0.3">
      <c r="A74" s="128"/>
      <c r="B74" s="46"/>
      <c r="C74" s="46"/>
      <c r="D74" s="46" t="s">
        <v>6786</v>
      </c>
      <c r="E74" s="46" t="s">
        <v>6787</v>
      </c>
      <c r="F74" s="128"/>
      <c r="G74" s="46"/>
      <c r="H74" s="46"/>
      <c r="I74" s="46" t="s">
        <v>6804</v>
      </c>
      <c r="J74" s="46" t="s">
        <v>6805</v>
      </c>
      <c r="K74" s="128"/>
      <c r="L74" s="46"/>
      <c r="M74" s="46"/>
      <c r="N74" s="46" t="s">
        <v>6822</v>
      </c>
      <c r="O74" s="46" t="s">
        <v>6823</v>
      </c>
      <c r="P74" s="128"/>
      <c r="Q74" s="46"/>
      <c r="R74" s="46"/>
      <c r="S74" s="46" t="s">
        <v>6840</v>
      </c>
      <c r="T74" s="131" t="s">
        <v>6841</v>
      </c>
    </row>
    <row r="75" spans="1:20" x14ac:dyDescent="0.3">
      <c r="A75" s="128"/>
      <c r="B75" s="46"/>
      <c r="C75" s="46"/>
      <c r="D75" s="46" t="s">
        <v>6789</v>
      </c>
      <c r="E75" s="46" t="s">
        <v>6790</v>
      </c>
      <c r="F75" s="128"/>
      <c r="G75" s="46"/>
      <c r="H75" s="46"/>
      <c r="I75" s="46" t="s">
        <v>6807</v>
      </c>
      <c r="J75" s="46" t="s">
        <v>6808</v>
      </c>
      <c r="K75" s="128"/>
      <c r="L75" s="46"/>
      <c r="M75" s="46"/>
      <c r="N75" s="46" t="s">
        <v>6825</v>
      </c>
      <c r="O75" s="46" t="s">
        <v>6826</v>
      </c>
      <c r="P75" s="128"/>
      <c r="Q75" s="46"/>
      <c r="R75" s="46"/>
      <c r="S75" s="46" t="s">
        <v>6843</v>
      </c>
      <c r="T75" s="131" t="s">
        <v>6844</v>
      </c>
    </row>
    <row r="76" spans="1:20" x14ac:dyDescent="0.3">
      <c r="A76" s="128"/>
      <c r="B76" s="46"/>
      <c r="C76" s="46"/>
      <c r="D76" s="46" t="s">
        <v>6846</v>
      </c>
      <c r="E76" s="46" t="s">
        <v>6847</v>
      </c>
      <c r="F76" s="128"/>
      <c r="G76" s="46"/>
      <c r="H76" s="46"/>
      <c r="I76" s="46" t="s">
        <v>6864</v>
      </c>
      <c r="J76" s="46" t="s">
        <v>6865</v>
      </c>
      <c r="K76" s="128"/>
      <c r="L76" s="46"/>
      <c r="M76" s="46"/>
      <c r="N76" s="46" t="s">
        <v>6882</v>
      </c>
      <c r="O76" s="46" t="s">
        <v>6883</v>
      </c>
      <c r="P76" s="128"/>
      <c r="Q76" s="46"/>
      <c r="R76" s="46"/>
      <c r="S76" s="46" t="s">
        <v>6900</v>
      </c>
      <c r="T76" s="131" t="s">
        <v>6901</v>
      </c>
    </row>
    <row r="77" spans="1:20" x14ac:dyDescent="0.3">
      <c r="A77" s="128"/>
      <c r="B77" s="46"/>
      <c r="C77" s="46"/>
      <c r="D77" s="46" t="s">
        <v>6849</v>
      </c>
      <c r="E77" s="46" t="s">
        <v>6850</v>
      </c>
      <c r="F77" s="128"/>
      <c r="G77" s="46"/>
      <c r="H77" s="46"/>
      <c r="I77" s="46" t="s">
        <v>6867</v>
      </c>
      <c r="J77" s="46" t="s">
        <v>6868</v>
      </c>
      <c r="K77" s="128"/>
      <c r="L77" s="46"/>
      <c r="M77" s="46"/>
      <c r="N77" s="46" t="s">
        <v>6885</v>
      </c>
      <c r="O77" s="46" t="s">
        <v>6886</v>
      </c>
      <c r="P77" s="128"/>
      <c r="Q77" s="46"/>
      <c r="R77" s="46"/>
      <c r="S77" s="46" t="s">
        <v>6903</v>
      </c>
      <c r="T77" s="131" t="s">
        <v>6904</v>
      </c>
    </row>
    <row r="78" spans="1:20" x14ac:dyDescent="0.3">
      <c r="A78" s="128"/>
      <c r="B78" s="46"/>
      <c r="C78" s="46"/>
      <c r="D78" s="46" t="s">
        <v>6852</v>
      </c>
      <c r="E78" s="46" t="s">
        <v>6853</v>
      </c>
      <c r="F78" s="128"/>
      <c r="G78" s="46"/>
      <c r="H78" s="46"/>
      <c r="I78" s="46" t="s">
        <v>6870</v>
      </c>
      <c r="J78" s="46" t="s">
        <v>6871</v>
      </c>
      <c r="K78" s="128"/>
      <c r="L78" s="46"/>
      <c r="M78" s="46"/>
      <c r="N78" s="46" t="s">
        <v>6888</v>
      </c>
      <c r="O78" s="46" t="s">
        <v>6889</v>
      </c>
      <c r="P78" s="128"/>
      <c r="Q78" s="46"/>
      <c r="R78" s="46"/>
      <c r="S78" s="46" t="s">
        <v>6906</v>
      </c>
      <c r="T78" s="131" t="s">
        <v>6907</v>
      </c>
    </row>
    <row r="79" spans="1:20" x14ac:dyDescent="0.3">
      <c r="A79" s="128"/>
      <c r="B79" s="46"/>
      <c r="C79" s="46"/>
      <c r="D79" s="46" t="s">
        <v>6855</v>
      </c>
      <c r="E79" s="46" t="s">
        <v>6856</v>
      </c>
      <c r="F79" s="128"/>
      <c r="G79" s="46"/>
      <c r="H79" s="46"/>
      <c r="I79" s="46" t="s">
        <v>6873</v>
      </c>
      <c r="J79" s="46" t="s">
        <v>6874</v>
      </c>
      <c r="K79" s="128"/>
      <c r="L79" s="46"/>
      <c r="M79" s="46"/>
      <c r="N79" s="46" t="s">
        <v>6891</v>
      </c>
      <c r="O79" s="46" t="s">
        <v>6892</v>
      </c>
      <c r="P79" s="128"/>
      <c r="Q79" s="46"/>
      <c r="R79" s="46"/>
      <c r="S79" s="46" t="s">
        <v>6909</v>
      </c>
      <c r="T79" s="131" t="s">
        <v>6910</v>
      </c>
    </row>
    <row r="80" spans="1:20" x14ac:dyDescent="0.3">
      <c r="A80" s="128"/>
      <c r="B80" s="46"/>
      <c r="C80" s="46"/>
      <c r="D80" s="46" t="s">
        <v>6858</v>
      </c>
      <c r="E80" s="46" t="s">
        <v>6859</v>
      </c>
      <c r="F80" s="128"/>
      <c r="G80" s="46"/>
      <c r="H80" s="46"/>
      <c r="I80" s="46" t="s">
        <v>6876</v>
      </c>
      <c r="J80" s="46" t="s">
        <v>6877</v>
      </c>
      <c r="K80" s="128"/>
      <c r="L80" s="46"/>
      <c r="M80" s="46"/>
      <c r="N80" s="46" t="s">
        <v>6894</v>
      </c>
      <c r="O80" s="46" t="s">
        <v>6895</v>
      </c>
      <c r="P80" s="128"/>
      <c r="Q80" s="46"/>
      <c r="R80" s="46"/>
      <c r="S80" s="46" t="s">
        <v>6912</v>
      </c>
      <c r="T80" s="131" t="s">
        <v>6913</v>
      </c>
    </row>
    <row r="81" spans="1:20" x14ac:dyDescent="0.3">
      <c r="A81" s="128"/>
      <c r="B81" s="46"/>
      <c r="C81" s="46"/>
      <c r="D81" s="46" t="s">
        <v>6861</v>
      </c>
      <c r="E81" s="46" t="s">
        <v>6862</v>
      </c>
      <c r="F81" s="128"/>
      <c r="G81" s="46"/>
      <c r="H81" s="46"/>
      <c r="I81" s="46" t="s">
        <v>6879</v>
      </c>
      <c r="J81" s="46" t="s">
        <v>6880</v>
      </c>
      <c r="K81" s="128"/>
      <c r="L81" s="46"/>
      <c r="M81" s="46"/>
      <c r="N81" s="46" t="s">
        <v>6897</v>
      </c>
      <c r="O81" s="46" t="s">
        <v>6898</v>
      </c>
      <c r="P81" s="128"/>
      <c r="Q81" s="46"/>
      <c r="R81" s="46"/>
      <c r="S81" s="46" t="s">
        <v>6915</v>
      </c>
      <c r="T81" s="131" t="s">
        <v>6916</v>
      </c>
    </row>
    <row r="82" spans="1:20" x14ac:dyDescent="0.3">
      <c r="A82" s="128"/>
      <c r="B82" s="46"/>
      <c r="C82" s="46"/>
      <c r="D82" s="46" t="s">
        <v>6918</v>
      </c>
      <c r="E82" s="46" t="s">
        <v>6919</v>
      </c>
      <c r="F82" s="128"/>
      <c r="G82" s="46"/>
      <c r="H82" s="46"/>
      <c r="I82" s="46" t="s">
        <v>6936</v>
      </c>
      <c r="J82" s="46" t="s">
        <v>6937</v>
      </c>
      <c r="K82" s="128"/>
      <c r="L82" s="46"/>
      <c r="M82" s="46"/>
      <c r="N82" s="46" t="s">
        <v>6954</v>
      </c>
      <c r="O82" s="46" t="s">
        <v>6955</v>
      </c>
      <c r="P82" s="128"/>
      <c r="Q82" s="46"/>
      <c r="R82" s="46"/>
      <c r="S82" s="46" t="s">
        <v>6972</v>
      </c>
      <c r="T82" s="131" t="s">
        <v>6973</v>
      </c>
    </row>
    <row r="83" spans="1:20" x14ac:dyDescent="0.3">
      <c r="A83" s="128"/>
      <c r="B83" s="46"/>
      <c r="C83" s="46"/>
      <c r="D83" s="46" t="s">
        <v>6921</v>
      </c>
      <c r="E83" s="46" t="s">
        <v>6922</v>
      </c>
      <c r="F83" s="128"/>
      <c r="G83" s="46"/>
      <c r="H83" s="46"/>
      <c r="I83" s="46" t="s">
        <v>6939</v>
      </c>
      <c r="J83" s="46" t="s">
        <v>6940</v>
      </c>
      <c r="K83" s="128"/>
      <c r="L83" s="46"/>
      <c r="M83" s="46"/>
      <c r="N83" s="46" t="s">
        <v>6957</v>
      </c>
      <c r="O83" s="46" t="s">
        <v>6958</v>
      </c>
      <c r="P83" s="128"/>
      <c r="Q83" s="46"/>
      <c r="R83" s="46"/>
      <c r="S83" s="46" t="s">
        <v>6975</v>
      </c>
      <c r="T83" s="131" t="s">
        <v>6976</v>
      </c>
    </row>
    <row r="84" spans="1:20" x14ac:dyDescent="0.3">
      <c r="A84" s="128"/>
      <c r="B84" s="46"/>
      <c r="C84" s="46"/>
      <c r="D84" s="46" t="s">
        <v>6924</v>
      </c>
      <c r="E84" s="46" t="s">
        <v>6925</v>
      </c>
      <c r="F84" s="128"/>
      <c r="G84" s="46"/>
      <c r="H84" s="46"/>
      <c r="I84" s="46" t="s">
        <v>6942</v>
      </c>
      <c r="J84" s="46" t="s">
        <v>6943</v>
      </c>
      <c r="K84" s="128"/>
      <c r="L84" s="46"/>
      <c r="M84" s="46"/>
      <c r="N84" s="46" t="s">
        <v>6960</v>
      </c>
      <c r="O84" s="46" t="s">
        <v>6961</v>
      </c>
      <c r="P84" s="128"/>
      <c r="Q84" s="46"/>
      <c r="R84" s="46"/>
      <c r="S84" s="46" t="s">
        <v>6978</v>
      </c>
      <c r="T84" s="131" t="s">
        <v>6979</v>
      </c>
    </row>
    <row r="85" spans="1:20" x14ac:dyDescent="0.3">
      <c r="A85" s="128"/>
      <c r="B85" s="46"/>
      <c r="C85" s="46"/>
      <c r="D85" s="46" t="s">
        <v>6927</v>
      </c>
      <c r="E85" s="46" t="s">
        <v>6928</v>
      </c>
      <c r="F85" s="128"/>
      <c r="G85" s="46"/>
      <c r="H85" s="46"/>
      <c r="I85" s="46" t="s">
        <v>6945</v>
      </c>
      <c r="J85" s="46" t="s">
        <v>6946</v>
      </c>
      <c r="K85" s="128"/>
      <c r="L85" s="46"/>
      <c r="M85" s="46"/>
      <c r="N85" s="46" t="s">
        <v>6963</v>
      </c>
      <c r="O85" s="46" t="s">
        <v>6964</v>
      </c>
      <c r="P85" s="128"/>
      <c r="Q85" s="46"/>
      <c r="R85" s="46"/>
      <c r="S85" s="46" t="s">
        <v>6981</v>
      </c>
      <c r="T85" s="131" t="s">
        <v>6982</v>
      </c>
    </row>
    <row r="86" spans="1:20" x14ac:dyDescent="0.3">
      <c r="A86" s="128"/>
      <c r="B86" s="46"/>
      <c r="C86" s="46"/>
      <c r="D86" s="46" t="s">
        <v>6930</v>
      </c>
      <c r="E86" s="46" t="s">
        <v>6931</v>
      </c>
      <c r="F86" s="128"/>
      <c r="G86" s="46"/>
      <c r="H86" s="46"/>
      <c r="I86" s="46" t="s">
        <v>6948</v>
      </c>
      <c r="J86" s="46" t="s">
        <v>6949</v>
      </c>
      <c r="K86" s="128"/>
      <c r="L86" s="46"/>
      <c r="M86" s="46"/>
      <c r="N86" s="46" t="s">
        <v>6966</v>
      </c>
      <c r="O86" s="46" t="s">
        <v>6967</v>
      </c>
      <c r="P86" s="128"/>
      <c r="Q86" s="46"/>
      <c r="R86" s="46"/>
      <c r="S86" s="46" t="s">
        <v>6984</v>
      </c>
      <c r="T86" s="131" t="s">
        <v>6985</v>
      </c>
    </row>
    <row r="87" spans="1:20" x14ac:dyDescent="0.3">
      <c r="A87" s="128"/>
      <c r="B87" s="46"/>
      <c r="C87" s="46"/>
      <c r="D87" s="46" t="s">
        <v>6933</v>
      </c>
      <c r="E87" s="46" t="s">
        <v>6934</v>
      </c>
      <c r="F87" s="128"/>
      <c r="G87" s="46"/>
      <c r="H87" s="46"/>
      <c r="I87" s="46" t="s">
        <v>6951</v>
      </c>
      <c r="J87" s="46" t="s">
        <v>6952</v>
      </c>
      <c r="K87" s="128"/>
      <c r="L87" s="46"/>
      <c r="M87" s="46"/>
      <c r="N87" s="46" t="s">
        <v>6969</v>
      </c>
      <c r="O87" s="46" t="s">
        <v>6970</v>
      </c>
      <c r="P87" s="128"/>
      <c r="Q87" s="46"/>
      <c r="R87" s="46"/>
      <c r="S87" s="46" t="s">
        <v>6987</v>
      </c>
      <c r="T87" s="131" t="s">
        <v>6988</v>
      </c>
    </row>
    <row r="88" spans="1:20" x14ac:dyDescent="0.3">
      <c r="A88" s="128"/>
      <c r="B88" s="46"/>
      <c r="C88" s="46"/>
      <c r="D88" s="46" t="s">
        <v>6990</v>
      </c>
      <c r="E88" s="46" t="s">
        <v>6991</v>
      </c>
      <c r="F88" s="128"/>
      <c r="G88" s="46"/>
      <c r="H88" s="46"/>
      <c r="I88" s="46" t="s">
        <v>7008</v>
      </c>
      <c r="J88" s="46" t="s">
        <v>7009</v>
      </c>
      <c r="K88" s="128"/>
      <c r="L88" s="46"/>
      <c r="M88" s="46"/>
      <c r="N88" s="46" t="s">
        <v>7026</v>
      </c>
      <c r="O88" s="46" t="s">
        <v>7027</v>
      </c>
      <c r="P88" s="128"/>
      <c r="Q88" s="46"/>
      <c r="R88" s="46"/>
      <c r="S88" s="46" t="s">
        <v>7044</v>
      </c>
      <c r="T88" s="131" t="s">
        <v>7045</v>
      </c>
    </row>
    <row r="89" spans="1:20" x14ac:dyDescent="0.3">
      <c r="A89" s="128"/>
      <c r="B89" s="46"/>
      <c r="C89" s="46"/>
      <c r="D89" s="46" t="s">
        <v>6993</v>
      </c>
      <c r="E89" s="46" t="s">
        <v>6994</v>
      </c>
      <c r="F89" s="128"/>
      <c r="G89" s="46"/>
      <c r="H89" s="46"/>
      <c r="I89" s="46" t="s">
        <v>7011</v>
      </c>
      <c r="J89" s="46" t="s">
        <v>7012</v>
      </c>
      <c r="K89" s="128"/>
      <c r="L89" s="46"/>
      <c r="M89" s="46"/>
      <c r="N89" s="46" t="s">
        <v>7029</v>
      </c>
      <c r="O89" s="46" t="s">
        <v>7030</v>
      </c>
      <c r="P89" s="128"/>
      <c r="Q89" s="46"/>
      <c r="R89" s="46"/>
      <c r="S89" s="46" t="s">
        <v>7047</v>
      </c>
      <c r="T89" s="131" t="s">
        <v>7048</v>
      </c>
    </row>
    <row r="90" spans="1:20" x14ac:dyDescent="0.3">
      <c r="A90" s="128"/>
      <c r="B90" s="46"/>
      <c r="C90" s="46"/>
      <c r="D90" s="46" t="s">
        <v>6996</v>
      </c>
      <c r="E90" s="46" t="s">
        <v>6997</v>
      </c>
      <c r="F90" s="128"/>
      <c r="G90" s="46"/>
      <c r="H90" s="46"/>
      <c r="I90" s="46" t="s">
        <v>7014</v>
      </c>
      <c r="J90" s="46" t="s">
        <v>7015</v>
      </c>
      <c r="K90" s="128"/>
      <c r="L90" s="46"/>
      <c r="M90" s="46"/>
      <c r="N90" s="46" t="s">
        <v>7032</v>
      </c>
      <c r="O90" s="46" t="s">
        <v>7033</v>
      </c>
      <c r="P90" s="128"/>
      <c r="Q90" s="46"/>
      <c r="R90" s="46"/>
      <c r="S90" s="46" t="s">
        <v>7050</v>
      </c>
      <c r="T90" s="131" t="s">
        <v>7051</v>
      </c>
    </row>
    <row r="91" spans="1:20" x14ac:dyDescent="0.3">
      <c r="A91" s="128"/>
      <c r="B91" s="46"/>
      <c r="C91" s="46"/>
      <c r="D91" s="46" t="s">
        <v>6999</v>
      </c>
      <c r="E91" s="46" t="s">
        <v>7000</v>
      </c>
      <c r="F91" s="128"/>
      <c r="G91" s="46"/>
      <c r="H91" s="46"/>
      <c r="I91" s="46" t="s">
        <v>7017</v>
      </c>
      <c r="J91" s="46" t="s">
        <v>7018</v>
      </c>
      <c r="K91" s="128"/>
      <c r="L91" s="46"/>
      <c r="M91" s="46"/>
      <c r="N91" s="46" t="s">
        <v>7035</v>
      </c>
      <c r="O91" s="46" t="s">
        <v>7036</v>
      </c>
      <c r="P91" s="128"/>
      <c r="Q91" s="46"/>
      <c r="R91" s="46"/>
      <c r="S91" s="46" t="s">
        <v>7053</v>
      </c>
      <c r="T91" s="131" t="s">
        <v>7054</v>
      </c>
    </row>
    <row r="92" spans="1:20" x14ac:dyDescent="0.3">
      <c r="A92" s="128"/>
      <c r="B92" s="46"/>
      <c r="C92" s="46"/>
      <c r="D92" s="46" t="s">
        <v>7002</v>
      </c>
      <c r="E92" s="46" t="s">
        <v>7003</v>
      </c>
      <c r="F92" s="128"/>
      <c r="G92" s="46"/>
      <c r="H92" s="46"/>
      <c r="I92" s="46" t="s">
        <v>7020</v>
      </c>
      <c r="J92" s="46" t="s">
        <v>7021</v>
      </c>
      <c r="K92" s="128"/>
      <c r="L92" s="46"/>
      <c r="M92" s="46"/>
      <c r="N92" s="46" t="s">
        <v>7038</v>
      </c>
      <c r="O92" s="46" t="s">
        <v>7039</v>
      </c>
      <c r="P92" s="128"/>
      <c r="Q92" s="46"/>
      <c r="R92" s="46"/>
      <c r="S92" s="46" t="s">
        <v>7056</v>
      </c>
      <c r="T92" s="131" t="s">
        <v>7057</v>
      </c>
    </row>
    <row r="93" spans="1:20" x14ac:dyDescent="0.3">
      <c r="A93" s="128"/>
      <c r="B93" s="46"/>
      <c r="C93" s="46"/>
      <c r="D93" s="46" t="s">
        <v>7005</v>
      </c>
      <c r="E93" s="46" t="s">
        <v>7006</v>
      </c>
      <c r="F93" s="128"/>
      <c r="G93" s="46"/>
      <c r="H93" s="46"/>
      <c r="I93" s="46" t="s">
        <v>7023</v>
      </c>
      <c r="J93" s="46" t="s">
        <v>7024</v>
      </c>
      <c r="K93" s="128"/>
      <c r="L93" s="46"/>
      <c r="M93" s="46"/>
      <c r="N93" s="46" t="s">
        <v>7041</v>
      </c>
      <c r="O93" s="46" t="s">
        <v>7042</v>
      </c>
      <c r="P93" s="128"/>
      <c r="Q93" s="46"/>
      <c r="R93" s="46"/>
      <c r="S93" s="46" t="s">
        <v>7059</v>
      </c>
      <c r="T93" s="131" t="s">
        <v>7060</v>
      </c>
    </row>
    <row r="94" spans="1:20" x14ac:dyDescent="0.3">
      <c r="A94" s="128"/>
      <c r="B94" s="46"/>
      <c r="C94" s="46"/>
      <c r="D94" s="46" t="s">
        <v>7062</v>
      </c>
      <c r="E94" s="46" t="s">
        <v>7063</v>
      </c>
      <c r="F94" s="128"/>
      <c r="G94" s="46"/>
      <c r="H94" s="46"/>
      <c r="I94" s="46" t="s">
        <v>7080</v>
      </c>
      <c r="J94" s="46" t="s">
        <v>7081</v>
      </c>
      <c r="K94" s="128"/>
      <c r="L94" s="46"/>
      <c r="M94" s="46"/>
      <c r="N94" s="46" t="s">
        <v>7098</v>
      </c>
      <c r="O94" s="46" t="s">
        <v>7099</v>
      </c>
      <c r="P94" s="128"/>
      <c r="Q94" s="46"/>
      <c r="R94" s="46"/>
      <c r="S94" s="46" t="s">
        <v>7116</v>
      </c>
      <c r="T94" s="131" t="s">
        <v>7117</v>
      </c>
    </row>
    <row r="95" spans="1:20" x14ac:dyDescent="0.3">
      <c r="A95" s="128"/>
      <c r="B95" s="46"/>
      <c r="C95" s="46"/>
      <c r="D95" s="46" t="s">
        <v>7065</v>
      </c>
      <c r="E95" s="46" t="s">
        <v>7066</v>
      </c>
      <c r="F95" s="128"/>
      <c r="G95" s="46"/>
      <c r="H95" s="46"/>
      <c r="I95" s="46" t="s">
        <v>7083</v>
      </c>
      <c r="J95" s="46" t="s">
        <v>7084</v>
      </c>
      <c r="K95" s="128"/>
      <c r="L95" s="46"/>
      <c r="M95" s="46"/>
      <c r="N95" s="46" t="s">
        <v>7101</v>
      </c>
      <c r="O95" s="46" t="s">
        <v>7102</v>
      </c>
      <c r="P95" s="128"/>
      <c r="Q95" s="46"/>
      <c r="R95" s="46"/>
      <c r="S95" s="46" t="s">
        <v>7119</v>
      </c>
      <c r="T95" s="131" t="s">
        <v>7120</v>
      </c>
    </row>
    <row r="96" spans="1:20" x14ac:dyDescent="0.3">
      <c r="A96" s="128"/>
      <c r="B96" s="46"/>
      <c r="C96" s="46"/>
      <c r="D96" s="46" t="s">
        <v>7068</v>
      </c>
      <c r="E96" s="46" t="s">
        <v>7069</v>
      </c>
      <c r="F96" s="128"/>
      <c r="G96" s="46"/>
      <c r="H96" s="46"/>
      <c r="I96" s="46" t="s">
        <v>7086</v>
      </c>
      <c r="J96" s="46" t="s">
        <v>7087</v>
      </c>
      <c r="K96" s="128"/>
      <c r="L96" s="46"/>
      <c r="M96" s="46"/>
      <c r="N96" s="46" t="s">
        <v>7104</v>
      </c>
      <c r="O96" s="46" t="s">
        <v>7105</v>
      </c>
      <c r="P96" s="128"/>
      <c r="Q96" s="46"/>
      <c r="R96" s="46"/>
      <c r="S96" s="46" t="s">
        <v>7122</v>
      </c>
      <c r="T96" s="131" t="s">
        <v>7123</v>
      </c>
    </row>
    <row r="97" spans="1:20" x14ac:dyDescent="0.3">
      <c r="A97" s="128"/>
      <c r="B97" s="46"/>
      <c r="C97" s="46"/>
      <c r="D97" s="46" t="s">
        <v>7071</v>
      </c>
      <c r="E97" s="46" t="s">
        <v>7072</v>
      </c>
      <c r="F97" s="128"/>
      <c r="G97" s="46"/>
      <c r="H97" s="46"/>
      <c r="I97" s="46" t="s">
        <v>7089</v>
      </c>
      <c r="J97" s="46" t="s">
        <v>7090</v>
      </c>
      <c r="K97" s="128"/>
      <c r="L97" s="46"/>
      <c r="M97" s="46"/>
      <c r="N97" s="46" t="s">
        <v>7107</v>
      </c>
      <c r="O97" s="46" t="s">
        <v>7108</v>
      </c>
      <c r="P97" s="128"/>
      <c r="Q97" s="46"/>
      <c r="R97" s="46"/>
      <c r="S97" s="46" t="s">
        <v>7125</v>
      </c>
      <c r="T97" s="131" t="s">
        <v>7126</v>
      </c>
    </row>
    <row r="98" spans="1:20" x14ac:dyDescent="0.3">
      <c r="A98" s="128"/>
      <c r="B98" s="46"/>
      <c r="C98" s="46"/>
      <c r="D98" s="46" t="s">
        <v>7074</v>
      </c>
      <c r="E98" s="46" t="s">
        <v>7075</v>
      </c>
      <c r="F98" s="128"/>
      <c r="G98" s="46"/>
      <c r="H98" s="46"/>
      <c r="I98" s="46" t="s">
        <v>7092</v>
      </c>
      <c r="J98" s="46" t="s">
        <v>7093</v>
      </c>
      <c r="K98" s="128"/>
      <c r="L98" s="46"/>
      <c r="M98" s="46"/>
      <c r="N98" s="46" t="s">
        <v>7110</v>
      </c>
      <c r="O98" s="46" t="s">
        <v>7111</v>
      </c>
      <c r="P98" s="128"/>
      <c r="Q98" s="46"/>
      <c r="R98" s="46"/>
      <c r="S98" s="46" t="s">
        <v>7128</v>
      </c>
      <c r="T98" s="131" t="s">
        <v>7129</v>
      </c>
    </row>
    <row r="99" spans="1:20" x14ac:dyDescent="0.3">
      <c r="A99" s="128"/>
      <c r="B99" s="46"/>
      <c r="C99" s="46"/>
      <c r="D99" s="46" t="s">
        <v>7077</v>
      </c>
      <c r="E99" s="46" t="s">
        <v>7078</v>
      </c>
      <c r="F99" s="128"/>
      <c r="G99" s="46"/>
      <c r="H99" s="46"/>
      <c r="I99" s="46" t="s">
        <v>7095</v>
      </c>
      <c r="J99" s="46" t="s">
        <v>7096</v>
      </c>
      <c r="K99" s="128"/>
      <c r="L99" s="46"/>
      <c r="M99" s="46"/>
      <c r="N99" s="46" t="s">
        <v>7113</v>
      </c>
      <c r="O99" s="46" t="s">
        <v>7114</v>
      </c>
      <c r="P99" s="128"/>
      <c r="Q99" s="46"/>
      <c r="R99" s="46"/>
      <c r="S99" s="46" t="s">
        <v>7131</v>
      </c>
      <c r="T99" s="131" t="s">
        <v>7132</v>
      </c>
    </row>
    <row r="100" spans="1:20" x14ac:dyDescent="0.3">
      <c r="A100" s="128"/>
      <c r="B100" s="46"/>
      <c r="C100" s="46"/>
      <c r="D100" s="46" t="s">
        <v>7134</v>
      </c>
      <c r="E100" s="46" t="s">
        <v>7135</v>
      </c>
      <c r="F100" s="128"/>
      <c r="G100" s="46"/>
      <c r="H100" s="46"/>
      <c r="I100" s="46" t="s">
        <v>7152</v>
      </c>
      <c r="J100" s="46" t="s">
        <v>7153</v>
      </c>
      <c r="K100" s="128"/>
      <c r="L100" s="46"/>
      <c r="M100" s="46"/>
      <c r="N100" s="46" t="s">
        <v>7170</v>
      </c>
      <c r="O100" s="46" t="s">
        <v>7171</v>
      </c>
      <c r="P100" s="128"/>
      <c r="Q100" s="46"/>
      <c r="R100" s="46"/>
      <c r="S100" s="46" t="s">
        <v>7188</v>
      </c>
      <c r="T100" s="131" t="s">
        <v>7189</v>
      </c>
    </row>
    <row r="101" spans="1:20" x14ac:dyDescent="0.3">
      <c r="A101" s="128"/>
      <c r="B101" s="46"/>
      <c r="C101" s="46"/>
      <c r="D101" s="46" t="s">
        <v>7137</v>
      </c>
      <c r="E101" s="46" t="s">
        <v>7138</v>
      </c>
      <c r="F101" s="128"/>
      <c r="G101" s="46"/>
      <c r="H101" s="46"/>
      <c r="I101" s="46" t="s">
        <v>7155</v>
      </c>
      <c r="J101" s="46" t="s">
        <v>7156</v>
      </c>
      <c r="K101" s="128"/>
      <c r="L101" s="46"/>
      <c r="M101" s="46"/>
      <c r="N101" s="46" t="s">
        <v>7173</v>
      </c>
      <c r="O101" s="46" t="s">
        <v>7174</v>
      </c>
      <c r="P101" s="128"/>
      <c r="Q101" s="46"/>
      <c r="R101" s="46"/>
      <c r="S101" s="46" t="s">
        <v>7191</v>
      </c>
      <c r="T101" s="131" t="s">
        <v>7192</v>
      </c>
    </row>
    <row r="102" spans="1:20" x14ac:dyDescent="0.3">
      <c r="A102" s="128"/>
      <c r="B102" s="46"/>
      <c r="C102" s="46"/>
      <c r="D102" s="46" t="s">
        <v>7140</v>
      </c>
      <c r="E102" s="46" t="s">
        <v>7141</v>
      </c>
      <c r="F102" s="128"/>
      <c r="G102" s="46"/>
      <c r="H102" s="46"/>
      <c r="I102" s="46" t="s">
        <v>7158</v>
      </c>
      <c r="J102" s="46" t="s">
        <v>7159</v>
      </c>
      <c r="K102" s="128"/>
      <c r="L102" s="46"/>
      <c r="M102" s="46"/>
      <c r="N102" s="46" t="s">
        <v>7176</v>
      </c>
      <c r="O102" s="46" t="s">
        <v>7177</v>
      </c>
      <c r="P102" s="128"/>
      <c r="Q102" s="46"/>
      <c r="R102" s="46"/>
      <c r="S102" s="46" t="s">
        <v>7194</v>
      </c>
      <c r="T102" s="131" t="s">
        <v>7195</v>
      </c>
    </row>
    <row r="103" spans="1:20" x14ac:dyDescent="0.3">
      <c r="A103" s="128"/>
      <c r="B103" s="46"/>
      <c r="C103" s="46"/>
      <c r="D103" s="46" t="s">
        <v>7143</v>
      </c>
      <c r="E103" s="46" t="s">
        <v>7144</v>
      </c>
      <c r="F103" s="128"/>
      <c r="G103" s="46"/>
      <c r="H103" s="46"/>
      <c r="I103" s="46" t="s">
        <v>7161</v>
      </c>
      <c r="J103" s="46" t="s">
        <v>7162</v>
      </c>
      <c r="K103" s="128"/>
      <c r="L103" s="46"/>
      <c r="M103" s="46"/>
      <c r="N103" s="46" t="s">
        <v>7179</v>
      </c>
      <c r="O103" s="46" t="s">
        <v>7180</v>
      </c>
      <c r="P103" s="128"/>
      <c r="Q103" s="46"/>
      <c r="R103" s="46"/>
      <c r="S103" s="46" t="s">
        <v>7197</v>
      </c>
      <c r="T103" s="131" t="s">
        <v>7198</v>
      </c>
    </row>
    <row r="104" spans="1:20" x14ac:dyDescent="0.3">
      <c r="A104" s="128"/>
      <c r="B104" s="46"/>
      <c r="C104" s="46"/>
      <c r="D104" s="46" t="s">
        <v>7146</v>
      </c>
      <c r="E104" s="46" t="s">
        <v>7147</v>
      </c>
      <c r="F104" s="128"/>
      <c r="G104" s="46"/>
      <c r="H104" s="46"/>
      <c r="I104" s="46" t="s">
        <v>7164</v>
      </c>
      <c r="J104" s="46" t="s">
        <v>7165</v>
      </c>
      <c r="K104" s="128"/>
      <c r="L104" s="46"/>
      <c r="M104" s="46"/>
      <c r="N104" s="46" t="s">
        <v>7182</v>
      </c>
      <c r="O104" s="46" t="s">
        <v>7183</v>
      </c>
      <c r="P104" s="128"/>
      <c r="Q104" s="46"/>
      <c r="R104" s="46"/>
      <c r="S104" s="46" t="s">
        <v>7200</v>
      </c>
      <c r="T104" s="131" t="s">
        <v>7201</v>
      </c>
    </row>
    <row r="105" spans="1:20" x14ac:dyDescent="0.3">
      <c r="A105" s="128"/>
      <c r="B105" s="46"/>
      <c r="C105" s="46"/>
      <c r="D105" s="46" t="s">
        <v>7149</v>
      </c>
      <c r="E105" s="46" t="s">
        <v>7150</v>
      </c>
      <c r="F105" s="128"/>
      <c r="G105" s="46"/>
      <c r="H105" s="46"/>
      <c r="I105" s="46" t="s">
        <v>7167</v>
      </c>
      <c r="J105" s="46" t="s">
        <v>7168</v>
      </c>
      <c r="K105" s="128"/>
      <c r="L105" s="46"/>
      <c r="M105" s="46"/>
      <c r="N105" s="46" t="s">
        <v>7185</v>
      </c>
      <c r="O105" s="46" t="s">
        <v>7186</v>
      </c>
      <c r="P105" s="128"/>
      <c r="Q105" s="46"/>
      <c r="R105" s="46"/>
      <c r="S105" s="46" t="s">
        <v>7203</v>
      </c>
      <c r="T105" s="131" t="s">
        <v>7204</v>
      </c>
    </row>
    <row r="106" spans="1:20" x14ac:dyDescent="0.3">
      <c r="A106" s="128"/>
      <c r="B106" s="46"/>
      <c r="C106" s="46"/>
      <c r="D106" s="46" t="s">
        <v>7206</v>
      </c>
      <c r="E106" s="46" t="s">
        <v>7207</v>
      </c>
      <c r="F106" s="128"/>
      <c r="G106" s="46"/>
      <c r="H106" s="46"/>
      <c r="I106" s="46" t="s">
        <v>7224</v>
      </c>
      <c r="J106" s="46" t="s">
        <v>7225</v>
      </c>
      <c r="K106" s="128"/>
      <c r="L106" s="46"/>
      <c r="M106" s="46"/>
      <c r="N106" s="46"/>
      <c r="O106" s="46"/>
      <c r="P106" s="128"/>
      <c r="Q106" s="46"/>
      <c r="R106" s="46"/>
      <c r="S106" s="46"/>
      <c r="T106" s="131"/>
    </row>
    <row r="107" spans="1:20" x14ac:dyDescent="0.3">
      <c r="A107" s="128"/>
      <c r="B107" s="46"/>
      <c r="C107" s="46"/>
      <c r="D107" s="46" t="s">
        <v>7209</v>
      </c>
      <c r="E107" s="46" t="s">
        <v>7210</v>
      </c>
      <c r="F107" s="128"/>
      <c r="G107" s="46"/>
      <c r="H107" s="46"/>
      <c r="I107" s="46" t="s">
        <v>7227</v>
      </c>
      <c r="J107" s="46" t="s">
        <v>7228</v>
      </c>
      <c r="K107" s="128"/>
      <c r="L107" s="46"/>
      <c r="M107" s="46"/>
      <c r="N107" s="46"/>
      <c r="O107" s="46"/>
      <c r="P107" s="128"/>
      <c r="Q107" s="46"/>
      <c r="R107" s="46"/>
      <c r="S107" s="46"/>
      <c r="T107" s="131"/>
    </row>
    <row r="108" spans="1:20" x14ac:dyDescent="0.3">
      <c r="A108" s="128"/>
      <c r="B108" s="46"/>
      <c r="C108" s="46"/>
      <c r="D108" s="46" t="s">
        <v>7212</v>
      </c>
      <c r="E108" s="46" t="s">
        <v>7213</v>
      </c>
      <c r="F108" s="128"/>
      <c r="G108" s="46"/>
      <c r="H108" s="46"/>
      <c r="I108" s="46" t="s">
        <v>7230</v>
      </c>
      <c r="J108" s="46" t="s">
        <v>7231</v>
      </c>
      <c r="K108" s="128"/>
      <c r="L108" s="46"/>
      <c r="M108" s="46"/>
      <c r="N108" s="46"/>
      <c r="O108" s="46"/>
      <c r="P108" s="128"/>
      <c r="Q108" s="46"/>
      <c r="R108" s="46"/>
      <c r="S108" s="46"/>
      <c r="T108" s="131"/>
    </row>
    <row r="109" spans="1:20" x14ac:dyDescent="0.3">
      <c r="A109" s="128"/>
      <c r="B109" s="46"/>
      <c r="C109" s="46"/>
      <c r="D109" s="46" t="s">
        <v>7215</v>
      </c>
      <c r="E109" s="46" t="s">
        <v>7216</v>
      </c>
      <c r="F109" s="128"/>
      <c r="G109" s="46"/>
      <c r="H109" s="46"/>
      <c r="I109" s="46" t="s">
        <v>7233</v>
      </c>
      <c r="J109" s="46" t="s">
        <v>7234</v>
      </c>
      <c r="K109" s="128"/>
      <c r="L109" s="46"/>
      <c r="M109" s="46"/>
      <c r="N109" s="46"/>
      <c r="O109" s="46"/>
      <c r="P109" s="128"/>
      <c r="Q109" s="46"/>
      <c r="R109" s="46"/>
      <c r="S109" s="46"/>
      <c r="T109" s="131"/>
    </row>
    <row r="110" spans="1:20" x14ac:dyDescent="0.3">
      <c r="A110" s="128"/>
      <c r="B110" s="46"/>
      <c r="C110" s="46"/>
      <c r="D110" s="46" t="s">
        <v>7218</v>
      </c>
      <c r="E110" s="46" t="s">
        <v>7219</v>
      </c>
      <c r="F110" s="128"/>
      <c r="G110" s="46"/>
      <c r="H110" s="46"/>
      <c r="I110" s="46" t="s">
        <v>7236</v>
      </c>
      <c r="J110" s="46" t="s">
        <v>7237</v>
      </c>
      <c r="K110" s="128"/>
      <c r="L110" s="46"/>
      <c r="M110" s="46"/>
      <c r="N110" s="46"/>
      <c r="O110" s="46"/>
      <c r="P110" s="128"/>
      <c r="Q110" s="46"/>
      <c r="R110" s="46"/>
      <c r="S110" s="46"/>
      <c r="T110" s="131"/>
    </row>
    <row r="111" spans="1:20" x14ac:dyDescent="0.3">
      <c r="A111" s="128"/>
      <c r="B111" s="46"/>
      <c r="C111" s="46"/>
      <c r="D111" s="46" t="s">
        <v>7221</v>
      </c>
      <c r="E111" s="46" t="s">
        <v>7222</v>
      </c>
      <c r="F111" s="128"/>
      <c r="G111" s="46"/>
      <c r="H111" s="46"/>
      <c r="I111" s="46" t="s">
        <v>7239</v>
      </c>
      <c r="J111" s="46" t="s">
        <v>7240</v>
      </c>
      <c r="K111" s="128"/>
      <c r="L111" s="46"/>
      <c r="M111" s="46"/>
      <c r="N111" s="46"/>
      <c r="O111" s="46"/>
      <c r="P111" s="128"/>
      <c r="Q111" s="46"/>
      <c r="R111" s="46"/>
      <c r="S111" s="46"/>
      <c r="T111" s="131"/>
    </row>
    <row r="112" spans="1:20" x14ac:dyDescent="0.3">
      <c r="A112" s="128"/>
      <c r="B112" s="46"/>
      <c r="C112" s="46"/>
      <c r="D112" s="46"/>
      <c r="E112" s="46"/>
      <c r="F112" s="128"/>
      <c r="G112" s="46"/>
      <c r="H112" s="46"/>
      <c r="I112" s="46"/>
      <c r="J112" s="46"/>
      <c r="K112" s="128"/>
      <c r="L112" s="46"/>
      <c r="M112" s="46"/>
      <c r="N112" s="46"/>
      <c r="O112" s="46"/>
      <c r="P112" s="128"/>
      <c r="Q112" s="46"/>
      <c r="R112" s="46"/>
      <c r="S112" s="46"/>
      <c r="T112" s="131"/>
    </row>
    <row r="113" spans="1:20" x14ac:dyDescent="0.3">
      <c r="A113" s="128"/>
      <c r="B113" s="46"/>
      <c r="C113" s="46"/>
      <c r="D113" s="46"/>
      <c r="E113" s="46"/>
      <c r="F113" s="128"/>
      <c r="G113" s="46"/>
      <c r="H113" s="46"/>
      <c r="I113" s="46"/>
      <c r="J113" s="46"/>
      <c r="K113" s="128"/>
      <c r="L113" s="46"/>
      <c r="M113" s="46"/>
      <c r="N113" s="46"/>
      <c r="O113" s="46"/>
      <c r="P113" s="128"/>
      <c r="Q113" s="46"/>
      <c r="R113" s="46"/>
      <c r="S113" s="46"/>
      <c r="T113" s="131"/>
    </row>
    <row r="114" spans="1:20" x14ac:dyDescent="0.3">
      <c r="A114" s="128"/>
      <c r="B114" s="46"/>
      <c r="C114" s="46"/>
      <c r="D114" s="46"/>
      <c r="E114" s="46"/>
      <c r="F114" s="128"/>
      <c r="G114" s="46"/>
      <c r="H114" s="46"/>
      <c r="I114" s="46"/>
      <c r="J114" s="46"/>
      <c r="K114" s="128"/>
      <c r="L114" s="46"/>
      <c r="M114" s="46"/>
      <c r="N114" s="46"/>
      <c r="O114" s="46"/>
      <c r="P114" s="128"/>
      <c r="Q114" s="46"/>
      <c r="R114" s="46"/>
      <c r="S114" s="46"/>
      <c r="T114" s="131"/>
    </row>
    <row r="115" spans="1:20" x14ac:dyDescent="0.3">
      <c r="A115" s="128"/>
      <c r="B115" s="46"/>
      <c r="C115" s="46"/>
      <c r="D115" s="46"/>
      <c r="E115" s="46"/>
      <c r="F115" s="128"/>
      <c r="G115" s="46"/>
      <c r="H115" s="46"/>
      <c r="I115" s="46"/>
      <c r="J115" s="46"/>
      <c r="K115" s="128"/>
      <c r="L115" s="46"/>
      <c r="M115" s="46"/>
      <c r="N115" s="46"/>
      <c r="O115" s="46"/>
      <c r="P115" s="128"/>
      <c r="Q115" s="46"/>
      <c r="R115" s="46"/>
      <c r="S115" s="46"/>
      <c r="T115" s="131"/>
    </row>
    <row r="116" spans="1:20" x14ac:dyDescent="0.3">
      <c r="A116" s="128"/>
      <c r="B116" s="46"/>
      <c r="C116" s="46"/>
      <c r="D116" s="46"/>
      <c r="E116" s="46"/>
      <c r="F116" s="128"/>
      <c r="G116" s="46"/>
      <c r="H116" s="46"/>
      <c r="I116" s="46"/>
      <c r="J116" s="46"/>
      <c r="K116" s="128"/>
      <c r="L116" s="46"/>
      <c r="M116" s="46"/>
      <c r="N116" s="46"/>
      <c r="O116" s="46"/>
      <c r="P116" s="128"/>
      <c r="Q116" s="46"/>
      <c r="R116" s="46"/>
      <c r="S116" s="46"/>
      <c r="T116" s="131"/>
    </row>
    <row r="117" spans="1:20" x14ac:dyDescent="0.3">
      <c r="A117" s="128"/>
      <c r="B117" s="46"/>
      <c r="C117" s="46"/>
      <c r="D117" s="46"/>
      <c r="E117" s="46"/>
      <c r="F117" s="128"/>
      <c r="G117" s="46"/>
      <c r="H117" s="46"/>
      <c r="I117" s="46"/>
      <c r="J117" s="46"/>
      <c r="K117" s="128"/>
      <c r="L117" s="46"/>
      <c r="M117" s="46"/>
      <c r="N117" s="46"/>
      <c r="O117" s="46"/>
      <c r="P117" s="128"/>
      <c r="Q117" s="46"/>
      <c r="R117" s="46"/>
      <c r="S117" s="46"/>
      <c r="T117" s="131"/>
    </row>
    <row r="118" spans="1:20" x14ac:dyDescent="0.3">
      <c r="A118" s="128"/>
      <c r="B118" s="46"/>
      <c r="C118" s="46"/>
      <c r="D118" s="46"/>
      <c r="E118" s="46"/>
      <c r="F118" s="128"/>
      <c r="G118" s="46"/>
      <c r="H118" s="46"/>
      <c r="I118" s="46"/>
      <c r="J118" s="46"/>
      <c r="K118" s="128"/>
      <c r="L118" s="46"/>
      <c r="M118" s="46"/>
      <c r="N118" s="46"/>
      <c r="O118" s="46"/>
      <c r="P118" s="128"/>
      <c r="Q118" s="46"/>
      <c r="R118" s="46"/>
      <c r="S118" s="46"/>
      <c r="T118" s="131"/>
    </row>
    <row r="119" spans="1:20" x14ac:dyDescent="0.3">
      <c r="A119" s="128"/>
      <c r="B119" s="46"/>
      <c r="C119" s="46"/>
      <c r="D119" s="46"/>
      <c r="E119" s="46"/>
      <c r="F119" s="128"/>
      <c r="G119" s="46"/>
      <c r="H119" s="46"/>
      <c r="I119" s="46"/>
      <c r="J119" s="46"/>
      <c r="K119" s="128"/>
      <c r="L119" s="46"/>
      <c r="M119" s="46"/>
      <c r="N119" s="46"/>
      <c r="O119" s="46"/>
      <c r="P119" s="128"/>
      <c r="Q119" s="46"/>
      <c r="R119" s="46"/>
      <c r="S119" s="46"/>
      <c r="T119" s="131"/>
    </row>
    <row r="120" spans="1:20" x14ac:dyDescent="0.3">
      <c r="A120" s="128"/>
      <c r="B120" s="46"/>
      <c r="C120" s="46"/>
      <c r="D120" s="46"/>
      <c r="E120" s="46"/>
      <c r="F120" s="128"/>
      <c r="G120" s="46"/>
      <c r="H120" s="46"/>
      <c r="I120" s="46"/>
      <c r="J120" s="46"/>
      <c r="K120" s="128"/>
      <c r="L120" s="46"/>
      <c r="M120" s="46"/>
      <c r="N120" s="46"/>
      <c r="O120" s="46"/>
      <c r="P120" s="128"/>
      <c r="Q120" s="46"/>
      <c r="R120" s="46"/>
      <c r="S120" s="46"/>
      <c r="T120" s="131"/>
    </row>
    <row r="121" spans="1:20" x14ac:dyDescent="0.3">
      <c r="A121" s="128"/>
      <c r="B121" s="46"/>
      <c r="C121" s="46"/>
      <c r="D121" s="46"/>
      <c r="E121" s="46"/>
      <c r="F121" s="128"/>
      <c r="G121" s="46"/>
      <c r="H121" s="46"/>
      <c r="I121" s="46"/>
      <c r="J121" s="46"/>
      <c r="K121" s="128"/>
      <c r="L121" s="46"/>
      <c r="M121" s="46"/>
      <c r="N121" s="46"/>
      <c r="O121" s="46"/>
      <c r="P121" s="128"/>
      <c r="Q121" s="46"/>
      <c r="R121" s="46"/>
      <c r="S121" s="46"/>
      <c r="T121" s="131"/>
    </row>
    <row r="122" spans="1:20" x14ac:dyDescent="0.3">
      <c r="A122" s="128"/>
      <c r="B122" s="46"/>
      <c r="C122" s="46"/>
      <c r="D122" s="46"/>
      <c r="E122" s="46"/>
      <c r="F122" s="128"/>
      <c r="G122" s="46"/>
      <c r="H122" s="46"/>
      <c r="I122" s="46"/>
      <c r="J122" s="46"/>
      <c r="K122" s="128"/>
      <c r="L122" s="46"/>
      <c r="M122" s="46"/>
      <c r="N122" s="46"/>
      <c r="O122" s="46"/>
      <c r="P122" s="128"/>
      <c r="Q122" s="46"/>
      <c r="R122" s="46"/>
      <c r="S122" s="46"/>
      <c r="T122" s="131"/>
    </row>
    <row r="123" spans="1:20" x14ac:dyDescent="0.3">
      <c r="A123" s="128"/>
      <c r="B123" s="46"/>
      <c r="C123" s="46"/>
      <c r="D123" s="46"/>
      <c r="E123" s="46"/>
      <c r="F123" s="128"/>
      <c r="G123" s="46"/>
      <c r="H123" s="46"/>
      <c r="I123" s="46"/>
      <c r="J123" s="46"/>
      <c r="K123" s="128"/>
      <c r="L123" s="46"/>
      <c r="M123" s="46"/>
      <c r="N123" s="46"/>
      <c r="O123" s="46"/>
      <c r="P123" s="128"/>
      <c r="Q123" s="46"/>
      <c r="R123" s="46"/>
      <c r="S123" s="46"/>
      <c r="T123" s="131"/>
    </row>
    <row r="124" spans="1:20" x14ac:dyDescent="0.3">
      <c r="A124" s="128"/>
      <c r="B124" s="46"/>
      <c r="C124" s="46"/>
      <c r="D124" s="46"/>
      <c r="E124" s="46"/>
      <c r="F124" s="128"/>
      <c r="G124" s="46"/>
      <c r="H124" s="46"/>
      <c r="I124" s="46"/>
      <c r="J124" s="46"/>
      <c r="K124" s="128"/>
      <c r="L124" s="46"/>
      <c r="M124" s="46"/>
      <c r="N124" s="46"/>
      <c r="O124" s="46"/>
      <c r="P124" s="128"/>
      <c r="Q124" s="46"/>
      <c r="R124" s="46"/>
      <c r="S124" s="46"/>
      <c r="T124" s="131"/>
    </row>
    <row r="125" spans="1:20" x14ac:dyDescent="0.3">
      <c r="A125" s="128"/>
      <c r="B125" s="46"/>
      <c r="C125" s="46"/>
      <c r="D125" s="46"/>
      <c r="E125" s="46"/>
      <c r="F125" s="128"/>
      <c r="G125" s="46"/>
      <c r="H125" s="46"/>
      <c r="I125" s="46"/>
      <c r="J125" s="46"/>
      <c r="K125" s="128"/>
      <c r="L125" s="46"/>
      <c r="M125" s="46"/>
      <c r="N125" s="46"/>
      <c r="O125" s="46"/>
      <c r="P125" s="128"/>
      <c r="Q125" s="46"/>
      <c r="R125" s="46"/>
      <c r="S125" s="46"/>
      <c r="T125" s="131"/>
    </row>
    <row r="126" spans="1:20" x14ac:dyDescent="0.3">
      <c r="A126" s="128"/>
      <c r="B126" s="46"/>
      <c r="C126" s="46"/>
      <c r="D126" s="46"/>
      <c r="E126" s="46"/>
      <c r="F126" s="128"/>
      <c r="G126" s="46"/>
      <c r="H126" s="46"/>
      <c r="I126" s="46"/>
      <c r="J126" s="46"/>
      <c r="K126" s="128"/>
      <c r="L126" s="46"/>
      <c r="M126" s="46"/>
      <c r="N126" s="46"/>
      <c r="O126" s="46"/>
      <c r="P126" s="128"/>
      <c r="Q126" s="46"/>
      <c r="R126" s="46"/>
      <c r="S126" s="46"/>
      <c r="T126" s="131"/>
    </row>
    <row r="127" spans="1:20" x14ac:dyDescent="0.3">
      <c r="A127" s="128"/>
      <c r="B127" s="46"/>
      <c r="C127" s="46"/>
      <c r="D127" s="46"/>
      <c r="E127" s="46"/>
      <c r="F127" s="128"/>
      <c r="G127" s="46"/>
      <c r="H127" s="46"/>
      <c r="I127" s="46"/>
      <c r="J127" s="46"/>
      <c r="K127" s="128"/>
      <c r="L127" s="46"/>
      <c r="M127" s="46"/>
      <c r="N127" s="46"/>
      <c r="O127" s="46"/>
      <c r="P127" s="128"/>
      <c r="Q127" s="46"/>
      <c r="R127" s="46"/>
      <c r="S127" s="46"/>
      <c r="T127" s="131"/>
    </row>
    <row r="128" spans="1:20" x14ac:dyDescent="0.3">
      <c r="A128" s="128"/>
      <c r="B128" s="46"/>
      <c r="C128" s="46"/>
      <c r="D128" s="46"/>
      <c r="E128" s="46"/>
      <c r="F128" s="128"/>
      <c r="G128" s="46"/>
      <c r="H128" s="46"/>
      <c r="I128" s="46"/>
      <c r="J128" s="46"/>
      <c r="K128" s="128"/>
      <c r="L128" s="46"/>
      <c r="M128" s="46"/>
      <c r="N128" s="46"/>
      <c r="O128" s="46"/>
      <c r="P128" s="128"/>
      <c r="Q128" s="46"/>
      <c r="R128" s="46"/>
      <c r="S128" s="46"/>
      <c r="T128" s="131"/>
    </row>
    <row r="129" spans="1:20" x14ac:dyDescent="0.3">
      <c r="A129" s="128"/>
      <c r="B129" s="46"/>
      <c r="C129" s="46"/>
      <c r="D129" s="46"/>
      <c r="E129" s="46"/>
      <c r="F129" s="128"/>
      <c r="G129" s="46"/>
      <c r="H129" s="46"/>
      <c r="I129" s="46"/>
      <c r="J129" s="46"/>
      <c r="K129" s="128"/>
      <c r="L129" s="46"/>
      <c r="M129" s="46"/>
      <c r="N129" s="46"/>
      <c r="O129" s="46"/>
      <c r="P129" s="128"/>
      <c r="Q129" s="46"/>
      <c r="R129" s="46"/>
      <c r="S129" s="46"/>
      <c r="T129" s="131"/>
    </row>
    <row r="130" spans="1:20" x14ac:dyDescent="0.3">
      <c r="A130" s="128"/>
      <c r="B130" s="46"/>
      <c r="C130" s="46"/>
      <c r="D130" s="46"/>
      <c r="E130" s="46"/>
      <c r="F130" s="128"/>
      <c r="G130" s="46"/>
      <c r="H130" s="46"/>
      <c r="I130" s="46"/>
      <c r="J130" s="46"/>
      <c r="K130" s="128"/>
      <c r="L130" s="46"/>
      <c r="M130" s="46"/>
      <c r="N130" s="46"/>
      <c r="O130" s="46"/>
      <c r="P130" s="128"/>
      <c r="Q130" s="46"/>
      <c r="R130" s="46"/>
      <c r="S130" s="46"/>
      <c r="T130" s="131"/>
    </row>
    <row r="131" spans="1:20" x14ac:dyDescent="0.3">
      <c r="A131" s="128"/>
      <c r="B131" s="46"/>
      <c r="C131" s="46"/>
      <c r="D131" s="46"/>
      <c r="E131" s="46"/>
      <c r="F131" s="128"/>
      <c r="G131" s="46"/>
      <c r="H131" s="46"/>
      <c r="I131" s="46"/>
      <c r="J131" s="46"/>
      <c r="K131" s="128"/>
      <c r="L131" s="46"/>
      <c r="M131" s="46"/>
      <c r="N131" s="46"/>
      <c r="O131" s="46"/>
      <c r="P131" s="128"/>
      <c r="Q131" s="46"/>
      <c r="R131" s="46"/>
      <c r="S131" s="46"/>
      <c r="T131" s="131"/>
    </row>
    <row r="132" spans="1:20" x14ac:dyDescent="0.3">
      <c r="A132" s="128"/>
      <c r="B132" s="46"/>
      <c r="C132" s="46"/>
      <c r="D132" s="46"/>
      <c r="E132" s="46"/>
      <c r="F132" s="128"/>
      <c r="G132" s="46"/>
      <c r="H132" s="46"/>
      <c r="I132" s="46"/>
      <c r="J132" s="46"/>
      <c r="K132" s="128"/>
      <c r="L132" s="46"/>
      <c r="M132" s="46"/>
      <c r="N132" s="46"/>
      <c r="O132" s="46"/>
      <c r="P132" s="128"/>
      <c r="Q132" s="46"/>
      <c r="R132" s="46"/>
      <c r="S132" s="46"/>
      <c r="T132" s="131"/>
    </row>
    <row r="133" spans="1:20" x14ac:dyDescent="0.3">
      <c r="A133" s="128"/>
      <c r="B133" s="46"/>
      <c r="C133" s="46"/>
      <c r="D133" s="46"/>
      <c r="E133" s="46"/>
      <c r="F133" s="128"/>
      <c r="G133" s="46"/>
      <c r="H133" s="46"/>
      <c r="I133" s="46"/>
      <c r="J133" s="46"/>
      <c r="K133" s="128"/>
      <c r="L133" s="46"/>
      <c r="M133" s="46"/>
      <c r="N133" s="46"/>
      <c r="O133" s="46"/>
      <c r="P133" s="128"/>
      <c r="Q133" s="46"/>
      <c r="R133" s="46"/>
      <c r="S133" s="46"/>
      <c r="T133" s="131"/>
    </row>
    <row r="134" spans="1:20" x14ac:dyDescent="0.3">
      <c r="A134" s="128"/>
      <c r="B134" s="46"/>
      <c r="C134" s="46"/>
      <c r="D134" s="46"/>
      <c r="E134" s="46"/>
      <c r="F134" s="128"/>
      <c r="G134" s="46"/>
      <c r="H134" s="46"/>
      <c r="I134" s="46"/>
      <c r="J134" s="46"/>
      <c r="K134" s="128"/>
      <c r="L134" s="46"/>
      <c r="M134" s="46"/>
      <c r="N134" s="46"/>
      <c r="O134" s="46"/>
      <c r="P134" s="128"/>
      <c r="Q134" s="46"/>
      <c r="R134" s="46"/>
      <c r="S134" s="46"/>
      <c r="T134" s="131"/>
    </row>
    <row r="135" spans="1:20" x14ac:dyDescent="0.3">
      <c r="A135" s="128"/>
      <c r="B135" s="46"/>
      <c r="C135" s="46"/>
      <c r="D135" s="46"/>
      <c r="E135" s="46"/>
      <c r="F135" s="128"/>
      <c r="G135" s="46"/>
      <c r="H135" s="46"/>
      <c r="I135" s="46"/>
      <c r="J135" s="46"/>
      <c r="K135" s="128"/>
      <c r="L135" s="46"/>
      <c r="M135" s="46"/>
      <c r="N135" s="46"/>
      <c r="O135" s="46"/>
      <c r="P135" s="128"/>
      <c r="Q135" s="46"/>
      <c r="R135" s="46"/>
      <c r="S135" s="46"/>
      <c r="T135" s="131"/>
    </row>
    <row r="136" spans="1:20" x14ac:dyDescent="0.3">
      <c r="A136" s="128"/>
      <c r="B136" s="46"/>
      <c r="C136" s="46"/>
      <c r="D136" s="46"/>
      <c r="E136" s="46"/>
      <c r="F136" s="128"/>
      <c r="G136" s="46"/>
      <c r="H136" s="46"/>
      <c r="I136" s="46"/>
      <c r="J136" s="46"/>
      <c r="K136" s="128"/>
      <c r="L136" s="46"/>
      <c r="M136" s="46"/>
      <c r="N136" s="46"/>
      <c r="O136" s="46"/>
      <c r="P136" s="128"/>
      <c r="Q136" s="46"/>
      <c r="R136" s="46"/>
      <c r="S136" s="46"/>
      <c r="T136" s="131"/>
    </row>
    <row r="137" spans="1:20" x14ac:dyDescent="0.3">
      <c r="A137" s="128"/>
      <c r="B137" s="46"/>
      <c r="C137" s="46"/>
      <c r="D137" s="46"/>
      <c r="E137" s="46"/>
      <c r="F137" s="128"/>
      <c r="G137" s="46"/>
      <c r="H137" s="46"/>
      <c r="I137" s="46"/>
      <c r="J137" s="46"/>
      <c r="K137" s="128"/>
      <c r="L137" s="46"/>
      <c r="M137" s="46"/>
      <c r="N137" s="46"/>
      <c r="O137" s="46"/>
      <c r="P137" s="128"/>
      <c r="Q137" s="46"/>
      <c r="R137" s="46"/>
      <c r="S137" s="46"/>
      <c r="T137" s="131"/>
    </row>
    <row r="138" spans="1:20" x14ac:dyDescent="0.3">
      <c r="A138" s="128"/>
      <c r="B138" s="46"/>
      <c r="C138" s="46"/>
      <c r="D138" s="46"/>
      <c r="E138" s="46"/>
      <c r="F138" s="128"/>
      <c r="G138" s="46"/>
      <c r="H138" s="46"/>
      <c r="I138" s="46"/>
      <c r="J138" s="46"/>
      <c r="K138" s="128"/>
      <c r="L138" s="46"/>
      <c r="M138" s="46"/>
      <c r="N138" s="46"/>
      <c r="O138" s="46"/>
      <c r="P138" s="128"/>
      <c r="Q138" s="46"/>
      <c r="R138" s="46"/>
      <c r="S138" s="46"/>
      <c r="T138" s="131"/>
    </row>
    <row r="139" spans="1:20" x14ac:dyDescent="0.3">
      <c r="A139" s="128"/>
      <c r="B139" s="46"/>
      <c r="C139" s="46"/>
      <c r="D139" s="46"/>
      <c r="E139" s="46"/>
      <c r="F139" s="128"/>
      <c r="G139" s="46"/>
      <c r="H139" s="46"/>
      <c r="I139" s="46"/>
      <c r="J139" s="46"/>
      <c r="K139" s="128"/>
      <c r="L139" s="46"/>
      <c r="M139" s="46"/>
      <c r="N139" s="46"/>
      <c r="O139" s="46"/>
      <c r="P139" s="128"/>
      <c r="Q139" s="46"/>
      <c r="R139" s="46"/>
      <c r="S139" s="46"/>
      <c r="T139" s="131"/>
    </row>
    <row r="140" spans="1:20" x14ac:dyDescent="0.3">
      <c r="A140" s="128"/>
      <c r="B140" s="46"/>
      <c r="C140" s="46"/>
      <c r="D140" s="46"/>
      <c r="E140" s="46"/>
      <c r="F140" s="128"/>
      <c r="G140" s="46"/>
      <c r="H140" s="46"/>
      <c r="I140" s="46"/>
      <c r="J140" s="46"/>
      <c r="K140" s="128"/>
      <c r="L140" s="46"/>
      <c r="M140" s="46"/>
      <c r="N140" s="46"/>
      <c r="O140" s="46"/>
      <c r="P140" s="128"/>
      <c r="Q140" s="46"/>
      <c r="R140" s="46"/>
      <c r="S140" s="46"/>
      <c r="T140" s="131"/>
    </row>
    <row r="141" spans="1:20" x14ac:dyDescent="0.3">
      <c r="A141" s="128"/>
      <c r="B141" s="46"/>
      <c r="C141" s="46"/>
      <c r="D141" s="46"/>
      <c r="E141" s="46"/>
      <c r="F141" s="128"/>
      <c r="G141" s="46"/>
      <c r="H141" s="46"/>
      <c r="I141" s="46"/>
      <c r="J141" s="46"/>
      <c r="K141" s="128"/>
      <c r="L141" s="46"/>
      <c r="M141" s="46"/>
      <c r="N141" s="46"/>
      <c r="O141" s="46"/>
      <c r="P141" s="128"/>
      <c r="Q141" s="46"/>
      <c r="R141" s="46"/>
      <c r="S141" s="46"/>
      <c r="T141" s="131"/>
    </row>
    <row r="142" spans="1:20" x14ac:dyDescent="0.3">
      <c r="A142" s="128"/>
      <c r="B142" s="46"/>
      <c r="C142" s="46"/>
      <c r="D142" s="46"/>
      <c r="E142" s="46"/>
      <c r="F142" s="128"/>
      <c r="G142" s="46"/>
      <c r="H142" s="46"/>
      <c r="I142" s="46"/>
      <c r="J142" s="46"/>
      <c r="K142" s="128"/>
      <c r="L142" s="46"/>
      <c r="M142" s="46"/>
      <c r="N142" s="46"/>
      <c r="O142" s="46"/>
      <c r="P142" s="128"/>
      <c r="Q142" s="46"/>
      <c r="R142" s="46"/>
      <c r="S142" s="46"/>
      <c r="T142" s="131"/>
    </row>
    <row r="143" spans="1:20" x14ac:dyDescent="0.3">
      <c r="A143" s="128"/>
      <c r="B143" s="46"/>
      <c r="C143" s="46"/>
      <c r="D143" s="46"/>
      <c r="E143" s="46"/>
      <c r="F143" s="128"/>
      <c r="G143" s="46"/>
      <c r="H143" s="46"/>
      <c r="I143" s="46"/>
      <c r="J143" s="46"/>
      <c r="K143" s="128"/>
      <c r="L143" s="46"/>
      <c r="M143" s="46"/>
      <c r="N143" s="46"/>
      <c r="O143" s="46"/>
      <c r="P143" s="128"/>
      <c r="Q143" s="46"/>
      <c r="R143" s="46"/>
      <c r="S143" s="46"/>
      <c r="T143" s="131"/>
    </row>
    <row r="144" spans="1:20" x14ac:dyDescent="0.3">
      <c r="A144" s="128"/>
      <c r="B144" s="46"/>
      <c r="C144" s="46"/>
      <c r="D144" s="46"/>
      <c r="E144" s="46"/>
      <c r="F144" s="128"/>
      <c r="G144" s="46"/>
      <c r="H144" s="46"/>
      <c r="I144" s="46"/>
      <c r="J144" s="46"/>
      <c r="K144" s="128"/>
      <c r="L144" s="46"/>
      <c r="M144" s="46"/>
      <c r="N144" s="46"/>
      <c r="O144" s="46"/>
      <c r="P144" s="128"/>
      <c r="Q144" s="46"/>
      <c r="R144" s="46"/>
      <c r="S144" s="46"/>
      <c r="T144" s="131"/>
    </row>
    <row r="145" spans="1:20" x14ac:dyDescent="0.3">
      <c r="A145" s="128"/>
      <c r="B145" s="46"/>
      <c r="C145" s="46"/>
      <c r="D145" s="46"/>
      <c r="E145" s="46"/>
      <c r="F145" s="128"/>
      <c r="G145" s="46"/>
      <c r="H145" s="46"/>
      <c r="I145" s="46"/>
      <c r="J145" s="46"/>
      <c r="K145" s="128"/>
      <c r="L145" s="46"/>
      <c r="M145" s="46"/>
      <c r="N145" s="46"/>
      <c r="O145" s="46"/>
      <c r="P145" s="128"/>
      <c r="Q145" s="46"/>
      <c r="R145" s="46"/>
      <c r="S145" s="46"/>
      <c r="T145" s="131"/>
    </row>
    <row r="146" spans="1:20" x14ac:dyDescent="0.3">
      <c r="A146" s="128"/>
      <c r="B146" s="46"/>
      <c r="C146" s="46"/>
      <c r="D146" s="46"/>
      <c r="E146" s="46"/>
      <c r="F146" s="128"/>
      <c r="G146" s="46"/>
      <c r="H146" s="46"/>
      <c r="I146" s="46"/>
      <c r="J146" s="46"/>
      <c r="K146" s="128"/>
      <c r="L146" s="46"/>
      <c r="M146" s="46"/>
      <c r="N146" s="46"/>
      <c r="O146" s="46"/>
      <c r="P146" s="128"/>
      <c r="Q146" s="46"/>
      <c r="R146" s="46"/>
      <c r="S146" s="46"/>
      <c r="T146" s="131"/>
    </row>
    <row r="147" spans="1:20" x14ac:dyDescent="0.3">
      <c r="A147" s="128"/>
      <c r="B147" s="46"/>
      <c r="C147" s="46"/>
      <c r="D147" s="46"/>
      <c r="E147" s="46"/>
      <c r="F147" s="128"/>
      <c r="G147" s="46"/>
      <c r="H147" s="46"/>
      <c r="I147" s="46"/>
      <c r="J147" s="46"/>
      <c r="K147" s="128"/>
      <c r="L147" s="46"/>
      <c r="M147" s="46"/>
      <c r="N147" s="46"/>
      <c r="O147" s="46"/>
      <c r="P147" s="128"/>
      <c r="Q147" s="46"/>
      <c r="R147" s="46"/>
      <c r="S147" s="46"/>
      <c r="T147" s="131"/>
    </row>
    <row r="148" spans="1:20" x14ac:dyDescent="0.3">
      <c r="A148" s="128"/>
      <c r="B148" s="46"/>
      <c r="C148" s="46"/>
      <c r="D148" s="46"/>
      <c r="E148" s="46"/>
      <c r="F148" s="128"/>
      <c r="G148" s="46"/>
      <c r="H148" s="46"/>
      <c r="I148" s="46"/>
      <c r="J148" s="46"/>
      <c r="K148" s="128"/>
      <c r="L148" s="46"/>
      <c r="M148" s="46"/>
      <c r="N148" s="46"/>
      <c r="O148" s="46"/>
      <c r="P148" s="128"/>
      <c r="Q148" s="46"/>
      <c r="R148" s="46"/>
      <c r="S148" s="46"/>
      <c r="T148" s="131"/>
    </row>
    <row r="149" spans="1:20" x14ac:dyDescent="0.3">
      <c r="A149" s="128"/>
      <c r="B149" s="46"/>
      <c r="C149" s="46"/>
      <c r="D149" s="46"/>
      <c r="E149" s="46"/>
      <c r="F149" s="128"/>
      <c r="G149" s="46"/>
      <c r="H149" s="46"/>
      <c r="I149" s="46"/>
      <c r="J149" s="46"/>
      <c r="K149" s="128"/>
      <c r="L149" s="46"/>
      <c r="M149" s="46"/>
      <c r="N149" s="46"/>
      <c r="O149" s="46"/>
      <c r="P149" s="128"/>
      <c r="Q149" s="46"/>
      <c r="R149" s="46"/>
      <c r="S149" s="46"/>
      <c r="T149" s="131"/>
    </row>
    <row r="150" spans="1:20" x14ac:dyDescent="0.3">
      <c r="A150" s="128"/>
      <c r="B150" s="46"/>
      <c r="C150" s="46"/>
      <c r="D150" s="46"/>
      <c r="E150" s="46"/>
      <c r="F150" s="128"/>
      <c r="G150" s="46"/>
      <c r="H150" s="46"/>
      <c r="I150" s="46"/>
      <c r="J150" s="46"/>
      <c r="K150" s="128"/>
      <c r="L150" s="46"/>
      <c r="M150" s="46"/>
      <c r="N150" s="46"/>
      <c r="O150" s="46"/>
      <c r="P150" s="128"/>
      <c r="Q150" s="46"/>
      <c r="R150" s="46"/>
      <c r="S150" s="46"/>
      <c r="T150" s="131"/>
    </row>
    <row r="151" spans="1:20" x14ac:dyDescent="0.3">
      <c r="A151" s="128"/>
      <c r="B151" s="46"/>
      <c r="C151" s="46"/>
      <c r="D151" s="46"/>
      <c r="E151" s="46"/>
      <c r="F151" s="128"/>
      <c r="G151" s="46"/>
      <c r="H151" s="46"/>
      <c r="I151" s="46"/>
      <c r="J151" s="46"/>
      <c r="K151" s="128"/>
      <c r="L151" s="46"/>
      <c r="M151" s="46"/>
      <c r="N151" s="46"/>
      <c r="O151" s="46"/>
      <c r="P151" s="128"/>
      <c r="Q151" s="46"/>
      <c r="R151" s="46"/>
      <c r="S151" s="46"/>
      <c r="T151" s="131"/>
    </row>
    <row r="152" spans="1:20" x14ac:dyDescent="0.3">
      <c r="A152" s="128"/>
      <c r="B152" s="46"/>
      <c r="C152" s="46"/>
      <c r="D152" s="46"/>
      <c r="E152" s="46"/>
      <c r="F152" s="128"/>
      <c r="G152" s="46"/>
      <c r="H152" s="46"/>
      <c r="I152" s="46"/>
      <c r="J152" s="46"/>
      <c r="K152" s="128"/>
      <c r="L152" s="46"/>
      <c r="M152" s="46"/>
      <c r="N152" s="46"/>
      <c r="O152" s="46"/>
      <c r="P152" s="128"/>
      <c r="Q152" s="46"/>
      <c r="R152" s="46"/>
      <c r="S152" s="46"/>
      <c r="T152" s="131"/>
    </row>
    <row r="153" spans="1:20" x14ac:dyDescent="0.3">
      <c r="A153" s="128"/>
      <c r="B153" s="46"/>
      <c r="C153" s="46"/>
      <c r="D153" s="46"/>
      <c r="E153" s="46"/>
      <c r="F153" s="128"/>
      <c r="G153" s="46"/>
      <c r="H153" s="46"/>
      <c r="I153" s="46"/>
      <c r="J153" s="46"/>
      <c r="K153" s="128"/>
      <c r="L153" s="46"/>
      <c r="M153" s="46"/>
      <c r="N153" s="46"/>
      <c r="O153" s="46"/>
      <c r="P153" s="128"/>
      <c r="Q153" s="46"/>
      <c r="R153" s="46"/>
      <c r="S153" s="46"/>
      <c r="T153" s="131"/>
    </row>
    <row r="154" spans="1:20" x14ac:dyDescent="0.3">
      <c r="A154" s="128"/>
      <c r="B154" s="46"/>
      <c r="C154" s="46"/>
      <c r="D154" s="46"/>
      <c r="E154" s="46"/>
      <c r="F154" s="128"/>
      <c r="G154" s="46"/>
      <c r="H154" s="46"/>
      <c r="I154" s="46"/>
      <c r="J154" s="46"/>
      <c r="K154" s="128"/>
      <c r="L154" s="46"/>
      <c r="M154" s="46"/>
      <c r="N154" s="46"/>
      <c r="O154" s="46"/>
      <c r="P154" s="128"/>
      <c r="Q154" s="46"/>
      <c r="R154" s="46"/>
      <c r="S154" s="46"/>
      <c r="T154" s="131"/>
    </row>
    <row r="155" spans="1:20" x14ac:dyDescent="0.3">
      <c r="A155" s="128"/>
      <c r="B155" s="46"/>
      <c r="C155" s="46"/>
      <c r="D155" s="46"/>
      <c r="E155" s="46"/>
      <c r="F155" s="128"/>
      <c r="G155" s="46"/>
      <c r="H155" s="46"/>
      <c r="I155" s="46"/>
      <c r="J155" s="46"/>
      <c r="K155" s="128"/>
      <c r="L155" s="46"/>
      <c r="M155" s="46"/>
      <c r="N155" s="46"/>
      <c r="O155" s="46"/>
      <c r="P155" s="128"/>
      <c r="Q155" s="46"/>
      <c r="R155" s="46"/>
      <c r="S155" s="46"/>
      <c r="T155" s="131"/>
    </row>
    <row r="156" spans="1:20" x14ac:dyDescent="0.3">
      <c r="A156" s="128"/>
      <c r="B156" s="46"/>
      <c r="C156" s="46"/>
      <c r="D156" s="46"/>
      <c r="E156" s="46"/>
      <c r="F156" s="128"/>
      <c r="G156" s="46"/>
      <c r="H156" s="46"/>
      <c r="I156" s="46"/>
      <c r="J156" s="46"/>
      <c r="K156" s="128"/>
      <c r="L156" s="46"/>
      <c r="M156" s="46"/>
      <c r="N156" s="46"/>
      <c r="O156" s="46"/>
      <c r="P156" s="128"/>
      <c r="Q156" s="46"/>
      <c r="R156" s="46"/>
      <c r="S156" s="46"/>
      <c r="T156" s="131"/>
    </row>
    <row r="157" spans="1:20" x14ac:dyDescent="0.3">
      <c r="A157" s="128"/>
      <c r="B157" s="46"/>
      <c r="C157" s="46"/>
      <c r="D157" s="46"/>
      <c r="E157" s="46"/>
      <c r="F157" s="128"/>
      <c r="G157" s="46"/>
      <c r="H157" s="46"/>
      <c r="I157" s="46"/>
      <c r="J157" s="46"/>
      <c r="K157" s="128"/>
      <c r="L157" s="46"/>
      <c r="M157" s="46"/>
      <c r="N157" s="46"/>
      <c r="O157" s="46"/>
      <c r="P157" s="128"/>
      <c r="Q157" s="46"/>
      <c r="R157" s="46"/>
      <c r="S157" s="46"/>
      <c r="T157" s="131"/>
    </row>
    <row r="158" spans="1:20" x14ac:dyDescent="0.3">
      <c r="A158" s="128"/>
      <c r="B158" s="46"/>
      <c r="C158" s="46"/>
      <c r="D158" s="46"/>
      <c r="E158" s="46"/>
      <c r="F158" s="128"/>
      <c r="G158" s="46"/>
      <c r="H158" s="46"/>
      <c r="I158" s="46"/>
      <c r="J158" s="46"/>
      <c r="K158" s="128"/>
      <c r="L158" s="46"/>
      <c r="M158" s="46"/>
      <c r="N158" s="46"/>
      <c r="O158" s="46"/>
      <c r="P158" s="128"/>
      <c r="Q158" s="46"/>
      <c r="R158" s="46"/>
      <c r="S158" s="46"/>
      <c r="T158" s="131"/>
    </row>
    <row r="159" spans="1:20" x14ac:dyDescent="0.3">
      <c r="A159" s="128"/>
      <c r="B159" s="46"/>
      <c r="C159" s="46"/>
      <c r="D159" s="46"/>
      <c r="E159" s="46"/>
      <c r="F159" s="128"/>
      <c r="G159" s="46"/>
      <c r="H159" s="46"/>
      <c r="I159" s="46"/>
      <c r="J159" s="46"/>
      <c r="K159" s="128"/>
      <c r="L159" s="46"/>
      <c r="M159" s="46"/>
      <c r="N159" s="46"/>
      <c r="O159" s="46"/>
      <c r="P159" s="128"/>
      <c r="Q159" s="46"/>
      <c r="R159" s="46"/>
      <c r="S159" s="46"/>
      <c r="T159" s="131"/>
    </row>
    <row r="160" spans="1:20" x14ac:dyDescent="0.3">
      <c r="A160" s="128"/>
      <c r="B160" s="46"/>
      <c r="C160" s="46"/>
      <c r="D160" s="46"/>
      <c r="E160" s="46"/>
      <c r="F160" s="128"/>
      <c r="G160" s="46"/>
      <c r="H160" s="46"/>
      <c r="I160" s="46"/>
      <c r="J160" s="46"/>
      <c r="K160" s="128"/>
      <c r="L160" s="46"/>
      <c r="M160" s="46"/>
      <c r="N160" s="46"/>
      <c r="O160" s="46"/>
      <c r="P160" s="128"/>
      <c r="Q160" s="46"/>
      <c r="R160" s="46"/>
      <c r="S160" s="46"/>
      <c r="T160" s="131"/>
    </row>
    <row r="161" spans="1:20" x14ac:dyDescent="0.3">
      <c r="A161" s="128"/>
      <c r="B161" s="46"/>
      <c r="C161" s="46"/>
      <c r="D161" s="46"/>
      <c r="E161" s="46"/>
      <c r="F161" s="128"/>
      <c r="G161" s="46"/>
      <c r="H161" s="46"/>
      <c r="I161" s="46"/>
      <c r="J161" s="46"/>
      <c r="K161" s="128"/>
      <c r="L161" s="46"/>
      <c r="M161" s="46"/>
      <c r="N161" s="46"/>
      <c r="O161" s="46"/>
      <c r="P161" s="128"/>
      <c r="Q161" s="46"/>
      <c r="R161" s="46"/>
      <c r="S161" s="46"/>
      <c r="T161" s="131"/>
    </row>
    <row r="162" spans="1:20" x14ac:dyDescent="0.3">
      <c r="A162" s="128"/>
      <c r="B162" s="46"/>
      <c r="C162" s="46"/>
      <c r="D162" s="46"/>
      <c r="E162" s="46"/>
      <c r="F162" s="128"/>
      <c r="G162" s="46"/>
      <c r="H162" s="46"/>
      <c r="I162" s="46"/>
      <c r="J162" s="46"/>
      <c r="K162" s="128"/>
      <c r="L162" s="46"/>
      <c r="M162" s="46"/>
      <c r="N162" s="46"/>
      <c r="O162" s="46"/>
      <c r="P162" s="128"/>
      <c r="Q162" s="46"/>
      <c r="R162" s="46"/>
      <c r="S162" s="46"/>
      <c r="T162" s="131"/>
    </row>
    <row r="163" spans="1:20" x14ac:dyDescent="0.3">
      <c r="A163" s="128"/>
      <c r="B163" s="46"/>
      <c r="C163" s="46"/>
      <c r="D163" s="46"/>
      <c r="E163" s="46"/>
      <c r="F163" s="128"/>
      <c r="G163" s="46"/>
      <c r="H163" s="46"/>
      <c r="I163" s="46"/>
      <c r="J163" s="46"/>
      <c r="K163" s="128"/>
      <c r="L163" s="46"/>
      <c r="M163" s="46"/>
      <c r="N163" s="46"/>
      <c r="O163" s="46"/>
      <c r="P163" s="128"/>
      <c r="Q163" s="46"/>
      <c r="R163" s="46"/>
      <c r="S163" s="46"/>
      <c r="T163" s="131"/>
    </row>
    <row r="164" spans="1:20" x14ac:dyDescent="0.3">
      <c r="A164" s="128"/>
      <c r="B164" s="46"/>
      <c r="C164" s="46"/>
      <c r="D164" s="46"/>
      <c r="E164" s="46"/>
      <c r="F164" s="128"/>
      <c r="G164" s="46"/>
      <c r="H164" s="46"/>
      <c r="I164" s="46"/>
      <c r="J164" s="46"/>
      <c r="K164" s="128"/>
      <c r="L164" s="46"/>
      <c r="M164" s="46"/>
      <c r="N164" s="46"/>
      <c r="O164" s="46"/>
      <c r="P164" s="128"/>
      <c r="Q164" s="46"/>
      <c r="R164" s="46"/>
      <c r="S164" s="46"/>
      <c r="T164" s="131"/>
    </row>
    <row r="165" spans="1:20" x14ac:dyDescent="0.3">
      <c r="A165" s="128"/>
      <c r="B165" s="46"/>
      <c r="C165" s="46"/>
      <c r="D165" s="46"/>
      <c r="E165" s="46"/>
      <c r="F165" s="128"/>
      <c r="G165" s="46"/>
      <c r="H165" s="46"/>
      <c r="I165" s="46"/>
      <c r="J165" s="46"/>
      <c r="K165" s="128"/>
      <c r="L165" s="46"/>
      <c r="M165" s="46"/>
      <c r="N165" s="46"/>
      <c r="O165" s="46"/>
      <c r="P165" s="128"/>
      <c r="Q165" s="46"/>
      <c r="R165" s="46"/>
      <c r="S165" s="46"/>
      <c r="T165" s="131"/>
    </row>
    <row r="166" spans="1:20" x14ac:dyDescent="0.3">
      <c r="A166" s="128"/>
      <c r="B166" s="46"/>
      <c r="C166" s="46"/>
      <c r="D166" s="46"/>
      <c r="E166" s="46"/>
      <c r="F166" s="128"/>
      <c r="G166" s="46"/>
      <c r="H166" s="46"/>
      <c r="I166" s="46"/>
      <c r="J166" s="46"/>
      <c r="K166" s="128"/>
      <c r="L166" s="46"/>
      <c r="M166" s="46"/>
      <c r="N166" s="46"/>
      <c r="O166" s="46"/>
      <c r="P166" s="128"/>
      <c r="Q166" s="46"/>
      <c r="R166" s="46"/>
      <c r="S166" s="46"/>
      <c r="T166" s="131"/>
    </row>
    <row r="167" spans="1:20" x14ac:dyDescent="0.3">
      <c r="A167" s="128"/>
      <c r="B167" s="46"/>
      <c r="C167" s="46"/>
      <c r="D167" s="46"/>
      <c r="E167" s="46"/>
      <c r="F167" s="128"/>
      <c r="G167" s="46"/>
      <c r="H167" s="46"/>
      <c r="I167" s="46"/>
      <c r="J167" s="46"/>
      <c r="K167" s="128"/>
      <c r="L167" s="46"/>
      <c r="M167" s="46"/>
      <c r="N167" s="46"/>
      <c r="O167" s="46"/>
      <c r="P167" s="128"/>
      <c r="Q167" s="46"/>
      <c r="R167" s="46"/>
      <c r="S167" s="46"/>
      <c r="T167" s="131"/>
    </row>
    <row r="168" spans="1:20" x14ac:dyDescent="0.3">
      <c r="A168" s="128"/>
      <c r="B168" s="46"/>
      <c r="C168" s="46"/>
      <c r="D168" s="46"/>
      <c r="E168" s="46"/>
      <c r="F168" s="128"/>
      <c r="G168" s="46"/>
      <c r="H168" s="46"/>
      <c r="I168" s="46"/>
      <c r="J168" s="46"/>
      <c r="K168" s="128"/>
      <c r="L168" s="46"/>
      <c r="M168" s="46"/>
      <c r="N168" s="46"/>
      <c r="O168" s="46"/>
      <c r="P168" s="128"/>
      <c r="Q168" s="46"/>
      <c r="R168" s="46"/>
      <c r="S168" s="46"/>
      <c r="T168" s="131"/>
    </row>
    <row r="169" spans="1:20" x14ac:dyDescent="0.3">
      <c r="A169" s="128"/>
      <c r="B169" s="46"/>
      <c r="C169" s="46"/>
      <c r="D169" s="46"/>
      <c r="E169" s="46"/>
      <c r="F169" s="128"/>
      <c r="G169" s="46"/>
      <c r="H169" s="46"/>
      <c r="I169" s="46"/>
      <c r="J169" s="46"/>
      <c r="K169" s="128"/>
      <c r="L169" s="46"/>
      <c r="M169" s="46"/>
      <c r="N169" s="46"/>
      <c r="O169" s="46"/>
      <c r="P169" s="128"/>
      <c r="Q169" s="46"/>
      <c r="R169" s="46"/>
      <c r="S169" s="46"/>
      <c r="T169" s="131"/>
    </row>
    <row r="170" spans="1:20" x14ac:dyDescent="0.3">
      <c r="A170" s="128"/>
      <c r="B170" s="46"/>
      <c r="C170" s="46"/>
      <c r="D170" s="46"/>
      <c r="E170" s="46"/>
      <c r="F170" s="128"/>
      <c r="G170" s="46"/>
      <c r="H170" s="46"/>
      <c r="I170" s="46"/>
      <c r="J170" s="46"/>
      <c r="K170" s="128"/>
      <c r="L170" s="46"/>
      <c r="M170" s="46"/>
      <c r="N170" s="46"/>
      <c r="O170" s="46"/>
      <c r="P170" s="128"/>
      <c r="Q170" s="46"/>
      <c r="R170" s="46"/>
      <c r="S170" s="46"/>
      <c r="T170" s="131"/>
    </row>
    <row r="171" spans="1:20" x14ac:dyDescent="0.3">
      <c r="A171" s="128"/>
      <c r="B171" s="46"/>
      <c r="C171" s="46"/>
      <c r="D171" s="46"/>
      <c r="E171" s="46"/>
      <c r="F171" s="128"/>
      <c r="G171" s="46"/>
      <c r="H171" s="46"/>
      <c r="I171" s="46"/>
      <c r="J171" s="46"/>
      <c r="K171" s="128"/>
      <c r="L171" s="46"/>
      <c r="M171" s="46"/>
      <c r="N171" s="46"/>
      <c r="O171" s="46"/>
      <c r="P171" s="128"/>
      <c r="Q171" s="46"/>
      <c r="R171" s="46"/>
      <c r="S171" s="46"/>
      <c r="T171" s="131"/>
    </row>
    <row r="172" spans="1:20" x14ac:dyDescent="0.3">
      <c r="A172" s="128"/>
      <c r="B172" s="46"/>
      <c r="C172" s="46"/>
      <c r="D172" s="46"/>
      <c r="E172" s="46"/>
      <c r="F172" s="128"/>
      <c r="G172" s="46"/>
      <c r="H172" s="46"/>
      <c r="I172" s="46"/>
      <c r="J172" s="46"/>
      <c r="K172" s="128"/>
      <c r="L172" s="46"/>
      <c r="M172" s="46"/>
      <c r="N172" s="46"/>
      <c r="O172" s="46"/>
      <c r="P172" s="128"/>
      <c r="Q172" s="46"/>
      <c r="R172" s="46"/>
      <c r="S172" s="46"/>
      <c r="T172" s="131"/>
    </row>
    <row r="173" spans="1:20" x14ac:dyDescent="0.3">
      <c r="A173" s="128"/>
      <c r="B173" s="46"/>
      <c r="C173" s="46"/>
      <c r="D173" s="46"/>
      <c r="E173" s="46"/>
      <c r="F173" s="128"/>
      <c r="G173" s="46"/>
      <c r="H173" s="46"/>
      <c r="I173" s="46"/>
      <c r="J173" s="46"/>
      <c r="K173" s="128"/>
      <c r="L173" s="46"/>
      <c r="M173" s="46"/>
      <c r="N173" s="46"/>
      <c r="O173" s="46"/>
      <c r="P173" s="128"/>
      <c r="Q173" s="46"/>
      <c r="R173" s="46"/>
      <c r="S173" s="46"/>
      <c r="T173" s="131"/>
    </row>
    <row r="174" spans="1:20" x14ac:dyDescent="0.3">
      <c r="A174" s="128"/>
      <c r="B174" s="46"/>
      <c r="C174" s="46"/>
      <c r="D174" s="46"/>
      <c r="E174" s="46"/>
      <c r="F174" s="128"/>
      <c r="G174" s="46"/>
      <c r="H174" s="46"/>
      <c r="I174" s="46"/>
      <c r="J174" s="46"/>
      <c r="K174" s="128"/>
      <c r="L174" s="46"/>
      <c r="M174" s="46"/>
      <c r="N174" s="46"/>
      <c r="O174" s="46"/>
      <c r="P174" s="128"/>
      <c r="Q174" s="46"/>
      <c r="R174" s="46"/>
      <c r="S174" s="46"/>
      <c r="T174" s="131"/>
    </row>
    <row r="175" spans="1:20" x14ac:dyDescent="0.3">
      <c r="A175" s="128"/>
      <c r="B175" s="46"/>
      <c r="C175" s="46"/>
      <c r="D175" s="46"/>
      <c r="E175" s="46"/>
      <c r="F175" s="128"/>
      <c r="G175" s="46"/>
      <c r="H175" s="46"/>
      <c r="I175" s="46"/>
      <c r="J175" s="46"/>
      <c r="K175" s="128"/>
      <c r="L175" s="46"/>
      <c r="M175" s="46"/>
      <c r="N175" s="46"/>
      <c r="O175" s="46"/>
      <c r="P175" s="128"/>
      <c r="Q175" s="46"/>
      <c r="R175" s="46"/>
      <c r="S175" s="46"/>
      <c r="T175" s="131"/>
    </row>
    <row r="176" spans="1:20" x14ac:dyDescent="0.3">
      <c r="A176" s="128"/>
      <c r="B176" s="46"/>
      <c r="C176" s="46"/>
      <c r="D176" s="46"/>
      <c r="E176" s="46"/>
      <c r="F176" s="128"/>
      <c r="G176" s="46"/>
      <c r="H176" s="46"/>
      <c r="I176" s="46"/>
      <c r="J176" s="46"/>
      <c r="K176" s="128"/>
      <c r="L176" s="46"/>
      <c r="M176" s="46"/>
      <c r="N176" s="46"/>
      <c r="O176" s="46"/>
      <c r="P176" s="128"/>
      <c r="Q176" s="46"/>
      <c r="R176" s="46"/>
      <c r="S176" s="46"/>
      <c r="T176" s="131"/>
    </row>
    <row r="177" spans="1:20" x14ac:dyDescent="0.3">
      <c r="A177" s="128"/>
      <c r="B177" s="46"/>
      <c r="C177" s="46"/>
      <c r="D177" s="46"/>
      <c r="E177" s="46"/>
      <c r="F177" s="128"/>
      <c r="G177" s="46"/>
      <c r="H177" s="46"/>
      <c r="I177" s="46"/>
      <c r="J177" s="46"/>
      <c r="K177" s="128"/>
      <c r="L177" s="46"/>
      <c r="M177" s="46"/>
      <c r="N177" s="46"/>
      <c r="O177" s="46"/>
      <c r="P177" s="128"/>
      <c r="Q177" s="46"/>
      <c r="R177" s="46"/>
      <c r="S177" s="46"/>
      <c r="T177" s="131"/>
    </row>
    <row r="178" spans="1:20" x14ac:dyDescent="0.3">
      <c r="A178" s="128"/>
      <c r="B178" s="46"/>
      <c r="C178" s="46"/>
      <c r="D178" s="46"/>
      <c r="E178" s="46"/>
      <c r="F178" s="128"/>
      <c r="G178" s="46"/>
      <c r="H178" s="46"/>
      <c r="I178" s="46"/>
      <c r="J178" s="46"/>
      <c r="K178" s="128"/>
      <c r="L178" s="46"/>
      <c r="M178" s="46"/>
      <c r="N178" s="46"/>
      <c r="O178" s="46"/>
      <c r="P178" s="128"/>
      <c r="Q178" s="46"/>
      <c r="R178" s="46"/>
      <c r="S178" s="46"/>
      <c r="T178" s="131"/>
    </row>
    <row r="179" spans="1:20" x14ac:dyDescent="0.3">
      <c r="A179" s="128"/>
      <c r="B179" s="46"/>
      <c r="C179" s="46"/>
      <c r="D179" s="46"/>
      <c r="E179" s="46"/>
      <c r="F179" s="128"/>
      <c r="G179" s="46"/>
      <c r="H179" s="46"/>
      <c r="I179" s="46"/>
      <c r="J179" s="46"/>
      <c r="K179" s="128"/>
      <c r="L179" s="46"/>
      <c r="M179" s="46"/>
      <c r="N179" s="46"/>
      <c r="O179" s="46"/>
      <c r="P179" s="128"/>
      <c r="Q179" s="46"/>
      <c r="R179" s="46"/>
      <c r="S179" s="46"/>
      <c r="T179" s="131"/>
    </row>
    <row r="180" spans="1:20" x14ac:dyDescent="0.3">
      <c r="A180" s="128"/>
      <c r="B180" s="46"/>
      <c r="C180" s="46"/>
      <c r="D180" s="46"/>
      <c r="E180" s="46"/>
      <c r="F180" s="128"/>
      <c r="G180" s="46"/>
      <c r="H180" s="46"/>
      <c r="I180" s="46"/>
      <c r="J180" s="46"/>
      <c r="K180" s="128"/>
      <c r="L180" s="46"/>
      <c r="M180" s="46"/>
      <c r="N180" s="46"/>
      <c r="O180" s="46"/>
      <c r="P180" s="128"/>
      <c r="Q180" s="46"/>
      <c r="R180" s="46"/>
      <c r="S180" s="46"/>
      <c r="T180" s="131"/>
    </row>
    <row r="181" spans="1:20" x14ac:dyDescent="0.3">
      <c r="A181" s="128"/>
      <c r="B181" s="46"/>
      <c r="C181" s="46"/>
      <c r="D181" s="46"/>
      <c r="E181" s="46"/>
      <c r="F181" s="128"/>
      <c r="G181" s="46"/>
      <c r="H181" s="46"/>
      <c r="I181" s="46"/>
      <c r="J181" s="46"/>
      <c r="K181" s="128"/>
      <c r="L181" s="46"/>
      <c r="M181" s="46"/>
      <c r="N181" s="46"/>
      <c r="O181" s="46"/>
      <c r="P181" s="128"/>
      <c r="Q181" s="46"/>
      <c r="R181" s="46"/>
      <c r="S181" s="46"/>
      <c r="T181" s="131"/>
    </row>
    <row r="182" spans="1:20" x14ac:dyDescent="0.3">
      <c r="A182" s="128"/>
      <c r="B182" s="46"/>
      <c r="C182" s="46"/>
      <c r="D182" s="46"/>
      <c r="E182" s="46"/>
      <c r="F182" s="128"/>
      <c r="G182" s="46"/>
      <c r="H182" s="46"/>
      <c r="I182" s="46"/>
      <c r="J182" s="46"/>
      <c r="K182" s="128"/>
      <c r="L182" s="46"/>
      <c r="M182" s="46"/>
      <c r="N182" s="46"/>
      <c r="O182" s="46"/>
      <c r="P182" s="128"/>
      <c r="Q182" s="46"/>
      <c r="R182" s="46"/>
      <c r="S182" s="46"/>
      <c r="T182" s="131"/>
    </row>
    <row r="183" spans="1:20" x14ac:dyDescent="0.3">
      <c r="A183" s="128"/>
      <c r="B183" s="46"/>
      <c r="C183" s="46"/>
      <c r="D183" s="46"/>
      <c r="E183" s="46"/>
      <c r="F183" s="128"/>
      <c r="G183" s="46"/>
      <c r="H183" s="46"/>
      <c r="I183" s="46"/>
      <c r="J183" s="46"/>
      <c r="K183" s="128"/>
      <c r="L183" s="46"/>
      <c r="M183" s="46"/>
      <c r="N183" s="46"/>
      <c r="O183" s="46"/>
      <c r="P183" s="128"/>
      <c r="Q183" s="46"/>
      <c r="R183" s="46"/>
      <c r="S183" s="46"/>
      <c r="T183" s="131"/>
    </row>
    <row r="184" spans="1:20" x14ac:dyDescent="0.3">
      <c r="A184" s="128"/>
      <c r="B184" s="46"/>
      <c r="C184" s="46"/>
      <c r="D184" s="46"/>
      <c r="E184" s="46"/>
      <c r="F184" s="128"/>
      <c r="G184" s="46"/>
      <c r="H184" s="46"/>
      <c r="I184" s="46"/>
      <c r="J184" s="46"/>
      <c r="K184" s="128"/>
      <c r="L184" s="46"/>
      <c r="M184" s="46"/>
      <c r="N184" s="46"/>
      <c r="O184" s="46"/>
      <c r="P184" s="128"/>
      <c r="Q184" s="46"/>
      <c r="R184" s="46"/>
      <c r="S184" s="46"/>
      <c r="T184" s="131"/>
    </row>
    <row r="185" spans="1:20" x14ac:dyDescent="0.3">
      <c r="A185" s="128"/>
      <c r="B185" s="46"/>
      <c r="C185" s="46"/>
      <c r="D185" s="46"/>
      <c r="E185" s="46"/>
      <c r="F185" s="128"/>
      <c r="G185" s="46"/>
      <c r="H185" s="46"/>
      <c r="I185" s="46"/>
      <c r="J185" s="46"/>
      <c r="K185" s="128"/>
      <c r="L185" s="46"/>
      <c r="M185" s="46"/>
      <c r="N185" s="46"/>
      <c r="O185" s="46"/>
      <c r="P185" s="128"/>
      <c r="Q185" s="46"/>
      <c r="R185" s="46"/>
      <c r="S185" s="46"/>
      <c r="T185" s="131"/>
    </row>
    <row r="186" spans="1:20" x14ac:dyDescent="0.3">
      <c r="A186" s="128"/>
      <c r="B186" s="46"/>
      <c r="C186" s="46"/>
      <c r="D186" s="46"/>
      <c r="E186" s="46"/>
      <c r="F186" s="128"/>
      <c r="G186" s="46"/>
      <c r="H186" s="46"/>
      <c r="I186" s="46"/>
      <c r="J186" s="46"/>
      <c r="K186" s="128"/>
      <c r="L186" s="46"/>
      <c r="M186" s="46"/>
      <c r="N186" s="46"/>
      <c r="O186" s="46"/>
      <c r="P186" s="128"/>
      <c r="Q186" s="46"/>
      <c r="R186" s="46"/>
      <c r="S186" s="46"/>
      <c r="T186" s="131"/>
    </row>
    <row r="187" spans="1:20" x14ac:dyDescent="0.3">
      <c r="A187" s="128"/>
      <c r="B187" s="46"/>
      <c r="C187" s="46"/>
      <c r="D187" s="46"/>
      <c r="E187" s="46"/>
      <c r="F187" s="128"/>
      <c r="G187" s="46"/>
      <c r="H187" s="46"/>
      <c r="I187" s="46"/>
      <c r="J187" s="46"/>
      <c r="K187" s="128"/>
      <c r="L187" s="46"/>
      <c r="M187" s="46"/>
      <c r="N187" s="46"/>
      <c r="O187" s="46"/>
      <c r="P187" s="128"/>
      <c r="Q187" s="46"/>
      <c r="R187" s="46"/>
      <c r="S187" s="46"/>
      <c r="T187" s="131"/>
    </row>
    <row r="188" spans="1:20" x14ac:dyDescent="0.3">
      <c r="A188" s="128"/>
      <c r="B188" s="46"/>
      <c r="C188" s="46"/>
      <c r="D188" s="46"/>
      <c r="E188" s="46"/>
      <c r="F188" s="128"/>
      <c r="G188" s="46"/>
      <c r="H188" s="46"/>
      <c r="I188" s="46"/>
      <c r="J188" s="46"/>
      <c r="K188" s="128"/>
      <c r="L188" s="46"/>
      <c r="M188" s="46"/>
      <c r="N188" s="46"/>
      <c r="O188" s="46"/>
      <c r="P188" s="128"/>
      <c r="Q188" s="46"/>
      <c r="R188" s="46"/>
      <c r="S188" s="46"/>
      <c r="T188" s="131"/>
    </row>
    <row r="189" spans="1:20" x14ac:dyDescent="0.3">
      <c r="A189" s="128"/>
      <c r="B189" s="46"/>
      <c r="C189" s="46"/>
      <c r="D189" s="46"/>
      <c r="E189" s="46"/>
      <c r="F189" s="128"/>
      <c r="G189" s="46"/>
      <c r="H189" s="46"/>
      <c r="I189" s="46"/>
      <c r="J189" s="46"/>
      <c r="K189" s="128"/>
      <c r="L189" s="46"/>
      <c r="M189" s="46"/>
      <c r="N189" s="46"/>
      <c r="O189" s="46"/>
      <c r="P189" s="128"/>
      <c r="Q189" s="46"/>
      <c r="R189" s="46"/>
      <c r="S189" s="46"/>
      <c r="T189" s="131"/>
    </row>
    <row r="190" spans="1:20" x14ac:dyDescent="0.3">
      <c r="A190" s="128"/>
      <c r="B190" s="46"/>
      <c r="C190" s="46"/>
      <c r="D190" s="46"/>
      <c r="E190" s="46"/>
      <c r="F190" s="128"/>
      <c r="G190" s="46"/>
      <c r="H190" s="46"/>
      <c r="I190" s="46"/>
      <c r="J190" s="46"/>
      <c r="K190" s="128"/>
      <c r="L190" s="46"/>
      <c r="M190" s="46"/>
      <c r="N190" s="46"/>
      <c r="O190" s="46"/>
      <c r="P190" s="128"/>
      <c r="Q190" s="46"/>
      <c r="R190" s="46"/>
      <c r="S190" s="46"/>
      <c r="T190" s="131"/>
    </row>
    <row r="191" spans="1:20" x14ac:dyDescent="0.3">
      <c r="A191" s="128"/>
      <c r="B191" s="46"/>
      <c r="C191" s="46"/>
      <c r="D191" s="46"/>
      <c r="E191" s="46"/>
      <c r="F191" s="128"/>
      <c r="G191" s="46"/>
      <c r="H191" s="46"/>
      <c r="I191" s="46"/>
      <c r="J191" s="46"/>
      <c r="K191" s="128"/>
      <c r="L191" s="46"/>
      <c r="M191" s="46"/>
      <c r="N191" s="46"/>
      <c r="O191" s="46"/>
      <c r="P191" s="128"/>
      <c r="Q191" s="46"/>
      <c r="R191" s="46"/>
      <c r="S191" s="46"/>
      <c r="T191" s="131"/>
    </row>
    <row r="192" spans="1:20" x14ac:dyDescent="0.3">
      <c r="A192" s="128"/>
      <c r="B192" s="46"/>
      <c r="C192" s="46"/>
      <c r="D192" s="46"/>
      <c r="E192" s="46"/>
      <c r="F192" s="128"/>
      <c r="G192" s="46"/>
      <c r="H192" s="46"/>
      <c r="I192" s="46"/>
      <c r="J192" s="46"/>
      <c r="K192" s="128"/>
      <c r="L192" s="46"/>
      <c r="M192" s="46"/>
      <c r="N192" s="46"/>
      <c r="O192" s="46"/>
      <c r="P192" s="128"/>
      <c r="Q192" s="46"/>
      <c r="R192" s="46"/>
      <c r="S192" s="46"/>
      <c r="T192" s="131"/>
    </row>
    <row r="193" spans="1:20" x14ac:dyDescent="0.3">
      <c r="A193" s="128"/>
      <c r="B193" s="46"/>
      <c r="C193" s="46"/>
      <c r="D193" s="46"/>
      <c r="E193" s="46"/>
      <c r="F193" s="128"/>
      <c r="G193" s="46"/>
      <c r="H193" s="46"/>
      <c r="I193" s="46"/>
      <c r="J193" s="46"/>
      <c r="K193" s="128"/>
      <c r="L193" s="46"/>
      <c r="M193" s="46"/>
      <c r="N193" s="46"/>
      <c r="O193" s="46"/>
      <c r="P193" s="128"/>
      <c r="Q193" s="46"/>
      <c r="R193" s="46"/>
      <c r="S193" s="46"/>
      <c r="T193" s="131"/>
    </row>
    <row r="194" spans="1:20" x14ac:dyDescent="0.3">
      <c r="A194" s="128"/>
      <c r="B194" s="46"/>
      <c r="C194" s="46"/>
      <c r="D194" s="46"/>
      <c r="E194" s="46"/>
      <c r="F194" s="128"/>
      <c r="G194" s="46"/>
      <c r="H194" s="46"/>
      <c r="I194" s="46"/>
      <c r="J194" s="46"/>
      <c r="K194" s="128"/>
      <c r="L194" s="46"/>
      <c r="M194" s="46"/>
      <c r="N194" s="46"/>
      <c r="O194" s="46"/>
      <c r="P194" s="128"/>
      <c r="Q194" s="46"/>
      <c r="R194" s="46"/>
      <c r="S194" s="46"/>
      <c r="T194" s="131"/>
    </row>
    <row r="195" spans="1:20" x14ac:dyDescent="0.3">
      <c r="A195" s="128"/>
      <c r="B195" s="46"/>
      <c r="C195" s="46"/>
      <c r="D195" s="46"/>
      <c r="E195" s="46"/>
      <c r="F195" s="128"/>
      <c r="G195" s="46"/>
      <c r="H195" s="46"/>
      <c r="I195" s="46"/>
      <c r="J195" s="46"/>
      <c r="K195" s="128"/>
      <c r="L195" s="46"/>
      <c r="M195" s="46"/>
      <c r="N195" s="46"/>
      <c r="O195" s="46"/>
      <c r="P195" s="128"/>
      <c r="Q195" s="46"/>
      <c r="R195" s="46"/>
      <c r="S195" s="46"/>
      <c r="T195" s="131"/>
    </row>
    <row r="196" spans="1:20" x14ac:dyDescent="0.3">
      <c r="A196" s="128"/>
      <c r="B196" s="46"/>
      <c r="C196" s="46"/>
      <c r="D196" s="46"/>
      <c r="E196" s="46"/>
      <c r="F196" s="128"/>
      <c r="G196" s="46"/>
      <c r="H196" s="46"/>
      <c r="I196" s="46"/>
      <c r="J196" s="46"/>
      <c r="K196" s="128"/>
      <c r="L196" s="46"/>
      <c r="M196" s="46"/>
      <c r="N196" s="46"/>
      <c r="O196" s="46"/>
      <c r="P196" s="128"/>
      <c r="Q196" s="46"/>
      <c r="R196" s="46"/>
      <c r="S196" s="46"/>
      <c r="T196" s="131"/>
    </row>
    <row r="197" spans="1:20" x14ac:dyDescent="0.3">
      <c r="A197" s="128"/>
      <c r="B197" s="46"/>
      <c r="C197" s="46"/>
      <c r="D197" s="46"/>
      <c r="E197" s="46"/>
      <c r="F197" s="128"/>
      <c r="G197" s="46"/>
      <c r="H197" s="46"/>
      <c r="I197" s="46"/>
      <c r="J197" s="46"/>
      <c r="K197" s="128"/>
      <c r="L197" s="46"/>
      <c r="M197" s="46"/>
      <c r="N197" s="46"/>
      <c r="O197" s="46"/>
      <c r="P197" s="128"/>
      <c r="Q197" s="46"/>
      <c r="R197" s="46"/>
      <c r="S197" s="46"/>
      <c r="T197" s="131"/>
    </row>
    <row r="198" spans="1:20" x14ac:dyDescent="0.3">
      <c r="A198" s="128"/>
      <c r="B198" s="46"/>
      <c r="C198" s="46"/>
      <c r="D198" s="46"/>
      <c r="E198" s="46"/>
      <c r="F198" s="128"/>
      <c r="G198" s="46"/>
      <c r="H198" s="46"/>
      <c r="I198" s="46"/>
      <c r="J198" s="46"/>
      <c r="K198" s="128"/>
      <c r="L198" s="46"/>
      <c r="M198" s="46"/>
      <c r="N198" s="46"/>
      <c r="O198" s="46"/>
      <c r="P198" s="128"/>
      <c r="Q198" s="46"/>
      <c r="R198" s="46"/>
      <c r="S198" s="46"/>
      <c r="T198" s="131"/>
    </row>
    <row r="199" spans="1:20" x14ac:dyDescent="0.3">
      <c r="A199" s="128"/>
      <c r="B199" s="46"/>
      <c r="C199" s="46"/>
      <c r="D199" s="46"/>
      <c r="E199" s="46"/>
      <c r="F199" s="128"/>
      <c r="G199" s="46"/>
      <c r="H199" s="46"/>
      <c r="I199" s="46"/>
      <c r="J199" s="46"/>
      <c r="K199" s="128"/>
      <c r="L199" s="46"/>
      <c r="M199" s="46"/>
      <c r="N199" s="46"/>
      <c r="O199" s="46"/>
      <c r="P199" s="128"/>
      <c r="Q199" s="46"/>
      <c r="R199" s="46"/>
      <c r="S199" s="46"/>
      <c r="T199" s="131"/>
    </row>
    <row r="200" spans="1:20" x14ac:dyDescent="0.3">
      <c r="A200" s="128"/>
      <c r="B200" s="46"/>
      <c r="C200" s="46"/>
      <c r="D200" s="46"/>
      <c r="E200" s="46"/>
      <c r="F200" s="128"/>
      <c r="G200" s="46"/>
      <c r="H200" s="46"/>
      <c r="I200" s="46"/>
      <c r="J200" s="46"/>
      <c r="K200" s="128"/>
      <c r="L200" s="46"/>
      <c r="M200" s="46"/>
      <c r="N200" s="46"/>
      <c r="O200" s="46"/>
      <c r="P200" s="128"/>
      <c r="Q200" s="46"/>
      <c r="R200" s="46"/>
      <c r="S200" s="46"/>
      <c r="T200" s="131"/>
    </row>
    <row r="201" spans="1:20" x14ac:dyDescent="0.3">
      <c r="A201" s="128"/>
      <c r="B201" s="46"/>
      <c r="C201" s="46"/>
      <c r="D201" s="46"/>
      <c r="E201" s="46"/>
      <c r="F201" s="128"/>
      <c r="G201" s="46"/>
      <c r="H201" s="46"/>
      <c r="I201" s="46"/>
      <c r="J201" s="46"/>
      <c r="K201" s="128"/>
      <c r="L201" s="46"/>
      <c r="M201" s="46"/>
      <c r="N201" s="46"/>
      <c r="O201" s="46"/>
      <c r="P201" s="128"/>
      <c r="Q201" s="46"/>
      <c r="R201" s="46"/>
      <c r="S201" s="46"/>
      <c r="T201" s="131"/>
    </row>
    <row r="202" spans="1:20" x14ac:dyDescent="0.3">
      <c r="A202" s="128"/>
      <c r="B202" s="46"/>
      <c r="C202" s="46"/>
      <c r="D202" s="46"/>
      <c r="E202" s="46"/>
      <c r="F202" s="128"/>
      <c r="G202" s="46"/>
      <c r="H202" s="46"/>
      <c r="I202" s="46"/>
      <c r="J202" s="46"/>
      <c r="K202" s="128"/>
      <c r="L202" s="46"/>
      <c r="M202" s="46"/>
      <c r="N202" s="46"/>
      <c r="O202" s="46"/>
      <c r="P202" s="128"/>
      <c r="Q202" s="46"/>
      <c r="R202" s="46"/>
      <c r="S202" s="46"/>
      <c r="T202" s="131"/>
    </row>
    <row r="203" spans="1:20" x14ac:dyDescent="0.3">
      <c r="A203" s="128"/>
      <c r="B203" s="46"/>
      <c r="C203" s="46"/>
      <c r="D203" s="46"/>
      <c r="E203" s="46"/>
      <c r="F203" s="128"/>
      <c r="G203" s="46"/>
      <c r="H203" s="46"/>
      <c r="I203" s="46"/>
      <c r="J203" s="46"/>
      <c r="K203" s="128"/>
      <c r="L203" s="46"/>
      <c r="M203" s="46"/>
      <c r="N203" s="46"/>
      <c r="O203" s="46"/>
      <c r="P203" s="128"/>
      <c r="Q203" s="46"/>
      <c r="R203" s="46"/>
      <c r="S203" s="46"/>
      <c r="T203" s="131"/>
    </row>
    <row r="204" spans="1:20" x14ac:dyDescent="0.3">
      <c r="A204" s="128"/>
      <c r="B204" s="46"/>
      <c r="C204" s="46"/>
      <c r="D204" s="46"/>
      <c r="E204" s="46"/>
      <c r="F204" s="128"/>
      <c r="G204" s="46"/>
      <c r="H204" s="46"/>
      <c r="I204" s="46"/>
      <c r="J204" s="46"/>
      <c r="K204" s="128"/>
      <c r="L204" s="46"/>
      <c r="M204" s="46"/>
      <c r="N204" s="46"/>
      <c r="O204" s="46"/>
      <c r="P204" s="128"/>
      <c r="Q204" s="46"/>
      <c r="R204" s="46"/>
      <c r="S204" s="46"/>
      <c r="T204" s="131"/>
    </row>
    <row r="205" spans="1:20" x14ac:dyDescent="0.3">
      <c r="A205" s="128"/>
      <c r="B205" s="46"/>
      <c r="C205" s="46"/>
      <c r="D205" s="46"/>
      <c r="E205" s="46"/>
      <c r="F205" s="128"/>
      <c r="G205" s="46"/>
      <c r="H205" s="46"/>
      <c r="I205" s="46"/>
      <c r="J205" s="46"/>
      <c r="K205" s="128"/>
      <c r="L205" s="46"/>
      <c r="M205" s="46"/>
      <c r="N205" s="46"/>
      <c r="O205" s="46"/>
      <c r="P205" s="128"/>
      <c r="Q205" s="46"/>
      <c r="R205" s="46"/>
      <c r="S205" s="46"/>
      <c r="T205" s="131"/>
    </row>
    <row r="206" spans="1:20" x14ac:dyDescent="0.3">
      <c r="A206" s="128"/>
      <c r="B206" s="46"/>
      <c r="C206" s="46"/>
      <c r="D206" s="46"/>
      <c r="E206" s="46"/>
      <c r="F206" s="128"/>
      <c r="G206" s="46"/>
      <c r="H206" s="46"/>
      <c r="I206" s="46"/>
      <c r="J206" s="46"/>
      <c r="K206" s="128"/>
      <c r="L206" s="46"/>
      <c r="M206" s="46"/>
      <c r="N206" s="46"/>
      <c r="O206" s="46"/>
      <c r="P206" s="128"/>
      <c r="Q206" s="46"/>
      <c r="R206" s="46"/>
      <c r="S206" s="46"/>
      <c r="T206" s="131"/>
    </row>
    <row r="207" spans="1:20" x14ac:dyDescent="0.3">
      <c r="A207" s="128"/>
      <c r="B207" s="46"/>
      <c r="C207" s="46"/>
      <c r="D207" s="46"/>
      <c r="E207" s="46"/>
      <c r="F207" s="128"/>
      <c r="G207" s="46"/>
      <c r="H207" s="46"/>
      <c r="I207" s="46"/>
      <c r="J207" s="46"/>
      <c r="K207" s="128"/>
      <c r="L207" s="46"/>
      <c r="M207" s="46"/>
      <c r="N207" s="46"/>
      <c r="O207" s="46"/>
      <c r="P207" s="128"/>
      <c r="Q207" s="46"/>
      <c r="R207" s="46"/>
      <c r="S207" s="46"/>
      <c r="T207" s="131"/>
    </row>
    <row r="208" spans="1:20" x14ac:dyDescent="0.3">
      <c r="A208" s="128"/>
      <c r="B208" s="46"/>
      <c r="C208" s="46"/>
      <c r="D208" s="46"/>
      <c r="E208" s="46"/>
      <c r="F208" s="128"/>
      <c r="G208" s="46"/>
      <c r="H208" s="46"/>
      <c r="I208" s="46"/>
      <c r="J208" s="46"/>
      <c r="K208" s="128"/>
      <c r="L208" s="46"/>
      <c r="M208" s="46"/>
      <c r="N208" s="46"/>
      <c r="O208" s="46"/>
      <c r="P208" s="128"/>
      <c r="Q208" s="46"/>
      <c r="R208" s="46"/>
      <c r="S208" s="46"/>
      <c r="T208" s="131"/>
    </row>
    <row r="209" spans="1:20" x14ac:dyDescent="0.3">
      <c r="A209" s="128"/>
      <c r="B209" s="46"/>
      <c r="C209" s="46"/>
      <c r="D209" s="46"/>
      <c r="E209" s="46"/>
      <c r="F209" s="128"/>
      <c r="G209" s="46"/>
      <c r="H209" s="46"/>
      <c r="I209" s="46"/>
      <c r="J209" s="46"/>
      <c r="K209" s="128"/>
      <c r="L209" s="46"/>
      <c r="M209" s="46"/>
      <c r="N209" s="46"/>
      <c r="O209" s="46"/>
      <c r="P209" s="128"/>
      <c r="Q209" s="46"/>
      <c r="R209" s="46"/>
      <c r="S209" s="46"/>
      <c r="T209" s="131"/>
    </row>
    <row r="210" spans="1:20" x14ac:dyDescent="0.3">
      <c r="A210" s="128"/>
      <c r="B210" s="46"/>
      <c r="C210" s="46"/>
      <c r="D210" s="46"/>
      <c r="E210" s="46"/>
      <c r="F210" s="128"/>
      <c r="G210" s="46"/>
      <c r="H210" s="46"/>
      <c r="I210" s="46"/>
      <c r="J210" s="46"/>
      <c r="K210" s="128"/>
      <c r="L210" s="46"/>
      <c r="M210" s="46"/>
      <c r="N210" s="46"/>
      <c r="O210" s="46"/>
      <c r="P210" s="128"/>
      <c r="Q210" s="46"/>
      <c r="R210" s="46"/>
      <c r="S210" s="46"/>
      <c r="T210" s="131"/>
    </row>
    <row r="211" spans="1:20" x14ac:dyDescent="0.3">
      <c r="A211" s="128"/>
      <c r="B211" s="46"/>
      <c r="C211" s="46"/>
      <c r="D211" s="46"/>
      <c r="E211" s="46"/>
      <c r="F211" s="128"/>
      <c r="G211" s="46"/>
      <c r="H211" s="46"/>
      <c r="I211" s="46"/>
      <c r="J211" s="46"/>
      <c r="K211" s="128"/>
      <c r="L211" s="46"/>
      <c r="M211" s="46"/>
      <c r="N211" s="46"/>
      <c r="O211" s="46"/>
      <c r="P211" s="128"/>
      <c r="Q211" s="46"/>
      <c r="R211" s="46"/>
      <c r="S211" s="46"/>
      <c r="T211" s="131"/>
    </row>
    <row r="212" spans="1:20" x14ac:dyDescent="0.3">
      <c r="A212" s="128"/>
      <c r="B212" s="46"/>
      <c r="C212" s="46"/>
      <c r="D212" s="46"/>
      <c r="E212" s="46"/>
      <c r="F212" s="128"/>
      <c r="G212" s="46"/>
      <c r="H212" s="46"/>
      <c r="I212" s="46"/>
      <c r="J212" s="46"/>
      <c r="K212" s="128"/>
      <c r="L212" s="46"/>
      <c r="M212" s="46"/>
      <c r="N212" s="46"/>
      <c r="O212" s="46"/>
      <c r="P212" s="128"/>
      <c r="Q212" s="46"/>
      <c r="R212" s="46"/>
      <c r="S212" s="46"/>
      <c r="T212" s="131"/>
    </row>
    <row r="213" spans="1:20" x14ac:dyDescent="0.3">
      <c r="A213" s="128"/>
      <c r="B213" s="46"/>
      <c r="C213" s="46"/>
      <c r="D213" s="46"/>
      <c r="E213" s="46"/>
      <c r="F213" s="128"/>
      <c r="G213" s="46"/>
      <c r="H213" s="46"/>
      <c r="I213" s="46"/>
      <c r="J213" s="46"/>
      <c r="K213" s="128"/>
      <c r="L213" s="46"/>
      <c r="M213" s="46"/>
      <c r="N213" s="46"/>
      <c r="O213" s="46"/>
      <c r="P213" s="128"/>
      <c r="Q213" s="46"/>
      <c r="R213" s="46"/>
      <c r="S213" s="46"/>
      <c r="T213" s="131"/>
    </row>
    <row r="214" spans="1:20" x14ac:dyDescent="0.3">
      <c r="A214" s="128"/>
      <c r="B214" s="46"/>
      <c r="C214" s="46"/>
      <c r="D214" s="46"/>
      <c r="E214" s="46"/>
      <c r="F214" s="128"/>
      <c r="G214" s="46"/>
      <c r="H214" s="46"/>
      <c r="I214" s="46"/>
      <c r="J214" s="46"/>
      <c r="K214" s="128"/>
      <c r="L214" s="46"/>
      <c r="M214" s="46"/>
      <c r="N214" s="46"/>
      <c r="O214" s="46"/>
      <c r="P214" s="128"/>
      <c r="Q214" s="46"/>
      <c r="R214" s="46"/>
      <c r="S214" s="46"/>
      <c r="T214" s="131"/>
    </row>
    <row r="215" spans="1:20" x14ac:dyDescent="0.3">
      <c r="A215" s="128"/>
      <c r="B215" s="46"/>
      <c r="C215" s="46"/>
      <c r="D215" s="46"/>
      <c r="E215" s="46"/>
      <c r="F215" s="128"/>
      <c r="G215" s="46"/>
      <c r="H215" s="46"/>
      <c r="I215" s="46"/>
      <c r="J215" s="46"/>
      <c r="K215" s="128"/>
      <c r="L215" s="46"/>
      <c r="M215" s="46"/>
      <c r="N215" s="46"/>
      <c r="O215" s="46"/>
      <c r="P215" s="128"/>
      <c r="Q215" s="46"/>
      <c r="R215" s="46"/>
      <c r="S215" s="46"/>
      <c r="T215" s="131"/>
    </row>
    <row r="216" spans="1:20" x14ac:dyDescent="0.3">
      <c r="A216" s="128"/>
      <c r="B216" s="46"/>
      <c r="C216" s="46"/>
      <c r="D216" s="46"/>
      <c r="E216" s="46"/>
      <c r="F216" s="128"/>
      <c r="G216" s="46"/>
      <c r="H216" s="46"/>
      <c r="I216" s="46"/>
      <c r="J216" s="46"/>
      <c r="K216" s="128"/>
      <c r="L216" s="46"/>
      <c r="M216" s="46"/>
      <c r="N216" s="46"/>
      <c r="O216" s="46"/>
      <c r="P216" s="128"/>
      <c r="Q216" s="46"/>
      <c r="R216" s="46"/>
      <c r="S216" s="46"/>
      <c r="T216" s="131"/>
    </row>
    <row r="217" spans="1:20" x14ac:dyDescent="0.3">
      <c r="A217" s="128"/>
      <c r="B217" s="46"/>
      <c r="C217" s="46"/>
      <c r="D217" s="46"/>
      <c r="E217" s="46"/>
      <c r="F217" s="128"/>
      <c r="G217" s="46"/>
      <c r="H217" s="46"/>
      <c r="I217" s="46"/>
      <c r="J217" s="46"/>
      <c r="K217" s="128"/>
      <c r="L217" s="46"/>
      <c r="M217" s="46"/>
      <c r="N217" s="46"/>
      <c r="O217" s="46"/>
      <c r="P217" s="128"/>
      <c r="Q217" s="46"/>
      <c r="R217" s="46"/>
      <c r="S217" s="46"/>
      <c r="T217" s="131"/>
    </row>
    <row r="218" spans="1:20" x14ac:dyDescent="0.3">
      <c r="A218" s="128"/>
      <c r="B218" s="46"/>
      <c r="C218" s="46"/>
      <c r="D218" s="46"/>
      <c r="E218" s="46"/>
      <c r="F218" s="128"/>
      <c r="G218" s="46"/>
      <c r="H218" s="46"/>
      <c r="I218" s="46"/>
      <c r="J218" s="46"/>
      <c r="K218" s="128"/>
      <c r="L218" s="46"/>
      <c r="M218" s="46"/>
      <c r="N218" s="46"/>
      <c r="O218" s="46"/>
      <c r="P218" s="128"/>
      <c r="Q218" s="46"/>
      <c r="R218" s="46"/>
      <c r="S218" s="46"/>
      <c r="T218" s="131"/>
    </row>
    <row r="219" spans="1:20" x14ac:dyDescent="0.3">
      <c r="A219" s="128"/>
      <c r="B219" s="46"/>
      <c r="C219" s="46"/>
      <c r="D219" s="46"/>
      <c r="E219" s="46"/>
      <c r="F219" s="128"/>
      <c r="G219" s="46"/>
      <c r="H219" s="46"/>
      <c r="I219" s="46"/>
      <c r="J219" s="46"/>
      <c r="K219" s="128"/>
      <c r="L219" s="46"/>
      <c r="M219" s="46"/>
      <c r="N219" s="46"/>
      <c r="O219" s="46"/>
      <c r="P219" s="128"/>
      <c r="Q219" s="46"/>
      <c r="R219" s="46"/>
      <c r="S219" s="46"/>
      <c r="T219" s="131"/>
    </row>
    <row r="220" spans="1:20" x14ac:dyDescent="0.3">
      <c r="A220" s="128"/>
      <c r="B220" s="46"/>
      <c r="C220" s="46"/>
      <c r="D220" s="46"/>
      <c r="E220" s="46"/>
      <c r="F220" s="128"/>
      <c r="G220" s="46"/>
      <c r="H220" s="46"/>
      <c r="I220" s="46"/>
      <c r="J220" s="46"/>
      <c r="K220" s="128"/>
      <c r="L220" s="46"/>
      <c r="M220" s="46"/>
      <c r="N220" s="46"/>
      <c r="O220" s="46"/>
      <c r="P220" s="128"/>
      <c r="Q220" s="46"/>
      <c r="R220" s="46"/>
      <c r="S220" s="46"/>
      <c r="T220" s="131"/>
    </row>
    <row r="221" spans="1:20" x14ac:dyDescent="0.3">
      <c r="A221" s="128"/>
      <c r="B221" s="46"/>
      <c r="C221" s="46"/>
      <c r="D221" s="46"/>
      <c r="E221" s="46"/>
      <c r="F221" s="128"/>
      <c r="G221" s="46"/>
      <c r="H221" s="46"/>
      <c r="I221" s="46"/>
      <c r="J221" s="46"/>
      <c r="K221" s="128"/>
      <c r="L221" s="46"/>
      <c r="M221" s="46"/>
      <c r="N221" s="46"/>
      <c r="O221" s="46"/>
      <c r="P221" s="128"/>
      <c r="Q221" s="46"/>
      <c r="R221" s="46"/>
      <c r="S221" s="46"/>
      <c r="T221" s="131"/>
    </row>
    <row r="222" spans="1:20" x14ac:dyDescent="0.3">
      <c r="A222" s="128"/>
      <c r="B222" s="46"/>
      <c r="C222" s="46"/>
      <c r="D222" s="46"/>
      <c r="E222" s="46"/>
      <c r="F222" s="128"/>
      <c r="G222" s="46"/>
      <c r="H222" s="46"/>
      <c r="I222" s="46"/>
      <c r="J222" s="46"/>
      <c r="K222" s="128"/>
      <c r="L222" s="46"/>
      <c r="M222" s="46"/>
      <c r="N222" s="46"/>
      <c r="O222" s="46"/>
      <c r="P222" s="128"/>
      <c r="Q222" s="46"/>
      <c r="R222" s="46"/>
      <c r="S222" s="46"/>
      <c r="T222" s="131"/>
    </row>
    <row r="223" spans="1:20" x14ac:dyDescent="0.3">
      <c r="A223" s="128"/>
      <c r="B223" s="46"/>
      <c r="C223" s="46"/>
      <c r="D223" s="46"/>
      <c r="E223" s="46"/>
      <c r="F223" s="128"/>
      <c r="G223" s="46"/>
      <c r="H223" s="46"/>
      <c r="I223" s="46"/>
      <c r="J223" s="46"/>
      <c r="K223" s="128"/>
      <c r="L223" s="46"/>
      <c r="M223" s="46"/>
      <c r="N223" s="46"/>
      <c r="O223" s="46"/>
      <c r="P223" s="128"/>
      <c r="Q223" s="46"/>
      <c r="R223" s="46"/>
      <c r="S223" s="46"/>
      <c r="T223" s="131"/>
    </row>
    <row r="224" spans="1:20" x14ac:dyDescent="0.3">
      <c r="A224" s="128"/>
      <c r="B224" s="46"/>
      <c r="C224" s="46"/>
      <c r="D224" s="46"/>
      <c r="E224" s="46"/>
      <c r="F224" s="128"/>
      <c r="G224" s="46"/>
      <c r="H224" s="46"/>
      <c r="I224" s="46"/>
      <c r="J224" s="46"/>
      <c r="K224" s="128"/>
      <c r="L224" s="46"/>
      <c r="M224" s="46"/>
      <c r="N224" s="46"/>
      <c r="O224" s="46"/>
      <c r="P224" s="128"/>
      <c r="Q224" s="46"/>
      <c r="R224" s="46"/>
      <c r="S224" s="46"/>
      <c r="T224" s="131"/>
    </row>
    <row r="225" spans="1:20" x14ac:dyDescent="0.3">
      <c r="A225" s="128"/>
      <c r="B225" s="46"/>
      <c r="C225" s="46"/>
      <c r="D225" s="46"/>
      <c r="E225" s="46"/>
      <c r="F225" s="128"/>
      <c r="G225" s="46"/>
      <c r="H225" s="46"/>
      <c r="I225" s="46"/>
      <c r="J225" s="46"/>
      <c r="K225" s="128"/>
      <c r="L225" s="46"/>
      <c r="M225" s="46"/>
      <c r="N225" s="46"/>
      <c r="O225" s="46"/>
      <c r="P225" s="128"/>
      <c r="Q225" s="46"/>
      <c r="R225" s="46"/>
      <c r="S225" s="46"/>
      <c r="T225" s="131"/>
    </row>
    <row r="226" spans="1:20" x14ac:dyDescent="0.3">
      <c r="A226" s="128"/>
      <c r="B226" s="46"/>
      <c r="C226" s="46"/>
      <c r="D226" s="46"/>
      <c r="E226" s="46"/>
      <c r="F226" s="128"/>
      <c r="G226" s="46"/>
      <c r="H226" s="46"/>
      <c r="I226" s="46"/>
      <c r="J226" s="46"/>
      <c r="K226" s="128"/>
      <c r="L226" s="46"/>
      <c r="M226" s="46"/>
      <c r="N226" s="46"/>
      <c r="O226" s="46"/>
      <c r="P226" s="128"/>
      <c r="Q226" s="46"/>
      <c r="R226" s="46"/>
      <c r="S226" s="46"/>
      <c r="T226" s="131"/>
    </row>
    <row r="227" spans="1:20" x14ac:dyDescent="0.3">
      <c r="A227" s="128"/>
      <c r="B227" s="46"/>
      <c r="C227" s="46"/>
      <c r="D227" s="46"/>
      <c r="E227" s="46"/>
      <c r="F227" s="128"/>
      <c r="G227" s="46"/>
      <c r="H227" s="46"/>
      <c r="I227" s="46"/>
      <c r="J227" s="46"/>
      <c r="K227" s="128"/>
      <c r="L227" s="46"/>
      <c r="M227" s="46"/>
      <c r="N227" s="46"/>
      <c r="O227" s="46"/>
      <c r="P227" s="128"/>
      <c r="Q227" s="46"/>
      <c r="R227" s="46"/>
      <c r="S227" s="46"/>
      <c r="T227" s="131"/>
    </row>
    <row r="228" spans="1:20" x14ac:dyDescent="0.3">
      <c r="A228" s="128"/>
      <c r="B228" s="46"/>
      <c r="C228" s="46"/>
      <c r="D228" s="46"/>
      <c r="E228" s="46"/>
      <c r="F228" s="128"/>
      <c r="G228" s="46"/>
      <c r="H228" s="46"/>
      <c r="I228" s="46"/>
      <c r="J228" s="46"/>
      <c r="K228" s="128"/>
      <c r="L228" s="46"/>
      <c r="M228" s="46"/>
      <c r="N228" s="46"/>
      <c r="O228" s="46"/>
      <c r="P228" s="128"/>
      <c r="Q228" s="46"/>
      <c r="R228" s="46"/>
      <c r="S228" s="46"/>
      <c r="T228" s="131"/>
    </row>
    <row r="229" spans="1:20" x14ac:dyDescent="0.3">
      <c r="A229" s="128"/>
      <c r="B229" s="46"/>
      <c r="C229" s="46"/>
      <c r="D229" s="46"/>
      <c r="E229" s="46"/>
      <c r="F229" s="128"/>
      <c r="G229" s="46"/>
      <c r="H229" s="46"/>
      <c r="I229" s="46"/>
      <c r="J229" s="46"/>
      <c r="K229" s="128"/>
      <c r="L229" s="46"/>
      <c r="M229" s="46"/>
      <c r="N229" s="46"/>
      <c r="O229" s="46"/>
      <c r="P229" s="128"/>
      <c r="Q229" s="46"/>
      <c r="R229" s="46"/>
      <c r="S229" s="46"/>
      <c r="T229" s="131"/>
    </row>
    <row r="230" spans="1:20" x14ac:dyDescent="0.3">
      <c r="A230" s="128"/>
      <c r="B230" s="46"/>
      <c r="C230" s="46"/>
      <c r="D230" s="46"/>
      <c r="E230" s="46"/>
      <c r="F230" s="128"/>
      <c r="G230" s="46"/>
      <c r="H230" s="46"/>
      <c r="I230" s="46"/>
      <c r="J230" s="46"/>
      <c r="K230" s="128"/>
      <c r="L230" s="46"/>
      <c r="M230" s="46"/>
      <c r="N230" s="46"/>
      <c r="O230" s="46"/>
      <c r="P230" s="128"/>
      <c r="Q230" s="46"/>
      <c r="R230" s="46"/>
      <c r="S230" s="46"/>
      <c r="T230" s="131"/>
    </row>
    <row r="231" spans="1:20" x14ac:dyDescent="0.3">
      <c r="A231" s="128"/>
      <c r="B231" s="46"/>
      <c r="C231" s="46"/>
      <c r="D231" s="46"/>
      <c r="E231" s="46"/>
      <c r="F231" s="128"/>
      <c r="G231" s="46"/>
      <c r="H231" s="46"/>
      <c r="I231" s="46"/>
      <c r="J231" s="46"/>
      <c r="K231" s="128"/>
      <c r="L231" s="46"/>
      <c r="M231" s="46"/>
      <c r="N231" s="46"/>
      <c r="O231" s="46"/>
      <c r="P231" s="128"/>
      <c r="Q231" s="46"/>
      <c r="R231" s="46"/>
      <c r="S231" s="46"/>
      <c r="T231" s="131"/>
    </row>
    <row r="232" spans="1:20" x14ac:dyDescent="0.3">
      <c r="A232" s="128"/>
      <c r="B232" s="46"/>
      <c r="C232" s="46"/>
      <c r="D232" s="46"/>
      <c r="E232" s="46"/>
      <c r="F232" s="128"/>
      <c r="G232" s="46"/>
      <c r="H232" s="46"/>
      <c r="I232" s="46"/>
      <c r="J232" s="46"/>
      <c r="K232" s="128"/>
      <c r="L232" s="46"/>
      <c r="M232" s="46"/>
      <c r="N232" s="46"/>
      <c r="O232" s="46"/>
      <c r="P232" s="128"/>
      <c r="Q232" s="46"/>
      <c r="R232" s="46"/>
      <c r="S232" s="46"/>
      <c r="T232" s="131"/>
    </row>
    <row r="233" spans="1:20" x14ac:dyDescent="0.3">
      <c r="A233" s="128"/>
      <c r="B233" s="46"/>
      <c r="C233" s="46"/>
      <c r="D233" s="46"/>
      <c r="E233" s="46"/>
      <c r="F233" s="128"/>
      <c r="G233" s="46"/>
      <c r="H233" s="46"/>
      <c r="I233" s="46"/>
      <c r="J233" s="46"/>
      <c r="K233" s="128"/>
      <c r="L233" s="46"/>
      <c r="M233" s="46"/>
      <c r="N233" s="46"/>
      <c r="O233" s="46"/>
      <c r="P233" s="128"/>
      <c r="Q233" s="46"/>
      <c r="R233" s="46"/>
      <c r="S233" s="46"/>
      <c r="T233" s="131"/>
    </row>
    <row r="234" spans="1:20" x14ac:dyDescent="0.3">
      <c r="A234" s="128"/>
      <c r="B234" s="46"/>
      <c r="C234" s="46"/>
      <c r="D234" s="46"/>
      <c r="E234" s="46"/>
      <c r="F234" s="128"/>
      <c r="G234" s="46"/>
      <c r="H234" s="46"/>
      <c r="I234" s="46"/>
      <c r="J234" s="46"/>
      <c r="K234" s="128"/>
      <c r="L234" s="46"/>
      <c r="M234" s="46"/>
      <c r="N234" s="46"/>
      <c r="O234" s="46"/>
      <c r="P234" s="128"/>
      <c r="Q234" s="46"/>
      <c r="R234" s="46"/>
      <c r="S234" s="46"/>
      <c r="T234" s="131"/>
    </row>
    <row r="235" spans="1:20" x14ac:dyDescent="0.3">
      <c r="A235" s="128"/>
      <c r="B235" s="46"/>
      <c r="C235" s="46"/>
      <c r="D235" s="46"/>
      <c r="E235" s="46"/>
      <c r="F235" s="128"/>
      <c r="G235" s="46"/>
      <c r="H235" s="46"/>
      <c r="I235" s="46"/>
      <c r="J235" s="46"/>
      <c r="K235" s="128"/>
      <c r="L235" s="46"/>
      <c r="M235" s="46"/>
      <c r="N235" s="46"/>
      <c r="O235" s="46"/>
      <c r="P235" s="128"/>
      <c r="Q235" s="46"/>
      <c r="R235" s="46"/>
      <c r="S235" s="46"/>
      <c r="T235" s="131"/>
    </row>
    <row r="236" spans="1:20" x14ac:dyDescent="0.3">
      <c r="A236" s="128"/>
      <c r="B236" s="46"/>
      <c r="C236" s="46"/>
      <c r="D236" s="46"/>
      <c r="E236" s="46"/>
      <c r="F236" s="128"/>
      <c r="G236" s="46"/>
      <c r="H236" s="46"/>
      <c r="I236" s="46"/>
      <c r="J236" s="46"/>
      <c r="K236" s="128"/>
      <c r="L236" s="46"/>
      <c r="M236" s="46"/>
      <c r="N236" s="46"/>
      <c r="O236" s="46"/>
      <c r="P236" s="128"/>
      <c r="Q236" s="46"/>
      <c r="R236" s="46"/>
      <c r="S236" s="46"/>
      <c r="T236" s="131"/>
    </row>
    <row r="237" spans="1:20" x14ac:dyDescent="0.3">
      <c r="A237" s="128"/>
      <c r="B237" s="46"/>
      <c r="C237" s="46"/>
      <c r="D237" s="46"/>
      <c r="E237" s="46"/>
      <c r="F237" s="128"/>
      <c r="G237" s="46"/>
      <c r="H237" s="46"/>
      <c r="I237" s="46"/>
      <c r="J237" s="46"/>
      <c r="K237" s="128"/>
      <c r="L237" s="46"/>
      <c r="M237" s="46"/>
      <c r="N237" s="46"/>
      <c r="O237" s="46"/>
      <c r="P237" s="128"/>
      <c r="Q237" s="46"/>
      <c r="R237" s="46"/>
      <c r="S237" s="46"/>
      <c r="T237" s="131"/>
    </row>
    <row r="238" spans="1:20" x14ac:dyDescent="0.3">
      <c r="A238" s="128"/>
      <c r="B238" s="46"/>
      <c r="C238" s="46"/>
      <c r="D238" s="46"/>
      <c r="E238" s="46"/>
      <c r="F238" s="128"/>
      <c r="G238" s="46"/>
      <c r="H238" s="46"/>
      <c r="I238" s="46"/>
      <c r="J238" s="46"/>
      <c r="K238" s="128"/>
      <c r="L238" s="46"/>
      <c r="M238" s="46"/>
      <c r="N238" s="46"/>
      <c r="O238" s="46"/>
      <c r="P238" s="128"/>
      <c r="Q238" s="46"/>
      <c r="R238" s="46"/>
      <c r="S238" s="46"/>
      <c r="T238" s="131"/>
    </row>
    <row r="239" spans="1:20" x14ac:dyDescent="0.3">
      <c r="A239" s="128"/>
      <c r="B239" s="46"/>
      <c r="C239" s="46"/>
      <c r="D239" s="46"/>
      <c r="E239" s="46"/>
      <c r="F239" s="128"/>
      <c r="G239" s="46"/>
      <c r="H239" s="46"/>
      <c r="I239" s="46"/>
      <c r="J239" s="46"/>
      <c r="K239" s="128"/>
      <c r="L239" s="46"/>
      <c r="M239" s="46"/>
      <c r="N239" s="46"/>
      <c r="O239" s="46"/>
      <c r="P239" s="128"/>
      <c r="Q239" s="46"/>
      <c r="R239" s="46"/>
      <c r="S239" s="46"/>
      <c r="T239" s="131"/>
    </row>
    <row r="240" spans="1:20" x14ac:dyDescent="0.3">
      <c r="A240" s="128"/>
      <c r="B240" s="46"/>
      <c r="C240" s="46"/>
      <c r="D240" s="46"/>
      <c r="E240" s="46"/>
      <c r="F240" s="128"/>
      <c r="G240" s="46"/>
      <c r="H240" s="46"/>
      <c r="I240" s="46"/>
      <c r="J240" s="46"/>
      <c r="K240" s="128"/>
      <c r="L240" s="46"/>
      <c r="M240" s="46"/>
      <c r="N240" s="46"/>
      <c r="O240" s="46"/>
      <c r="P240" s="128"/>
      <c r="Q240" s="46"/>
      <c r="R240" s="46"/>
      <c r="S240" s="46"/>
      <c r="T240" s="131"/>
    </row>
    <row r="241" spans="1:20" x14ac:dyDescent="0.3">
      <c r="A241" s="128"/>
      <c r="B241" s="46"/>
      <c r="C241" s="46"/>
      <c r="D241" s="46"/>
      <c r="E241" s="46"/>
      <c r="F241" s="128"/>
      <c r="G241" s="46"/>
      <c r="H241" s="46"/>
      <c r="I241" s="46"/>
      <c r="J241" s="46"/>
      <c r="K241" s="128"/>
      <c r="L241" s="46"/>
      <c r="M241" s="46"/>
      <c r="N241" s="46"/>
      <c r="O241" s="46"/>
      <c r="P241" s="128"/>
      <c r="Q241" s="46"/>
      <c r="R241" s="46"/>
      <c r="S241" s="46"/>
      <c r="T241" s="131"/>
    </row>
    <row r="242" spans="1:20" x14ac:dyDescent="0.3">
      <c r="A242" s="128"/>
      <c r="B242" s="46"/>
      <c r="C242" s="46"/>
      <c r="D242" s="46"/>
      <c r="E242" s="46"/>
      <c r="F242" s="128"/>
      <c r="G242" s="46"/>
      <c r="H242" s="46"/>
      <c r="I242" s="46"/>
      <c r="J242" s="46"/>
      <c r="K242" s="128"/>
      <c r="L242" s="46"/>
      <c r="M242" s="46"/>
      <c r="N242" s="46"/>
      <c r="O242" s="46"/>
      <c r="P242" s="128"/>
      <c r="Q242" s="46"/>
      <c r="R242" s="46"/>
      <c r="S242" s="46"/>
      <c r="T242" s="131"/>
    </row>
    <row r="243" spans="1:20" x14ac:dyDescent="0.3">
      <c r="A243" s="128"/>
      <c r="B243" s="46"/>
      <c r="C243" s="46"/>
      <c r="D243" s="46"/>
      <c r="E243" s="46"/>
      <c r="F243" s="128"/>
      <c r="G243" s="46"/>
      <c r="H243" s="46"/>
      <c r="I243" s="46"/>
      <c r="J243" s="46"/>
      <c r="K243" s="128"/>
      <c r="L243" s="46"/>
      <c r="M243" s="46"/>
      <c r="N243" s="46"/>
      <c r="O243" s="46"/>
      <c r="P243" s="128"/>
      <c r="Q243" s="46"/>
      <c r="R243" s="46"/>
      <c r="S243" s="46"/>
      <c r="T243" s="131"/>
    </row>
    <row r="244" spans="1:20" x14ac:dyDescent="0.3">
      <c r="A244" s="128"/>
      <c r="B244" s="46"/>
      <c r="C244" s="46"/>
      <c r="D244" s="46"/>
      <c r="E244" s="46"/>
      <c r="F244" s="128"/>
      <c r="G244" s="46"/>
      <c r="H244" s="46"/>
      <c r="I244" s="46"/>
      <c r="J244" s="46"/>
      <c r="K244" s="128"/>
      <c r="L244" s="46"/>
      <c r="M244" s="46"/>
      <c r="N244" s="46"/>
      <c r="O244" s="46"/>
      <c r="P244" s="128"/>
      <c r="Q244" s="46"/>
      <c r="R244" s="46"/>
      <c r="S244" s="46"/>
      <c r="T244" s="131"/>
    </row>
    <row r="245" spans="1:20" x14ac:dyDescent="0.3">
      <c r="A245" s="128"/>
      <c r="B245" s="46"/>
      <c r="C245" s="46"/>
      <c r="D245" s="46"/>
      <c r="E245" s="46"/>
      <c r="F245" s="128"/>
      <c r="G245" s="46"/>
      <c r="H245" s="46"/>
      <c r="I245" s="46"/>
      <c r="J245" s="46"/>
      <c r="K245" s="128"/>
      <c r="L245" s="46"/>
      <c r="M245" s="46"/>
      <c r="N245" s="46"/>
      <c r="O245" s="46"/>
      <c r="P245" s="128"/>
      <c r="Q245" s="46"/>
      <c r="R245" s="46"/>
      <c r="S245" s="46"/>
      <c r="T245" s="131"/>
    </row>
    <row r="246" spans="1:20" x14ac:dyDescent="0.3">
      <c r="A246" s="128"/>
      <c r="B246" s="46"/>
      <c r="C246" s="46"/>
      <c r="D246" s="46"/>
      <c r="E246" s="46"/>
      <c r="F246" s="128"/>
      <c r="G246" s="46"/>
      <c r="H246" s="46"/>
      <c r="I246" s="46"/>
      <c r="J246" s="46"/>
      <c r="K246" s="128"/>
      <c r="L246" s="46"/>
      <c r="M246" s="46"/>
      <c r="N246" s="46"/>
      <c r="O246" s="46"/>
      <c r="P246" s="128"/>
      <c r="Q246" s="46"/>
      <c r="R246" s="46"/>
      <c r="S246" s="46"/>
      <c r="T246" s="131"/>
    </row>
    <row r="247" spans="1:20" x14ac:dyDescent="0.3">
      <c r="A247" s="128"/>
      <c r="B247" s="46"/>
      <c r="C247" s="46"/>
      <c r="D247" s="46"/>
      <c r="E247" s="46"/>
      <c r="F247" s="128"/>
      <c r="G247" s="46"/>
      <c r="H247" s="46"/>
      <c r="I247" s="46"/>
      <c r="J247" s="46"/>
      <c r="K247" s="128"/>
      <c r="L247" s="46"/>
      <c r="M247" s="46"/>
      <c r="N247" s="46"/>
      <c r="O247" s="46"/>
      <c r="P247" s="128"/>
      <c r="Q247" s="46"/>
      <c r="R247" s="46"/>
      <c r="S247" s="46"/>
      <c r="T247" s="131"/>
    </row>
    <row r="248" spans="1:20" x14ac:dyDescent="0.3">
      <c r="A248" s="128"/>
      <c r="B248" s="46"/>
      <c r="C248" s="46"/>
      <c r="D248" s="46"/>
      <c r="E248" s="46"/>
      <c r="F248" s="128"/>
      <c r="G248" s="46"/>
      <c r="H248" s="46"/>
      <c r="I248" s="46"/>
      <c r="J248" s="46"/>
      <c r="K248" s="128"/>
      <c r="L248" s="46"/>
      <c r="M248" s="46"/>
      <c r="N248" s="46"/>
      <c r="O248" s="46"/>
      <c r="P248" s="128"/>
      <c r="Q248" s="46"/>
      <c r="R248" s="46"/>
      <c r="S248" s="46"/>
      <c r="T248" s="131"/>
    </row>
    <row r="249" spans="1:20" x14ac:dyDescent="0.3">
      <c r="A249" s="128"/>
      <c r="B249" s="46"/>
      <c r="C249" s="46"/>
      <c r="D249" s="46"/>
      <c r="E249" s="46"/>
      <c r="F249" s="128"/>
      <c r="G249" s="46"/>
      <c r="H249" s="46"/>
      <c r="I249" s="46"/>
      <c r="J249" s="46"/>
      <c r="K249" s="128"/>
      <c r="L249" s="46"/>
      <c r="M249" s="46"/>
      <c r="N249" s="46"/>
      <c r="O249" s="46"/>
      <c r="P249" s="128"/>
      <c r="Q249" s="46"/>
      <c r="R249" s="46"/>
      <c r="S249" s="46"/>
      <c r="T249" s="131"/>
    </row>
    <row r="250" spans="1:20" x14ac:dyDescent="0.3">
      <c r="A250" s="128"/>
      <c r="B250" s="46"/>
      <c r="C250" s="46"/>
      <c r="D250" s="46"/>
      <c r="E250" s="46"/>
      <c r="F250" s="128"/>
      <c r="G250" s="46"/>
      <c r="H250" s="46"/>
      <c r="I250" s="46"/>
      <c r="J250" s="46"/>
      <c r="K250" s="128"/>
      <c r="L250" s="46"/>
      <c r="M250" s="46"/>
      <c r="N250" s="46"/>
      <c r="O250" s="46"/>
      <c r="P250" s="128"/>
      <c r="Q250" s="46"/>
      <c r="R250" s="46"/>
      <c r="S250" s="46"/>
      <c r="T250" s="131"/>
    </row>
    <row r="251" spans="1:20" x14ac:dyDescent="0.3">
      <c r="A251" s="128"/>
      <c r="B251" s="46"/>
      <c r="C251" s="46"/>
      <c r="D251" s="46"/>
      <c r="E251" s="46"/>
      <c r="F251" s="128"/>
      <c r="G251" s="46"/>
      <c r="H251" s="46"/>
      <c r="I251" s="46"/>
      <c r="J251" s="46"/>
      <c r="K251" s="128"/>
      <c r="L251" s="46"/>
      <c r="M251" s="46"/>
      <c r="N251" s="46"/>
      <c r="O251" s="46"/>
      <c r="P251" s="128"/>
      <c r="Q251" s="46"/>
      <c r="R251" s="46"/>
      <c r="S251" s="46"/>
      <c r="T251" s="131"/>
    </row>
    <row r="252" spans="1:20" x14ac:dyDescent="0.3">
      <c r="A252" s="128"/>
      <c r="B252" s="46"/>
      <c r="C252" s="46"/>
      <c r="D252" s="46"/>
      <c r="E252" s="46"/>
      <c r="F252" s="128"/>
      <c r="G252" s="46"/>
      <c r="H252" s="46"/>
      <c r="I252" s="46"/>
      <c r="J252" s="46"/>
      <c r="K252" s="128"/>
      <c r="L252" s="46"/>
      <c r="M252" s="46"/>
      <c r="N252" s="46"/>
      <c r="O252" s="46"/>
      <c r="P252" s="128"/>
      <c r="Q252" s="46"/>
      <c r="R252" s="46"/>
      <c r="S252" s="46"/>
      <c r="T252" s="131"/>
    </row>
    <row r="253" spans="1:20" x14ac:dyDescent="0.3">
      <c r="A253" s="128"/>
      <c r="B253" s="46"/>
      <c r="C253" s="46"/>
      <c r="D253" s="46"/>
      <c r="E253" s="46"/>
      <c r="F253" s="128"/>
      <c r="G253" s="46"/>
      <c r="H253" s="46"/>
      <c r="I253" s="46"/>
      <c r="J253" s="46"/>
      <c r="K253" s="128"/>
      <c r="L253" s="46"/>
      <c r="M253" s="46"/>
      <c r="N253" s="46"/>
      <c r="O253" s="46"/>
      <c r="P253" s="128"/>
      <c r="Q253" s="46"/>
      <c r="R253" s="46"/>
      <c r="S253" s="46"/>
      <c r="T253" s="131"/>
    </row>
    <row r="254" spans="1:20" x14ac:dyDescent="0.3">
      <c r="A254" s="128"/>
      <c r="B254" s="46"/>
      <c r="C254" s="46"/>
      <c r="D254" s="46"/>
      <c r="E254" s="46"/>
      <c r="F254" s="128"/>
      <c r="G254" s="46"/>
      <c r="H254" s="46"/>
      <c r="I254" s="46"/>
      <c r="J254" s="46"/>
      <c r="K254" s="128"/>
      <c r="L254" s="46"/>
      <c r="M254" s="46"/>
      <c r="N254" s="46"/>
      <c r="O254" s="46"/>
      <c r="P254" s="128"/>
      <c r="Q254" s="46"/>
      <c r="R254" s="46"/>
      <c r="S254" s="46"/>
      <c r="T254" s="131"/>
    </row>
    <row r="255" spans="1:20" x14ac:dyDescent="0.3">
      <c r="A255" s="128"/>
      <c r="B255" s="46"/>
      <c r="C255" s="46"/>
      <c r="D255" s="46"/>
      <c r="E255" s="46"/>
      <c r="F255" s="128"/>
      <c r="G255" s="46"/>
      <c r="H255" s="46"/>
      <c r="I255" s="46"/>
      <c r="J255" s="46"/>
      <c r="K255" s="128"/>
      <c r="L255" s="46"/>
      <c r="M255" s="46"/>
      <c r="N255" s="46"/>
      <c r="O255" s="46"/>
      <c r="P255" s="128"/>
      <c r="Q255" s="46"/>
      <c r="R255" s="46"/>
      <c r="S255" s="46"/>
      <c r="T255" s="131"/>
    </row>
    <row r="256" spans="1:20" x14ac:dyDescent="0.3">
      <c r="A256" s="128"/>
      <c r="B256" s="46"/>
      <c r="C256" s="46"/>
      <c r="D256" s="46"/>
      <c r="E256" s="46"/>
      <c r="F256" s="128"/>
      <c r="G256" s="46"/>
      <c r="H256" s="46"/>
      <c r="I256" s="46"/>
      <c r="J256" s="46"/>
      <c r="K256" s="128"/>
      <c r="L256" s="46"/>
      <c r="M256" s="46"/>
      <c r="N256" s="46"/>
      <c r="O256" s="46"/>
      <c r="P256" s="128"/>
      <c r="Q256" s="46"/>
      <c r="R256" s="46"/>
      <c r="S256" s="46"/>
      <c r="T256" s="131"/>
    </row>
    <row r="257" spans="1:20" x14ac:dyDescent="0.3">
      <c r="A257" s="128"/>
      <c r="B257" s="46"/>
      <c r="C257" s="46"/>
      <c r="D257" s="46"/>
      <c r="E257" s="46"/>
      <c r="F257" s="128"/>
      <c r="G257" s="46"/>
      <c r="H257" s="46"/>
      <c r="I257" s="46"/>
      <c r="J257" s="46"/>
      <c r="K257" s="128"/>
      <c r="L257" s="46"/>
      <c r="M257" s="46"/>
      <c r="N257" s="46"/>
      <c r="O257" s="46"/>
      <c r="P257" s="128"/>
      <c r="Q257" s="46"/>
      <c r="R257" s="46"/>
      <c r="S257" s="46"/>
      <c r="T257" s="131"/>
    </row>
    <row r="258" spans="1:20" x14ac:dyDescent="0.3">
      <c r="A258" s="128"/>
      <c r="B258" s="46"/>
      <c r="C258" s="46"/>
      <c r="D258" s="46"/>
      <c r="E258" s="46"/>
      <c r="F258" s="128"/>
      <c r="G258" s="46"/>
      <c r="H258" s="46"/>
      <c r="I258" s="46"/>
      <c r="J258" s="46"/>
      <c r="K258" s="128"/>
      <c r="L258" s="46"/>
      <c r="M258" s="46"/>
      <c r="N258" s="46"/>
      <c r="O258" s="46"/>
      <c r="P258" s="128"/>
      <c r="Q258" s="46"/>
      <c r="R258" s="46"/>
      <c r="S258" s="46"/>
      <c r="T258" s="131"/>
    </row>
    <row r="259" spans="1:20" x14ac:dyDescent="0.3">
      <c r="A259" s="128"/>
      <c r="B259" s="46"/>
      <c r="C259" s="46"/>
      <c r="D259" s="46"/>
      <c r="E259" s="46"/>
      <c r="F259" s="128"/>
      <c r="G259" s="46"/>
      <c r="H259" s="46"/>
      <c r="I259" s="46"/>
      <c r="J259" s="46"/>
      <c r="K259" s="128"/>
      <c r="L259" s="46"/>
      <c r="M259" s="46"/>
      <c r="N259" s="46"/>
      <c r="O259" s="46"/>
      <c r="P259" s="128"/>
      <c r="Q259" s="46"/>
      <c r="R259" s="46"/>
      <c r="S259" s="46"/>
      <c r="T259" s="131"/>
    </row>
    <row r="260" spans="1:20" x14ac:dyDescent="0.3">
      <c r="A260" s="128"/>
      <c r="B260" s="46"/>
      <c r="C260" s="46"/>
      <c r="D260" s="46"/>
      <c r="E260" s="46"/>
      <c r="F260" s="128"/>
      <c r="G260" s="46"/>
      <c r="H260" s="46"/>
      <c r="I260" s="46"/>
      <c r="J260" s="46"/>
      <c r="K260" s="128"/>
      <c r="L260" s="46"/>
      <c r="M260" s="46"/>
      <c r="N260" s="46"/>
      <c r="O260" s="46"/>
      <c r="P260" s="128"/>
      <c r="Q260" s="46"/>
      <c r="R260" s="46"/>
      <c r="S260" s="46"/>
      <c r="T260" s="131"/>
    </row>
    <row r="261" spans="1:20" x14ac:dyDescent="0.3">
      <c r="A261" s="128"/>
      <c r="B261" s="46"/>
      <c r="C261" s="46"/>
      <c r="D261" s="46"/>
      <c r="E261" s="46"/>
      <c r="F261" s="128"/>
      <c r="G261" s="46"/>
      <c r="H261" s="46"/>
      <c r="I261" s="46"/>
      <c r="J261" s="46"/>
      <c r="K261" s="128"/>
      <c r="L261" s="46"/>
      <c r="M261" s="46"/>
      <c r="N261" s="46"/>
      <c r="O261" s="46"/>
      <c r="P261" s="128"/>
      <c r="Q261" s="46"/>
      <c r="R261" s="46"/>
      <c r="S261" s="46"/>
      <c r="T261" s="131"/>
    </row>
    <row r="262" spans="1:20" x14ac:dyDescent="0.3">
      <c r="A262" s="128"/>
      <c r="B262" s="46"/>
      <c r="C262" s="46"/>
      <c r="D262" s="46"/>
      <c r="E262" s="46"/>
      <c r="F262" s="128"/>
      <c r="G262" s="46"/>
      <c r="H262" s="46"/>
      <c r="I262" s="46"/>
      <c r="J262" s="46"/>
      <c r="K262" s="128"/>
      <c r="L262" s="46"/>
      <c r="M262" s="46"/>
      <c r="N262" s="46"/>
      <c r="O262" s="46"/>
      <c r="P262" s="128"/>
      <c r="Q262" s="46"/>
      <c r="R262" s="46"/>
      <c r="S262" s="46"/>
      <c r="T262" s="131"/>
    </row>
    <row r="263" spans="1:20" x14ac:dyDescent="0.3">
      <c r="A263" s="128"/>
      <c r="B263" s="46"/>
      <c r="C263" s="46"/>
      <c r="D263" s="46"/>
      <c r="E263" s="46"/>
      <c r="F263" s="128"/>
      <c r="G263" s="46"/>
      <c r="H263" s="46"/>
      <c r="I263" s="46"/>
      <c r="J263" s="46"/>
      <c r="K263" s="128"/>
      <c r="L263" s="46"/>
      <c r="M263" s="46"/>
      <c r="N263" s="46"/>
      <c r="O263" s="46"/>
      <c r="P263" s="128"/>
      <c r="Q263" s="46"/>
      <c r="R263" s="46"/>
      <c r="S263" s="46"/>
      <c r="T263" s="131"/>
    </row>
    <row r="264" spans="1:20" x14ac:dyDescent="0.3">
      <c r="A264" s="128"/>
      <c r="B264" s="46"/>
      <c r="C264" s="46"/>
      <c r="D264" s="46"/>
      <c r="E264" s="46"/>
      <c r="F264" s="128"/>
      <c r="G264" s="46"/>
      <c r="H264" s="46"/>
      <c r="I264" s="46"/>
      <c r="J264" s="46"/>
      <c r="K264" s="128"/>
      <c r="L264" s="46"/>
      <c r="M264" s="46"/>
      <c r="N264" s="46"/>
      <c r="O264" s="46"/>
      <c r="P264" s="128"/>
      <c r="Q264" s="46"/>
      <c r="R264" s="46"/>
      <c r="S264" s="46"/>
      <c r="T264" s="131"/>
    </row>
    <row r="265" spans="1:20" x14ac:dyDescent="0.3">
      <c r="A265" s="128"/>
      <c r="B265" s="46"/>
      <c r="C265" s="46"/>
      <c r="D265" s="46"/>
      <c r="E265" s="46"/>
      <c r="F265" s="128"/>
      <c r="G265" s="46"/>
      <c r="H265" s="46"/>
      <c r="I265" s="46"/>
      <c r="J265" s="46"/>
      <c r="K265" s="128"/>
      <c r="L265" s="46"/>
      <c r="M265" s="46"/>
      <c r="N265" s="46"/>
      <c r="O265" s="46"/>
      <c r="P265" s="128"/>
      <c r="Q265" s="46"/>
      <c r="R265" s="46"/>
      <c r="S265" s="46"/>
      <c r="T265" s="131"/>
    </row>
    <row r="266" spans="1:20" x14ac:dyDescent="0.3">
      <c r="A266" s="128"/>
      <c r="B266" s="46"/>
      <c r="C266" s="46"/>
      <c r="D266" s="46"/>
      <c r="E266" s="46"/>
      <c r="F266" s="128"/>
      <c r="G266" s="46"/>
      <c r="H266" s="46"/>
      <c r="I266" s="46"/>
      <c r="J266" s="46"/>
      <c r="K266" s="128"/>
      <c r="L266" s="46"/>
      <c r="M266" s="46"/>
      <c r="N266" s="46"/>
      <c r="O266" s="46"/>
      <c r="P266" s="128"/>
      <c r="Q266" s="46"/>
      <c r="R266" s="46"/>
      <c r="S266" s="46"/>
      <c r="T266" s="131"/>
    </row>
    <row r="267" spans="1:20" x14ac:dyDescent="0.3">
      <c r="A267" s="128"/>
      <c r="B267" s="46"/>
      <c r="C267" s="46"/>
      <c r="D267" s="46"/>
      <c r="E267" s="46"/>
      <c r="F267" s="128"/>
      <c r="G267" s="46"/>
      <c r="H267" s="46"/>
      <c r="I267" s="46"/>
      <c r="J267" s="46"/>
      <c r="K267" s="128"/>
      <c r="L267" s="46"/>
      <c r="M267" s="46"/>
      <c r="N267" s="46"/>
      <c r="O267" s="46"/>
      <c r="P267" s="128"/>
      <c r="Q267" s="46"/>
      <c r="R267" s="46"/>
      <c r="S267" s="46"/>
      <c r="T267" s="131"/>
    </row>
    <row r="268" spans="1:20" x14ac:dyDescent="0.3">
      <c r="A268" s="128"/>
      <c r="B268" s="46"/>
      <c r="C268" s="46"/>
      <c r="D268" s="46"/>
      <c r="E268" s="46"/>
      <c r="F268" s="128"/>
      <c r="G268" s="46"/>
      <c r="H268" s="46"/>
      <c r="I268" s="46"/>
      <c r="J268" s="46"/>
      <c r="K268" s="128"/>
      <c r="L268" s="46"/>
      <c r="M268" s="46"/>
      <c r="N268" s="46"/>
      <c r="O268" s="46"/>
      <c r="P268" s="128"/>
      <c r="Q268" s="46"/>
      <c r="R268" s="46"/>
      <c r="S268" s="46"/>
      <c r="T268" s="131"/>
    </row>
    <row r="269" spans="1:20" x14ac:dyDescent="0.3">
      <c r="A269" s="128"/>
      <c r="B269" s="46"/>
      <c r="C269" s="46"/>
      <c r="D269" s="46"/>
      <c r="E269" s="46"/>
      <c r="F269" s="128"/>
      <c r="G269" s="46"/>
      <c r="H269" s="46"/>
      <c r="I269" s="46"/>
      <c r="J269" s="46"/>
      <c r="K269" s="128"/>
      <c r="L269" s="46"/>
      <c r="M269" s="46"/>
      <c r="N269" s="46"/>
      <c r="O269" s="46"/>
      <c r="P269" s="128"/>
      <c r="Q269" s="46"/>
      <c r="R269" s="46"/>
      <c r="S269" s="46"/>
      <c r="T269" s="131"/>
    </row>
    <row r="270" spans="1:20" x14ac:dyDescent="0.3">
      <c r="A270" s="128"/>
      <c r="B270" s="46"/>
      <c r="C270" s="46"/>
      <c r="D270" s="46"/>
      <c r="E270" s="46"/>
      <c r="F270" s="128"/>
      <c r="G270" s="46"/>
      <c r="H270" s="46"/>
      <c r="I270" s="46"/>
      <c r="J270" s="46"/>
      <c r="K270" s="128"/>
      <c r="L270" s="46"/>
      <c r="M270" s="46"/>
      <c r="N270" s="46"/>
      <c r="O270" s="46"/>
      <c r="P270" s="128"/>
      <c r="Q270" s="46"/>
      <c r="R270" s="46"/>
      <c r="S270" s="46"/>
      <c r="T270" s="131"/>
    </row>
    <row r="271" spans="1:20" x14ac:dyDescent="0.3">
      <c r="A271" s="128"/>
      <c r="B271" s="46"/>
      <c r="C271" s="46"/>
      <c r="D271" s="46"/>
      <c r="E271" s="46"/>
      <c r="F271" s="128"/>
      <c r="G271" s="46"/>
      <c r="H271" s="46"/>
      <c r="I271" s="46"/>
      <c r="J271" s="46"/>
      <c r="K271" s="128"/>
      <c r="L271" s="46"/>
      <c r="M271" s="46"/>
      <c r="N271" s="46"/>
      <c r="O271" s="46"/>
      <c r="P271" s="128"/>
      <c r="Q271" s="46"/>
      <c r="R271" s="46"/>
      <c r="S271" s="46"/>
      <c r="T271" s="131"/>
    </row>
    <row r="272" spans="1:20" x14ac:dyDescent="0.3">
      <c r="A272" s="128"/>
      <c r="B272" s="46"/>
      <c r="C272" s="46"/>
      <c r="D272" s="46"/>
      <c r="E272" s="46"/>
      <c r="F272" s="128"/>
      <c r="G272" s="46"/>
      <c r="H272" s="46"/>
      <c r="I272" s="46"/>
      <c r="J272" s="46"/>
      <c r="K272" s="128"/>
      <c r="L272" s="46"/>
      <c r="M272" s="46"/>
      <c r="N272" s="46"/>
      <c r="O272" s="46"/>
      <c r="P272" s="128"/>
      <c r="Q272" s="46"/>
      <c r="R272" s="46"/>
      <c r="S272" s="46"/>
      <c r="T272" s="131"/>
    </row>
    <row r="273" spans="1:20" x14ac:dyDescent="0.3">
      <c r="A273" s="128"/>
      <c r="B273" s="46"/>
      <c r="C273" s="46"/>
      <c r="D273" s="46"/>
      <c r="E273" s="46"/>
      <c r="F273" s="128"/>
      <c r="G273" s="46"/>
      <c r="H273" s="46"/>
      <c r="I273" s="46"/>
      <c r="J273" s="46"/>
      <c r="K273" s="128"/>
      <c r="L273" s="46"/>
      <c r="M273" s="46"/>
      <c r="N273" s="46"/>
      <c r="O273" s="46"/>
      <c r="P273" s="128"/>
      <c r="Q273" s="46"/>
      <c r="R273" s="46"/>
      <c r="S273" s="46"/>
      <c r="T273" s="131"/>
    </row>
    <row r="274" spans="1:20" x14ac:dyDescent="0.3">
      <c r="A274" s="128"/>
      <c r="B274" s="46"/>
      <c r="C274" s="46"/>
      <c r="D274" s="46"/>
      <c r="E274" s="46"/>
      <c r="F274" s="128"/>
      <c r="G274" s="46"/>
      <c r="H274" s="46"/>
      <c r="I274" s="46"/>
      <c r="J274" s="46"/>
      <c r="K274" s="128"/>
      <c r="L274" s="46"/>
      <c r="M274" s="46"/>
      <c r="N274" s="46"/>
      <c r="O274" s="46"/>
      <c r="P274" s="128"/>
      <c r="Q274" s="46"/>
      <c r="R274" s="46"/>
      <c r="S274" s="46"/>
      <c r="T274" s="131"/>
    </row>
    <row r="275" spans="1:20" x14ac:dyDescent="0.3">
      <c r="A275" s="128"/>
      <c r="B275" s="46"/>
      <c r="C275" s="46"/>
      <c r="D275" s="46"/>
      <c r="E275" s="46"/>
      <c r="F275" s="128"/>
      <c r="G275" s="46"/>
      <c r="H275" s="46"/>
      <c r="I275" s="46"/>
      <c r="J275" s="46"/>
      <c r="K275" s="128"/>
      <c r="L275" s="46"/>
      <c r="M275" s="46"/>
      <c r="N275" s="46"/>
      <c r="O275" s="46"/>
      <c r="P275" s="128"/>
      <c r="Q275" s="46"/>
      <c r="R275" s="46"/>
      <c r="S275" s="46"/>
      <c r="T275" s="131"/>
    </row>
    <row r="276" spans="1:20" x14ac:dyDescent="0.3">
      <c r="A276" s="128"/>
      <c r="B276" s="46"/>
      <c r="C276" s="46"/>
      <c r="D276" s="46"/>
      <c r="E276" s="46"/>
      <c r="F276" s="128"/>
      <c r="G276" s="46"/>
      <c r="H276" s="46"/>
      <c r="I276" s="46"/>
      <c r="J276" s="46"/>
      <c r="K276" s="128"/>
      <c r="L276" s="46"/>
      <c r="M276" s="46"/>
      <c r="N276" s="46"/>
      <c r="O276" s="46"/>
      <c r="P276" s="128"/>
      <c r="Q276" s="46"/>
      <c r="R276" s="46"/>
      <c r="S276" s="46"/>
      <c r="T276" s="131"/>
    </row>
    <row r="277" spans="1:20" x14ac:dyDescent="0.3">
      <c r="A277" s="128"/>
      <c r="B277" s="46"/>
      <c r="C277" s="46"/>
      <c r="D277" s="46"/>
      <c r="E277" s="46"/>
      <c r="F277" s="128"/>
      <c r="G277" s="46"/>
      <c r="H277" s="46"/>
      <c r="I277" s="46"/>
      <c r="J277" s="46"/>
      <c r="K277" s="128"/>
      <c r="L277" s="46"/>
      <c r="M277" s="46"/>
      <c r="N277" s="46"/>
      <c r="O277" s="46"/>
      <c r="P277" s="128"/>
      <c r="Q277" s="46"/>
      <c r="R277" s="46"/>
      <c r="S277" s="46"/>
      <c r="T277" s="131"/>
    </row>
    <row r="278" spans="1:20" x14ac:dyDescent="0.3">
      <c r="A278" s="128"/>
      <c r="B278" s="46"/>
      <c r="C278" s="46"/>
      <c r="D278" s="46"/>
      <c r="E278" s="46"/>
      <c r="F278" s="128"/>
      <c r="G278" s="46"/>
      <c r="H278" s="46"/>
      <c r="I278" s="46"/>
      <c r="J278" s="46"/>
      <c r="K278" s="128"/>
      <c r="L278" s="46"/>
      <c r="M278" s="46"/>
      <c r="N278" s="46"/>
      <c r="O278" s="46"/>
      <c r="P278" s="128"/>
      <c r="Q278" s="46"/>
      <c r="R278" s="46"/>
      <c r="S278" s="46"/>
      <c r="T278" s="131"/>
    </row>
    <row r="279" spans="1:20" x14ac:dyDescent="0.3">
      <c r="A279" s="128"/>
      <c r="B279" s="46"/>
      <c r="C279" s="46"/>
      <c r="D279" s="46"/>
      <c r="E279" s="46"/>
      <c r="F279" s="128"/>
      <c r="G279" s="46"/>
      <c r="H279" s="46"/>
      <c r="I279" s="46"/>
      <c r="J279" s="46"/>
      <c r="K279" s="128"/>
      <c r="L279" s="46"/>
      <c r="M279" s="46"/>
      <c r="N279" s="46"/>
      <c r="O279" s="46"/>
      <c r="P279" s="128"/>
      <c r="Q279" s="46"/>
      <c r="R279" s="46"/>
      <c r="S279" s="46"/>
      <c r="T279" s="131"/>
    </row>
    <row r="280" spans="1:20" x14ac:dyDescent="0.3">
      <c r="A280" s="128"/>
      <c r="B280" s="46"/>
      <c r="C280" s="46"/>
      <c r="D280" s="46"/>
      <c r="E280" s="46"/>
      <c r="F280" s="128"/>
      <c r="G280" s="46"/>
      <c r="H280" s="46"/>
      <c r="I280" s="46"/>
      <c r="J280" s="46"/>
      <c r="K280" s="128"/>
      <c r="L280" s="46"/>
      <c r="M280" s="46"/>
      <c r="N280" s="46"/>
      <c r="O280" s="46"/>
      <c r="P280" s="128"/>
      <c r="Q280" s="46"/>
      <c r="R280" s="46"/>
      <c r="S280" s="46"/>
      <c r="T280" s="131"/>
    </row>
    <row r="281" spans="1:20" x14ac:dyDescent="0.3">
      <c r="A281" s="128"/>
      <c r="B281" s="46"/>
      <c r="C281" s="46"/>
      <c r="D281" s="46"/>
      <c r="E281" s="46"/>
      <c r="F281" s="128"/>
      <c r="G281" s="46"/>
      <c r="H281" s="46"/>
      <c r="I281" s="46"/>
      <c r="J281" s="46"/>
      <c r="K281" s="128"/>
      <c r="L281" s="46"/>
      <c r="M281" s="46"/>
      <c r="N281" s="46"/>
      <c r="O281" s="46"/>
      <c r="P281" s="128"/>
      <c r="Q281" s="46"/>
      <c r="R281" s="46"/>
      <c r="S281" s="46"/>
      <c r="T281" s="131"/>
    </row>
    <row r="282" spans="1:20" x14ac:dyDescent="0.3">
      <c r="A282" s="128"/>
      <c r="B282" s="46"/>
      <c r="C282" s="46"/>
      <c r="D282" s="46"/>
      <c r="E282" s="46"/>
      <c r="F282" s="128"/>
      <c r="G282" s="46"/>
      <c r="H282" s="46"/>
      <c r="I282" s="46"/>
      <c r="J282" s="46"/>
      <c r="K282" s="128"/>
      <c r="L282" s="46"/>
      <c r="M282" s="46"/>
      <c r="N282" s="46"/>
      <c r="O282" s="46"/>
      <c r="P282" s="128"/>
      <c r="Q282" s="46"/>
      <c r="R282" s="46"/>
      <c r="S282" s="46"/>
      <c r="T282" s="131"/>
    </row>
    <row r="283" spans="1:20" x14ac:dyDescent="0.3">
      <c r="A283" s="128"/>
      <c r="B283" s="46"/>
      <c r="C283" s="46"/>
      <c r="D283" s="46"/>
      <c r="E283" s="46"/>
      <c r="F283" s="128"/>
      <c r="G283" s="46"/>
      <c r="H283" s="46"/>
      <c r="I283" s="46"/>
      <c r="J283" s="46"/>
      <c r="K283" s="128"/>
      <c r="L283" s="46"/>
      <c r="M283" s="46"/>
      <c r="N283" s="46"/>
      <c r="O283" s="46"/>
      <c r="P283" s="128"/>
      <c r="Q283" s="46"/>
      <c r="R283" s="46"/>
      <c r="S283" s="46"/>
      <c r="T283" s="131"/>
    </row>
    <row r="284" spans="1:20" x14ac:dyDescent="0.3">
      <c r="A284" s="128"/>
      <c r="B284" s="46"/>
      <c r="C284" s="46"/>
      <c r="D284" s="46"/>
      <c r="E284" s="46"/>
      <c r="F284" s="128"/>
      <c r="G284" s="46"/>
      <c r="H284" s="46"/>
      <c r="I284" s="46"/>
      <c r="J284" s="46"/>
      <c r="K284" s="128"/>
      <c r="L284" s="46"/>
      <c r="M284" s="46"/>
      <c r="N284" s="46"/>
      <c r="O284" s="46"/>
      <c r="P284" s="128"/>
      <c r="Q284" s="46"/>
      <c r="R284" s="46"/>
      <c r="S284" s="46"/>
      <c r="T284" s="131"/>
    </row>
    <row r="285" spans="1:20" x14ac:dyDescent="0.3">
      <c r="A285" s="128"/>
      <c r="B285" s="46"/>
      <c r="C285" s="46"/>
      <c r="D285" s="46"/>
      <c r="E285" s="46"/>
      <c r="F285" s="128"/>
      <c r="G285" s="46"/>
      <c r="H285" s="46"/>
      <c r="I285" s="46"/>
      <c r="J285" s="46"/>
      <c r="K285" s="128"/>
      <c r="L285" s="46"/>
      <c r="M285" s="46"/>
      <c r="N285" s="46"/>
      <c r="O285" s="46"/>
      <c r="P285" s="128"/>
      <c r="Q285" s="46"/>
      <c r="R285" s="46"/>
      <c r="S285" s="46"/>
      <c r="T285" s="131"/>
    </row>
    <row r="286" spans="1:20" x14ac:dyDescent="0.3">
      <c r="A286" s="128"/>
      <c r="B286" s="46"/>
      <c r="C286" s="46"/>
      <c r="D286" s="46"/>
      <c r="E286" s="46"/>
      <c r="F286" s="128"/>
      <c r="G286" s="46"/>
      <c r="H286" s="46"/>
      <c r="I286" s="46"/>
      <c r="J286" s="46"/>
      <c r="K286" s="128"/>
      <c r="L286" s="46"/>
      <c r="M286" s="46"/>
      <c r="N286" s="46"/>
      <c r="O286" s="46"/>
      <c r="P286" s="128"/>
      <c r="Q286" s="46"/>
      <c r="R286" s="46"/>
      <c r="S286" s="46"/>
      <c r="T286" s="131"/>
    </row>
    <row r="287" spans="1:20" x14ac:dyDescent="0.3">
      <c r="A287" s="128"/>
      <c r="B287" s="46"/>
      <c r="C287" s="46"/>
      <c r="D287" s="46"/>
      <c r="E287" s="46"/>
      <c r="F287" s="128"/>
      <c r="G287" s="46"/>
      <c r="H287" s="46"/>
      <c r="I287" s="46"/>
      <c r="J287" s="46"/>
      <c r="K287" s="128"/>
      <c r="L287" s="46"/>
      <c r="M287" s="46"/>
      <c r="N287" s="46"/>
      <c r="O287" s="46"/>
      <c r="P287" s="128"/>
      <c r="Q287" s="46"/>
      <c r="R287" s="46"/>
      <c r="S287" s="46"/>
      <c r="T287" s="131"/>
    </row>
    <row r="288" spans="1:20" x14ac:dyDescent="0.3">
      <c r="A288" s="128"/>
      <c r="B288" s="46"/>
      <c r="C288" s="46"/>
      <c r="D288" s="46"/>
      <c r="E288" s="46"/>
      <c r="F288" s="128"/>
      <c r="G288" s="46"/>
      <c r="H288" s="46"/>
      <c r="I288" s="46"/>
      <c r="J288" s="46"/>
      <c r="K288" s="128"/>
      <c r="L288" s="46"/>
      <c r="M288" s="46"/>
      <c r="N288" s="46"/>
      <c r="O288" s="46"/>
      <c r="P288" s="128"/>
      <c r="Q288" s="46"/>
      <c r="R288" s="46"/>
      <c r="S288" s="46"/>
      <c r="T288" s="131"/>
    </row>
    <row r="289" spans="1:20" x14ac:dyDescent="0.3">
      <c r="A289" s="128"/>
      <c r="B289" s="46"/>
      <c r="C289" s="46"/>
      <c r="D289" s="46"/>
      <c r="E289" s="46"/>
      <c r="F289" s="128"/>
      <c r="G289" s="46"/>
      <c r="H289" s="46"/>
      <c r="I289" s="46"/>
      <c r="J289" s="46"/>
      <c r="K289" s="128"/>
      <c r="L289" s="46"/>
      <c r="M289" s="46"/>
      <c r="N289" s="46"/>
      <c r="O289" s="46"/>
      <c r="P289" s="128"/>
      <c r="Q289" s="46"/>
      <c r="R289" s="46"/>
      <c r="S289" s="46"/>
      <c r="T289" s="131"/>
    </row>
    <row r="290" spans="1:20" x14ac:dyDescent="0.3">
      <c r="A290" s="128"/>
      <c r="B290" s="46"/>
      <c r="C290" s="46"/>
      <c r="D290" s="46"/>
      <c r="E290" s="46"/>
      <c r="F290" s="128"/>
      <c r="G290" s="46"/>
      <c r="H290" s="46"/>
      <c r="I290" s="46"/>
      <c r="J290" s="46"/>
      <c r="K290" s="128"/>
      <c r="L290" s="46"/>
      <c r="M290" s="46"/>
      <c r="N290" s="46"/>
      <c r="O290" s="46"/>
      <c r="P290" s="128"/>
      <c r="Q290" s="46"/>
      <c r="R290" s="46"/>
      <c r="S290" s="46"/>
      <c r="T290" s="131"/>
    </row>
    <row r="291" spans="1:20" x14ac:dyDescent="0.3">
      <c r="A291" s="128"/>
      <c r="B291" s="46"/>
      <c r="C291" s="46"/>
      <c r="D291" s="46"/>
      <c r="E291" s="46"/>
      <c r="F291" s="128"/>
      <c r="G291" s="46"/>
      <c r="H291" s="46"/>
      <c r="I291" s="46"/>
      <c r="J291" s="46"/>
      <c r="K291" s="128"/>
      <c r="L291" s="46"/>
      <c r="M291" s="46"/>
      <c r="N291" s="46"/>
      <c r="O291" s="46"/>
      <c r="P291" s="128"/>
      <c r="Q291" s="46"/>
      <c r="R291" s="46"/>
      <c r="S291" s="46"/>
      <c r="T291" s="131"/>
    </row>
    <row r="292" spans="1:20" x14ac:dyDescent="0.3">
      <c r="A292" s="128"/>
      <c r="B292" s="46"/>
      <c r="C292" s="46"/>
      <c r="D292" s="46"/>
      <c r="E292" s="46"/>
      <c r="F292" s="128"/>
      <c r="G292" s="46"/>
      <c r="H292" s="46"/>
      <c r="I292" s="46"/>
      <c r="J292" s="46"/>
      <c r="K292" s="128"/>
      <c r="L292" s="46"/>
      <c r="M292" s="46"/>
      <c r="N292" s="46"/>
      <c r="O292" s="46"/>
      <c r="P292" s="128"/>
      <c r="Q292" s="46"/>
      <c r="R292" s="46"/>
      <c r="S292" s="46"/>
      <c r="T292" s="131"/>
    </row>
    <row r="293" spans="1:20" x14ac:dyDescent="0.3">
      <c r="A293" s="128"/>
      <c r="B293" s="46"/>
      <c r="C293" s="46"/>
      <c r="D293" s="46"/>
      <c r="E293" s="46"/>
      <c r="F293" s="128"/>
      <c r="G293" s="46"/>
      <c r="H293" s="46"/>
      <c r="I293" s="46"/>
      <c r="J293" s="46"/>
      <c r="K293" s="128"/>
      <c r="L293" s="46"/>
      <c r="M293" s="46"/>
      <c r="N293" s="46"/>
      <c r="O293" s="46"/>
      <c r="P293" s="128"/>
      <c r="Q293" s="46"/>
      <c r="R293" s="46"/>
      <c r="S293" s="46"/>
      <c r="T293" s="131"/>
    </row>
    <row r="294" spans="1:20" x14ac:dyDescent="0.3">
      <c r="A294" s="128"/>
      <c r="B294" s="46"/>
      <c r="C294" s="46"/>
      <c r="D294" s="46"/>
      <c r="E294" s="46"/>
      <c r="F294" s="128"/>
      <c r="G294" s="46"/>
      <c r="H294" s="46"/>
      <c r="I294" s="46"/>
      <c r="J294" s="46"/>
      <c r="K294" s="128"/>
      <c r="L294" s="46"/>
      <c r="M294" s="46"/>
      <c r="N294" s="46"/>
      <c r="O294" s="46"/>
      <c r="P294" s="128"/>
      <c r="Q294" s="46"/>
      <c r="R294" s="46"/>
      <c r="S294" s="46"/>
      <c r="T294" s="131"/>
    </row>
    <row r="295" spans="1:20" x14ac:dyDescent="0.3">
      <c r="A295" s="128"/>
      <c r="B295" s="46"/>
      <c r="C295" s="46"/>
      <c r="D295" s="46"/>
      <c r="E295" s="46"/>
      <c r="F295" s="128"/>
      <c r="G295" s="46"/>
      <c r="H295" s="46"/>
      <c r="I295" s="46"/>
      <c r="J295" s="46"/>
      <c r="K295" s="128"/>
      <c r="L295" s="46"/>
      <c r="M295" s="46"/>
      <c r="N295" s="46"/>
      <c r="O295" s="46"/>
      <c r="P295" s="128"/>
      <c r="Q295" s="46"/>
      <c r="R295" s="46"/>
      <c r="S295" s="46"/>
      <c r="T295" s="131"/>
    </row>
    <row r="296" spans="1:20" x14ac:dyDescent="0.3">
      <c r="A296" s="128"/>
      <c r="B296" s="46"/>
      <c r="C296" s="46"/>
      <c r="D296" s="46"/>
      <c r="E296" s="46"/>
      <c r="F296" s="128"/>
      <c r="G296" s="46"/>
      <c r="H296" s="46"/>
      <c r="I296" s="46"/>
      <c r="J296" s="46"/>
      <c r="K296" s="128"/>
      <c r="L296" s="46"/>
      <c r="M296" s="46"/>
      <c r="N296" s="46"/>
      <c r="O296" s="46"/>
      <c r="P296" s="128"/>
      <c r="Q296" s="46"/>
      <c r="R296" s="46"/>
      <c r="S296" s="46"/>
      <c r="T296" s="131"/>
    </row>
    <row r="297" spans="1:20" x14ac:dyDescent="0.3">
      <c r="A297" s="128"/>
      <c r="B297" s="46"/>
      <c r="C297" s="46"/>
      <c r="D297" s="46"/>
      <c r="E297" s="46"/>
      <c r="F297" s="128"/>
      <c r="G297" s="46"/>
      <c r="H297" s="46"/>
      <c r="I297" s="46"/>
      <c r="J297" s="46"/>
      <c r="K297" s="128"/>
      <c r="L297" s="46"/>
      <c r="M297" s="46"/>
      <c r="N297" s="46"/>
      <c r="O297" s="46"/>
      <c r="P297" s="128"/>
      <c r="Q297" s="46"/>
      <c r="R297" s="46"/>
      <c r="S297" s="46"/>
      <c r="T297" s="131"/>
    </row>
    <row r="298" spans="1:20" x14ac:dyDescent="0.3">
      <c r="A298" s="128"/>
      <c r="B298" s="46"/>
      <c r="C298" s="46"/>
      <c r="D298" s="46"/>
      <c r="E298" s="46"/>
      <c r="F298" s="128"/>
      <c r="G298" s="46"/>
      <c r="H298" s="46"/>
      <c r="I298" s="46"/>
      <c r="J298" s="46"/>
      <c r="K298" s="128"/>
      <c r="L298" s="46"/>
      <c r="M298" s="46"/>
      <c r="N298" s="46"/>
      <c r="O298" s="46"/>
      <c r="P298" s="128"/>
      <c r="Q298" s="46"/>
      <c r="R298" s="46"/>
      <c r="S298" s="46"/>
      <c r="T298" s="131"/>
    </row>
    <row r="299" spans="1:20" x14ac:dyDescent="0.3">
      <c r="A299" s="128"/>
      <c r="B299" s="46"/>
      <c r="C299" s="46"/>
      <c r="D299" s="46"/>
      <c r="E299" s="46"/>
      <c r="F299" s="128"/>
      <c r="G299" s="46"/>
      <c r="H299" s="46"/>
      <c r="I299" s="46"/>
      <c r="J299" s="46"/>
      <c r="K299" s="128"/>
      <c r="L299" s="46"/>
      <c r="M299" s="46"/>
      <c r="N299" s="46"/>
      <c r="O299" s="46"/>
      <c r="P299" s="128"/>
      <c r="Q299" s="46"/>
      <c r="R299" s="46"/>
      <c r="S299" s="46"/>
      <c r="T299" s="131"/>
    </row>
    <row r="300" spans="1:20" x14ac:dyDescent="0.3">
      <c r="A300" s="128"/>
      <c r="B300" s="46"/>
      <c r="C300" s="46"/>
      <c r="D300" s="46"/>
      <c r="E300" s="46"/>
      <c r="F300" s="128"/>
      <c r="G300" s="46"/>
      <c r="H300" s="46"/>
      <c r="I300" s="46"/>
      <c r="J300" s="46"/>
      <c r="K300" s="128"/>
      <c r="L300" s="46"/>
      <c r="M300" s="46"/>
      <c r="N300" s="46"/>
      <c r="O300" s="46"/>
      <c r="P300" s="128"/>
      <c r="Q300" s="46"/>
      <c r="R300" s="46"/>
      <c r="S300" s="46"/>
      <c r="T300" s="131"/>
    </row>
    <row r="301" spans="1:20" x14ac:dyDescent="0.3">
      <c r="A301" s="128"/>
      <c r="B301" s="46"/>
      <c r="C301" s="46"/>
      <c r="D301" s="46"/>
      <c r="E301" s="46"/>
      <c r="F301" s="128"/>
      <c r="G301" s="46"/>
      <c r="H301" s="46"/>
      <c r="I301" s="46"/>
      <c r="J301" s="46"/>
      <c r="K301" s="128"/>
      <c r="L301" s="46"/>
      <c r="M301" s="46"/>
      <c r="N301" s="46"/>
      <c r="O301" s="46"/>
      <c r="P301" s="128"/>
      <c r="Q301" s="46"/>
      <c r="R301" s="46"/>
      <c r="S301" s="46"/>
      <c r="T301" s="131"/>
    </row>
    <row r="302" spans="1:20" x14ac:dyDescent="0.3">
      <c r="A302" s="128"/>
      <c r="B302" s="46"/>
      <c r="C302" s="46"/>
      <c r="D302" s="46"/>
      <c r="E302" s="46"/>
      <c r="F302" s="128"/>
      <c r="G302" s="46"/>
      <c r="H302" s="46"/>
      <c r="I302" s="46"/>
      <c r="J302" s="46"/>
      <c r="K302" s="128"/>
      <c r="L302" s="46"/>
      <c r="M302" s="46"/>
      <c r="N302" s="46"/>
      <c r="O302" s="46"/>
      <c r="P302" s="128"/>
      <c r="Q302" s="46"/>
      <c r="R302" s="46"/>
      <c r="S302" s="46"/>
      <c r="T302" s="131"/>
    </row>
    <row r="303" spans="1:20" x14ac:dyDescent="0.3">
      <c r="A303" s="128"/>
      <c r="B303" s="46"/>
      <c r="C303" s="46"/>
      <c r="D303" s="46"/>
      <c r="E303" s="46"/>
      <c r="F303" s="128"/>
      <c r="G303" s="46"/>
      <c r="H303" s="46"/>
      <c r="I303" s="46"/>
      <c r="J303" s="46"/>
      <c r="K303" s="128"/>
      <c r="L303" s="46"/>
      <c r="M303" s="46"/>
      <c r="N303" s="46"/>
      <c r="O303" s="46"/>
      <c r="P303" s="128"/>
      <c r="Q303" s="46"/>
      <c r="R303" s="46"/>
      <c r="S303" s="46"/>
      <c r="T303" s="131"/>
    </row>
    <row r="304" spans="1:20" x14ac:dyDescent="0.3">
      <c r="A304" s="128"/>
      <c r="B304" s="46"/>
      <c r="C304" s="46"/>
      <c r="D304" s="46"/>
      <c r="E304" s="46"/>
      <c r="F304" s="128"/>
      <c r="G304" s="46"/>
      <c r="H304" s="46"/>
      <c r="I304" s="46"/>
      <c r="J304" s="46"/>
      <c r="K304" s="128"/>
      <c r="L304" s="46"/>
      <c r="M304" s="46"/>
      <c r="N304" s="46"/>
      <c r="O304" s="46"/>
      <c r="P304" s="128"/>
      <c r="Q304" s="46"/>
      <c r="R304" s="46"/>
      <c r="S304" s="46"/>
      <c r="T304" s="131"/>
    </row>
    <row r="305" spans="1:20" x14ac:dyDescent="0.3">
      <c r="A305" s="128"/>
      <c r="B305" s="46"/>
      <c r="C305" s="46"/>
      <c r="D305" s="46"/>
      <c r="E305" s="46"/>
      <c r="F305" s="128"/>
      <c r="G305" s="46"/>
      <c r="H305" s="46"/>
      <c r="I305" s="46"/>
      <c r="J305" s="46"/>
      <c r="K305" s="128"/>
      <c r="L305" s="46"/>
      <c r="M305" s="46"/>
      <c r="N305" s="46"/>
      <c r="O305" s="46"/>
      <c r="P305" s="128"/>
      <c r="Q305" s="46"/>
      <c r="R305" s="46"/>
      <c r="S305" s="46"/>
      <c r="T305" s="131"/>
    </row>
    <row r="306" spans="1:20" x14ac:dyDescent="0.3">
      <c r="A306" s="128"/>
      <c r="B306" s="46"/>
      <c r="C306" s="46"/>
      <c r="D306" s="46"/>
      <c r="E306" s="46"/>
      <c r="F306" s="128"/>
      <c r="G306" s="46"/>
      <c r="H306" s="46"/>
      <c r="I306" s="46"/>
      <c r="J306" s="46"/>
      <c r="K306" s="128"/>
      <c r="L306" s="46"/>
      <c r="M306" s="46"/>
      <c r="N306" s="46"/>
      <c r="O306" s="46"/>
      <c r="P306" s="128"/>
      <c r="Q306" s="46"/>
      <c r="R306" s="46"/>
      <c r="S306" s="46"/>
      <c r="T306" s="131"/>
    </row>
    <row r="307" spans="1:20" x14ac:dyDescent="0.3">
      <c r="A307" s="128"/>
      <c r="B307" s="46"/>
      <c r="C307" s="46"/>
      <c r="D307" s="46"/>
      <c r="E307" s="46"/>
      <c r="F307" s="128"/>
      <c r="G307" s="46"/>
      <c r="H307" s="46"/>
      <c r="I307" s="46"/>
      <c r="J307" s="46"/>
      <c r="K307" s="128"/>
      <c r="L307" s="46"/>
      <c r="M307" s="46"/>
      <c r="N307" s="46"/>
      <c r="O307" s="46"/>
      <c r="P307" s="128"/>
      <c r="Q307" s="46"/>
      <c r="R307" s="46"/>
      <c r="S307" s="46"/>
      <c r="T307" s="131"/>
    </row>
    <row r="308" spans="1:20" x14ac:dyDescent="0.3">
      <c r="A308" s="128"/>
      <c r="B308" s="46"/>
      <c r="C308" s="46"/>
      <c r="D308" s="46"/>
      <c r="E308" s="46"/>
      <c r="F308" s="128"/>
      <c r="G308" s="46"/>
      <c r="H308" s="46"/>
      <c r="I308" s="46"/>
      <c r="J308" s="46"/>
      <c r="K308" s="128"/>
      <c r="L308" s="46"/>
      <c r="M308" s="46"/>
      <c r="N308" s="46"/>
      <c r="O308" s="46"/>
      <c r="P308" s="128"/>
      <c r="Q308" s="46"/>
      <c r="R308" s="46"/>
      <c r="S308" s="46"/>
      <c r="T308" s="131"/>
    </row>
    <row r="309" spans="1:20" x14ac:dyDescent="0.3">
      <c r="A309" s="128"/>
      <c r="B309" s="46"/>
      <c r="C309" s="46"/>
      <c r="D309" s="46"/>
      <c r="E309" s="46"/>
      <c r="F309" s="128"/>
      <c r="G309" s="46"/>
      <c r="H309" s="46"/>
      <c r="I309" s="46"/>
      <c r="J309" s="46"/>
      <c r="K309" s="128"/>
      <c r="L309" s="46"/>
      <c r="M309" s="46"/>
      <c r="N309" s="46"/>
      <c r="O309" s="46"/>
      <c r="P309" s="128"/>
      <c r="Q309" s="46"/>
      <c r="R309" s="46"/>
      <c r="S309" s="46"/>
      <c r="T309" s="131"/>
    </row>
    <row r="310" spans="1:20" x14ac:dyDescent="0.3">
      <c r="A310" s="128"/>
      <c r="B310" s="46"/>
      <c r="C310" s="46"/>
      <c r="D310" s="46"/>
      <c r="E310" s="46"/>
      <c r="F310" s="128"/>
      <c r="G310" s="46"/>
      <c r="H310" s="46"/>
      <c r="I310" s="46"/>
      <c r="J310" s="46"/>
      <c r="K310" s="128"/>
      <c r="L310" s="46"/>
      <c r="M310" s="46"/>
      <c r="N310" s="46"/>
      <c r="O310" s="46"/>
      <c r="P310" s="128"/>
      <c r="Q310" s="46"/>
      <c r="R310" s="46"/>
      <c r="S310" s="46"/>
      <c r="T310" s="131"/>
    </row>
    <row r="311" spans="1:20" x14ac:dyDescent="0.3">
      <c r="A311" s="128"/>
      <c r="B311" s="46"/>
      <c r="C311" s="46"/>
      <c r="D311" s="46"/>
      <c r="E311" s="46"/>
      <c r="F311" s="128"/>
      <c r="G311" s="46"/>
      <c r="H311" s="46"/>
      <c r="I311" s="46"/>
      <c r="J311" s="46"/>
      <c r="K311" s="128"/>
      <c r="L311" s="46"/>
      <c r="M311" s="46"/>
      <c r="N311" s="46"/>
      <c r="O311" s="46"/>
      <c r="P311" s="128"/>
      <c r="Q311" s="46"/>
      <c r="R311" s="46"/>
      <c r="S311" s="46"/>
      <c r="T311" s="131"/>
    </row>
    <row r="312" spans="1:20" x14ac:dyDescent="0.3">
      <c r="A312" s="128"/>
      <c r="B312" s="46"/>
      <c r="C312" s="46"/>
      <c r="D312" s="46"/>
      <c r="E312" s="46"/>
      <c r="F312" s="128"/>
      <c r="G312" s="46"/>
      <c r="H312" s="46"/>
      <c r="I312" s="46"/>
      <c r="J312" s="46"/>
      <c r="K312" s="128"/>
      <c r="L312" s="46"/>
      <c r="M312" s="46"/>
      <c r="N312" s="46"/>
      <c r="O312" s="46"/>
      <c r="P312" s="128"/>
      <c r="Q312" s="46"/>
      <c r="R312" s="46"/>
      <c r="S312" s="46"/>
      <c r="T312" s="131"/>
    </row>
    <row r="313" spans="1:20" x14ac:dyDescent="0.3">
      <c r="A313" s="128"/>
      <c r="B313" s="46"/>
      <c r="C313" s="46"/>
      <c r="D313" s="46"/>
      <c r="E313" s="46"/>
      <c r="F313" s="128"/>
      <c r="G313" s="46"/>
      <c r="H313" s="46"/>
      <c r="I313" s="46"/>
      <c r="J313" s="46"/>
      <c r="K313" s="128"/>
      <c r="L313" s="46"/>
      <c r="M313" s="46"/>
      <c r="N313" s="46"/>
      <c r="O313" s="46"/>
      <c r="P313" s="128"/>
      <c r="Q313" s="46"/>
      <c r="R313" s="46"/>
      <c r="S313" s="46"/>
      <c r="T313" s="131"/>
    </row>
    <row r="314" spans="1:20" x14ac:dyDescent="0.3">
      <c r="A314" s="128"/>
      <c r="B314" s="46"/>
      <c r="C314" s="46"/>
      <c r="D314" s="46"/>
      <c r="E314" s="46"/>
      <c r="F314" s="128"/>
      <c r="G314" s="46"/>
      <c r="H314" s="46"/>
      <c r="I314" s="46"/>
      <c r="J314" s="46"/>
      <c r="K314" s="128"/>
      <c r="L314" s="46"/>
      <c r="M314" s="46"/>
      <c r="N314" s="46"/>
      <c r="O314" s="46"/>
      <c r="P314" s="128"/>
      <c r="Q314" s="46"/>
      <c r="R314" s="46"/>
      <c r="S314" s="46"/>
      <c r="T314" s="131"/>
    </row>
    <row r="315" spans="1:20" x14ac:dyDescent="0.3">
      <c r="A315" s="128"/>
      <c r="B315" s="46"/>
      <c r="C315" s="46"/>
      <c r="D315" s="46"/>
      <c r="E315" s="46"/>
      <c r="F315" s="128"/>
      <c r="G315" s="46"/>
      <c r="H315" s="46"/>
      <c r="I315" s="46"/>
      <c r="J315" s="46"/>
      <c r="K315" s="128"/>
      <c r="L315" s="46"/>
      <c r="M315" s="46"/>
      <c r="N315" s="46"/>
      <c r="O315" s="46"/>
      <c r="P315" s="128"/>
      <c r="Q315" s="46"/>
      <c r="R315" s="46"/>
      <c r="S315" s="46"/>
      <c r="T315" s="131"/>
    </row>
    <row r="316" spans="1:20" x14ac:dyDescent="0.3">
      <c r="A316" s="128"/>
      <c r="B316" s="46"/>
      <c r="C316" s="46"/>
      <c r="D316" s="46"/>
      <c r="E316" s="46"/>
      <c r="F316" s="128"/>
      <c r="G316" s="46"/>
      <c r="H316" s="46"/>
      <c r="I316" s="46"/>
      <c r="J316" s="46"/>
      <c r="K316" s="128"/>
      <c r="L316" s="46"/>
      <c r="M316" s="46"/>
      <c r="N316" s="46"/>
      <c r="O316" s="46"/>
      <c r="P316" s="128"/>
      <c r="Q316" s="46"/>
      <c r="R316" s="46"/>
      <c r="S316" s="46"/>
      <c r="T316" s="131"/>
    </row>
    <row r="317" spans="1:20" x14ac:dyDescent="0.3">
      <c r="A317" s="128"/>
      <c r="B317" s="46"/>
      <c r="C317" s="46"/>
      <c r="D317" s="46"/>
      <c r="E317" s="46"/>
      <c r="F317" s="128"/>
      <c r="G317" s="46"/>
      <c r="H317" s="46"/>
      <c r="I317" s="46"/>
      <c r="J317" s="46"/>
      <c r="K317" s="128"/>
      <c r="L317" s="46"/>
      <c r="M317" s="46"/>
      <c r="N317" s="46"/>
      <c r="O317" s="46"/>
      <c r="P317" s="128"/>
      <c r="Q317" s="46"/>
      <c r="R317" s="46"/>
      <c r="S317" s="46"/>
      <c r="T317" s="131"/>
    </row>
    <row r="318" spans="1:20" x14ac:dyDescent="0.3">
      <c r="A318" s="128"/>
      <c r="B318" s="46"/>
      <c r="C318" s="46"/>
      <c r="D318" s="46"/>
      <c r="E318" s="46"/>
      <c r="F318" s="128"/>
      <c r="G318" s="46"/>
      <c r="H318" s="46"/>
      <c r="I318" s="46"/>
      <c r="J318" s="46"/>
      <c r="K318" s="128"/>
      <c r="L318" s="46"/>
      <c r="M318" s="46"/>
      <c r="N318" s="46"/>
      <c r="O318" s="46"/>
      <c r="P318" s="128"/>
      <c r="Q318" s="46"/>
      <c r="R318" s="46"/>
      <c r="S318" s="46"/>
      <c r="T318" s="131"/>
    </row>
    <row r="319" spans="1:20" x14ac:dyDescent="0.3">
      <c r="A319" s="128"/>
      <c r="B319" s="46"/>
      <c r="C319" s="46"/>
      <c r="D319" s="46"/>
      <c r="E319" s="46"/>
      <c r="F319" s="128"/>
      <c r="G319" s="46"/>
      <c r="H319" s="46"/>
      <c r="I319" s="46"/>
      <c r="J319" s="46"/>
      <c r="K319" s="128"/>
      <c r="L319" s="46"/>
      <c r="M319" s="46"/>
      <c r="N319" s="46"/>
      <c r="O319" s="46"/>
      <c r="P319" s="128"/>
      <c r="Q319" s="46"/>
      <c r="R319" s="46"/>
      <c r="S319" s="46"/>
      <c r="T319" s="131"/>
    </row>
    <row r="320" spans="1:20" x14ac:dyDescent="0.3">
      <c r="A320" s="128"/>
      <c r="B320" s="46"/>
      <c r="C320" s="46"/>
      <c r="D320" s="46"/>
      <c r="E320" s="46"/>
      <c r="F320" s="128"/>
      <c r="G320" s="46"/>
      <c r="H320" s="46"/>
      <c r="I320" s="46"/>
      <c r="J320" s="46"/>
      <c r="K320" s="128"/>
      <c r="L320" s="46"/>
      <c r="M320" s="46"/>
      <c r="N320" s="46"/>
      <c r="O320" s="46"/>
      <c r="P320" s="128"/>
      <c r="Q320" s="46"/>
      <c r="R320" s="46"/>
      <c r="S320" s="46"/>
      <c r="T320" s="131"/>
    </row>
    <row r="321" spans="1:20" x14ac:dyDescent="0.3">
      <c r="A321" s="128"/>
      <c r="B321" s="46"/>
      <c r="C321" s="46"/>
      <c r="D321" s="46"/>
      <c r="E321" s="46"/>
      <c r="F321" s="128"/>
      <c r="G321" s="46"/>
      <c r="H321" s="46"/>
      <c r="I321" s="46"/>
      <c r="J321" s="46"/>
      <c r="K321" s="128"/>
      <c r="L321" s="46"/>
      <c r="M321" s="46"/>
      <c r="N321" s="46"/>
      <c r="O321" s="46"/>
      <c r="P321" s="128"/>
      <c r="Q321" s="46"/>
      <c r="R321" s="46"/>
      <c r="S321" s="46"/>
      <c r="T321" s="131"/>
    </row>
    <row r="322" spans="1:20" x14ac:dyDescent="0.3">
      <c r="A322" s="128"/>
      <c r="B322" s="46"/>
      <c r="C322" s="46"/>
      <c r="D322" s="46"/>
      <c r="E322" s="46"/>
      <c r="F322" s="128"/>
      <c r="G322" s="46"/>
      <c r="H322" s="46"/>
      <c r="I322" s="46"/>
      <c r="J322" s="46"/>
      <c r="K322" s="128"/>
      <c r="L322" s="46"/>
      <c r="M322" s="46"/>
      <c r="N322" s="46"/>
      <c r="O322" s="46"/>
      <c r="P322" s="128"/>
      <c r="Q322" s="46"/>
      <c r="R322" s="46"/>
      <c r="S322" s="46"/>
      <c r="T322" s="131"/>
    </row>
    <row r="323" spans="1:20" x14ac:dyDescent="0.3">
      <c r="A323" s="128"/>
      <c r="B323" s="46"/>
      <c r="C323" s="46"/>
      <c r="D323" s="46"/>
      <c r="E323" s="46"/>
      <c r="F323" s="128"/>
      <c r="G323" s="46"/>
      <c r="H323" s="46"/>
      <c r="I323" s="46"/>
      <c r="J323" s="46"/>
      <c r="K323" s="128"/>
      <c r="L323" s="46"/>
      <c r="M323" s="46"/>
      <c r="N323" s="46"/>
      <c r="O323" s="46"/>
      <c r="P323" s="128"/>
      <c r="Q323" s="46"/>
      <c r="R323" s="46"/>
      <c r="S323" s="46"/>
      <c r="T323" s="131"/>
    </row>
    <row r="324" spans="1:20" x14ac:dyDescent="0.3">
      <c r="A324" s="128"/>
      <c r="B324" s="46"/>
      <c r="C324" s="46"/>
      <c r="D324" s="46"/>
      <c r="E324" s="46"/>
      <c r="F324" s="128"/>
      <c r="G324" s="46"/>
      <c r="H324" s="46"/>
      <c r="I324" s="46"/>
      <c r="J324" s="46"/>
      <c r="K324" s="128"/>
      <c r="L324" s="46"/>
      <c r="M324" s="46"/>
      <c r="N324" s="46"/>
      <c r="O324" s="46"/>
      <c r="P324" s="128"/>
      <c r="Q324" s="46"/>
      <c r="R324" s="46"/>
      <c r="S324" s="46"/>
      <c r="T324" s="131"/>
    </row>
    <row r="325" spans="1:20" x14ac:dyDescent="0.3">
      <c r="A325" s="128"/>
      <c r="B325" s="46"/>
      <c r="C325" s="46"/>
      <c r="D325" s="46"/>
      <c r="E325" s="46"/>
      <c r="F325" s="128"/>
      <c r="G325" s="46"/>
      <c r="H325" s="46"/>
      <c r="I325" s="46"/>
      <c r="J325" s="46"/>
      <c r="K325" s="128"/>
      <c r="L325" s="46"/>
      <c r="M325" s="46"/>
      <c r="N325" s="46"/>
      <c r="O325" s="46"/>
      <c r="P325" s="128"/>
      <c r="Q325" s="46"/>
      <c r="R325" s="46"/>
      <c r="S325" s="46"/>
      <c r="T325" s="131"/>
    </row>
    <row r="326" spans="1:20" x14ac:dyDescent="0.3">
      <c r="A326" s="128"/>
      <c r="B326" s="46"/>
      <c r="C326" s="46"/>
      <c r="D326" s="46"/>
      <c r="E326" s="46"/>
      <c r="F326" s="128"/>
      <c r="G326" s="46"/>
      <c r="H326" s="46"/>
      <c r="I326" s="46"/>
      <c r="J326" s="46"/>
      <c r="K326" s="128"/>
      <c r="L326" s="46"/>
      <c r="M326" s="46"/>
      <c r="N326" s="46"/>
      <c r="O326" s="46"/>
      <c r="P326" s="128"/>
      <c r="Q326" s="46"/>
      <c r="R326" s="46"/>
      <c r="S326" s="46"/>
      <c r="T326" s="131"/>
    </row>
    <row r="327" spans="1:20" x14ac:dyDescent="0.3">
      <c r="A327" s="128"/>
      <c r="B327" s="46"/>
      <c r="C327" s="46"/>
      <c r="D327" s="46"/>
      <c r="E327" s="46"/>
      <c r="F327" s="128"/>
      <c r="G327" s="46"/>
      <c r="H327" s="46"/>
      <c r="I327" s="46"/>
      <c r="J327" s="46"/>
      <c r="K327" s="128"/>
      <c r="L327" s="46"/>
      <c r="M327" s="46"/>
      <c r="N327" s="46"/>
      <c r="O327" s="46"/>
      <c r="P327" s="128"/>
      <c r="Q327" s="46"/>
      <c r="R327" s="46"/>
      <c r="S327" s="46"/>
      <c r="T327" s="131"/>
    </row>
    <row r="328" spans="1:20" x14ac:dyDescent="0.3">
      <c r="A328" s="128"/>
      <c r="B328" s="46"/>
      <c r="C328" s="46"/>
      <c r="D328" s="46"/>
      <c r="E328" s="46"/>
      <c r="F328" s="128"/>
      <c r="G328" s="46"/>
      <c r="H328" s="46"/>
      <c r="I328" s="46"/>
      <c r="J328" s="46"/>
      <c r="K328" s="128"/>
      <c r="L328" s="46"/>
      <c r="M328" s="46"/>
      <c r="N328" s="46"/>
      <c r="O328" s="46"/>
      <c r="P328" s="128"/>
      <c r="Q328" s="46"/>
      <c r="R328" s="46"/>
      <c r="S328" s="46"/>
      <c r="T328" s="131"/>
    </row>
    <row r="329" spans="1:20" x14ac:dyDescent="0.3">
      <c r="A329" s="128"/>
      <c r="B329" s="46"/>
      <c r="C329" s="46"/>
      <c r="D329" s="46"/>
      <c r="E329" s="46"/>
      <c r="F329" s="128"/>
      <c r="G329" s="46"/>
      <c r="H329" s="46"/>
      <c r="I329" s="46"/>
      <c r="J329" s="46"/>
      <c r="K329" s="128"/>
      <c r="L329" s="46"/>
      <c r="M329" s="46"/>
      <c r="N329" s="46"/>
      <c r="O329" s="46"/>
      <c r="P329" s="128"/>
      <c r="Q329" s="46"/>
      <c r="R329" s="46"/>
      <c r="S329" s="46"/>
      <c r="T329" s="131"/>
    </row>
    <row r="330" spans="1:20" x14ac:dyDescent="0.3">
      <c r="A330" s="128"/>
      <c r="B330" s="46"/>
      <c r="C330" s="46"/>
      <c r="D330" s="46"/>
      <c r="E330" s="46"/>
      <c r="F330" s="128"/>
      <c r="G330" s="46"/>
      <c r="H330" s="46"/>
      <c r="I330" s="46"/>
      <c r="J330" s="46"/>
      <c r="K330" s="128"/>
      <c r="L330" s="46"/>
      <c r="M330" s="46"/>
      <c r="N330" s="46"/>
      <c r="O330" s="46"/>
      <c r="P330" s="128"/>
      <c r="Q330" s="46"/>
      <c r="R330" s="46"/>
      <c r="S330" s="46"/>
      <c r="T330" s="131"/>
    </row>
    <row r="331" spans="1:20" x14ac:dyDescent="0.3">
      <c r="A331" s="128"/>
      <c r="B331" s="46"/>
      <c r="C331" s="46"/>
      <c r="D331" s="46"/>
      <c r="E331" s="46"/>
      <c r="F331" s="128"/>
      <c r="G331" s="46"/>
      <c r="H331" s="46"/>
      <c r="I331" s="46"/>
      <c r="J331" s="46"/>
      <c r="K331" s="128"/>
      <c r="L331" s="46"/>
      <c r="M331" s="46"/>
      <c r="N331" s="46"/>
      <c r="O331" s="46"/>
      <c r="P331" s="128"/>
      <c r="Q331" s="46"/>
      <c r="R331" s="46"/>
      <c r="S331" s="46"/>
      <c r="T331" s="131"/>
    </row>
    <row r="332" spans="1:20" x14ac:dyDescent="0.3">
      <c r="A332" s="128"/>
      <c r="B332" s="46"/>
      <c r="C332" s="46"/>
      <c r="D332" s="46"/>
      <c r="E332" s="46"/>
      <c r="F332" s="128"/>
      <c r="G332" s="46"/>
      <c r="H332" s="46"/>
      <c r="I332" s="46"/>
      <c r="J332" s="46"/>
      <c r="K332" s="128"/>
      <c r="L332" s="46"/>
      <c r="M332" s="46"/>
      <c r="N332" s="46"/>
      <c r="O332" s="46"/>
      <c r="P332" s="128"/>
      <c r="Q332" s="46"/>
      <c r="R332" s="46"/>
      <c r="S332" s="46"/>
      <c r="T332" s="131"/>
    </row>
    <row r="333" spans="1:20" x14ac:dyDescent="0.3">
      <c r="A333" s="128"/>
      <c r="B333" s="46"/>
      <c r="C333" s="46"/>
      <c r="D333" s="46"/>
      <c r="E333" s="46"/>
      <c r="F333" s="128"/>
      <c r="G333" s="46"/>
      <c r="H333" s="46"/>
      <c r="I333" s="46"/>
      <c r="J333" s="46"/>
      <c r="K333" s="128"/>
      <c r="L333" s="46"/>
      <c r="M333" s="46"/>
      <c r="N333" s="46"/>
      <c r="O333" s="46"/>
      <c r="P333" s="128"/>
      <c r="Q333" s="46"/>
      <c r="R333" s="46"/>
      <c r="S333" s="46"/>
      <c r="T333" s="131"/>
    </row>
    <row r="334" spans="1:20" x14ac:dyDescent="0.3">
      <c r="A334" s="128"/>
      <c r="B334" s="46"/>
      <c r="C334" s="46"/>
      <c r="D334" s="46"/>
      <c r="E334" s="46"/>
      <c r="F334" s="128"/>
      <c r="G334" s="46"/>
      <c r="H334" s="46"/>
      <c r="I334" s="46"/>
      <c r="J334" s="46"/>
      <c r="K334" s="128"/>
      <c r="L334" s="46"/>
      <c r="M334" s="46"/>
      <c r="N334" s="46"/>
      <c r="O334" s="46"/>
      <c r="P334" s="128"/>
      <c r="Q334" s="46"/>
      <c r="R334" s="46"/>
      <c r="S334" s="46"/>
      <c r="T334" s="131"/>
    </row>
    <row r="335" spans="1:20" x14ac:dyDescent="0.3">
      <c r="A335" s="128"/>
      <c r="B335" s="46"/>
      <c r="C335" s="46"/>
      <c r="D335" s="46"/>
      <c r="E335" s="46"/>
      <c r="F335" s="128"/>
      <c r="G335" s="46"/>
      <c r="H335" s="46"/>
      <c r="I335" s="46"/>
      <c r="J335" s="46"/>
      <c r="K335" s="128"/>
      <c r="L335" s="46"/>
      <c r="M335" s="46"/>
      <c r="N335" s="46"/>
      <c r="O335" s="46"/>
      <c r="P335" s="128"/>
      <c r="Q335" s="46"/>
      <c r="R335" s="46"/>
      <c r="S335" s="46"/>
      <c r="T335" s="131"/>
    </row>
    <row r="336" spans="1:20" x14ac:dyDescent="0.3">
      <c r="A336" s="128"/>
      <c r="B336" s="46"/>
      <c r="C336" s="46"/>
      <c r="D336" s="46"/>
      <c r="E336" s="46"/>
      <c r="F336" s="128"/>
      <c r="G336" s="46"/>
      <c r="H336" s="46"/>
      <c r="I336" s="46"/>
      <c r="J336" s="46"/>
      <c r="K336" s="128"/>
      <c r="L336" s="46"/>
      <c r="M336" s="46"/>
      <c r="N336" s="46"/>
      <c r="O336" s="46"/>
      <c r="P336" s="128"/>
      <c r="Q336" s="46"/>
      <c r="R336" s="46"/>
      <c r="S336" s="46"/>
      <c r="T336" s="131"/>
    </row>
    <row r="337" spans="1:20" x14ac:dyDescent="0.3">
      <c r="A337" s="128"/>
      <c r="B337" s="46"/>
      <c r="C337" s="46"/>
      <c r="D337" s="46"/>
      <c r="E337" s="46"/>
      <c r="F337" s="128"/>
      <c r="G337" s="46"/>
      <c r="H337" s="46"/>
      <c r="I337" s="46"/>
      <c r="J337" s="46"/>
      <c r="K337" s="128"/>
      <c r="L337" s="46"/>
      <c r="M337" s="46"/>
      <c r="N337" s="46"/>
      <c r="O337" s="46"/>
      <c r="P337" s="128"/>
      <c r="Q337" s="46"/>
      <c r="R337" s="46"/>
      <c r="S337" s="46"/>
      <c r="T337" s="131"/>
    </row>
    <row r="338" spans="1:20" x14ac:dyDescent="0.3">
      <c r="A338" s="128"/>
      <c r="B338" s="46"/>
      <c r="C338" s="46"/>
      <c r="D338" s="46"/>
      <c r="E338" s="46"/>
      <c r="F338" s="128"/>
      <c r="G338" s="46"/>
      <c r="H338" s="46"/>
      <c r="I338" s="46"/>
      <c r="J338" s="46"/>
      <c r="K338" s="128"/>
      <c r="L338" s="46"/>
      <c r="M338" s="46"/>
      <c r="N338" s="46"/>
      <c r="O338" s="46"/>
      <c r="P338" s="128"/>
      <c r="Q338" s="46"/>
      <c r="R338" s="46"/>
      <c r="S338" s="46"/>
      <c r="T338" s="131"/>
    </row>
    <row r="339" spans="1:20" x14ac:dyDescent="0.3">
      <c r="A339" s="128"/>
      <c r="B339" s="46"/>
      <c r="C339" s="46"/>
      <c r="D339" s="46"/>
      <c r="E339" s="46"/>
      <c r="F339" s="128"/>
      <c r="G339" s="46"/>
      <c r="H339" s="46"/>
      <c r="I339" s="46"/>
      <c r="J339" s="46"/>
      <c r="K339" s="128"/>
      <c r="L339" s="46"/>
      <c r="M339" s="46"/>
      <c r="N339" s="46"/>
      <c r="O339" s="46"/>
      <c r="P339" s="128"/>
      <c r="Q339" s="46"/>
      <c r="R339" s="46"/>
      <c r="S339" s="46"/>
      <c r="T339" s="131"/>
    </row>
    <row r="340" spans="1:20" x14ac:dyDescent="0.3">
      <c r="A340" s="128"/>
      <c r="B340" s="46"/>
      <c r="C340" s="46"/>
      <c r="D340" s="46"/>
      <c r="E340" s="46"/>
      <c r="F340" s="128"/>
      <c r="G340" s="46"/>
      <c r="H340" s="46"/>
      <c r="I340" s="46"/>
      <c r="J340" s="46"/>
      <c r="K340" s="128"/>
      <c r="L340" s="46"/>
      <c r="M340" s="46"/>
      <c r="N340" s="46"/>
      <c r="O340" s="46"/>
      <c r="P340" s="128"/>
      <c r="Q340" s="46"/>
      <c r="R340" s="46"/>
      <c r="S340" s="46"/>
      <c r="T340" s="131"/>
    </row>
    <row r="341" spans="1:20" x14ac:dyDescent="0.3">
      <c r="A341" s="128"/>
      <c r="B341" s="46"/>
      <c r="C341" s="46"/>
      <c r="D341" s="46"/>
      <c r="E341" s="46"/>
      <c r="F341" s="128"/>
      <c r="G341" s="46"/>
      <c r="H341" s="46"/>
      <c r="I341" s="46"/>
      <c r="J341" s="46"/>
      <c r="K341" s="128"/>
      <c r="L341" s="46"/>
      <c r="M341" s="46"/>
      <c r="N341" s="46"/>
      <c r="O341" s="46"/>
      <c r="P341" s="128"/>
      <c r="Q341" s="46"/>
      <c r="R341" s="46"/>
      <c r="S341" s="46"/>
      <c r="T341" s="131"/>
    </row>
    <row r="342" spans="1:20" x14ac:dyDescent="0.3">
      <c r="A342" s="128"/>
      <c r="B342" s="46"/>
      <c r="C342" s="46"/>
      <c r="D342" s="46"/>
      <c r="E342" s="46"/>
      <c r="F342" s="128"/>
      <c r="G342" s="46"/>
      <c r="H342" s="46"/>
      <c r="I342" s="46"/>
      <c r="J342" s="46"/>
      <c r="K342" s="128"/>
      <c r="L342" s="46"/>
      <c r="M342" s="46"/>
      <c r="N342" s="46"/>
      <c r="O342" s="46"/>
      <c r="P342" s="128"/>
      <c r="Q342" s="46"/>
      <c r="R342" s="46"/>
      <c r="S342" s="46"/>
      <c r="T342" s="131"/>
    </row>
    <row r="343" spans="1:20" x14ac:dyDescent="0.3">
      <c r="A343" s="128"/>
      <c r="B343" s="46"/>
      <c r="C343" s="46"/>
      <c r="D343" s="46"/>
      <c r="E343" s="46"/>
      <c r="F343" s="128"/>
      <c r="G343" s="46"/>
      <c r="H343" s="46"/>
      <c r="I343" s="46"/>
      <c r="J343" s="46"/>
      <c r="K343" s="128"/>
      <c r="L343" s="46"/>
      <c r="M343" s="46"/>
      <c r="N343" s="46"/>
      <c r="O343" s="46"/>
      <c r="P343" s="128"/>
      <c r="Q343" s="46"/>
      <c r="R343" s="46"/>
      <c r="S343" s="46"/>
      <c r="T343" s="131"/>
    </row>
    <row r="344" spans="1:20" x14ac:dyDescent="0.3">
      <c r="A344" s="128"/>
      <c r="B344" s="46"/>
      <c r="C344" s="46"/>
      <c r="D344" s="46"/>
      <c r="E344" s="46"/>
      <c r="F344" s="128"/>
      <c r="G344" s="46"/>
      <c r="H344" s="46"/>
      <c r="I344" s="46"/>
      <c r="J344" s="46"/>
      <c r="K344" s="128"/>
      <c r="L344" s="46"/>
      <c r="M344" s="46"/>
      <c r="N344" s="46"/>
      <c r="O344" s="46"/>
      <c r="P344" s="128"/>
      <c r="Q344" s="46"/>
      <c r="R344" s="46"/>
      <c r="S344" s="46"/>
      <c r="T344" s="131"/>
    </row>
    <row r="345" spans="1:20" x14ac:dyDescent="0.3">
      <c r="A345" s="128"/>
      <c r="B345" s="46"/>
      <c r="C345" s="46"/>
      <c r="D345" s="46"/>
      <c r="E345" s="46"/>
      <c r="F345" s="128"/>
      <c r="G345" s="46"/>
      <c r="H345" s="46"/>
      <c r="I345" s="46"/>
      <c r="J345" s="46"/>
      <c r="K345" s="128"/>
      <c r="L345" s="46"/>
      <c r="M345" s="46"/>
      <c r="N345" s="46"/>
      <c r="O345" s="46"/>
      <c r="P345" s="128"/>
      <c r="Q345" s="46"/>
      <c r="R345" s="46"/>
      <c r="S345" s="46"/>
      <c r="T345" s="131"/>
    </row>
    <row r="346" spans="1:20" x14ac:dyDescent="0.3">
      <c r="A346" s="128"/>
      <c r="B346" s="46"/>
      <c r="C346" s="46"/>
      <c r="D346" s="46"/>
      <c r="E346" s="46"/>
      <c r="F346" s="128"/>
      <c r="G346" s="46"/>
      <c r="H346" s="46"/>
      <c r="I346" s="46"/>
      <c r="J346" s="46"/>
      <c r="K346" s="128"/>
      <c r="L346" s="46"/>
      <c r="M346" s="46"/>
      <c r="N346" s="46"/>
      <c r="O346" s="46"/>
      <c r="P346" s="128"/>
      <c r="Q346" s="46"/>
      <c r="R346" s="46"/>
      <c r="S346" s="46"/>
      <c r="T346" s="131"/>
    </row>
    <row r="347" spans="1:20" x14ac:dyDescent="0.3">
      <c r="A347" s="128"/>
      <c r="B347" s="46"/>
      <c r="C347" s="46"/>
      <c r="D347" s="46"/>
      <c r="E347" s="46"/>
      <c r="F347" s="128"/>
      <c r="G347" s="46"/>
      <c r="H347" s="46"/>
      <c r="I347" s="46"/>
      <c r="J347" s="46"/>
      <c r="K347" s="128"/>
      <c r="L347" s="46"/>
      <c r="M347" s="46"/>
      <c r="N347" s="46"/>
      <c r="O347" s="46"/>
      <c r="P347" s="128"/>
      <c r="Q347" s="46"/>
      <c r="R347" s="46"/>
      <c r="S347" s="46"/>
      <c r="T347" s="131"/>
    </row>
    <row r="348" spans="1:20" x14ac:dyDescent="0.3">
      <c r="A348" s="128"/>
      <c r="B348" s="46"/>
      <c r="C348" s="46"/>
      <c r="D348" s="46"/>
      <c r="E348" s="46"/>
      <c r="F348" s="128"/>
      <c r="G348" s="46"/>
      <c r="H348" s="46"/>
      <c r="I348" s="46"/>
      <c r="J348" s="46"/>
      <c r="K348" s="128"/>
      <c r="L348" s="46"/>
      <c r="M348" s="46"/>
      <c r="N348" s="46"/>
      <c r="O348" s="46"/>
      <c r="P348" s="128"/>
      <c r="Q348" s="46"/>
      <c r="R348" s="46"/>
      <c r="S348" s="46"/>
      <c r="T348" s="131"/>
    </row>
    <row r="349" spans="1:20" x14ac:dyDescent="0.3">
      <c r="A349" s="128"/>
      <c r="B349" s="46"/>
      <c r="C349" s="46"/>
      <c r="D349" s="46"/>
      <c r="E349" s="46"/>
      <c r="F349" s="128"/>
      <c r="G349" s="46"/>
      <c r="H349" s="46"/>
      <c r="I349" s="46"/>
      <c r="J349" s="46"/>
      <c r="K349" s="128"/>
      <c r="L349" s="46"/>
      <c r="M349" s="46"/>
      <c r="N349" s="46"/>
      <c r="O349" s="46"/>
      <c r="P349" s="128"/>
      <c r="Q349" s="46"/>
      <c r="R349" s="46"/>
      <c r="S349" s="46"/>
      <c r="T349" s="131"/>
    </row>
    <row r="350" spans="1:20" x14ac:dyDescent="0.3">
      <c r="A350" s="128"/>
      <c r="B350" s="46"/>
      <c r="C350" s="46"/>
      <c r="D350" s="46"/>
      <c r="E350" s="46"/>
      <c r="F350" s="128"/>
      <c r="G350" s="46"/>
      <c r="H350" s="46"/>
      <c r="I350" s="46"/>
      <c r="J350" s="46"/>
      <c r="K350" s="128"/>
      <c r="L350" s="46"/>
      <c r="M350" s="46"/>
      <c r="N350" s="46"/>
      <c r="O350" s="46"/>
      <c r="P350" s="128"/>
      <c r="Q350" s="46"/>
      <c r="R350" s="46"/>
      <c r="S350" s="46"/>
      <c r="T350" s="131"/>
    </row>
    <row r="351" spans="1:20" x14ac:dyDescent="0.3">
      <c r="A351" s="128"/>
      <c r="B351" s="46"/>
      <c r="C351" s="46"/>
      <c r="D351" s="46"/>
      <c r="E351" s="46"/>
      <c r="F351" s="128"/>
      <c r="G351" s="46"/>
      <c r="H351" s="46"/>
      <c r="I351" s="46"/>
      <c r="J351" s="46"/>
      <c r="K351" s="128"/>
      <c r="L351" s="46"/>
      <c r="M351" s="46"/>
      <c r="N351" s="46"/>
      <c r="O351" s="46"/>
      <c r="P351" s="128"/>
      <c r="Q351" s="46"/>
      <c r="R351" s="46"/>
      <c r="S351" s="46"/>
      <c r="T351" s="131"/>
    </row>
    <row r="352" spans="1:20" x14ac:dyDescent="0.3">
      <c r="A352" s="128"/>
      <c r="B352" s="46"/>
      <c r="C352" s="46"/>
      <c r="D352" s="46"/>
      <c r="E352" s="46"/>
      <c r="F352" s="128"/>
      <c r="G352" s="46"/>
      <c r="H352" s="46"/>
      <c r="I352" s="46"/>
      <c r="J352" s="46"/>
      <c r="K352" s="128"/>
      <c r="L352" s="46"/>
      <c r="M352" s="46"/>
      <c r="N352" s="46"/>
      <c r="O352" s="46"/>
      <c r="P352" s="128"/>
      <c r="Q352" s="46"/>
      <c r="R352" s="46"/>
      <c r="S352" s="46"/>
      <c r="T352" s="131"/>
    </row>
    <row r="353" spans="1:20" x14ac:dyDescent="0.3">
      <c r="A353" s="128"/>
      <c r="B353" s="46"/>
      <c r="C353" s="46"/>
      <c r="D353" s="46"/>
      <c r="E353" s="46"/>
      <c r="F353" s="128"/>
      <c r="G353" s="46"/>
      <c r="H353" s="46"/>
      <c r="I353" s="46"/>
      <c r="J353" s="46"/>
      <c r="K353" s="128"/>
      <c r="L353" s="46"/>
      <c r="M353" s="46"/>
      <c r="N353" s="46"/>
      <c r="O353" s="46"/>
      <c r="P353" s="128"/>
      <c r="Q353" s="46"/>
      <c r="R353" s="46"/>
      <c r="S353" s="46"/>
      <c r="T353" s="131"/>
    </row>
    <row r="354" spans="1:20" x14ac:dyDescent="0.3">
      <c r="A354" s="128"/>
      <c r="B354" s="46"/>
      <c r="C354" s="46"/>
      <c r="D354" s="46"/>
      <c r="E354" s="46"/>
      <c r="F354" s="128"/>
      <c r="G354" s="46"/>
      <c r="H354" s="46"/>
      <c r="I354" s="46"/>
      <c r="J354" s="46"/>
      <c r="K354" s="128"/>
      <c r="L354" s="46"/>
      <c r="M354" s="46"/>
      <c r="N354" s="46"/>
      <c r="O354" s="46"/>
      <c r="P354" s="128"/>
      <c r="Q354" s="46"/>
      <c r="R354" s="46"/>
      <c r="S354" s="46"/>
      <c r="T354" s="131"/>
    </row>
    <row r="355" spans="1:20" x14ac:dyDescent="0.3">
      <c r="A355" s="128"/>
      <c r="B355" s="46"/>
      <c r="C355" s="46"/>
      <c r="D355" s="46"/>
      <c r="E355" s="46"/>
      <c r="F355" s="128"/>
      <c r="G355" s="46"/>
      <c r="H355" s="46"/>
      <c r="I355" s="46"/>
      <c r="J355" s="46"/>
      <c r="K355" s="128"/>
      <c r="L355" s="46"/>
      <c r="M355" s="46"/>
      <c r="N355" s="46"/>
      <c r="O355" s="46"/>
      <c r="P355" s="128"/>
      <c r="Q355" s="46"/>
      <c r="R355" s="46"/>
      <c r="S355" s="46"/>
      <c r="T355" s="131"/>
    </row>
    <row r="356" spans="1:20" x14ac:dyDescent="0.3">
      <c r="A356" s="128"/>
      <c r="B356" s="46"/>
      <c r="C356" s="46"/>
      <c r="D356" s="46"/>
      <c r="E356" s="46"/>
      <c r="F356" s="128"/>
      <c r="G356" s="46"/>
      <c r="H356" s="46"/>
      <c r="I356" s="46"/>
      <c r="J356" s="46"/>
      <c r="K356" s="128"/>
      <c r="L356" s="46"/>
      <c r="M356" s="46"/>
      <c r="N356" s="46"/>
      <c r="O356" s="46"/>
      <c r="P356" s="128"/>
      <c r="Q356" s="46"/>
      <c r="R356" s="46"/>
      <c r="S356" s="46"/>
      <c r="T356" s="131"/>
    </row>
    <row r="357" spans="1:20" x14ac:dyDescent="0.3">
      <c r="A357" s="128"/>
      <c r="B357" s="46"/>
      <c r="C357" s="46"/>
      <c r="D357" s="46"/>
      <c r="E357" s="46"/>
      <c r="F357" s="128"/>
      <c r="G357" s="46"/>
      <c r="H357" s="46"/>
      <c r="I357" s="46"/>
      <c r="J357" s="46"/>
      <c r="K357" s="128"/>
      <c r="L357" s="46"/>
      <c r="M357" s="46"/>
      <c r="N357" s="46"/>
      <c r="O357" s="46"/>
      <c r="P357" s="128"/>
      <c r="Q357" s="46"/>
      <c r="R357" s="46"/>
      <c r="S357" s="46"/>
      <c r="T357" s="131"/>
    </row>
    <row r="358" spans="1:20" x14ac:dyDescent="0.3">
      <c r="A358" s="128"/>
      <c r="B358" s="46"/>
      <c r="C358" s="46"/>
      <c r="D358" s="46"/>
      <c r="E358" s="46"/>
      <c r="F358" s="128"/>
      <c r="G358" s="46"/>
      <c r="H358" s="46"/>
      <c r="I358" s="46"/>
      <c r="J358" s="46"/>
      <c r="K358" s="128"/>
      <c r="L358" s="46"/>
      <c r="M358" s="46"/>
      <c r="N358" s="46"/>
      <c r="O358" s="46"/>
      <c r="P358" s="128"/>
      <c r="Q358" s="46"/>
      <c r="R358" s="46"/>
      <c r="S358" s="46"/>
      <c r="T358" s="131"/>
    </row>
    <row r="359" spans="1:20" x14ac:dyDescent="0.3">
      <c r="A359" s="128"/>
      <c r="B359" s="46"/>
      <c r="C359" s="46"/>
      <c r="D359" s="46"/>
      <c r="E359" s="46"/>
      <c r="F359" s="128"/>
      <c r="G359" s="46"/>
      <c r="H359" s="46"/>
      <c r="I359" s="46"/>
      <c r="J359" s="46"/>
      <c r="K359" s="128"/>
      <c r="L359" s="46"/>
      <c r="M359" s="46"/>
      <c r="N359" s="46"/>
      <c r="O359" s="46"/>
      <c r="P359" s="128"/>
      <c r="Q359" s="46"/>
      <c r="R359" s="46"/>
      <c r="S359" s="46"/>
      <c r="T359" s="131"/>
    </row>
    <row r="360" spans="1:20" x14ac:dyDescent="0.3">
      <c r="A360" s="128"/>
      <c r="B360" s="46"/>
      <c r="C360" s="46"/>
      <c r="D360" s="46"/>
      <c r="E360" s="46"/>
      <c r="F360" s="128"/>
      <c r="G360" s="46"/>
      <c r="H360" s="46"/>
      <c r="I360" s="46"/>
      <c r="J360" s="46"/>
      <c r="K360" s="128"/>
      <c r="L360" s="46"/>
      <c r="M360" s="46"/>
      <c r="N360" s="46"/>
      <c r="O360" s="46"/>
      <c r="P360" s="128"/>
      <c r="Q360" s="46"/>
      <c r="R360" s="46"/>
      <c r="S360" s="46"/>
      <c r="T360" s="131"/>
    </row>
    <row r="361" spans="1:20" x14ac:dyDescent="0.3">
      <c r="A361" s="128"/>
      <c r="B361" s="46"/>
      <c r="C361" s="46"/>
      <c r="D361" s="46"/>
      <c r="E361" s="46"/>
      <c r="F361" s="128"/>
      <c r="G361" s="46"/>
      <c r="H361" s="46"/>
      <c r="I361" s="46"/>
      <c r="J361" s="46"/>
      <c r="K361" s="128"/>
      <c r="L361" s="46"/>
      <c r="M361" s="46"/>
      <c r="N361" s="46"/>
      <c r="O361" s="46"/>
      <c r="P361" s="128"/>
      <c r="Q361" s="46"/>
      <c r="R361" s="46"/>
      <c r="S361" s="46"/>
      <c r="T361" s="131"/>
    </row>
    <row r="362" spans="1:20" x14ac:dyDescent="0.3">
      <c r="A362" s="128"/>
      <c r="B362" s="46"/>
      <c r="C362" s="46"/>
      <c r="D362" s="46"/>
      <c r="E362" s="46"/>
      <c r="F362" s="128"/>
      <c r="G362" s="46"/>
      <c r="H362" s="46"/>
      <c r="I362" s="46"/>
      <c r="J362" s="46"/>
      <c r="K362" s="128"/>
      <c r="L362" s="46"/>
      <c r="M362" s="46"/>
      <c r="N362" s="46"/>
      <c r="O362" s="46"/>
      <c r="P362" s="128"/>
      <c r="Q362" s="46"/>
      <c r="R362" s="46"/>
      <c r="S362" s="46"/>
      <c r="T362" s="131"/>
    </row>
    <row r="363" spans="1:20" x14ac:dyDescent="0.3">
      <c r="A363" s="128"/>
      <c r="B363" s="46"/>
      <c r="C363" s="46"/>
      <c r="D363" s="46"/>
      <c r="E363" s="46"/>
      <c r="F363" s="128"/>
      <c r="G363" s="46"/>
      <c r="H363" s="46"/>
      <c r="I363" s="46"/>
      <c r="J363" s="46"/>
      <c r="K363" s="128"/>
      <c r="L363" s="46"/>
      <c r="M363" s="46"/>
      <c r="N363" s="46"/>
      <c r="O363" s="46"/>
      <c r="P363" s="128"/>
      <c r="Q363" s="46"/>
      <c r="R363" s="46"/>
      <c r="S363" s="46"/>
      <c r="T363" s="131"/>
    </row>
    <row r="364" spans="1:20" x14ac:dyDescent="0.3">
      <c r="A364" s="128"/>
      <c r="B364" s="46"/>
      <c r="C364" s="46"/>
      <c r="D364" s="46"/>
      <c r="E364" s="46"/>
      <c r="F364" s="128"/>
      <c r="G364" s="46"/>
      <c r="H364" s="46"/>
      <c r="I364" s="46"/>
      <c r="J364" s="46"/>
      <c r="K364" s="128"/>
      <c r="L364" s="46"/>
      <c r="M364" s="46"/>
      <c r="N364" s="46"/>
      <c r="O364" s="46"/>
      <c r="P364" s="128"/>
      <c r="Q364" s="46"/>
      <c r="R364" s="46"/>
      <c r="S364" s="46"/>
      <c r="T364" s="131"/>
    </row>
    <row r="365" spans="1:20" x14ac:dyDescent="0.3">
      <c r="A365" s="128"/>
      <c r="B365" s="46"/>
      <c r="C365" s="46"/>
      <c r="D365" s="46"/>
      <c r="E365" s="46"/>
      <c r="F365" s="128"/>
      <c r="G365" s="46"/>
      <c r="H365" s="46"/>
      <c r="I365" s="46"/>
      <c r="J365" s="46"/>
      <c r="K365" s="128"/>
      <c r="L365" s="46"/>
      <c r="M365" s="46"/>
      <c r="N365" s="46"/>
      <c r="O365" s="46"/>
      <c r="P365" s="128"/>
      <c r="Q365" s="46"/>
      <c r="R365" s="46"/>
      <c r="S365" s="46"/>
      <c r="T365" s="131"/>
    </row>
    <row r="366" spans="1:20" x14ac:dyDescent="0.3">
      <c r="A366" s="128"/>
      <c r="B366" s="46"/>
      <c r="C366" s="46"/>
      <c r="D366" s="46"/>
      <c r="E366" s="46"/>
      <c r="F366" s="128"/>
      <c r="G366" s="46"/>
      <c r="H366" s="46"/>
      <c r="I366" s="46"/>
      <c r="J366" s="46"/>
      <c r="K366" s="128"/>
      <c r="L366" s="46"/>
      <c r="M366" s="46"/>
      <c r="N366" s="46"/>
      <c r="O366" s="46"/>
      <c r="P366" s="128"/>
      <c r="Q366" s="46"/>
      <c r="R366" s="46"/>
      <c r="S366" s="46"/>
      <c r="T366" s="131"/>
    </row>
    <row r="367" spans="1:20" x14ac:dyDescent="0.3">
      <c r="A367" s="128"/>
      <c r="B367" s="46"/>
      <c r="C367" s="46"/>
      <c r="D367" s="46"/>
      <c r="E367" s="46"/>
      <c r="F367" s="128"/>
      <c r="G367" s="46"/>
      <c r="H367" s="46"/>
      <c r="I367" s="46"/>
      <c r="J367" s="46"/>
      <c r="K367" s="128"/>
      <c r="L367" s="46"/>
      <c r="M367" s="46"/>
      <c r="N367" s="46"/>
      <c r="O367" s="46"/>
      <c r="P367" s="128"/>
      <c r="Q367" s="46"/>
      <c r="R367" s="46"/>
      <c r="S367" s="46"/>
      <c r="T367" s="131"/>
    </row>
    <row r="368" spans="1:20" x14ac:dyDescent="0.3">
      <c r="A368" s="128"/>
      <c r="B368" s="46"/>
      <c r="C368" s="46"/>
      <c r="D368" s="46"/>
      <c r="E368" s="46"/>
      <c r="F368" s="128"/>
      <c r="G368" s="46"/>
      <c r="H368" s="46"/>
      <c r="I368" s="46"/>
      <c r="J368" s="46"/>
      <c r="K368" s="128"/>
      <c r="L368" s="46"/>
      <c r="M368" s="46"/>
      <c r="N368" s="46"/>
      <c r="O368" s="46"/>
      <c r="P368" s="128"/>
      <c r="Q368" s="46"/>
      <c r="R368" s="46"/>
      <c r="S368" s="46"/>
      <c r="T368" s="131"/>
    </row>
    <row r="369" spans="1:20" x14ac:dyDescent="0.3">
      <c r="A369" s="128"/>
      <c r="B369" s="46"/>
      <c r="C369" s="46"/>
      <c r="D369" s="46"/>
      <c r="E369" s="46"/>
      <c r="F369" s="128"/>
      <c r="G369" s="46"/>
      <c r="H369" s="46"/>
      <c r="I369" s="46"/>
      <c r="J369" s="46"/>
      <c r="K369" s="128"/>
      <c r="L369" s="46"/>
      <c r="M369" s="46"/>
      <c r="N369" s="46"/>
      <c r="O369" s="46"/>
      <c r="P369" s="128"/>
      <c r="Q369" s="46"/>
      <c r="R369" s="46"/>
      <c r="S369" s="46"/>
      <c r="T369" s="131"/>
    </row>
    <row r="370" spans="1:20" x14ac:dyDescent="0.3">
      <c r="A370" s="128"/>
      <c r="B370" s="46"/>
      <c r="C370" s="46"/>
      <c r="D370" s="46"/>
      <c r="E370" s="46"/>
      <c r="F370" s="128"/>
      <c r="G370" s="46"/>
      <c r="H370" s="46"/>
      <c r="I370" s="46"/>
      <c r="J370" s="46"/>
      <c r="K370" s="128"/>
      <c r="L370" s="46"/>
      <c r="M370" s="46"/>
      <c r="N370" s="46"/>
      <c r="O370" s="46"/>
      <c r="P370" s="128"/>
      <c r="Q370" s="46"/>
      <c r="R370" s="46"/>
      <c r="S370" s="46"/>
      <c r="T370" s="131"/>
    </row>
    <row r="371" spans="1:20" x14ac:dyDescent="0.3">
      <c r="A371" s="128"/>
      <c r="B371" s="46"/>
      <c r="C371" s="46"/>
      <c r="D371" s="46"/>
      <c r="E371" s="46"/>
      <c r="F371" s="128"/>
      <c r="G371" s="46"/>
      <c r="H371" s="46"/>
      <c r="I371" s="46"/>
      <c r="J371" s="46"/>
      <c r="K371" s="128"/>
      <c r="L371" s="46"/>
      <c r="M371" s="46"/>
      <c r="N371" s="46"/>
      <c r="O371" s="46"/>
      <c r="P371" s="128"/>
      <c r="Q371" s="46"/>
      <c r="R371" s="46"/>
      <c r="S371" s="46"/>
      <c r="T371" s="131"/>
    </row>
    <row r="372" spans="1:20" x14ac:dyDescent="0.3">
      <c r="A372" s="128"/>
      <c r="B372" s="46"/>
      <c r="C372" s="46"/>
      <c r="D372" s="46"/>
      <c r="E372" s="46"/>
      <c r="F372" s="128"/>
      <c r="G372" s="46"/>
      <c r="H372" s="46"/>
      <c r="I372" s="46"/>
      <c r="J372" s="46"/>
      <c r="K372" s="128"/>
      <c r="L372" s="46"/>
      <c r="M372" s="46"/>
      <c r="N372" s="46"/>
      <c r="O372" s="46"/>
      <c r="P372" s="128"/>
      <c r="Q372" s="46"/>
      <c r="R372" s="46"/>
      <c r="S372" s="46"/>
      <c r="T372" s="131"/>
    </row>
    <row r="373" spans="1:20" x14ac:dyDescent="0.3">
      <c r="A373" s="128"/>
      <c r="B373" s="46"/>
      <c r="C373" s="46"/>
      <c r="D373" s="46"/>
      <c r="E373" s="46"/>
      <c r="F373" s="128"/>
      <c r="G373" s="46"/>
      <c r="H373" s="46"/>
      <c r="I373" s="46"/>
      <c r="J373" s="46"/>
      <c r="K373" s="128"/>
      <c r="L373" s="46"/>
      <c r="M373" s="46"/>
      <c r="N373" s="46"/>
      <c r="O373" s="46"/>
      <c r="P373" s="128"/>
      <c r="Q373" s="46"/>
      <c r="R373" s="46"/>
      <c r="S373" s="46"/>
      <c r="T373" s="131"/>
    </row>
    <row r="374" spans="1:20" x14ac:dyDescent="0.3">
      <c r="A374" s="128"/>
      <c r="B374" s="46"/>
      <c r="C374" s="46"/>
      <c r="D374" s="46"/>
      <c r="E374" s="46"/>
      <c r="F374" s="128"/>
      <c r="G374" s="46"/>
      <c r="H374" s="46"/>
      <c r="I374" s="46"/>
      <c r="J374" s="46"/>
      <c r="K374" s="128"/>
      <c r="L374" s="46"/>
      <c r="M374" s="46"/>
      <c r="N374" s="46"/>
      <c r="O374" s="46"/>
      <c r="P374" s="128"/>
      <c r="Q374" s="46"/>
      <c r="R374" s="46"/>
      <c r="S374" s="46"/>
      <c r="T374" s="131"/>
    </row>
    <row r="375" spans="1:20" x14ac:dyDescent="0.3">
      <c r="A375" s="128"/>
      <c r="B375" s="46"/>
      <c r="C375" s="46"/>
      <c r="D375" s="46"/>
      <c r="E375" s="46"/>
      <c r="F375" s="128"/>
      <c r="G375" s="46"/>
      <c r="H375" s="46"/>
      <c r="I375" s="46"/>
      <c r="J375" s="46"/>
      <c r="K375" s="128"/>
      <c r="L375" s="46"/>
      <c r="M375" s="46"/>
      <c r="N375" s="46"/>
      <c r="O375" s="46"/>
      <c r="P375" s="128"/>
      <c r="Q375" s="46"/>
      <c r="R375" s="46"/>
      <c r="S375" s="46"/>
      <c r="T375" s="131"/>
    </row>
    <row r="376" spans="1:20" x14ac:dyDescent="0.3">
      <c r="A376" s="128"/>
      <c r="B376" s="46"/>
      <c r="C376" s="46"/>
      <c r="D376" s="46"/>
      <c r="E376" s="46"/>
      <c r="F376" s="128"/>
      <c r="G376" s="46"/>
      <c r="H376" s="46"/>
      <c r="I376" s="46"/>
      <c r="J376" s="46"/>
      <c r="K376" s="128"/>
      <c r="L376" s="46"/>
      <c r="M376" s="46"/>
      <c r="N376" s="46"/>
      <c r="O376" s="46"/>
      <c r="P376" s="128"/>
      <c r="Q376" s="46"/>
      <c r="R376" s="46"/>
      <c r="S376" s="46"/>
      <c r="T376" s="131"/>
    </row>
    <row r="377" spans="1:20" x14ac:dyDescent="0.3">
      <c r="A377" s="128"/>
      <c r="B377" s="46"/>
      <c r="C377" s="46"/>
      <c r="D377" s="46"/>
      <c r="E377" s="46"/>
      <c r="F377" s="128"/>
      <c r="G377" s="46"/>
      <c r="H377" s="46"/>
      <c r="I377" s="46"/>
      <c r="J377" s="46"/>
      <c r="K377" s="128"/>
      <c r="L377" s="46"/>
      <c r="M377" s="46"/>
      <c r="N377" s="46"/>
      <c r="O377" s="46"/>
      <c r="P377" s="128"/>
      <c r="Q377" s="46"/>
      <c r="R377" s="46"/>
      <c r="S377" s="46"/>
      <c r="T377" s="131"/>
    </row>
    <row r="378" spans="1:20" x14ac:dyDescent="0.3">
      <c r="A378" s="128"/>
      <c r="B378" s="46"/>
      <c r="C378" s="46"/>
      <c r="D378" s="46"/>
      <c r="E378" s="46"/>
      <c r="F378" s="128"/>
      <c r="G378" s="46"/>
      <c r="H378" s="46"/>
      <c r="I378" s="46"/>
      <c r="J378" s="46"/>
      <c r="K378" s="128"/>
      <c r="L378" s="46"/>
      <c r="M378" s="46"/>
      <c r="N378" s="46"/>
      <c r="O378" s="46"/>
      <c r="P378" s="128"/>
      <c r="Q378" s="46"/>
      <c r="R378" s="46"/>
      <c r="S378" s="46"/>
      <c r="T378" s="131"/>
    </row>
    <row r="379" spans="1:20" x14ac:dyDescent="0.3">
      <c r="A379" s="128"/>
      <c r="B379" s="46"/>
      <c r="C379" s="46"/>
      <c r="D379" s="46"/>
      <c r="E379" s="46"/>
      <c r="F379" s="128"/>
      <c r="G379" s="46"/>
      <c r="H379" s="46"/>
      <c r="I379" s="46"/>
      <c r="J379" s="46"/>
      <c r="K379" s="128"/>
      <c r="L379" s="46"/>
      <c r="M379" s="46"/>
      <c r="N379" s="46"/>
      <c r="O379" s="46"/>
      <c r="P379" s="128"/>
      <c r="Q379" s="46"/>
      <c r="R379" s="46"/>
      <c r="S379" s="46"/>
      <c r="T379" s="131"/>
    </row>
    <row r="380" spans="1:20" x14ac:dyDescent="0.3">
      <c r="A380" s="128"/>
      <c r="B380" s="46"/>
      <c r="C380" s="46"/>
      <c r="D380" s="46"/>
      <c r="E380" s="46"/>
      <c r="F380" s="128"/>
      <c r="G380" s="46"/>
      <c r="H380" s="46"/>
      <c r="I380" s="46"/>
      <c r="J380" s="46"/>
      <c r="K380" s="128"/>
      <c r="L380" s="46"/>
      <c r="M380" s="46"/>
      <c r="N380" s="46"/>
      <c r="O380" s="46"/>
      <c r="P380" s="128"/>
      <c r="Q380" s="46"/>
      <c r="R380" s="46"/>
      <c r="S380" s="46"/>
      <c r="T380" s="131"/>
    </row>
    <row r="381" spans="1:20" x14ac:dyDescent="0.3">
      <c r="A381" s="128"/>
      <c r="B381" s="46"/>
      <c r="C381" s="46"/>
      <c r="D381" s="46"/>
      <c r="E381" s="46"/>
      <c r="F381" s="128"/>
      <c r="G381" s="46"/>
      <c r="H381" s="46"/>
      <c r="I381" s="46"/>
      <c r="J381" s="46"/>
      <c r="K381" s="128"/>
      <c r="L381" s="46"/>
      <c r="M381" s="46"/>
      <c r="N381" s="46"/>
      <c r="O381" s="46"/>
      <c r="P381" s="128"/>
      <c r="Q381" s="46"/>
      <c r="R381" s="46"/>
      <c r="S381" s="46"/>
      <c r="T381" s="131"/>
    </row>
    <row r="382" spans="1:20" x14ac:dyDescent="0.3">
      <c r="A382" s="128"/>
      <c r="B382" s="46"/>
      <c r="C382" s="46"/>
      <c r="D382" s="46"/>
      <c r="E382" s="46"/>
      <c r="F382" s="128"/>
      <c r="G382" s="46"/>
      <c r="H382" s="46"/>
      <c r="I382" s="46"/>
      <c r="J382" s="46"/>
      <c r="K382" s="128"/>
      <c r="L382" s="46"/>
      <c r="M382" s="46"/>
      <c r="N382" s="46"/>
      <c r="O382" s="46"/>
      <c r="P382" s="128"/>
      <c r="Q382" s="46"/>
      <c r="R382" s="46"/>
      <c r="S382" s="46"/>
      <c r="T382" s="131"/>
    </row>
    <row r="383" spans="1:20" x14ac:dyDescent="0.3">
      <c r="A383" s="128"/>
      <c r="B383" s="46"/>
      <c r="C383" s="46"/>
      <c r="D383" s="46"/>
      <c r="E383" s="46"/>
      <c r="F383" s="128"/>
      <c r="G383" s="46"/>
      <c r="H383" s="46"/>
      <c r="I383" s="46"/>
      <c r="J383" s="46"/>
      <c r="K383" s="128"/>
      <c r="L383" s="46"/>
      <c r="M383" s="46"/>
      <c r="N383" s="46"/>
      <c r="O383" s="46"/>
      <c r="P383" s="128"/>
      <c r="Q383" s="46"/>
      <c r="R383" s="46"/>
      <c r="S383" s="46"/>
      <c r="T383" s="131"/>
    </row>
    <row r="384" spans="1:20" x14ac:dyDescent="0.3">
      <c r="A384" s="128"/>
      <c r="B384" s="46"/>
      <c r="C384" s="46"/>
      <c r="D384" s="46"/>
      <c r="E384" s="46"/>
      <c r="F384" s="128"/>
      <c r="G384" s="46"/>
      <c r="H384" s="46"/>
      <c r="I384" s="46"/>
      <c r="J384" s="46"/>
      <c r="K384" s="128"/>
      <c r="L384" s="46"/>
      <c r="M384" s="46"/>
      <c r="N384" s="46"/>
      <c r="O384" s="46"/>
      <c r="P384" s="128"/>
      <c r="Q384" s="46"/>
      <c r="R384" s="46"/>
      <c r="S384" s="46"/>
      <c r="T384" s="131"/>
    </row>
    <row r="385" spans="1:20" x14ac:dyDescent="0.3">
      <c r="A385" s="128"/>
      <c r="B385" s="46"/>
      <c r="C385" s="46"/>
      <c r="D385" s="46"/>
      <c r="E385" s="46"/>
      <c r="F385" s="128"/>
      <c r="G385" s="46"/>
      <c r="H385" s="46"/>
      <c r="I385" s="46"/>
      <c r="J385" s="46"/>
      <c r="K385" s="128"/>
      <c r="L385" s="46"/>
      <c r="M385" s="46"/>
      <c r="N385" s="46"/>
      <c r="O385" s="46"/>
      <c r="P385" s="128"/>
      <c r="Q385" s="46"/>
      <c r="R385" s="46"/>
      <c r="S385" s="46"/>
      <c r="T385" s="131"/>
    </row>
    <row r="386" spans="1:20" x14ac:dyDescent="0.3">
      <c r="A386" s="128"/>
      <c r="B386" s="46"/>
      <c r="C386" s="46"/>
      <c r="D386" s="46"/>
      <c r="E386" s="46"/>
      <c r="F386" s="128"/>
      <c r="G386" s="46"/>
      <c r="H386" s="46"/>
      <c r="I386" s="46"/>
      <c r="J386" s="46"/>
      <c r="K386" s="128"/>
      <c r="L386" s="46"/>
      <c r="M386" s="46"/>
      <c r="N386" s="46"/>
      <c r="O386" s="46"/>
      <c r="P386" s="128"/>
      <c r="Q386" s="46"/>
      <c r="R386" s="46"/>
      <c r="S386" s="46"/>
      <c r="T386" s="131"/>
    </row>
    <row r="387" spans="1:20" x14ac:dyDescent="0.3">
      <c r="A387" s="128"/>
      <c r="B387" s="46"/>
      <c r="C387" s="46"/>
      <c r="D387" s="46"/>
      <c r="E387" s="46"/>
      <c r="F387" s="128"/>
      <c r="G387" s="46"/>
      <c r="H387" s="46"/>
      <c r="I387" s="46"/>
      <c r="J387" s="46"/>
      <c r="K387" s="128"/>
      <c r="L387" s="46"/>
      <c r="M387" s="46"/>
      <c r="N387" s="46"/>
      <c r="O387" s="46"/>
      <c r="P387" s="128"/>
      <c r="Q387" s="46"/>
      <c r="R387" s="46"/>
      <c r="S387" s="46"/>
      <c r="T387" s="131"/>
    </row>
    <row r="388" spans="1:20" x14ac:dyDescent="0.3">
      <c r="A388" s="128"/>
      <c r="B388" s="46"/>
      <c r="C388" s="46"/>
      <c r="D388" s="46"/>
      <c r="E388" s="46"/>
      <c r="F388" s="128"/>
      <c r="G388" s="46"/>
      <c r="H388" s="46"/>
      <c r="I388" s="46"/>
      <c r="J388" s="46"/>
      <c r="K388" s="128"/>
      <c r="L388" s="46"/>
      <c r="M388" s="46"/>
      <c r="N388" s="46"/>
      <c r="O388" s="46"/>
      <c r="P388" s="128"/>
      <c r="Q388" s="46"/>
      <c r="R388" s="46"/>
      <c r="S388" s="46"/>
      <c r="T388" s="131"/>
    </row>
    <row r="389" spans="1:20" x14ac:dyDescent="0.3">
      <c r="A389" s="128"/>
      <c r="B389" s="46"/>
      <c r="C389" s="46"/>
      <c r="D389" s="46"/>
      <c r="E389" s="46"/>
      <c r="F389" s="128"/>
      <c r="G389" s="46"/>
      <c r="H389" s="46"/>
      <c r="I389" s="46"/>
      <c r="J389" s="46"/>
      <c r="K389" s="128"/>
      <c r="L389" s="46"/>
      <c r="M389" s="46"/>
      <c r="N389" s="46"/>
      <c r="O389" s="46"/>
      <c r="P389" s="128"/>
      <c r="Q389" s="46"/>
      <c r="R389" s="46"/>
      <c r="S389" s="46"/>
      <c r="T389" s="131"/>
    </row>
    <row r="390" spans="1:20" x14ac:dyDescent="0.3">
      <c r="A390" s="128"/>
      <c r="B390" s="46"/>
      <c r="C390" s="46"/>
      <c r="D390" s="46"/>
      <c r="E390" s="46"/>
      <c r="F390" s="128"/>
      <c r="G390" s="46"/>
      <c r="H390" s="46"/>
      <c r="I390" s="46"/>
      <c r="J390" s="46"/>
      <c r="K390" s="128"/>
      <c r="L390" s="46"/>
      <c r="M390" s="46"/>
      <c r="N390" s="46"/>
      <c r="O390" s="46"/>
      <c r="P390" s="128"/>
      <c r="Q390" s="46"/>
      <c r="R390" s="46"/>
      <c r="S390" s="46"/>
      <c r="T390" s="131"/>
    </row>
    <row r="391" spans="1:20" x14ac:dyDescent="0.3">
      <c r="A391" s="128"/>
      <c r="B391" s="46"/>
      <c r="C391" s="46"/>
      <c r="D391" s="46"/>
      <c r="E391" s="46"/>
      <c r="F391" s="128"/>
      <c r="G391" s="46"/>
      <c r="H391" s="46"/>
      <c r="I391" s="46"/>
      <c r="J391" s="46"/>
      <c r="K391" s="128"/>
      <c r="L391" s="46"/>
      <c r="M391" s="46"/>
      <c r="N391" s="46"/>
      <c r="O391" s="46"/>
      <c r="P391" s="128"/>
      <c r="Q391" s="46"/>
      <c r="R391" s="46"/>
      <c r="S391" s="46"/>
      <c r="T391" s="131"/>
    </row>
    <row r="392" spans="1:20" x14ac:dyDescent="0.3">
      <c r="A392" s="128"/>
      <c r="B392" s="46"/>
      <c r="C392" s="46"/>
      <c r="D392" s="46"/>
      <c r="E392" s="46"/>
      <c r="F392" s="128"/>
      <c r="G392" s="46"/>
      <c r="H392" s="46"/>
      <c r="I392" s="46"/>
      <c r="J392" s="46"/>
      <c r="K392" s="128"/>
      <c r="L392" s="46"/>
      <c r="M392" s="46"/>
      <c r="N392" s="46"/>
      <c r="O392" s="46"/>
      <c r="P392" s="128"/>
      <c r="Q392" s="46"/>
      <c r="R392" s="46"/>
      <c r="S392" s="46"/>
      <c r="T392" s="131"/>
    </row>
    <row r="393" spans="1:20" x14ac:dyDescent="0.3">
      <c r="A393" s="128"/>
      <c r="B393" s="46"/>
      <c r="C393" s="46"/>
      <c r="D393" s="46"/>
      <c r="E393" s="46"/>
      <c r="F393" s="128"/>
      <c r="G393" s="46"/>
      <c r="H393" s="46"/>
      <c r="I393" s="46"/>
      <c r="J393" s="46"/>
      <c r="K393" s="128"/>
      <c r="L393" s="46"/>
      <c r="M393" s="46"/>
      <c r="N393" s="46"/>
      <c r="O393" s="46"/>
      <c r="P393" s="128"/>
      <c r="Q393" s="46"/>
      <c r="R393" s="46"/>
      <c r="S393" s="46"/>
      <c r="T393" s="131"/>
    </row>
    <row r="394" spans="1:20" x14ac:dyDescent="0.3">
      <c r="A394" s="128"/>
      <c r="B394" s="46"/>
      <c r="C394" s="46"/>
      <c r="D394" s="46"/>
      <c r="E394" s="46"/>
      <c r="F394" s="128"/>
      <c r="G394" s="46"/>
      <c r="H394" s="46"/>
      <c r="I394" s="46"/>
      <c r="J394" s="46"/>
      <c r="K394" s="128"/>
      <c r="L394" s="46"/>
      <c r="M394" s="46"/>
      <c r="N394" s="46"/>
      <c r="O394" s="46"/>
      <c r="P394" s="128"/>
      <c r="Q394" s="46"/>
      <c r="R394" s="46"/>
      <c r="S394" s="46"/>
      <c r="T394" s="131"/>
    </row>
    <row r="395" spans="1:20" x14ac:dyDescent="0.3">
      <c r="A395" s="128"/>
      <c r="B395" s="46"/>
      <c r="C395" s="46"/>
      <c r="D395" s="46"/>
      <c r="E395" s="46"/>
      <c r="F395" s="128"/>
      <c r="G395" s="46"/>
      <c r="H395" s="46"/>
      <c r="I395" s="46"/>
      <c r="J395" s="46"/>
      <c r="K395" s="128"/>
      <c r="L395" s="46"/>
      <c r="M395" s="46"/>
      <c r="N395" s="46"/>
      <c r="O395" s="46"/>
      <c r="P395" s="128"/>
      <c r="Q395" s="46"/>
      <c r="R395" s="46"/>
      <c r="S395" s="46"/>
      <c r="T395" s="131"/>
    </row>
    <row r="396" spans="1:20" x14ac:dyDescent="0.3">
      <c r="A396" s="128"/>
      <c r="B396" s="46"/>
      <c r="C396" s="46"/>
      <c r="D396" s="46"/>
      <c r="E396" s="46"/>
      <c r="F396" s="128"/>
      <c r="G396" s="46"/>
      <c r="H396" s="46"/>
      <c r="I396" s="46"/>
      <c r="J396" s="46"/>
      <c r="K396" s="128"/>
      <c r="L396" s="46"/>
      <c r="M396" s="46"/>
      <c r="N396" s="46"/>
      <c r="O396" s="46"/>
      <c r="P396" s="128"/>
      <c r="Q396" s="46"/>
      <c r="R396" s="46"/>
      <c r="S396" s="46"/>
      <c r="T396" s="131"/>
    </row>
    <row r="397" spans="1:20" x14ac:dyDescent="0.3">
      <c r="A397" s="128"/>
      <c r="B397" s="46"/>
      <c r="C397" s="46"/>
      <c r="D397" s="46"/>
      <c r="E397" s="46"/>
      <c r="F397" s="128"/>
      <c r="G397" s="46"/>
      <c r="H397" s="46"/>
      <c r="I397" s="46"/>
      <c r="J397" s="46"/>
      <c r="K397" s="128"/>
      <c r="L397" s="46"/>
      <c r="M397" s="46"/>
      <c r="N397" s="46"/>
      <c r="O397" s="46"/>
      <c r="P397" s="128"/>
      <c r="Q397" s="46"/>
      <c r="R397" s="46"/>
      <c r="S397" s="46"/>
      <c r="T397" s="131"/>
    </row>
    <row r="398" spans="1:20" x14ac:dyDescent="0.3">
      <c r="A398" s="128"/>
      <c r="B398" s="46"/>
      <c r="C398" s="46"/>
      <c r="D398" s="46"/>
      <c r="E398" s="46"/>
      <c r="F398" s="128"/>
      <c r="G398" s="46"/>
      <c r="H398" s="46"/>
      <c r="I398" s="46"/>
      <c r="J398" s="46"/>
      <c r="K398" s="128"/>
      <c r="L398" s="46"/>
      <c r="M398" s="46"/>
      <c r="N398" s="46"/>
      <c r="O398" s="46"/>
      <c r="P398" s="128"/>
      <c r="Q398" s="46"/>
      <c r="R398" s="46"/>
      <c r="S398" s="46"/>
      <c r="T398" s="131"/>
    </row>
    <row r="399" spans="1:20" x14ac:dyDescent="0.3">
      <c r="A399" s="128"/>
      <c r="B399" s="46"/>
      <c r="C399" s="46"/>
      <c r="D399" s="46"/>
      <c r="E399" s="46"/>
      <c r="F399" s="128"/>
      <c r="G399" s="46"/>
      <c r="H399" s="46"/>
      <c r="I399" s="46"/>
      <c r="J399" s="46"/>
      <c r="K399" s="128"/>
      <c r="L399" s="46"/>
      <c r="M399" s="46"/>
      <c r="N399" s="46"/>
      <c r="O399" s="46"/>
      <c r="P399" s="128"/>
      <c r="Q399" s="46"/>
      <c r="R399" s="46"/>
      <c r="S399" s="46"/>
      <c r="T399" s="131"/>
    </row>
    <row r="400" spans="1:20" x14ac:dyDescent="0.3">
      <c r="A400" s="128"/>
      <c r="B400" s="46"/>
      <c r="C400" s="46"/>
      <c r="D400" s="46"/>
      <c r="E400" s="46"/>
      <c r="F400" s="128"/>
      <c r="G400" s="46"/>
      <c r="H400" s="46"/>
      <c r="I400" s="46"/>
      <c r="J400" s="46"/>
      <c r="K400" s="128"/>
      <c r="L400" s="46"/>
      <c r="M400" s="46"/>
      <c r="N400" s="46"/>
      <c r="O400" s="46"/>
      <c r="P400" s="128"/>
      <c r="Q400" s="46"/>
      <c r="R400" s="46"/>
      <c r="S400" s="46"/>
      <c r="T400" s="131"/>
    </row>
    <row r="401" spans="1:20" x14ac:dyDescent="0.3">
      <c r="A401" s="128"/>
      <c r="B401" s="46"/>
      <c r="C401" s="46"/>
      <c r="D401" s="46"/>
      <c r="E401" s="46"/>
      <c r="F401" s="128"/>
      <c r="G401" s="46"/>
      <c r="H401" s="46"/>
      <c r="I401" s="46"/>
      <c r="J401" s="46"/>
      <c r="K401" s="128"/>
      <c r="L401" s="46"/>
      <c r="M401" s="46"/>
      <c r="N401" s="46"/>
      <c r="O401" s="46"/>
      <c r="P401" s="128"/>
      <c r="Q401" s="46"/>
      <c r="R401" s="46"/>
      <c r="S401" s="46"/>
      <c r="T401" s="131"/>
    </row>
    <row r="402" spans="1:20" x14ac:dyDescent="0.3">
      <c r="A402" s="128"/>
      <c r="B402" s="46"/>
      <c r="C402" s="46"/>
      <c r="D402" s="46"/>
      <c r="E402" s="46"/>
      <c r="F402" s="128"/>
      <c r="G402" s="46"/>
      <c r="H402" s="46"/>
      <c r="I402" s="46"/>
      <c r="J402" s="46"/>
      <c r="K402" s="128"/>
      <c r="L402" s="46"/>
      <c r="M402" s="46"/>
      <c r="N402" s="46"/>
      <c r="O402" s="46"/>
      <c r="P402" s="128"/>
      <c r="Q402" s="46"/>
      <c r="R402" s="46"/>
      <c r="S402" s="46"/>
      <c r="T402" s="131"/>
    </row>
    <row r="403" spans="1:20" x14ac:dyDescent="0.3">
      <c r="A403" s="128"/>
      <c r="B403" s="46"/>
      <c r="C403" s="46"/>
      <c r="D403" s="46"/>
      <c r="E403" s="46"/>
      <c r="F403" s="128"/>
      <c r="G403" s="46"/>
      <c r="H403" s="46"/>
      <c r="I403" s="46"/>
      <c r="J403" s="46"/>
      <c r="K403" s="128"/>
      <c r="L403" s="46"/>
      <c r="M403" s="46"/>
      <c r="N403" s="46"/>
      <c r="O403" s="46"/>
      <c r="P403" s="128"/>
      <c r="Q403" s="46"/>
      <c r="R403" s="46"/>
      <c r="S403" s="46"/>
      <c r="T403" s="131"/>
    </row>
    <row r="404" spans="1:20" x14ac:dyDescent="0.3">
      <c r="A404" s="128"/>
      <c r="B404" s="46"/>
      <c r="C404" s="46"/>
      <c r="D404" s="46"/>
      <c r="E404" s="46"/>
      <c r="F404" s="128"/>
      <c r="G404" s="46"/>
      <c r="H404" s="46"/>
      <c r="I404" s="46"/>
      <c r="J404" s="46"/>
      <c r="K404" s="128"/>
      <c r="L404" s="46"/>
      <c r="M404" s="46"/>
      <c r="N404" s="46"/>
      <c r="O404" s="46"/>
      <c r="P404" s="128"/>
      <c r="Q404" s="46"/>
      <c r="R404" s="46"/>
      <c r="S404" s="46"/>
      <c r="T404" s="131"/>
    </row>
    <row r="405" spans="1:20" x14ac:dyDescent="0.3">
      <c r="A405" s="128"/>
      <c r="B405" s="46"/>
      <c r="C405" s="46"/>
      <c r="D405" s="46"/>
      <c r="E405" s="46"/>
      <c r="F405" s="128"/>
      <c r="G405" s="46"/>
      <c r="H405" s="46"/>
      <c r="I405" s="46"/>
      <c r="J405" s="46"/>
      <c r="K405" s="128"/>
      <c r="L405" s="46"/>
      <c r="M405" s="46"/>
      <c r="N405" s="46"/>
      <c r="O405" s="46"/>
      <c r="P405" s="128"/>
      <c r="Q405" s="46"/>
      <c r="R405" s="46"/>
      <c r="S405" s="46"/>
      <c r="T405" s="131"/>
    </row>
    <row r="406" spans="1:20" x14ac:dyDescent="0.3">
      <c r="A406" s="128"/>
      <c r="B406" s="46"/>
      <c r="C406" s="46"/>
      <c r="D406" s="46"/>
      <c r="E406" s="46"/>
      <c r="F406" s="128"/>
      <c r="G406" s="46"/>
      <c r="H406" s="46"/>
      <c r="I406" s="46"/>
      <c r="J406" s="46"/>
      <c r="K406" s="128"/>
      <c r="L406" s="46"/>
      <c r="M406" s="46"/>
      <c r="N406" s="46"/>
      <c r="O406" s="46"/>
      <c r="P406" s="128"/>
      <c r="Q406" s="46"/>
      <c r="R406" s="46"/>
      <c r="S406" s="46"/>
      <c r="T406" s="131"/>
    </row>
    <row r="407" spans="1:20" x14ac:dyDescent="0.3">
      <c r="A407" s="128"/>
      <c r="B407" s="46"/>
      <c r="C407" s="46"/>
      <c r="D407" s="46"/>
      <c r="E407" s="46"/>
      <c r="F407" s="128"/>
      <c r="G407" s="46"/>
      <c r="H407" s="46"/>
      <c r="I407" s="46"/>
      <c r="J407" s="46"/>
      <c r="K407" s="128"/>
      <c r="L407" s="46"/>
      <c r="M407" s="46"/>
      <c r="N407" s="46"/>
      <c r="O407" s="46"/>
      <c r="P407" s="128"/>
      <c r="Q407" s="46"/>
      <c r="R407" s="46"/>
      <c r="S407" s="46"/>
      <c r="T407" s="131"/>
    </row>
    <row r="408" spans="1:20" x14ac:dyDescent="0.3">
      <c r="A408" s="128"/>
      <c r="B408" s="46"/>
      <c r="C408" s="46"/>
      <c r="D408" s="46"/>
      <c r="E408" s="46"/>
      <c r="F408" s="128"/>
      <c r="G408" s="46"/>
      <c r="H408" s="46"/>
      <c r="I408" s="46"/>
      <c r="J408" s="46"/>
      <c r="K408" s="128"/>
      <c r="L408" s="46"/>
      <c r="M408" s="46"/>
      <c r="N408" s="46"/>
      <c r="O408" s="46"/>
      <c r="P408" s="128"/>
      <c r="Q408" s="46"/>
      <c r="R408" s="46"/>
      <c r="S408" s="46"/>
      <c r="T408" s="131"/>
    </row>
    <row r="409" spans="1:20" x14ac:dyDescent="0.3">
      <c r="A409" s="128"/>
      <c r="B409" s="46"/>
      <c r="C409" s="46"/>
      <c r="D409" s="46"/>
      <c r="E409" s="46"/>
      <c r="F409" s="128"/>
      <c r="G409" s="46"/>
      <c r="H409" s="46"/>
      <c r="I409" s="46"/>
      <c r="J409" s="46"/>
      <c r="K409" s="128"/>
      <c r="L409" s="46"/>
      <c r="M409" s="46"/>
      <c r="N409" s="46"/>
      <c r="O409" s="46"/>
      <c r="P409" s="128"/>
      <c r="Q409" s="46"/>
      <c r="R409" s="46"/>
      <c r="S409" s="46"/>
      <c r="T409" s="131"/>
    </row>
    <row r="410" spans="1:20" x14ac:dyDescent="0.3">
      <c r="A410" s="128"/>
      <c r="B410" s="46"/>
      <c r="C410" s="46"/>
      <c r="D410" s="46"/>
      <c r="E410" s="46"/>
      <c r="F410" s="128"/>
      <c r="G410" s="46"/>
      <c r="H410" s="46"/>
      <c r="I410" s="46"/>
      <c r="J410" s="46"/>
      <c r="K410" s="128"/>
      <c r="L410" s="46"/>
      <c r="M410" s="46"/>
      <c r="N410" s="46"/>
      <c r="O410" s="46"/>
      <c r="P410" s="128"/>
      <c r="Q410" s="46"/>
      <c r="R410" s="46"/>
      <c r="S410" s="46"/>
      <c r="T410" s="131"/>
    </row>
    <row r="411" spans="1:20" x14ac:dyDescent="0.3">
      <c r="A411" s="128"/>
      <c r="B411" s="46"/>
      <c r="C411" s="46"/>
      <c r="D411" s="46"/>
      <c r="E411" s="46"/>
      <c r="F411" s="128"/>
      <c r="G411" s="46"/>
      <c r="H411" s="46"/>
      <c r="I411" s="46"/>
      <c r="J411" s="46"/>
      <c r="K411" s="128"/>
      <c r="L411" s="46"/>
      <c r="M411" s="46"/>
      <c r="N411" s="46"/>
      <c r="O411" s="46"/>
      <c r="P411" s="128"/>
      <c r="Q411" s="46"/>
      <c r="R411" s="46"/>
      <c r="S411" s="46"/>
      <c r="T411" s="131"/>
    </row>
    <row r="412" spans="1:20" x14ac:dyDescent="0.3">
      <c r="A412" s="128"/>
      <c r="B412" s="46"/>
      <c r="C412" s="46"/>
      <c r="D412" s="46"/>
      <c r="E412" s="46"/>
      <c r="F412" s="128"/>
      <c r="G412" s="46"/>
      <c r="H412" s="46"/>
      <c r="I412" s="46"/>
      <c r="J412" s="46"/>
      <c r="K412" s="128"/>
      <c r="L412" s="46"/>
      <c r="M412" s="46"/>
      <c r="N412" s="46"/>
      <c r="O412" s="46"/>
      <c r="P412" s="128"/>
      <c r="Q412" s="46"/>
      <c r="R412" s="46"/>
      <c r="S412" s="46"/>
      <c r="T412" s="131"/>
    </row>
    <row r="413" spans="1:20" x14ac:dyDescent="0.3">
      <c r="A413" s="128"/>
      <c r="B413" s="46"/>
      <c r="C413" s="46"/>
      <c r="D413" s="46"/>
      <c r="E413" s="46"/>
      <c r="F413" s="128"/>
      <c r="G413" s="46"/>
      <c r="H413" s="46"/>
      <c r="I413" s="46"/>
      <c r="J413" s="46"/>
      <c r="K413" s="128"/>
      <c r="L413" s="46"/>
      <c r="M413" s="46"/>
      <c r="N413" s="46"/>
      <c r="O413" s="46"/>
      <c r="P413" s="128"/>
      <c r="Q413" s="46"/>
      <c r="R413" s="46"/>
      <c r="S413" s="46"/>
      <c r="T413" s="131"/>
    </row>
    <row r="414" spans="1:20" x14ac:dyDescent="0.3">
      <c r="A414" s="128"/>
      <c r="B414" s="46"/>
      <c r="C414" s="46"/>
      <c r="D414" s="46"/>
      <c r="E414" s="46"/>
      <c r="F414" s="128"/>
      <c r="G414" s="46"/>
      <c r="H414" s="46"/>
      <c r="I414" s="46"/>
      <c r="J414" s="46"/>
      <c r="K414" s="128"/>
      <c r="L414" s="46"/>
      <c r="M414" s="46"/>
      <c r="N414" s="46"/>
      <c r="O414" s="46"/>
      <c r="P414" s="128"/>
      <c r="Q414" s="46"/>
      <c r="R414" s="46"/>
      <c r="S414" s="46"/>
      <c r="T414" s="131"/>
    </row>
    <row r="415" spans="1:20" x14ac:dyDescent="0.3">
      <c r="A415" s="128"/>
      <c r="B415" s="46"/>
      <c r="C415" s="46"/>
      <c r="D415" s="46"/>
      <c r="E415" s="46"/>
      <c r="F415" s="128"/>
      <c r="G415" s="46"/>
      <c r="H415" s="46"/>
      <c r="I415" s="46"/>
      <c r="J415" s="46"/>
      <c r="K415" s="128"/>
      <c r="L415" s="46"/>
      <c r="M415" s="46"/>
      <c r="N415" s="46"/>
      <c r="O415" s="46"/>
      <c r="P415" s="128"/>
      <c r="Q415" s="46"/>
      <c r="R415" s="46"/>
      <c r="S415" s="46"/>
      <c r="T415" s="131"/>
    </row>
    <row r="416" spans="1:20" x14ac:dyDescent="0.3">
      <c r="A416" s="128"/>
      <c r="B416" s="46"/>
      <c r="C416" s="46"/>
      <c r="D416" s="46"/>
      <c r="E416" s="46"/>
      <c r="F416" s="128"/>
      <c r="G416" s="46"/>
      <c r="H416" s="46"/>
      <c r="I416" s="46"/>
      <c r="J416" s="46"/>
      <c r="K416" s="128"/>
      <c r="L416" s="46"/>
      <c r="M416" s="46"/>
      <c r="N416" s="46"/>
      <c r="O416" s="46"/>
      <c r="P416" s="128"/>
      <c r="Q416" s="46"/>
      <c r="R416" s="46"/>
      <c r="S416" s="46"/>
      <c r="T416" s="131"/>
    </row>
    <row r="417" spans="1:20" x14ac:dyDescent="0.3">
      <c r="A417" s="128"/>
      <c r="B417" s="46"/>
      <c r="C417" s="46"/>
      <c r="D417" s="46"/>
      <c r="E417" s="46"/>
      <c r="F417" s="128"/>
      <c r="G417" s="46"/>
      <c r="H417" s="46"/>
      <c r="I417" s="46"/>
      <c r="J417" s="46"/>
      <c r="K417" s="128"/>
      <c r="L417" s="46"/>
      <c r="M417" s="46"/>
      <c r="N417" s="46"/>
      <c r="O417" s="46"/>
      <c r="P417" s="128"/>
      <c r="Q417" s="46"/>
      <c r="R417" s="46"/>
      <c r="S417" s="46"/>
      <c r="T417" s="131"/>
    </row>
    <row r="418" spans="1:20" x14ac:dyDescent="0.3">
      <c r="A418" s="128"/>
      <c r="B418" s="46"/>
      <c r="C418" s="46"/>
      <c r="D418" s="46"/>
      <c r="E418" s="46"/>
      <c r="F418" s="128"/>
      <c r="G418" s="46"/>
      <c r="H418" s="46"/>
      <c r="I418" s="46"/>
      <c r="J418" s="46"/>
      <c r="K418" s="128"/>
      <c r="L418" s="46"/>
      <c r="M418" s="46"/>
      <c r="N418" s="46"/>
      <c r="O418" s="46"/>
      <c r="P418" s="128"/>
      <c r="Q418" s="46"/>
      <c r="R418" s="46"/>
      <c r="S418" s="46"/>
      <c r="T418" s="131"/>
    </row>
    <row r="419" spans="1:20" x14ac:dyDescent="0.3">
      <c r="A419" s="128"/>
      <c r="B419" s="46"/>
      <c r="C419" s="46"/>
      <c r="D419" s="46"/>
      <c r="E419" s="46"/>
      <c r="F419" s="128"/>
      <c r="G419" s="46"/>
      <c r="H419" s="46"/>
      <c r="I419" s="46"/>
      <c r="J419" s="46"/>
      <c r="K419" s="128"/>
      <c r="L419" s="46"/>
      <c r="M419" s="46"/>
      <c r="N419" s="46"/>
      <c r="O419" s="46"/>
      <c r="P419" s="128"/>
      <c r="Q419" s="46"/>
      <c r="R419" s="46"/>
      <c r="S419" s="46"/>
      <c r="T419" s="131"/>
    </row>
    <row r="420" spans="1:20" x14ac:dyDescent="0.3">
      <c r="A420" s="128"/>
      <c r="B420" s="46"/>
      <c r="C420" s="46"/>
      <c r="D420" s="46"/>
      <c r="E420" s="46"/>
      <c r="F420" s="128"/>
      <c r="G420" s="46"/>
      <c r="H420" s="46"/>
      <c r="I420" s="46"/>
      <c r="J420" s="46"/>
      <c r="K420" s="128"/>
      <c r="L420" s="46"/>
      <c r="M420" s="46"/>
      <c r="N420" s="46"/>
      <c r="O420" s="46"/>
      <c r="P420" s="128"/>
      <c r="Q420" s="46"/>
      <c r="R420" s="46"/>
      <c r="S420" s="46"/>
      <c r="T420" s="131"/>
    </row>
    <row r="421" spans="1:20" x14ac:dyDescent="0.3">
      <c r="A421" s="128"/>
      <c r="B421" s="46"/>
      <c r="C421" s="46"/>
      <c r="D421" s="46"/>
      <c r="E421" s="46"/>
      <c r="F421" s="128"/>
      <c r="G421" s="46"/>
      <c r="H421" s="46"/>
      <c r="I421" s="46"/>
      <c r="J421" s="46"/>
      <c r="K421" s="128"/>
      <c r="L421" s="46"/>
      <c r="M421" s="46"/>
      <c r="N421" s="46"/>
      <c r="O421" s="46"/>
      <c r="P421" s="128"/>
      <c r="Q421" s="46"/>
      <c r="R421" s="46"/>
      <c r="S421" s="46"/>
      <c r="T421" s="131"/>
    </row>
    <row r="422" spans="1:20" x14ac:dyDescent="0.3">
      <c r="A422" s="128"/>
      <c r="B422" s="46"/>
      <c r="C422" s="46"/>
      <c r="D422" s="46"/>
      <c r="E422" s="46"/>
      <c r="F422" s="128"/>
      <c r="G422" s="46"/>
      <c r="H422" s="46"/>
      <c r="I422" s="46"/>
      <c r="J422" s="46"/>
      <c r="K422" s="128"/>
      <c r="L422" s="46"/>
      <c r="M422" s="46"/>
      <c r="N422" s="46"/>
      <c r="O422" s="46"/>
      <c r="P422" s="128"/>
      <c r="Q422" s="46"/>
      <c r="R422" s="46"/>
      <c r="S422" s="46"/>
      <c r="T422" s="131"/>
    </row>
    <row r="423" spans="1:20" x14ac:dyDescent="0.3">
      <c r="A423" s="128"/>
      <c r="B423" s="46"/>
      <c r="C423" s="46"/>
      <c r="D423" s="46"/>
      <c r="E423" s="46"/>
      <c r="F423" s="128"/>
      <c r="G423" s="46"/>
      <c r="H423" s="46"/>
      <c r="I423" s="46"/>
      <c r="J423" s="46"/>
      <c r="K423" s="128"/>
      <c r="L423" s="46"/>
      <c r="M423" s="46"/>
      <c r="N423" s="46"/>
      <c r="O423" s="46"/>
      <c r="P423" s="128"/>
      <c r="Q423" s="46"/>
      <c r="R423" s="46"/>
      <c r="S423" s="46"/>
      <c r="T423" s="131"/>
    </row>
    <row r="424" spans="1:20" x14ac:dyDescent="0.3">
      <c r="A424" s="128"/>
      <c r="B424" s="46"/>
      <c r="C424" s="46"/>
      <c r="D424" s="46"/>
      <c r="E424" s="46"/>
      <c r="F424" s="128"/>
      <c r="G424" s="46"/>
      <c r="H424" s="46"/>
      <c r="I424" s="46"/>
      <c r="J424" s="46"/>
      <c r="K424" s="128"/>
      <c r="L424" s="46"/>
      <c r="M424" s="46"/>
      <c r="N424" s="46"/>
      <c r="O424" s="46"/>
      <c r="P424" s="128"/>
      <c r="Q424" s="46"/>
      <c r="R424" s="46"/>
      <c r="S424" s="46"/>
      <c r="T424" s="131"/>
    </row>
    <row r="425" spans="1:20" x14ac:dyDescent="0.3">
      <c r="A425" s="128"/>
      <c r="B425" s="46"/>
      <c r="C425" s="46"/>
      <c r="D425" s="46"/>
      <c r="E425" s="46"/>
      <c r="F425" s="128"/>
      <c r="G425" s="46"/>
      <c r="H425" s="46"/>
      <c r="I425" s="46"/>
      <c r="J425" s="46"/>
      <c r="K425" s="128"/>
      <c r="L425" s="46"/>
      <c r="M425" s="46"/>
      <c r="N425" s="46"/>
      <c r="O425" s="46"/>
      <c r="P425" s="128"/>
      <c r="Q425" s="46"/>
      <c r="R425" s="46"/>
      <c r="S425" s="46"/>
      <c r="T425" s="131"/>
    </row>
    <row r="426" spans="1:20" x14ac:dyDescent="0.3">
      <c r="A426" s="128"/>
      <c r="B426" s="46"/>
      <c r="C426" s="46"/>
      <c r="D426" s="46"/>
      <c r="E426" s="46"/>
      <c r="F426" s="128"/>
      <c r="G426" s="46"/>
      <c r="H426" s="46"/>
      <c r="I426" s="46"/>
      <c r="J426" s="46"/>
      <c r="K426" s="128"/>
      <c r="L426" s="46"/>
      <c r="M426" s="46"/>
      <c r="N426" s="46"/>
      <c r="O426" s="46"/>
      <c r="P426" s="128"/>
      <c r="Q426" s="46"/>
      <c r="R426" s="46"/>
      <c r="S426" s="46"/>
      <c r="T426" s="131"/>
    </row>
    <row r="427" spans="1:20" x14ac:dyDescent="0.3">
      <c r="A427" s="128"/>
      <c r="B427" s="46"/>
      <c r="C427" s="46"/>
      <c r="D427" s="46"/>
      <c r="E427" s="46"/>
      <c r="F427" s="128"/>
      <c r="G427" s="46"/>
      <c r="H427" s="46"/>
      <c r="I427" s="46"/>
      <c r="J427" s="46"/>
      <c r="K427" s="128"/>
      <c r="L427" s="46"/>
      <c r="M427" s="46"/>
      <c r="N427" s="46"/>
      <c r="O427" s="46"/>
      <c r="P427" s="128"/>
      <c r="Q427" s="46"/>
      <c r="R427" s="46"/>
      <c r="S427" s="46"/>
      <c r="T427" s="131"/>
    </row>
    <row r="428" spans="1:20" x14ac:dyDescent="0.3">
      <c r="A428" s="128"/>
      <c r="B428" s="46"/>
      <c r="C428" s="46"/>
      <c r="D428" s="46"/>
      <c r="E428" s="46"/>
      <c r="F428" s="128"/>
      <c r="G428" s="46"/>
      <c r="H428" s="46"/>
      <c r="I428" s="46"/>
      <c r="J428" s="46"/>
      <c r="K428" s="128"/>
      <c r="L428" s="46"/>
      <c r="M428" s="46"/>
      <c r="N428" s="46"/>
      <c r="O428" s="46"/>
      <c r="P428" s="128"/>
      <c r="Q428" s="46"/>
      <c r="R428" s="46"/>
      <c r="S428" s="46"/>
      <c r="T428" s="131"/>
    </row>
    <row r="429" spans="1:20" x14ac:dyDescent="0.3">
      <c r="A429" s="128"/>
      <c r="B429" s="46"/>
      <c r="C429" s="46"/>
      <c r="D429" s="46"/>
      <c r="E429" s="46"/>
      <c r="F429" s="128"/>
      <c r="G429" s="46"/>
      <c r="H429" s="46"/>
      <c r="I429" s="46"/>
      <c r="J429" s="46"/>
      <c r="K429" s="128"/>
      <c r="L429" s="46"/>
      <c r="M429" s="46"/>
      <c r="N429" s="46"/>
      <c r="O429" s="46"/>
      <c r="P429" s="128"/>
      <c r="Q429" s="46"/>
      <c r="R429" s="46"/>
      <c r="S429" s="46"/>
      <c r="T429" s="131"/>
    </row>
    <row r="430" spans="1:20" x14ac:dyDescent="0.3">
      <c r="A430" s="128"/>
      <c r="B430" s="46"/>
      <c r="C430" s="46"/>
      <c r="D430" s="46"/>
      <c r="E430" s="46"/>
      <c r="F430" s="128"/>
      <c r="G430" s="46"/>
      <c r="H430" s="46"/>
      <c r="I430" s="46"/>
      <c r="J430" s="46"/>
      <c r="K430" s="128"/>
      <c r="L430" s="46"/>
      <c r="M430" s="46"/>
      <c r="N430" s="46"/>
      <c r="O430" s="46"/>
      <c r="P430" s="128"/>
      <c r="Q430" s="46"/>
      <c r="R430" s="46"/>
      <c r="S430" s="46"/>
      <c r="T430" s="131"/>
    </row>
    <row r="431" spans="1:20" x14ac:dyDescent="0.3">
      <c r="A431" s="128"/>
      <c r="B431" s="46"/>
      <c r="C431" s="46"/>
      <c r="D431" s="46"/>
      <c r="E431" s="46"/>
      <c r="F431" s="128"/>
      <c r="G431" s="46"/>
      <c r="H431" s="46"/>
      <c r="I431" s="46"/>
      <c r="J431" s="46"/>
      <c r="K431" s="128"/>
      <c r="L431" s="46"/>
      <c r="M431" s="46"/>
      <c r="N431" s="46"/>
      <c r="O431" s="46"/>
      <c r="P431" s="128"/>
      <c r="Q431" s="46"/>
      <c r="R431" s="46"/>
      <c r="S431" s="46"/>
      <c r="T431" s="131"/>
    </row>
    <row r="432" spans="1:20" x14ac:dyDescent="0.3">
      <c r="A432" s="128"/>
      <c r="B432" s="46"/>
      <c r="C432" s="46"/>
      <c r="D432" s="46"/>
      <c r="E432" s="46"/>
      <c r="F432" s="128"/>
      <c r="G432" s="46"/>
      <c r="H432" s="46"/>
      <c r="I432" s="46"/>
      <c r="J432" s="46"/>
      <c r="K432" s="128"/>
      <c r="L432" s="46"/>
      <c r="M432" s="46"/>
      <c r="N432" s="46"/>
      <c r="O432" s="46"/>
      <c r="P432" s="128"/>
      <c r="Q432" s="46"/>
      <c r="R432" s="46"/>
      <c r="S432" s="46"/>
      <c r="T432" s="131"/>
    </row>
    <row r="433" spans="1:20" x14ac:dyDescent="0.3">
      <c r="A433" s="128"/>
      <c r="B433" s="46"/>
      <c r="C433" s="46"/>
      <c r="D433" s="46"/>
      <c r="E433" s="46"/>
      <c r="F433" s="128"/>
      <c r="G433" s="46"/>
      <c r="H433" s="46"/>
      <c r="I433" s="46"/>
      <c r="J433" s="46"/>
      <c r="K433" s="128"/>
      <c r="L433" s="46"/>
      <c r="M433" s="46"/>
      <c r="N433" s="46"/>
      <c r="O433" s="46"/>
      <c r="P433" s="128"/>
      <c r="Q433" s="46"/>
      <c r="R433" s="46"/>
      <c r="S433" s="46"/>
      <c r="T433" s="131"/>
    </row>
    <row r="434" spans="1:20" x14ac:dyDescent="0.3">
      <c r="A434" s="128"/>
      <c r="B434" s="46"/>
      <c r="C434" s="46"/>
      <c r="D434" s="46"/>
      <c r="E434" s="46"/>
      <c r="F434" s="128"/>
      <c r="G434" s="46"/>
      <c r="H434" s="46"/>
      <c r="I434" s="46"/>
      <c r="J434" s="46"/>
      <c r="K434" s="128"/>
      <c r="L434" s="46"/>
      <c r="M434" s="46"/>
      <c r="N434" s="46"/>
      <c r="O434" s="46"/>
      <c r="P434" s="128"/>
      <c r="Q434" s="46"/>
      <c r="R434" s="46"/>
      <c r="S434" s="46"/>
      <c r="T434" s="131"/>
    </row>
    <row r="435" spans="1:20" x14ac:dyDescent="0.3">
      <c r="A435" s="128"/>
      <c r="B435" s="46"/>
      <c r="C435" s="46"/>
      <c r="D435" s="46"/>
      <c r="E435" s="46"/>
      <c r="F435" s="128"/>
      <c r="G435" s="46"/>
      <c r="H435" s="46"/>
      <c r="I435" s="46"/>
      <c r="J435" s="46"/>
      <c r="K435" s="128"/>
      <c r="L435" s="46"/>
      <c r="M435" s="46"/>
      <c r="N435" s="46"/>
      <c r="O435" s="46"/>
      <c r="P435" s="128"/>
      <c r="Q435" s="46"/>
      <c r="R435" s="46"/>
      <c r="S435" s="46"/>
      <c r="T435" s="131"/>
    </row>
    <row r="436" spans="1:20" x14ac:dyDescent="0.3">
      <c r="A436" s="128"/>
      <c r="B436" s="46"/>
      <c r="C436" s="46"/>
      <c r="D436" s="46"/>
      <c r="E436" s="46"/>
      <c r="F436" s="128"/>
      <c r="G436" s="46"/>
      <c r="H436" s="46"/>
      <c r="I436" s="46"/>
      <c r="J436" s="46"/>
      <c r="K436" s="128"/>
      <c r="L436" s="46"/>
      <c r="M436" s="46"/>
      <c r="N436" s="46"/>
      <c r="O436" s="46"/>
      <c r="P436" s="128"/>
      <c r="Q436" s="46"/>
      <c r="R436" s="46"/>
      <c r="S436" s="46"/>
      <c r="T436" s="131"/>
    </row>
    <row r="437" spans="1:20" x14ac:dyDescent="0.3">
      <c r="A437" s="128"/>
      <c r="B437" s="46"/>
      <c r="C437" s="46"/>
      <c r="D437" s="46"/>
      <c r="E437" s="46"/>
      <c r="F437" s="128"/>
      <c r="G437" s="46"/>
      <c r="H437" s="46"/>
      <c r="I437" s="46"/>
      <c r="J437" s="46"/>
      <c r="K437" s="128"/>
      <c r="L437" s="46"/>
      <c r="M437" s="46"/>
      <c r="N437" s="46"/>
      <c r="O437" s="46"/>
      <c r="P437" s="128"/>
      <c r="Q437" s="46"/>
      <c r="R437" s="46"/>
      <c r="S437" s="46"/>
      <c r="T437" s="131"/>
    </row>
    <row r="438" spans="1:20" x14ac:dyDescent="0.3">
      <c r="A438" s="128"/>
      <c r="B438" s="46"/>
      <c r="C438" s="46"/>
      <c r="D438" s="46"/>
      <c r="E438" s="46"/>
      <c r="F438" s="128"/>
      <c r="G438" s="46"/>
      <c r="H438" s="46"/>
      <c r="I438" s="46"/>
      <c r="J438" s="46"/>
      <c r="K438" s="128"/>
      <c r="L438" s="46"/>
      <c r="M438" s="46"/>
      <c r="N438" s="46"/>
      <c r="O438" s="46"/>
      <c r="P438" s="128"/>
      <c r="Q438" s="46"/>
      <c r="R438" s="46"/>
      <c r="S438" s="46"/>
      <c r="T438" s="131"/>
    </row>
    <row r="439" spans="1:20" x14ac:dyDescent="0.3">
      <c r="A439" s="128"/>
      <c r="B439" s="46"/>
      <c r="C439" s="46"/>
      <c r="D439" s="46"/>
      <c r="E439" s="46"/>
      <c r="F439" s="128"/>
      <c r="G439" s="46"/>
      <c r="H439" s="46"/>
      <c r="I439" s="46"/>
      <c r="J439" s="46"/>
      <c r="K439" s="128"/>
      <c r="L439" s="46"/>
      <c r="M439" s="46"/>
      <c r="N439" s="46"/>
      <c r="O439" s="46"/>
      <c r="P439" s="128"/>
      <c r="Q439" s="46"/>
      <c r="R439" s="46"/>
      <c r="S439" s="46"/>
      <c r="T439" s="131"/>
    </row>
    <row r="440" spans="1:20" x14ac:dyDescent="0.3">
      <c r="A440" s="128"/>
      <c r="B440" s="46"/>
      <c r="C440" s="46"/>
      <c r="D440" s="46"/>
      <c r="E440" s="46"/>
      <c r="F440" s="128"/>
      <c r="G440" s="46"/>
      <c r="H440" s="46"/>
      <c r="I440" s="46"/>
      <c r="J440" s="46"/>
      <c r="K440" s="128"/>
      <c r="L440" s="46"/>
      <c r="M440" s="46"/>
      <c r="N440" s="46"/>
      <c r="O440" s="46"/>
      <c r="P440" s="128"/>
      <c r="Q440" s="46"/>
      <c r="R440" s="46"/>
      <c r="S440" s="46"/>
      <c r="T440" s="131"/>
    </row>
    <row r="441" spans="1:20" x14ac:dyDescent="0.3">
      <c r="A441" s="128"/>
      <c r="B441" s="46"/>
      <c r="C441" s="46"/>
      <c r="D441" s="46"/>
      <c r="E441" s="46"/>
      <c r="F441" s="128"/>
      <c r="G441" s="46"/>
      <c r="H441" s="46"/>
      <c r="I441" s="46"/>
      <c r="J441" s="46"/>
      <c r="K441" s="128"/>
      <c r="L441" s="46"/>
      <c r="M441" s="46"/>
      <c r="N441" s="46"/>
      <c r="O441" s="46"/>
      <c r="P441" s="128"/>
      <c r="Q441" s="46"/>
      <c r="R441" s="46"/>
      <c r="S441" s="46"/>
      <c r="T441" s="131"/>
    </row>
    <row r="442" spans="1:20" x14ac:dyDescent="0.3">
      <c r="A442" s="128"/>
      <c r="B442" s="46"/>
      <c r="C442" s="46"/>
      <c r="D442" s="46"/>
      <c r="E442" s="46"/>
      <c r="F442" s="128"/>
      <c r="G442" s="46"/>
      <c r="H442" s="46"/>
      <c r="I442" s="46"/>
      <c r="J442" s="46"/>
      <c r="K442" s="128"/>
      <c r="L442" s="46"/>
      <c r="M442" s="46"/>
      <c r="N442" s="46"/>
      <c r="O442" s="46"/>
      <c r="P442" s="128"/>
      <c r="Q442" s="46"/>
      <c r="R442" s="46"/>
      <c r="S442" s="46"/>
      <c r="T442" s="131"/>
    </row>
    <row r="443" spans="1:20" x14ac:dyDescent="0.3">
      <c r="A443" s="128"/>
      <c r="B443" s="46"/>
      <c r="C443" s="46"/>
      <c r="D443" s="46"/>
      <c r="E443" s="46"/>
      <c r="F443" s="128"/>
      <c r="G443" s="46"/>
      <c r="H443" s="46"/>
      <c r="I443" s="46"/>
      <c r="J443" s="46"/>
      <c r="K443" s="128"/>
      <c r="L443" s="46"/>
      <c r="M443" s="46"/>
      <c r="N443" s="46"/>
      <c r="O443" s="46"/>
      <c r="P443" s="128"/>
      <c r="Q443" s="46"/>
      <c r="R443" s="46"/>
      <c r="S443" s="46"/>
      <c r="T443" s="131"/>
    </row>
    <row r="444" spans="1:20" x14ac:dyDescent="0.3">
      <c r="A444" s="128"/>
      <c r="B444" s="46"/>
      <c r="C444" s="46"/>
      <c r="D444" s="46"/>
      <c r="E444" s="46"/>
      <c r="F444" s="128"/>
      <c r="G444" s="46"/>
      <c r="H444" s="46"/>
      <c r="I444" s="46"/>
      <c r="J444" s="46"/>
      <c r="K444" s="128"/>
      <c r="L444" s="46"/>
      <c r="M444" s="46"/>
      <c r="N444" s="46"/>
      <c r="O444" s="46"/>
      <c r="P444" s="128"/>
      <c r="Q444" s="46"/>
      <c r="R444" s="46"/>
      <c r="S444" s="46"/>
      <c r="T444" s="131"/>
    </row>
    <row r="445" spans="1:20" x14ac:dyDescent="0.3">
      <c r="A445" s="128"/>
      <c r="B445" s="46"/>
      <c r="C445" s="46"/>
      <c r="D445" s="46"/>
      <c r="E445" s="46"/>
      <c r="F445" s="128"/>
      <c r="G445" s="46"/>
      <c r="H445" s="46"/>
      <c r="I445" s="46"/>
      <c r="J445" s="46"/>
      <c r="K445" s="128"/>
      <c r="L445" s="46"/>
      <c r="M445" s="46"/>
      <c r="N445" s="46"/>
      <c r="O445" s="46"/>
      <c r="P445" s="128"/>
      <c r="Q445" s="46"/>
      <c r="R445" s="46"/>
      <c r="S445" s="46"/>
      <c r="T445" s="131"/>
    </row>
    <row r="446" spans="1:20" x14ac:dyDescent="0.3">
      <c r="A446" s="128"/>
      <c r="B446" s="46"/>
      <c r="C446" s="46"/>
      <c r="D446" s="46"/>
      <c r="E446" s="46"/>
      <c r="F446" s="128"/>
      <c r="G446" s="46"/>
      <c r="H446" s="46"/>
      <c r="I446" s="46"/>
      <c r="J446" s="46"/>
      <c r="K446" s="128"/>
      <c r="L446" s="46"/>
      <c r="M446" s="46"/>
      <c r="N446" s="46"/>
      <c r="O446" s="46"/>
      <c r="P446" s="128"/>
      <c r="Q446" s="46"/>
      <c r="R446" s="46"/>
      <c r="S446" s="46"/>
      <c r="T446" s="131"/>
    </row>
    <row r="447" spans="1:20" x14ac:dyDescent="0.3">
      <c r="A447" s="128"/>
      <c r="B447" s="46"/>
      <c r="C447" s="46"/>
      <c r="D447" s="46"/>
      <c r="E447" s="46"/>
      <c r="F447" s="128"/>
      <c r="G447" s="46"/>
      <c r="H447" s="46"/>
      <c r="I447" s="46"/>
      <c r="J447" s="46"/>
      <c r="K447" s="128"/>
      <c r="L447" s="46"/>
      <c r="M447" s="46"/>
      <c r="N447" s="46"/>
      <c r="O447" s="46"/>
      <c r="P447" s="128"/>
      <c r="Q447" s="46"/>
      <c r="R447" s="46"/>
      <c r="S447" s="46"/>
      <c r="T447" s="131"/>
    </row>
    <row r="448" spans="1:20" x14ac:dyDescent="0.3">
      <c r="A448" s="128"/>
      <c r="B448" s="46"/>
      <c r="C448" s="46"/>
      <c r="D448" s="46"/>
      <c r="E448" s="46"/>
      <c r="F448" s="128"/>
      <c r="G448" s="46"/>
      <c r="H448" s="46"/>
      <c r="I448" s="46"/>
      <c r="J448" s="46"/>
      <c r="K448" s="128"/>
      <c r="L448" s="46"/>
      <c r="M448" s="46"/>
      <c r="N448" s="46"/>
      <c r="O448" s="46"/>
      <c r="P448" s="128"/>
      <c r="Q448" s="46"/>
      <c r="R448" s="46"/>
      <c r="S448" s="46"/>
      <c r="T448" s="131"/>
    </row>
    <row r="449" spans="1:20" x14ac:dyDescent="0.3">
      <c r="A449" s="128"/>
      <c r="B449" s="46"/>
      <c r="C449" s="46"/>
      <c r="D449" s="46"/>
      <c r="E449" s="46"/>
      <c r="F449" s="128"/>
      <c r="G449" s="46"/>
      <c r="H449" s="46"/>
      <c r="I449" s="46"/>
      <c r="J449" s="46"/>
      <c r="K449" s="128"/>
      <c r="L449" s="46"/>
      <c r="M449" s="46"/>
      <c r="N449" s="46"/>
      <c r="O449" s="46"/>
      <c r="P449" s="128"/>
      <c r="Q449" s="46"/>
      <c r="R449" s="46"/>
      <c r="S449" s="46"/>
      <c r="T449" s="131"/>
    </row>
    <row r="450" spans="1:20" x14ac:dyDescent="0.3">
      <c r="A450" s="128"/>
      <c r="B450" s="46"/>
      <c r="C450" s="46"/>
      <c r="D450" s="46"/>
      <c r="E450" s="46"/>
      <c r="F450" s="128"/>
      <c r="G450" s="46"/>
      <c r="H450" s="46"/>
      <c r="I450" s="46"/>
      <c r="J450" s="46"/>
      <c r="K450" s="128"/>
      <c r="L450" s="46"/>
      <c r="M450" s="46"/>
      <c r="N450" s="46"/>
      <c r="O450" s="46"/>
      <c r="P450" s="128"/>
      <c r="Q450" s="46"/>
      <c r="R450" s="46"/>
      <c r="S450" s="46"/>
      <c r="T450" s="131"/>
    </row>
    <row r="451" spans="1:20" x14ac:dyDescent="0.3">
      <c r="A451" s="128"/>
      <c r="B451" s="46"/>
      <c r="C451" s="46"/>
      <c r="D451" s="46"/>
      <c r="E451" s="46"/>
      <c r="F451" s="128"/>
      <c r="G451" s="46"/>
      <c r="H451" s="46"/>
      <c r="I451" s="46"/>
      <c r="J451" s="46"/>
      <c r="K451" s="128"/>
      <c r="L451" s="46"/>
      <c r="M451" s="46"/>
      <c r="N451" s="46"/>
      <c r="O451" s="46"/>
      <c r="P451" s="128"/>
      <c r="Q451" s="46"/>
      <c r="R451" s="46"/>
      <c r="S451" s="46"/>
      <c r="T451" s="131"/>
    </row>
    <row r="452" spans="1:20" x14ac:dyDescent="0.3">
      <c r="A452" s="128"/>
      <c r="B452" s="46"/>
      <c r="C452" s="46"/>
      <c r="D452" s="46"/>
      <c r="E452" s="46"/>
      <c r="F452" s="128"/>
      <c r="G452" s="46"/>
      <c r="H452" s="46"/>
      <c r="I452" s="46"/>
      <c r="J452" s="46"/>
      <c r="K452" s="128"/>
      <c r="L452" s="46"/>
      <c r="M452" s="46"/>
      <c r="N452" s="46"/>
      <c r="O452" s="46"/>
      <c r="P452" s="128"/>
      <c r="Q452" s="46"/>
      <c r="R452" s="46"/>
      <c r="S452" s="46"/>
      <c r="T452" s="131"/>
    </row>
    <row r="453" spans="1:20" x14ac:dyDescent="0.3">
      <c r="A453" s="128"/>
      <c r="B453" s="46"/>
      <c r="C453" s="46"/>
      <c r="D453" s="46"/>
      <c r="E453" s="46"/>
      <c r="F453" s="128"/>
      <c r="G453" s="46"/>
      <c r="H453" s="46"/>
      <c r="I453" s="46"/>
      <c r="J453" s="46"/>
      <c r="K453" s="128"/>
      <c r="L453" s="46"/>
      <c r="M453" s="46"/>
      <c r="N453" s="46"/>
      <c r="O453" s="46"/>
      <c r="P453" s="128"/>
      <c r="Q453" s="46"/>
      <c r="R453" s="46"/>
      <c r="S453" s="46"/>
      <c r="T453" s="131"/>
    </row>
    <row r="454" spans="1:20" x14ac:dyDescent="0.3">
      <c r="A454" s="128"/>
      <c r="B454" s="46"/>
      <c r="C454" s="46"/>
      <c r="D454" s="46"/>
      <c r="E454" s="46"/>
      <c r="F454" s="128"/>
      <c r="G454" s="46"/>
      <c r="H454" s="46"/>
      <c r="I454" s="46"/>
      <c r="J454" s="46"/>
      <c r="K454" s="128"/>
      <c r="L454" s="46"/>
      <c r="M454" s="46"/>
      <c r="N454" s="46"/>
      <c r="O454" s="46"/>
      <c r="P454" s="128"/>
      <c r="Q454" s="46"/>
      <c r="R454" s="46"/>
      <c r="S454" s="46"/>
      <c r="T454" s="131"/>
    </row>
    <row r="455" spans="1:20" x14ac:dyDescent="0.3">
      <c r="A455" s="128"/>
      <c r="B455" s="46"/>
      <c r="C455" s="46"/>
      <c r="D455" s="46"/>
      <c r="E455" s="46"/>
      <c r="F455" s="128"/>
      <c r="G455" s="46"/>
      <c r="H455" s="46"/>
      <c r="I455" s="46"/>
      <c r="J455" s="46"/>
      <c r="K455" s="128"/>
      <c r="L455" s="46"/>
      <c r="M455" s="46"/>
      <c r="N455" s="46"/>
      <c r="O455" s="46"/>
      <c r="P455" s="128"/>
      <c r="Q455" s="46"/>
      <c r="R455" s="46"/>
      <c r="S455" s="46"/>
      <c r="T455" s="131"/>
    </row>
    <row r="456" spans="1:20" x14ac:dyDescent="0.3">
      <c r="A456" s="128"/>
      <c r="B456" s="46"/>
      <c r="C456" s="46"/>
      <c r="D456" s="46"/>
      <c r="E456" s="46"/>
      <c r="F456" s="128"/>
      <c r="G456" s="46"/>
      <c r="H456" s="46"/>
      <c r="I456" s="46"/>
      <c r="J456" s="46"/>
      <c r="K456" s="128"/>
      <c r="L456" s="46"/>
      <c r="M456" s="46"/>
      <c r="N456" s="46"/>
      <c r="O456" s="46"/>
      <c r="P456" s="128"/>
      <c r="Q456" s="46"/>
      <c r="R456" s="46"/>
      <c r="S456" s="46"/>
      <c r="T456" s="131"/>
    </row>
    <row r="457" spans="1:20" x14ac:dyDescent="0.3">
      <c r="A457" s="128"/>
      <c r="B457" s="46"/>
      <c r="C457" s="46"/>
      <c r="D457" s="46"/>
      <c r="E457" s="46"/>
      <c r="F457" s="128"/>
      <c r="G457" s="46"/>
      <c r="H457" s="46"/>
      <c r="I457" s="46"/>
      <c r="J457" s="46"/>
      <c r="K457" s="128"/>
      <c r="L457" s="46"/>
      <c r="M457" s="46"/>
      <c r="N457" s="46"/>
      <c r="O457" s="46"/>
      <c r="P457" s="128"/>
      <c r="Q457" s="46"/>
      <c r="R457" s="46"/>
      <c r="S457" s="46"/>
      <c r="T457" s="131"/>
    </row>
    <row r="458" spans="1:20" x14ac:dyDescent="0.3">
      <c r="A458" s="128"/>
      <c r="B458" s="46"/>
      <c r="C458" s="46"/>
      <c r="D458" s="46"/>
      <c r="E458" s="46"/>
      <c r="F458" s="128"/>
      <c r="G458" s="46"/>
      <c r="H458" s="46"/>
      <c r="I458" s="46"/>
      <c r="J458" s="46"/>
      <c r="K458" s="128"/>
      <c r="L458" s="46"/>
      <c r="M458" s="46"/>
      <c r="N458" s="46"/>
      <c r="O458" s="46"/>
      <c r="P458" s="128"/>
      <c r="Q458" s="46"/>
      <c r="R458" s="46"/>
      <c r="S458" s="46"/>
      <c r="T458" s="131"/>
    </row>
    <row r="459" spans="1:20" x14ac:dyDescent="0.3">
      <c r="A459" s="128"/>
      <c r="B459" s="46"/>
      <c r="C459" s="46"/>
      <c r="D459" s="46"/>
      <c r="E459" s="46"/>
      <c r="F459" s="128"/>
      <c r="G459" s="46"/>
      <c r="H459" s="46"/>
      <c r="I459" s="46"/>
      <c r="J459" s="46"/>
      <c r="K459" s="128"/>
      <c r="L459" s="46"/>
      <c r="M459" s="46"/>
      <c r="N459" s="46"/>
      <c r="O459" s="46"/>
      <c r="P459" s="128"/>
      <c r="Q459" s="46"/>
      <c r="R459" s="46"/>
      <c r="S459" s="46"/>
      <c r="T459" s="131"/>
    </row>
    <row r="460" spans="1:20" x14ac:dyDescent="0.3">
      <c r="A460" s="128"/>
      <c r="B460" s="46"/>
      <c r="C460" s="46"/>
      <c r="D460" s="46"/>
      <c r="E460" s="46"/>
      <c r="F460" s="128"/>
      <c r="G460" s="46"/>
      <c r="H460" s="46"/>
      <c r="I460" s="46"/>
      <c r="J460" s="46"/>
      <c r="K460" s="128"/>
      <c r="L460" s="46"/>
      <c r="M460" s="46"/>
      <c r="N460" s="46"/>
      <c r="O460" s="46"/>
      <c r="P460" s="128"/>
      <c r="Q460" s="46"/>
      <c r="R460" s="46"/>
      <c r="S460" s="46"/>
      <c r="T460" s="131"/>
    </row>
    <row r="461" spans="1:20" x14ac:dyDescent="0.3">
      <c r="A461" s="128"/>
      <c r="B461" s="46"/>
      <c r="C461" s="46"/>
      <c r="D461" s="46"/>
      <c r="E461" s="46"/>
      <c r="F461" s="128"/>
      <c r="G461" s="46"/>
      <c r="H461" s="46"/>
      <c r="I461" s="46"/>
      <c r="J461" s="46"/>
      <c r="K461" s="128"/>
      <c r="L461" s="46"/>
      <c r="M461" s="46"/>
      <c r="N461" s="46"/>
      <c r="O461" s="46"/>
      <c r="P461" s="128"/>
      <c r="Q461" s="46"/>
      <c r="R461" s="46"/>
      <c r="S461" s="46"/>
      <c r="T461" s="131"/>
    </row>
    <row r="462" spans="1:20" x14ac:dyDescent="0.3">
      <c r="A462" s="128"/>
      <c r="B462" s="46"/>
      <c r="C462" s="46"/>
      <c r="D462" s="46"/>
      <c r="E462" s="46"/>
      <c r="F462" s="128"/>
      <c r="G462" s="46"/>
      <c r="H462" s="46"/>
      <c r="I462" s="46"/>
      <c r="J462" s="46"/>
      <c r="K462" s="128"/>
      <c r="L462" s="46"/>
      <c r="M462" s="46"/>
      <c r="N462" s="46"/>
      <c r="O462" s="46"/>
      <c r="P462" s="128"/>
      <c r="Q462" s="46"/>
      <c r="R462" s="46"/>
      <c r="S462" s="46"/>
      <c r="T462" s="131"/>
    </row>
    <row r="463" spans="1:20" x14ac:dyDescent="0.3">
      <c r="A463" s="128"/>
      <c r="B463" s="46"/>
      <c r="C463" s="46"/>
      <c r="D463" s="46"/>
      <c r="E463" s="46"/>
      <c r="F463" s="128"/>
      <c r="G463" s="46"/>
      <c r="H463" s="46"/>
      <c r="I463" s="46"/>
      <c r="J463" s="46"/>
      <c r="K463" s="128"/>
      <c r="L463" s="46"/>
      <c r="M463" s="46"/>
      <c r="N463" s="46"/>
      <c r="O463" s="46"/>
      <c r="P463" s="128"/>
      <c r="Q463" s="46"/>
      <c r="R463" s="46"/>
      <c r="S463" s="46"/>
      <c r="T463" s="131"/>
    </row>
    <row r="464" spans="1:20" x14ac:dyDescent="0.3">
      <c r="A464" s="128"/>
      <c r="B464" s="46"/>
      <c r="C464" s="46"/>
      <c r="D464" s="46"/>
      <c r="E464" s="46"/>
      <c r="F464" s="128"/>
      <c r="G464" s="46"/>
      <c r="H464" s="46"/>
      <c r="I464" s="46"/>
      <c r="J464" s="46"/>
      <c r="K464" s="128"/>
      <c r="L464" s="46"/>
      <c r="M464" s="46"/>
      <c r="N464" s="46"/>
      <c r="O464" s="46"/>
      <c r="P464" s="128"/>
      <c r="Q464" s="46"/>
      <c r="R464" s="46"/>
      <c r="S464" s="46"/>
      <c r="T464" s="131"/>
    </row>
    <row r="465" spans="1:20" x14ac:dyDescent="0.3">
      <c r="A465" s="128"/>
      <c r="B465" s="46"/>
      <c r="C465" s="46"/>
      <c r="D465" s="46"/>
      <c r="E465" s="46"/>
      <c r="F465" s="128"/>
      <c r="G465" s="46"/>
      <c r="H465" s="46"/>
      <c r="I465" s="46"/>
      <c r="J465" s="46"/>
      <c r="K465" s="128"/>
      <c r="L465" s="46"/>
      <c r="M465" s="46"/>
      <c r="N465" s="46"/>
      <c r="O465" s="46"/>
      <c r="P465" s="128"/>
      <c r="Q465" s="46"/>
      <c r="R465" s="46"/>
      <c r="S465" s="46"/>
      <c r="T465" s="131"/>
    </row>
    <row r="466" spans="1:20" x14ac:dyDescent="0.3">
      <c r="A466" s="128"/>
      <c r="B466" s="46"/>
      <c r="C466" s="46"/>
      <c r="D466" s="46"/>
      <c r="E466" s="46"/>
      <c r="F466" s="128"/>
      <c r="G466" s="46"/>
      <c r="H466" s="46"/>
      <c r="I466" s="46"/>
      <c r="J466" s="46"/>
      <c r="K466" s="128"/>
      <c r="L466" s="46"/>
      <c r="M466" s="46"/>
      <c r="N466" s="46"/>
      <c r="O466" s="46"/>
      <c r="P466" s="128"/>
      <c r="Q466" s="46"/>
      <c r="R466" s="46"/>
      <c r="S466" s="46"/>
      <c r="T466" s="131"/>
    </row>
    <row r="467" spans="1:20" x14ac:dyDescent="0.3">
      <c r="A467" s="128"/>
      <c r="B467" s="46"/>
      <c r="C467" s="46"/>
      <c r="D467" s="46"/>
      <c r="E467" s="46"/>
      <c r="F467" s="128"/>
      <c r="G467" s="46"/>
      <c r="H467" s="46"/>
      <c r="I467" s="46"/>
      <c r="J467" s="46"/>
      <c r="K467" s="128"/>
      <c r="L467" s="46"/>
      <c r="M467" s="46"/>
      <c r="N467" s="46"/>
      <c r="O467" s="46"/>
      <c r="P467" s="128"/>
      <c r="Q467" s="46"/>
      <c r="R467" s="46"/>
      <c r="S467" s="46"/>
      <c r="T467" s="131"/>
    </row>
    <row r="468" spans="1:20" x14ac:dyDescent="0.3">
      <c r="A468" s="128"/>
      <c r="B468" s="46"/>
      <c r="C468" s="46"/>
      <c r="D468" s="46"/>
      <c r="E468" s="46"/>
      <c r="F468" s="128"/>
      <c r="G468" s="46"/>
      <c r="H468" s="46"/>
      <c r="I468" s="46"/>
      <c r="J468" s="46"/>
      <c r="K468" s="128"/>
      <c r="L468" s="46"/>
      <c r="M468" s="46"/>
      <c r="N468" s="46"/>
      <c r="O468" s="46"/>
      <c r="P468" s="128"/>
      <c r="Q468" s="46"/>
      <c r="R468" s="46"/>
      <c r="S468" s="46"/>
      <c r="T468" s="131"/>
    </row>
    <row r="469" spans="1:20" x14ac:dyDescent="0.3">
      <c r="A469" s="128"/>
      <c r="B469" s="46"/>
      <c r="C469" s="46"/>
      <c r="D469" s="46"/>
      <c r="E469" s="46"/>
      <c r="F469" s="128"/>
      <c r="G469" s="46"/>
      <c r="H469" s="46"/>
      <c r="I469" s="46"/>
      <c r="J469" s="46"/>
      <c r="K469" s="128"/>
      <c r="L469" s="46"/>
      <c r="M469" s="46"/>
      <c r="N469" s="46"/>
      <c r="O469" s="46"/>
      <c r="P469" s="128"/>
      <c r="Q469" s="46"/>
      <c r="R469" s="46"/>
      <c r="S469" s="46"/>
      <c r="T469" s="131"/>
    </row>
    <row r="470" spans="1:20" x14ac:dyDescent="0.3">
      <c r="A470" s="128"/>
      <c r="B470" s="46"/>
      <c r="C470" s="46"/>
      <c r="D470" s="46"/>
      <c r="E470" s="46"/>
      <c r="F470" s="128"/>
      <c r="G470" s="46"/>
      <c r="H470" s="46"/>
      <c r="I470" s="46"/>
      <c r="J470" s="46"/>
      <c r="K470" s="128"/>
      <c r="L470" s="46"/>
      <c r="M470" s="46"/>
      <c r="N470" s="46"/>
      <c r="O470" s="46"/>
      <c r="P470" s="128"/>
      <c r="Q470" s="46"/>
      <c r="R470" s="46"/>
      <c r="S470" s="46"/>
      <c r="T470" s="131"/>
    </row>
    <row r="471" spans="1:20" x14ac:dyDescent="0.3">
      <c r="A471" s="128"/>
      <c r="B471" s="46"/>
      <c r="C471" s="46"/>
      <c r="D471" s="46"/>
      <c r="E471" s="46"/>
      <c r="F471" s="128"/>
      <c r="G471" s="46"/>
      <c r="H471" s="46"/>
      <c r="I471" s="46"/>
      <c r="J471" s="46"/>
      <c r="K471" s="128"/>
      <c r="L471" s="46"/>
      <c r="M471" s="46"/>
      <c r="N471" s="46"/>
      <c r="O471" s="46"/>
      <c r="P471" s="128"/>
      <c r="Q471" s="46"/>
      <c r="R471" s="46"/>
      <c r="S471" s="46"/>
      <c r="T471" s="131"/>
    </row>
    <row r="472" spans="1:20" x14ac:dyDescent="0.3">
      <c r="A472" s="128"/>
      <c r="B472" s="46"/>
      <c r="C472" s="46"/>
      <c r="D472" s="46"/>
      <c r="E472" s="46"/>
      <c r="F472" s="128"/>
      <c r="G472" s="46"/>
      <c r="H472" s="46"/>
      <c r="I472" s="46"/>
      <c r="J472" s="46"/>
      <c r="K472" s="128"/>
      <c r="L472" s="46"/>
      <c r="M472" s="46"/>
      <c r="N472" s="46"/>
      <c r="O472" s="46"/>
      <c r="P472" s="128"/>
      <c r="Q472" s="46"/>
      <c r="R472" s="46"/>
      <c r="S472" s="46"/>
      <c r="T472" s="131"/>
    </row>
    <row r="473" spans="1:20" x14ac:dyDescent="0.3">
      <c r="A473" s="128"/>
      <c r="B473" s="46"/>
      <c r="C473" s="46"/>
      <c r="D473" s="46"/>
      <c r="E473" s="46"/>
      <c r="F473" s="128"/>
      <c r="G473" s="46"/>
      <c r="H473" s="46"/>
      <c r="I473" s="46"/>
      <c r="J473" s="46"/>
      <c r="K473" s="128"/>
      <c r="L473" s="46"/>
      <c r="M473" s="46"/>
      <c r="N473" s="46"/>
      <c r="O473" s="46"/>
      <c r="P473" s="128"/>
      <c r="Q473" s="46"/>
      <c r="R473" s="46"/>
      <c r="S473" s="46"/>
      <c r="T473" s="131"/>
    </row>
    <row r="474" spans="1:20" x14ac:dyDescent="0.3">
      <c r="A474" s="128"/>
      <c r="B474" s="46"/>
      <c r="C474" s="46"/>
      <c r="D474" s="46"/>
      <c r="E474" s="46"/>
      <c r="F474" s="128"/>
      <c r="G474" s="46"/>
      <c r="H474" s="46"/>
      <c r="I474" s="46"/>
      <c r="J474" s="46"/>
      <c r="K474" s="128"/>
      <c r="L474" s="46"/>
      <c r="M474" s="46"/>
      <c r="N474" s="46"/>
      <c r="O474" s="46"/>
      <c r="P474" s="128"/>
      <c r="Q474" s="46"/>
      <c r="R474" s="46"/>
      <c r="S474" s="46"/>
      <c r="T474" s="131"/>
    </row>
    <row r="475" spans="1:20" x14ac:dyDescent="0.3">
      <c r="A475" s="128"/>
      <c r="B475" s="46"/>
      <c r="C475" s="46"/>
      <c r="D475" s="46"/>
      <c r="E475" s="46"/>
      <c r="F475" s="128"/>
      <c r="G475" s="46"/>
      <c r="H475" s="46"/>
      <c r="I475" s="46"/>
      <c r="J475" s="46"/>
      <c r="K475" s="128"/>
      <c r="L475" s="46"/>
      <c r="M475" s="46"/>
      <c r="N475" s="46"/>
      <c r="O475" s="46"/>
      <c r="P475" s="128"/>
      <c r="Q475" s="46"/>
      <c r="R475" s="46"/>
      <c r="S475" s="46"/>
      <c r="T475" s="131"/>
    </row>
    <row r="476" spans="1:20" x14ac:dyDescent="0.3">
      <c r="A476" s="128"/>
      <c r="B476" s="46"/>
      <c r="C476" s="46"/>
      <c r="D476" s="46"/>
      <c r="E476" s="46"/>
      <c r="F476" s="128"/>
      <c r="G476" s="46"/>
      <c r="H476" s="46"/>
      <c r="I476" s="46"/>
      <c r="J476" s="46"/>
      <c r="K476" s="128"/>
      <c r="L476" s="46"/>
      <c r="M476" s="46"/>
      <c r="N476" s="46"/>
      <c r="O476" s="46"/>
      <c r="P476" s="128"/>
      <c r="Q476" s="46"/>
      <c r="R476" s="46"/>
      <c r="S476" s="46"/>
      <c r="T476" s="131"/>
    </row>
    <row r="477" spans="1:20" x14ac:dyDescent="0.3">
      <c r="A477" s="128"/>
      <c r="B477" s="46"/>
      <c r="C477" s="46"/>
      <c r="D477" s="46"/>
      <c r="E477" s="46"/>
      <c r="F477" s="128"/>
      <c r="G477" s="46"/>
      <c r="H477" s="46"/>
      <c r="I477" s="46"/>
      <c r="J477" s="46"/>
      <c r="K477" s="128"/>
      <c r="L477" s="46"/>
      <c r="M477" s="46"/>
      <c r="N477" s="46"/>
      <c r="O477" s="46"/>
      <c r="P477" s="128"/>
      <c r="Q477" s="46"/>
      <c r="R477" s="46"/>
      <c r="S477" s="46"/>
      <c r="T477" s="131"/>
    </row>
    <row r="478" spans="1:20" x14ac:dyDescent="0.3">
      <c r="A478" s="128"/>
      <c r="B478" s="46"/>
      <c r="C478" s="46"/>
      <c r="D478" s="46"/>
      <c r="E478" s="46"/>
      <c r="F478" s="128"/>
      <c r="G478" s="46"/>
      <c r="H478" s="46"/>
      <c r="I478" s="46"/>
      <c r="J478" s="46"/>
      <c r="K478" s="128"/>
      <c r="L478" s="46"/>
      <c r="M478" s="46"/>
      <c r="N478" s="46"/>
      <c r="O478" s="46"/>
      <c r="P478" s="128"/>
      <c r="Q478" s="46"/>
      <c r="R478" s="46"/>
      <c r="S478" s="46"/>
      <c r="T478" s="131"/>
    </row>
    <row r="479" spans="1:20" x14ac:dyDescent="0.3">
      <c r="A479" s="128"/>
      <c r="B479" s="46"/>
      <c r="C479" s="46"/>
      <c r="D479" s="46"/>
      <c r="E479" s="46"/>
      <c r="F479" s="128"/>
      <c r="G479" s="46"/>
      <c r="H479" s="46"/>
      <c r="I479" s="46"/>
      <c r="J479" s="46"/>
      <c r="K479" s="128"/>
      <c r="L479" s="46"/>
      <c r="M479" s="46"/>
      <c r="N479" s="46"/>
      <c r="O479" s="46"/>
      <c r="P479" s="128"/>
      <c r="Q479" s="46"/>
      <c r="R479" s="46"/>
      <c r="S479" s="46"/>
      <c r="T479" s="131"/>
    </row>
    <row r="480" spans="1:20" x14ac:dyDescent="0.3">
      <c r="A480" s="128"/>
      <c r="B480" s="46"/>
      <c r="C480" s="46"/>
      <c r="D480" s="46"/>
      <c r="E480" s="46"/>
      <c r="F480" s="128"/>
      <c r="G480" s="46"/>
      <c r="H480" s="46"/>
      <c r="I480" s="46"/>
      <c r="J480" s="46"/>
      <c r="K480" s="128"/>
      <c r="L480" s="46"/>
      <c r="M480" s="46"/>
      <c r="N480" s="46"/>
      <c r="O480" s="46"/>
      <c r="P480" s="128"/>
      <c r="Q480" s="46"/>
      <c r="R480" s="46"/>
      <c r="S480" s="46"/>
      <c r="T480" s="131"/>
    </row>
    <row r="481" spans="1:20" x14ac:dyDescent="0.3">
      <c r="A481" s="128"/>
      <c r="B481" s="46"/>
      <c r="C481" s="46"/>
      <c r="D481" s="46"/>
      <c r="E481" s="46"/>
      <c r="F481" s="128"/>
      <c r="G481" s="46"/>
      <c r="H481" s="46"/>
      <c r="I481" s="46"/>
      <c r="J481" s="46"/>
      <c r="K481" s="128"/>
      <c r="L481" s="46"/>
      <c r="M481" s="46"/>
      <c r="N481" s="46"/>
      <c r="O481" s="46"/>
      <c r="P481" s="128"/>
      <c r="Q481" s="46"/>
      <c r="R481" s="46"/>
      <c r="S481" s="46"/>
      <c r="T481" s="131"/>
    </row>
    <row r="482" spans="1:20" x14ac:dyDescent="0.3">
      <c r="A482" s="128"/>
      <c r="B482" s="46"/>
      <c r="C482" s="46"/>
      <c r="D482" s="46"/>
      <c r="E482" s="46"/>
      <c r="F482" s="128"/>
      <c r="G482" s="46"/>
      <c r="H482" s="46"/>
      <c r="I482" s="46"/>
      <c r="J482" s="46"/>
      <c r="K482" s="128"/>
      <c r="L482" s="46"/>
      <c r="M482" s="46"/>
      <c r="N482" s="46"/>
      <c r="O482" s="46"/>
      <c r="P482" s="128"/>
      <c r="Q482" s="46"/>
      <c r="R482" s="46"/>
      <c r="S482" s="46"/>
      <c r="T482" s="131"/>
    </row>
    <row r="483" spans="1:20" x14ac:dyDescent="0.3">
      <c r="A483" s="128"/>
      <c r="B483" s="46"/>
      <c r="C483" s="46"/>
      <c r="D483" s="46"/>
      <c r="E483" s="46"/>
      <c r="F483" s="128"/>
      <c r="G483" s="46"/>
      <c r="H483" s="46"/>
      <c r="I483" s="46"/>
      <c r="J483" s="46"/>
      <c r="K483" s="128"/>
      <c r="L483" s="46"/>
      <c r="M483" s="46"/>
      <c r="N483" s="46"/>
      <c r="O483" s="46"/>
      <c r="P483" s="128"/>
      <c r="Q483" s="46"/>
      <c r="R483" s="46"/>
      <c r="S483" s="46"/>
      <c r="T483" s="131"/>
    </row>
    <row r="484" spans="1:20" x14ac:dyDescent="0.3">
      <c r="A484" s="128"/>
      <c r="B484" s="46"/>
      <c r="C484" s="46"/>
      <c r="D484" s="46"/>
      <c r="E484" s="46"/>
      <c r="F484" s="128"/>
      <c r="G484" s="46"/>
      <c r="H484" s="46"/>
      <c r="I484" s="46"/>
      <c r="J484" s="46"/>
      <c r="K484" s="128"/>
      <c r="L484" s="46"/>
      <c r="M484" s="46"/>
      <c r="N484" s="46"/>
      <c r="O484" s="46"/>
      <c r="P484" s="128"/>
      <c r="Q484" s="46"/>
      <c r="R484" s="46"/>
      <c r="S484" s="46"/>
      <c r="T484" s="131"/>
    </row>
    <row r="485" spans="1:20" x14ac:dyDescent="0.3">
      <c r="A485" s="128"/>
      <c r="B485" s="46"/>
      <c r="C485" s="46"/>
      <c r="D485" s="46"/>
      <c r="E485" s="46"/>
      <c r="F485" s="128"/>
      <c r="G485" s="46"/>
      <c r="H485" s="46"/>
      <c r="I485" s="46"/>
      <c r="J485" s="46"/>
      <c r="K485" s="128"/>
      <c r="L485" s="46"/>
      <c r="M485" s="46"/>
      <c r="N485" s="46"/>
      <c r="O485" s="46"/>
      <c r="P485" s="128"/>
      <c r="Q485" s="46"/>
      <c r="R485" s="46"/>
      <c r="S485" s="46"/>
      <c r="T485" s="131"/>
    </row>
    <row r="486" spans="1:20" x14ac:dyDescent="0.3">
      <c r="A486" s="128"/>
      <c r="B486" s="46"/>
      <c r="C486" s="46"/>
      <c r="D486" s="46"/>
      <c r="E486" s="46"/>
      <c r="F486" s="128"/>
      <c r="G486" s="46"/>
      <c r="H486" s="46"/>
      <c r="I486" s="46"/>
      <c r="J486" s="46"/>
      <c r="K486" s="128"/>
      <c r="L486" s="46"/>
      <c r="M486" s="46"/>
      <c r="N486" s="46"/>
      <c r="O486" s="46"/>
      <c r="P486" s="128"/>
      <c r="Q486" s="46"/>
      <c r="R486" s="46"/>
      <c r="S486" s="46"/>
      <c r="T486" s="131"/>
    </row>
    <row r="487" spans="1:20" x14ac:dyDescent="0.3">
      <c r="A487" s="128"/>
      <c r="B487" s="46"/>
      <c r="C487" s="46"/>
      <c r="D487" s="46"/>
      <c r="E487" s="46"/>
      <c r="F487" s="128"/>
      <c r="G487" s="46"/>
      <c r="H487" s="46"/>
      <c r="I487" s="46"/>
      <c r="J487" s="46"/>
      <c r="K487" s="128"/>
      <c r="L487" s="46"/>
      <c r="M487" s="46"/>
      <c r="N487" s="46"/>
      <c r="O487" s="46"/>
      <c r="P487" s="128"/>
      <c r="Q487" s="46"/>
      <c r="R487" s="46"/>
      <c r="S487" s="46"/>
      <c r="T487" s="131"/>
    </row>
    <row r="488" spans="1:20" x14ac:dyDescent="0.3">
      <c r="A488" s="128"/>
      <c r="B488" s="46"/>
      <c r="C488" s="46"/>
      <c r="D488" s="46"/>
      <c r="E488" s="46"/>
      <c r="F488" s="128"/>
      <c r="G488" s="46"/>
      <c r="H488" s="46"/>
      <c r="I488" s="46"/>
      <c r="J488" s="46"/>
      <c r="K488" s="128"/>
      <c r="L488" s="46"/>
      <c r="M488" s="46"/>
      <c r="N488" s="46"/>
      <c r="O488" s="46"/>
      <c r="P488" s="128"/>
      <c r="Q488" s="46"/>
      <c r="R488" s="46"/>
      <c r="S488" s="46"/>
      <c r="T488" s="131"/>
    </row>
    <row r="489" spans="1:20" x14ac:dyDescent="0.3">
      <c r="A489" s="128"/>
      <c r="B489" s="46"/>
      <c r="C489" s="46"/>
      <c r="D489" s="46"/>
      <c r="E489" s="46"/>
      <c r="F489" s="128"/>
      <c r="G489" s="46"/>
      <c r="H489" s="46"/>
      <c r="I489" s="46"/>
      <c r="J489" s="46"/>
      <c r="K489" s="128"/>
      <c r="L489" s="46"/>
      <c r="M489" s="46"/>
      <c r="N489" s="46"/>
      <c r="O489" s="46"/>
      <c r="P489" s="128"/>
      <c r="Q489" s="46"/>
      <c r="R489" s="46"/>
      <c r="S489" s="46"/>
      <c r="T489" s="131"/>
    </row>
    <row r="490" spans="1:20" x14ac:dyDescent="0.3">
      <c r="A490" s="128"/>
      <c r="B490" s="46"/>
      <c r="C490" s="46"/>
      <c r="D490" s="46"/>
      <c r="E490" s="46"/>
      <c r="F490" s="128"/>
      <c r="G490" s="46"/>
      <c r="H490" s="46"/>
      <c r="I490" s="46"/>
      <c r="J490" s="46"/>
      <c r="K490" s="128"/>
      <c r="L490" s="46"/>
      <c r="M490" s="46"/>
      <c r="N490" s="46"/>
      <c r="O490" s="46"/>
      <c r="P490" s="128"/>
      <c r="Q490" s="46"/>
      <c r="R490" s="46"/>
      <c r="S490" s="46"/>
      <c r="T490" s="131"/>
    </row>
    <row r="491" spans="1:20" x14ac:dyDescent="0.3">
      <c r="A491" s="128"/>
      <c r="B491" s="46"/>
      <c r="C491" s="46"/>
      <c r="D491" s="46"/>
      <c r="E491" s="46"/>
      <c r="F491" s="128"/>
      <c r="G491" s="46"/>
      <c r="H491" s="46"/>
      <c r="I491" s="46"/>
      <c r="J491" s="46"/>
      <c r="K491" s="128"/>
      <c r="L491" s="46"/>
      <c r="M491" s="46"/>
      <c r="N491" s="46"/>
      <c r="O491" s="46"/>
      <c r="P491" s="128"/>
      <c r="Q491" s="46"/>
      <c r="R491" s="46"/>
      <c r="S491" s="46"/>
      <c r="T491" s="131"/>
    </row>
    <row r="492" spans="1:20" x14ac:dyDescent="0.3">
      <c r="A492" s="128"/>
      <c r="B492" s="46"/>
      <c r="C492" s="46"/>
      <c r="D492" s="46"/>
      <c r="E492" s="46"/>
      <c r="F492" s="128"/>
      <c r="G492" s="46"/>
      <c r="H492" s="46"/>
      <c r="I492" s="46"/>
      <c r="J492" s="46"/>
      <c r="K492" s="128"/>
      <c r="L492" s="46"/>
      <c r="M492" s="46"/>
      <c r="N492" s="46"/>
      <c r="O492" s="46"/>
      <c r="P492" s="128"/>
      <c r="Q492" s="46"/>
      <c r="R492" s="46"/>
      <c r="S492" s="46"/>
      <c r="T492" s="131"/>
    </row>
    <row r="493" spans="1:20" x14ac:dyDescent="0.3">
      <c r="A493" s="128"/>
      <c r="B493" s="46"/>
      <c r="C493" s="46"/>
      <c r="D493" s="46"/>
      <c r="E493" s="46"/>
      <c r="F493" s="128"/>
      <c r="G493" s="46"/>
      <c r="H493" s="46"/>
      <c r="I493" s="46"/>
      <c r="J493" s="46"/>
      <c r="K493" s="128"/>
      <c r="L493" s="46"/>
      <c r="M493" s="46"/>
      <c r="N493" s="46"/>
      <c r="O493" s="46"/>
      <c r="P493" s="128"/>
      <c r="Q493" s="46"/>
      <c r="R493" s="46"/>
      <c r="S493" s="46"/>
      <c r="T493" s="131"/>
    </row>
    <row r="494" spans="1:20" x14ac:dyDescent="0.3">
      <c r="A494" s="128"/>
      <c r="B494" s="46"/>
      <c r="C494" s="46"/>
      <c r="D494" s="46"/>
      <c r="E494" s="46"/>
      <c r="F494" s="128"/>
      <c r="G494" s="46"/>
      <c r="H494" s="46"/>
      <c r="I494" s="46"/>
      <c r="J494" s="46"/>
      <c r="K494" s="128"/>
      <c r="L494" s="46"/>
      <c r="M494" s="46"/>
      <c r="N494" s="46"/>
      <c r="O494" s="46"/>
      <c r="P494" s="128"/>
      <c r="Q494" s="46"/>
      <c r="R494" s="46"/>
      <c r="S494" s="46"/>
      <c r="T494" s="131"/>
    </row>
    <row r="495" spans="1:20" x14ac:dyDescent="0.3">
      <c r="A495" s="128"/>
      <c r="B495" s="46"/>
      <c r="C495" s="46"/>
      <c r="D495" s="46"/>
      <c r="E495" s="46"/>
      <c r="F495" s="128"/>
      <c r="G495" s="46"/>
      <c r="H495" s="46"/>
      <c r="I495" s="46"/>
      <c r="J495" s="46"/>
      <c r="K495" s="128"/>
      <c r="L495" s="46"/>
      <c r="M495" s="46"/>
      <c r="N495" s="46"/>
      <c r="O495" s="46"/>
      <c r="P495" s="128"/>
      <c r="Q495" s="46"/>
      <c r="R495" s="46"/>
      <c r="S495" s="46"/>
      <c r="T495" s="131"/>
    </row>
    <row r="496" spans="1:20" x14ac:dyDescent="0.3">
      <c r="A496" s="128"/>
      <c r="B496" s="46"/>
      <c r="C496" s="46"/>
      <c r="D496" s="46"/>
      <c r="E496" s="46"/>
      <c r="F496" s="128"/>
      <c r="G496" s="46"/>
      <c r="H496" s="46"/>
      <c r="I496" s="46"/>
      <c r="J496" s="46"/>
      <c r="K496" s="128"/>
      <c r="L496" s="46"/>
      <c r="M496" s="46"/>
      <c r="N496" s="46"/>
      <c r="O496" s="46"/>
      <c r="P496" s="128"/>
      <c r="Q496" s="46"/>
      <c r="R496" s="46"/>
      <c r="S496" s="46"/>
      <c r="T496" s="131"/>
    </row>
    <row r="497" spans="1:20" x14ac:dyDescent="0.3">
      <c r="A497" s="128"/>
      <c r="B497" s="46"/>
      <c r="C497" s="46"/>
      <c r="D497" s="46"/>
      <c r="E497" s="46"/>
      <c r="F497" s="128"/>
      <c r="G497" s="46"/>
      <c r="H497" s="46"/>
      <c r="I497" s="46"/>
      <c r="J497" s="46"/>
      <c r="K497" s="128"/>
      <c r="L497" s="46"/>
      <c r="M497" s="46"/>
      <c r="N497" s="46"/>
      <c r="O497" s="46"/>
      <c r="P497" s="128"/>
      <c r="Q497" s="46"/>
      <c r="R497" s="46"/>
      <c r="S497" s="46"/>
      <c r="T497" s="131"/>
    </row>
    <row r="498" spans="1:20" x14ac:dyDescent="0.3">
      <c r="A498" s="128"/>
      <c r="B498" s="46"/>
      <c r="C498" s="46"/>
      <c r="D498" s="46"/>
      <c r="E498" s="46"/>
      <c r="F498" s="128"/>
      <c r="G498" s="46"/>
      <c r="H498" s="46"/>
      <c r="I498" s="46"/>
      <c r="J498" s="46"/>
      <c r="K498" s="128"/>
      <c r="L498" s="46"/>
      <c r="M498" s="46"/>
      <c r="N498" s="46"/>
      <c r="O498" s="46"/>
      <c r="P498" s="128"/>
      <c r="Q498" s="46"/>
      <c r="R498" s="46"/>
      <c r="S498" s="46"/>
      <c r="T498" s="131"/>
    </row>
    <row r="499" spans="1:20" x14ac:dyDescent="0.3">
      <c r="A499" s="128"/>
      <c r="B499" s="46"/>
      <c r="C499" s="46"/>
      <c r="D499" s="46"/>
      <c r="E499" s="46"/>
      <c r="F499" s="128"/>
      <c r="G499" s="46"/>
      <c r="H499" s="46"/>
      <c r="I499" s="46"/>
      <c r="J499" s="46"/>
      <c r="K499" s="128"/>
      <c r="L499" s="46"/>
      <c r="M499" s="46"/>
      <c r="N499" s="46"/>
      <c r="O499" s="46"/>
      <c r="P499" s="128"/>
      <c r="Q499" s="46"/>
      <c r="R499" s="46"/>
      <c r="S499" s="46"/>
      <c r="T499" s="131"/>
    </row>
    <row r="500" spans="1:20" x14ac:dyDescent="0.3">
      <c r="A500" s="128"/>
      <c r="B500" s="46"/>
      <c r="C500" s="46"/>
      <c r="D500" s="46"/>
      <c r="E500" s="46"/>
      <c r="F500" s="128"/>
      <c r="G500" s="46"/>
      <c r="H500" s="46"/>
      <c r="I500" s="46"/>
      <c r="J500" s="46"/>
      <c r="K500" s="128"/>
      <c r="L500" s="46"/>
      <c r="M500" s="46"/>
      <c r="N500" s="46"/>
      <c r="O500" s="46"/>
      <c r="P500" s="128"/>
      <c r="Q500" s="46"/>
      <c r="R500" s="46"/>
      <c r="S500" s="46"/>
      <c r="T500" s="131"/>
    </row>
    <row r="501" spans="1:20" x14ac:dyDescent="0.3">
      <c r="A501" s="128"/>
      <c r="B501" s="46"/>
      <c r="C501" s="46"/>
      <c r="D501" s="46"/>
      <c r="E501" s="46"/>
      <c r="F501" s="128"/>
      <c r="G501" s="46"/>
      <c r="H501" s="46"/>
      <c r="I501" s="46"/>
      <c r="J501" s="46"/>
      <c r="K501" s="128"/>
      <c r="L501" s="46"/>
      <c r="M501" s="46"/>
      <c r="N501" s="46"/>
      <c r="O501" s="46"/>
      <c r="P501" s="128"/>
      <c r="Q501" s="46"/>
      <c r="R501" s="46"/>
      <c r="S501" s="46"/>
      <c r="T501" s="131"/>
    </row>
    <row r="502" spans="1:20" x14ac:dyDescent="0.3">
      <c r="A502" s="128"/>
      <c r="B502" s="46"/>
      <c r="C502" s="46"/>
      <c r="D502" s="46"/>
      <c r="E502" s="46"/>
      <c r="F502" s="128"/>
      <c r="G502" s="46"/>
      <c r="H502" s="46"/>
      <c r="I502" s="46"/>
      <c r="J502" s="46"/>
      <c r="K502" s="128"/>
      <c r="L502" s="46"/>
      <c r="M502" s="46"/>
      <c r="N502" s="46"/>
      <c r="O502" s="46"/>
      <c r="P502" s="128"/>
      <c r="Q502" s="46"/>
      <c r="R502" s="46"/>
      <c r="S502" s="46"/>
      <c r="T502" s="131"/>
    </row>
    <row r="503" spans="1:20" x14ac:dyDescent="0.3">
      <c r="A503" s="128"/>
      <c r="B503" s="46"/>
      <c r="C503" s="46"/>
      <c r="D503" s="46"/>
      <c r="E503" s="46"/>
      <c r="F503" s="128"/>
      <c r="G503" s="46"/>
      <c r="H503" s="46"/>
      <c r="I503" s="46"/>
      <c r="J503" s="46"/>
      <c r="K503" s="128"/>
      <c r="L503" s="46"/>
      <c r="M503" s="46"/>
      <c r="N503" s="46"/>
      <c r="O503" s="46"/>
      <c r="P503" s="128"/>
      <c r="Q503" s="46"/>
      <c r="R503" s="46"/>
      <c r="S503" s="46"/>
      <c r="T503" s="131"/>
    </row>
    <row r="504" spans="1:20" x14ac:dyDescent="0.3">
      <c r="A504" s="128"/>
      <c r="B504" s="46"/>
      <c r="C504" s="46"/>
      <c r="D504" s="46"/>
      <c r="E504" s="46"/>
      <c r="F504" s="128"/>
      <c r="G504" s="46"/>
      <c r="H504" s="46"/>
      <c r="I504" s="46"/>
      <c r="J504" s="46"/>
      <c r="K504" s="128"/>
      <c r="L504" s="46"/>
      <c r="M504" s="46"/>
      <c r="N504" s="46"/>
      <c r="O504" s="46"/>
      <c r="P504" s="128"/>
      <c r="Q504" s="46"/>
      <c r="R504" s="46"/>
      <c r="S504" s="46"/>
      <c r="T504" s="131"/>
    </row>
    <row r="505" spans="1:20" x14ac:dyDescent="0.3">
      <c r="A505" s="128"/>
      <c r="B505" s="46"/>
      <c r="C505" s="46"/>
      <c r="D505" s="46"/>
      <c r="E505" s="46"/>
      <c r="F505" s="128"/>
      <c r="G505" s="46"/>
      <c r="H505" s="46"/>
      <c r="I505" s="46"/>
      <c r="J505" s="46"/>
      <c r="K505" s="128"/>
      <c r="L505" s="46"/>
      <c r="M505" s="46"/>
      <c r="N505" s="46"/>
      <c r="O505" s="46"/>
      <c r="P505" s="128"/>
      <c r="Q505" s="46"/>
      <c r="R505" s="46"/>
      <c r="S505" s="46"/>
      <c r="T505" s="131"/>
    </row>
    <row r="506" spans="1:20" x14ac:dyDescent="0.3">
      <c r="A506" s="128"/>
      <c r="B506" s="46"/>
      <c r="C506" s="46"/>
      <c r="D506" s="46"/>
      <c r="E506" s="46"/>
      <c r="F506" s="128"/>
      <c r="G506" s="46"/>
      <c r="H506" s="46"/>
      <c r="I506" s="46"/>
      <c r="J506" s="46"/>
      <c r="K506" s="128"/>
      <c r="L506" s="46"/>
      <c r="M506" s="46"/>
      <c r="N506" s="46"/>
      <c r="O506" s="46"/>
      <c r="P506" s="128"/>
      <c r="Q506" s="46"/>
      <c r="R506" s="46"/>
      <c r="S506" s="46"/>
      <c r="T506" s="131"/>
    </row>
    <row r="507" spans="1:20" x14ac:dyDescent="0.3">
      <c r="A507" s="128"/>
      <c r="B507" s="46"/>
      <c r="C507" s="46"/>
      <c r="D507" s="46"/>
      <c r="E507" s="46"/>
      <c r="F507" s="128"/>
      <c r="G507" s="46"/>
      <c r="H507" s="46"/>
      <c r="I507" s="46"/>
      <c r="J507" s="46"/>
      <c r="K507" s="128"/>
      <c r="L507" s="46"/>
      <c r="M507" s="46"/>
      <c r="N507" s="46"/>
      <c r="O507" s="46"/>
      <c r="P507" s="128"/>
      <c r="Q507" s="46"/>
      <c r="R507" s="46"/>
      <c r="S507" s="46"/>
      <c r="T507" s="131"/>
    </row>
    <row r="508" spans="1:20" x14ac:dyDescent="0.3">
      <c r="A508" s="128"/>
      <c r="B508" s="46"/>
      <c r="C508" s="46"/>
      <c r="D508" s="46"/>
      <c r="E508" s="46"/>
      <c r="F508" s="128"/>
      <c r="G508" s="46"/>
      <c r="H508" s="46"/>
      <c r="I508" s="46"/>
      <c r="J508" s="46"/>
      <c r="K508" s="128"/>
      <c r="L508" s="46"/>
      <c r="M508" s="46"/>
      <c r="N508" s="46"/>
      <c r="O508" s="46"/>
      <c r="P508" s="128"/>
      <c r="Q508" s="46"/>
      <c r="R508" s="46"/>
      <c r="S508" s="46"/>
      <c r="T508" s="131"/>
    </row>
    <row r="509" spans="1:20" x14ac:dyDescent="0.3">
      <c r="A509" s="128"/>
      <c r="B509" s="46"/>
      <c r="C509" s="46"/>
      <c r="D509" s="46"/>
      <c r="E509" s="46"/>
      <c r="F509" s="128"/>
      <c r="G509" s="46"/>
      <c r="H509" s="46"/>
      <c r="I509" s="46"/>
      <c r="J509" s="46"/>
      <c r="K509" s="128"/>
      <c r="L509" s="46"/>
      <c r="M509" s="46"/>
      <c r="N509" s="46"/>
      <c r="O509" s="46"/>
      <c r="P509" s="128"/>
      <c r="Q509" s="46"/>
      <c r="R509" s="46"/>
      <c r="S509" s="46"/>
      <c r="T509" s="131"/>
    </row>
    <row r="510" spans="1:20" x14ac:dyDescent="0.3">
      <c r="A510" s="128"/>
      <c r="B510" s="46"/>
      <c r="C510" s="46"/>
      <c r="D510" s="46"/>
      <c r="E510" s="46"/>
      <c r="F510" s="128"/>
      <c r="G510" s="46"/>
      <c r="H510" s="46"/>
      <c r="I510" s="46"/>
      <c r="J510" s="46"/>
      <c r="K510" s="128"/>
      <c r="L510" s="46"/>
      <c r="M510" s="46"/>
      <c r="N510" s="46"/>
      <c r="O510" s="46"/>
      <c r="P510" s="128"/>
      <c r="Q510" s="46"/>
      <c r="R510" s="46"/>
      <c r="S510" s="46"/>
      <c r="T510" s="131"/>
    </row>
    <row r="511" spans="1:20" x14ac:dyDescent="0.3">
      <c r="A511" s="128"/>
      <c r="B511" s="46"/>
      <c r="C511" s="46"/>
      <c r="D511" s="46"/>
      <c r="E511" s="46"/>
      <c r="F511" s="128"/>
      <c r="G511" s="46"/>
      <c r="H511" s="46"/>
      <c r="I511" s="46"/>
      <c r="J511" s="46"/>
      <c r="K511" s="128"/>
      <c r="L511" s="46"/>
      <c r="M511" s="46"/>
      <c r="N511" s="46"/>
      <c r="O511" s="46"/>
      <c r="P511" s="128"/>
      <c r="Q511" s="46"/>
      <c r="R511" s="46"/>
      <c r="S511" s="46"/>
      <c r="T511" s="131"/>
    </row>
    <row r="512" spans="1:20" x14ac:dyDescent="0.3">
      <c r="A512" s="128"/>
      <c r="B512" s="46"/>
      <c r="C512" s="46"/>
      <c r="D512" s="46"/>
      <c r="E512" s="46"/>
      <c r="F512" s="128"/>
      <c r="G512" s="46"/>
      <c r="H512" s="46"/>
      <c r="I512" s="46"/>
      <c r="J512" s="46"/>
      <c r="K512" s="128"/>
      <c r="L512" s="46"/>
      <c r="M512" s="46"/>
      <c r="N512" s="46"/>
      <c r="O512" s="46"/>
      <c r="P512" s="128"/>
      <c r="Q512" s="46"/>
      <c r="R512" s="46"/>
      <c r="S512" s="46"/>
      <c r="T512" s="131"/>
    </row>
    <row r="513" spans="1:20" x14ac:dyDescent="0.3">
      <c r="A513" s="128"/>
      <c r="B513" s="46"/>
      <c r="C513" s="46"/>
      <c r="D513" s="46"/>
      <c r="E513" s="46"/>
      <c r="F513" s="128"/>
      <c r="G513" s="46"/>
      <c r="H513" s="46"/>
      <c r="I513" s="46"/>
      <c r="J513" s="46"/>
      <c r="K513" s="128"/>
      <c r="L513" s="46"/>
      <c r="M513" s="46"/>
      <c r="N513" s="46"/>
      <c r="O513" s="46"/>
      <c r="P513" s="128"/>
      <c r="Q513" s="46"/>
      <c r="R513" s="46"/>
      <c r="S513" s="46"/>
      <c r="T513" s="131"/>
    </row>
    <row r="514" spans="1:20" x14ac:dyDescent="0.3">
      <c r="A514" s="128"/>
      <c r="B514" s="46"/>
      <c r="C514" s="46"/>
      <c r="D514" s="46"/>
      <c r="E514" s="46"/>
      <c r="F514" s="128"/>
      <c r="G514" s="46"/>
      <c r="H514" s="46"/>
      <c r="I514" s="46"/>
      <c r="J514" s="46"/>
      <c r="K514" s="128"/>
      <c r="L514" s="46"/>
      <c r="M514" s="46"/>
      <c r="N514" s="46"/>
      <c r="O514" s="46"/>
      <c r="P514" s="128"/>
      <c r="Q514" s="46"/>
      <c r="R514" s="46"/>
      <c r="S514" s="46"/>
      <c r="T514" s="131"/>
    </row>
    <row r="515" spans="1:20" x14ac:dyDescent="0.3">
      <c r="A515" s="128"/>
      <c r="B515" s="46"/>
      <c r="C515" s="46"/>
      <c r="D515" s="46"/>
      <c r="E515" s="46"/>
      <c r="F515" s="128"/>
      <c r="G515" s="46"/>
      <c r="H515" s="46"/>
      <c r="I515" s="46"/>
      <c r="J515" s="46"/>
      <c r="K515" s="128"/>
      <c r="L515" s="46"/>
      <c r="M515" s="46"/>
      <c r="N515" s="46"/>
      <c r="O515" s="46"/>
      <c r="P515" s="128"/>
      <c r="Q515" s="46"/>
      <c r="R515" s="46"/>
      <c r="S515" s="46"/>
      <c r="T515" s="131"/>
    </row>
    <row r="516" spans="1:20" x14ac:dyDescent="0.3">
      <c r="A516" s="128"/>
      <c r="B516" s="46"/>
      <c r="C516" s="46"/>
      <c r="D516" s="46"/>
      <c r="E516" s="46"/>
      <c r="F516" s="128"/>
      <c r="G516" s="46"/>
      <c r="H516" s="46"/>
      <c r="I516" s="46"/>
      <c r="J516" s="46"/>
      <c r="K516" s="128"/>
      <c r="L516" s="46"/>
      <c r="M516" s="46"/>
      <c r="N516" s="46"/>
      <c r="O516" s="46"/>
      <c r="P516" s="128"/>
      <c r="Q516" s="46"/>
      <c r="R516" s="46"/>
      <c r="S516" s="46"/>
      <c r="T516" s="131"/>
    </row>
    <row r="517" spans="1:20" x14ac:dyDescent="0.3">
      <c r="A517" s="128"/>
      <c r="B517" s="46"/>
      <c r="C517" s="46"/>
      <c r="D517" s="46"/>
      <c r="E517" s="46"/>
      <c r="F517" s="128"/>
      <c r="G517" s="46"/>
      <c r="H517" s="46"/>
      <c r="I517" s="46"/>
      <c r="J517" s="46"/>
      <c r="K517" s="128"/>
      <c r="L517" s="46"/>
      <c r="M517" s="46"/>
      <c r="N517" s="46"/>
      <c r="O517" s="46"/>
      <c r="P517" s="128"/>
      <c r="Q517" s="46"/>
      <c r="R517" s="46"/>
      <c r="S517" s="46"/>
      <c r="T517" s="131"/>
    </row>
    <row r="518" spans="1:20" x14ac:dyDescent="0.3">
      <c r="A518" s="128"/>
      <c r="B518" s="46"/>
      <c r="C518" s="46"/>
      <c r="D518" s="46"/>
      <c r="E518" s="46"/>
      <c r="F518" s="128"/>
      <c r="G518" s="46"/>
      <c r="H518" s="46"/>
      <c r="I518" s="46"/>
      <c r="J518" s="46"/>
      <c r="K518" s="128"/>
      <c r="L518" s="46"/>
      <c r="M518" s="46"/>
      <c r="N518" s="46"/>
      <c r="O518" s="46"/>
      <c r="P518" s="128"/>
      <c r="Q518" s="46"/>
      <c r="R518" s="46"/>
      <c r="S518" s="46"/>
      <c r="T518" s="131"/>
    </row>
    <row r="519" spans="1:20" x14ac:dyDescent="0.3">
      <c r="A519" s="128"/>
      <c r="B519" s="46"/>
      <c r="C519" s="46"/>
      <c r="D519" s="46"/>
      <c r="E519" s="46"/>
      <c r="F519" s="128"/>
      <c r="G519" s="46"/>
      <c r="H519" s="46"/>
      <c r="I519" s="46"/>
      <c r="J519" s="46"/>
      <c r="K519" s="128"/>
      <c r="L519" s="46"/>
      <c r="M519" s="46"/>
      <c r="N519" s="46"/>
      <c r="O519" s="46"/>
      <c r="P519" s="128"/>
      <c r="Q519" s="46"/>
      <c r="R519" s="46"/>
      <c r="S519" s="46"/>
      <c r="T519" s="131"/>
    </row>
    <row r="520" spans="1:20" x14ac:dyDescent="0.3">
      <c r="A520" s="128"/>
      <c r="B520" s="46"/>
      <c r="C520" s="46"/>
      <c r="D520" s="46"/>
      <c r="E520" s="46"/>
      <c r="F520" s="128"/>
      <c r="G520" s="46"/>
      <c r="H520" s="46"/>
      <c r="I520" s="46"/>
      <c r="J520" s="46"/>
      <c r="K520" s="128"/>
      <c r="L520" s="46"/>
      <c r="M520" s="46"/>
      <c r="N520" s="46"/>
      <c r="O520" s="46"/>
      <c r="P520" s="128"/>
      <c r="Q520" s="46"/>
      <c r="R520" s="46"/>
      <c r="S520" s="46"/>
      <c r="T520" s="131"/>
    </row>
    <row r="521" spans="1:20" x14ac:dyDescent="0.3">
      <c r="A521" s="128"/>
      <c r="B521" s="46"/>
      <c r="C521" s="46"/>
      <c r="D521" s="46"/>
      <c r="E521" s="46"/>
      <c r="F521" s="128"/>
      <c r="G521" s="46"/>
      <c r="H521" s="46"/>
      <c r="I521" s="46"/>
      <c r="J521" s="46"/>
      <c r="K521" s="128"/>
      <c r="L521" s="46"/>
      <c r="M521" s="46"/>
      <c r="N521" s="46"/>
      <c r="O521" s="46"/>
      <c r="P521" s="128"/>
      <c r="Q521" s="46"/>
      <c r="R521" s="46"/>
      <c r="S521" s="46"/>
      <c r="T521" s="131"/>
    </row>
    <row r="522" spans="1:20" x14ac:dyDescent="0.3">
      <c r="A522" s="128"/>
      <c r="B522" s="46"/>
      <c r="C522" s="46"/>
      <c r="D522" s="46"/>
      <c r="E522" s="46"/>
      <c r="F522" s="128"/>
      <c r="G522" s="46"/>
      <c r="H522" s="46"/>
      <c r="I522" s="46"/>
      <c r="J522" s="46"/>
      <c r="K522" s="128"/>
      <c r="L522" s="46"/>
      <c r="M522" s="46"/>
      <c r="N522" s="46"/>
      <c r="O522" s="46"/>
      <c r="P522" s="128"/>
      <c r="Q522" s="46"/>
      <c r="R522" s="46"/>
      <c r="S522" s="46"/>
      <c r="T522" s="131"/>
    </row>
    <row r="523" spans="1:20" x14ac:dyDescent="0.3">
      <c r="A523" s="128"/>
      <c r="B523" s="46"/>
      <c r="C523" s="46"/>
      <c r="D523" s="46"/>
      <c r="E523" s="46"/>
      <c r="F523" s="128"/>
      <c r="G523" s="46"/>
      <c r="H523" s="46"/>
      <c r="I523" s="46"/>
      <c r="J523" s="46"/>
      <c r="K523" s="128"/>
      <c r="L523" s="46"/>
      <c r="M523" s="46"/>
      <c r="N523" s="46"/>
      <c r="O523" s="46"/>
      <c r="P523" s="128"/>
      <c r="Q523" s="46"/>
      <c r="R523" s="46"/>
      <c r="S523" s="46"/>
      <c r="T523" s="131"/>
    </row>
    <row r="524" spans="1:20" x14ac:dyDescent="0.3">
      <c r="A524" s="128"/>
      <c r="B524" s="46"/>
      <c r="C524" s="46"/>
      <c r="D524" s="46"/>
      <c r="E524" s="46"/>
      <c r="F524" s="128"/>
      <c r="G524" s="46"/>
      <c r="H524" s="46"/>
      <c r="I524" s="46"/>
      <c r="J524" s="46"/>
      <c r="K524" s="128"/>
      <c r="L524" s="46"/>
      <c r="M524" s="46"/>
      <c r="N524" s="46"/>
      <c r="O524" s="46"/>
      <c r="P524" s="128"/>
      <c r="Q524" s="46"/>
      <c r="R524" s="46"/>
      <c r="S524" s="46"/>
      <c r="T524" s="131"/>
    </row>
    <row r="525" spans="1:20" x14ac:dyDescent="0.3">
      <c r="A525" s="128"/>
      <c r="B525" s="46"/>
      <c r="C525" s="46"/>
      <c r="D525" s="46"/>
      <c r="E525" s="46"/>
      <c r="F525" s="128"/>
      <c r="G525" s="46"/>
      <c r="H525" s="46"/>
      <c r="I525" s="46"/>
      <c r="J525" s="46"/>
      <c r="K525" s="128"/>
      <c r="L525" s="46"/>
      <c r="M525" s="46"/>
      <c r="N525" s="46"/>
      <c r="O525" s="46"/>
      <c r="P525" s="128"/>
      <c r="Q525" s="46"/>
      <c r="R525" s="46"/>
      <c r="S525" s="46"/>
      <c r="T525" s="131"/>
    </row>
    <row r="526" spans="1:20" x14ac:dyDescent="0.3">
      <c r="A526" s="128"/>
      <c r="B526" s="46"/>
      <c r="C526" s="46"/>
      <c r="D526" s="46"/>
      <c r="E526" s="46"/>
      <c r="F526" s="128"/>
      <c r="G526" s="46"/>
      <c r="H526" s="46"/>
      <c r="I526" s="46"/>
      <c r="J526" s="46"/>
      <c r="K526" s="128"/>
      <c r="L526" s="46"/>
      <c r="M526" s="46"/>
      <c r="N526" s="46"/>
      <c r="O526" s="46"/>
      <c r="P526" s="128"/>
      <c r="Q526" s="46"/>
      <c r="R526" s="46"/>
      <c r="S526" s="46"/>
      <c r="T526" s="131"/>
    </row>
    <row r="527" spans="1:20" x14ac:dyDescent="0.3">
      <c r="A527" s="128"/>
      <c r="B527" s="46"/>
      <c r="C527" s="46"/>
      <c r="D527" s="46"/>
      <c r="E527" s="46"/>
      <c r="F527" s="128"/>
      <c r="G527" s="46"/>
      <c r="H527" s="46"/>
      <c r="I527" s="46"/>
      <c r="J527" s="46"/>
      <c r="K527" s="128"/>
      <c r="L527" s="46"/>
      <c r="M527" s="46"/>
      <c r="N527" s="46"/>
      <c r="O527" s="46"/>
      <c r="P527" s="128"/>
      <c r="Q527" s="46"/>
      <c r="R527" s="46"/>
      <c r="S527" s="46"/>
      <c r="T527" s="131"/>
    </row>
    <row r="528" spans="1:20" x14ac:dyDescent="0.3">
      <c r="A528" s="128"/>
      <c r="B528" s="46"/>
      <c r="C528" s="46"/>
      <c r="D528" s="46"/>
      <c r="E528" s="46"/>
      <c r="F528" s="128"/>
      <c r="G528" s="46"/>
      <c r="H528" s="46"/>
      <c r="I528" s="46"/>
      <c r="J528" s="46"/>
      <c r="K528" s="128"/>
      <c r="L528" s="46"/>
      <c r="M528" s="46"/>
      <c r="N528" s="46"/>
      <c r="O528" s="46"/>
      <c r="P528" s="128"/>
      <c r="Q528" s="46"/>
      <c r="R528" s="46"/>
      <c r="S528" s="46"/>
      <c r="T528" s="131"/>
    </row>
    <row r="529" spans="1:20" x14ac:dyDescent="0.3">
      <c r="A529" s="128"/>
      <c r="B529" s="46"/>
      <c r="C529" s="46"/>
      <c r="D529" s="46"/>
      <c r="E529" s="46"/>
      <c r="F529" s="128"/>
      <c r="G529" s="46"/>
      <c r="H529" s="46"/>
      <c r="I529" s="46"/>
      <c r="J529" s="46"/>
      <c r="K529" s="128"/>
      <c r="L529" s="46"/>
      <c r="M529" s="46"/>
      <c r="N529" s="46"/>
      <c r="O529" s="46"/>
      <c r="P529" s="128"/>
      <c r="Q529" s="46"/>
      <c r="R529" s="46"/>
      <c r="S529" s="46"/>
      <c r="T529" s="131"/>
    </row>
    <row r="530" spans="1:20" x14ac:dyDescent="0.3">
      <c r="A530" s="128"/>
      <c r="B530" s="46"/>
      <c r="C530" s="46"/>
      <c r="D530" s="46"/>
      <c r="E530" s="46"/>
      <c r="F530" s="128"/>
      <c r="G530" s="46"/>
      <c r="H530" s="46"/>
      <c r="I530" s="46"/>
      <c r="J530" s="46"/>
      <c r="K530" s="128"/>
      <c r="L530" s="46"/>
      <c r="M530" s="46"/>
      <c r="N530" s="46"/>
      <c r="O530" s="46"/>
      <c r="P530" s="128"/>
      <c r="Q530" s="46"/>
      <c r="R530" s="46"/>
      <c r="S530" s="46"/>
      <c r="T530" s="131"/>
    </row>
    <row r="531" spans="1:20" x14ac:dyDescent="0.3">
      <c r="A531" s="128"/>
      <c r="B531" s="46"/>
      <c r="C531" s="46"/>
      <c r="D531" s="46"/>
      <c r="E531" s="46"/>
      <c r="F531" s="128"/>
      <c r="G531" s="46"/>
      <c r="H531" s="46"/>
      <c r="I531" s="46"/>
      <c r="J531" s="46"/>
      <c r="K531" s="128"/>
      <c r="L531" s="46"/>
      <c r="M531" s="46"/>
      <c r="N531" s="46"/>
      <c r="O531" s="46"/>
      <c r="P531" s="128"/>
      <c r="Q531" s="46"/>
      <c r="R531" s="46"/>
      <c r="S531" s="46"/>
      <c r="T531" s="131"/>
    </row>
    <row r="532" spans="1:20" x14ac:dyDescent="0.3">
      <c r="A532" s="128"/>
      <c r="B532" s="46"/>
      <c r="C532" s="46"/>
      <c r="D532" s="46"/>
      <c r="E532" s="46"/>
      <c r="F532" s="128"/>
      <c r="G532" s="46"/>
      <c r="H532" s="46"/>
      <c r="I532" s="46"/>
      <c r="J532" s="46"/>
      <c r="K532" s="128"/>
      <c r="L532" s="46"/>
      <c r="M532" s="46"/>
      <c r="N532" s="46"/>
      <c r="O532" s="46"/>
      <c r="P532" s="128"/>
      <c r="Q532" s="46"/>
      <c r="R532" s="46"/>
      <c r="S532" s="46"/>
      <c r="T532" s="131"/>
    </row>
    <row r="533" spans="1:20" x14ac:dyDescent="0.3">
      <c r="A533" s="128"/>
      <c r="B533" s="46"/>
      <c r="C533" s="46"/>
      <c r="D533" s="46"/>
      <c r="E533" s="46"/>
      <c r="F533" s="128"/>
      <c r="G533" s="46"/>
      <c r="H533" s="46"/>
      <c r="I533" s="46"/>
      <c r="J533" s="46"/>
      <c r="K533" s="128"/>
      <c r="L533" s="46"/>
      <c r="M533" s="46"/>
      <c r="N533" s="46"/>
      <c r="O533" s="46"/>
      <c r="P533" s="128"/>
      <c r="Q533" s="46"/>
      <c r="R533" s="46"/>
      <c r="S533" s="46"/>
      <c r="T533" s="131"/>
    </row>
    <row r="534" spans="1:20" x14ac:dyDescent="0.3">
      <c r="A534" s="128"/>
      <c r="B534" s="46"/>
      <c r="C534" s="46"/>
      <c r="D534" s="46"/>
      <c r="E534" s="46"/>
      <c r="F534" s="128"/>
      <c r="G534" s="46"/>
      <c r="H534" s="46"/>
      <c r="I534" s="46"/>
      <c r="J534" s="46"/>
      <c r="K534" s="128"/>
      <c r="L534" s="46"/>
      <c r="M534" s="46"/>
      <c r="N534" s="46"/>
      <c r="O534" s="46"/>
      <c r="P534" s="128"/>
      <c r="Q534" s="46"/>
      <c r="R534" s="46"/>
      <c r="S534" s="46"/>
      <c r="T534" s="131"/>
    </row>
    <row r="535" spans="1:20" x14ac:dyDescent="0.3">
      <c r="A535" s="128"/>
      <c r="B535" s="46"/>
      <c r="C535" s="46"/>
      <c r="D535" s="46"/>
      <c r="E535" s="46"/>
      <c r="F535" s="128"/>
      <c r="G535" s="46"/>
      <c r="H535" s="46"/>
      <c r="I535" s="46"/>
      <c r="J535" s="46"/>
      <c r="K535" s="128"/>
      <c r="L535" s="46"/>
      <c r="M535" s="46"/>
      <c r="N535" s="46"/>
      <c r="O535" s="46"/>
      <c r="P535" s="128"/>
      <c r="Q535" s="46"/>
      <c r="R535" s="46"/>
      <c r="S535" s="46"/>
      <c r="T535" s="131"/>
    </row>
    <row r="536" spans="1:20" x14ac:dyDescent="0.3">
      <c r="A536" s="128"/>
      <c r="B536" s="46"/>
      <c r="C536" s="46"/>
      <c r="D536" s="46"/>
      <c r="E536" s="46"/>
      <c r="F536" s="128"/>
      <c r="G536" s="46"/>
      <c r="H536" s="46"/>
      <c r="I536" s="46"/>
      <c r="J536" s="46"/>
      <c r="K536" s="128"/>
      <c r="L536" s="46"/>
      <c r="M536" s="46"/>
      <c r="N536" s="46"/>
      <c r="O536" s="46"/>
      <c r="P536" s="128"/>
      <c r="Q536" s="46"/>
      <c r="R536" s="46"/>
      <c r="S536" s="46"/>
      <c r="T536" s="131"/>
    </row>
    <row r="537" spans="1:20" x14ac:dyDescent="0.3">
      <c r="A537" s="128"/>
      <c r="B537" s="46"/>
      <c r="C537" s="46"/>
      <c r="D537" s="46"/>
      <c r="E537" s="46"/>
      <c r="F537" s="128"/>
      <c r="G537" s="46"/>
      <c r="H537" s="46"/>
      <c r="I537" s="46"/>
      <c r="J537" s="46"/>
      <c r="K537" s="128"/>
      <c r="L537" s="46"/>
      <c r="M537" s="46"/>
      <c r="N537" s="46"/>
      <c r="O537" s="46"/>
      <c r="P537" s="128"/>
      <c r="Q537" s="46"/>
      <c r="R537" s="46"/>
      <c r="S537" s="46"/>
      <c r="T537" s="131"/>
    </row>
    <row r="538" spans="1:20" x14ac:dyDescent="0.3">
      <c r="A538" s="128"/>
      <c r="B538" s="46"/>
      <c r="C538" s="46"/>
      <c r="D538" s="46"/>
      <c r="E538" s="46"/>
      <c r="F538" s="128"/>
      <c r="G538" s="46"/>
      <c r="H538" s="46"/>
      <c r="I538" s="46"/>
      <c r="J538" s="46"/>
      <c r="K538" s="128"/>
      <c r="L538" s="46"/>
      <c r="M538" s="46"/>
      <c r="N538" s="46"/>
      <c r="O538" s="46"/>
      <c r="P538" s="128"/>
      <c r="Q538" s="46"/>
      <c r="R538" s="46"/>
      <c r="S538" s="46"/>
      <c r="T538" s="131"/>
    </row>
    <row r="539" spans="1:20" x14ac:dyDescent="0.3">
      <c r="A539" s="128"/>
      <c r="B539" s="46"/>
      <c r="C539" s="46"/>
      <c r="D539" s="46"/>
      <c r="E539" s="46"/>
      <c r="F539" s="128"/>
      <c r="G539" s="46"/>
      <c r="H539" s="46"/>
      <c r="I539" s="46"/>
      <c r="J539" s="46"/>
      <c r="K539" s="128"/>
      <c r="L539" s="46"/>
      <c r="M539" s="46"/>
      <c r="N539" s="46"/>
      <c r="O539" s="46"/>
      <c r="P539" s="128"/>
      <c r="Q539" s="46"/>
      <c r="R539" s="46"/>
      <c r="S539" s="46"/>
      <c r="T539" s="131"/>
    </row>
    <row r="540" spans="1:20" x14ac:dyDescent="0.3">
      <c r="A540" s="128"/>
      <c r="B540" s="46"/>
      <c r="C540" s="46"/>
      <c r="D540" s="46"/>
      <c r="E540" s="46"/>
      <c r="F540" s="128"/>
      <c r="G540" s="46"/>
      <c r="H540" s="46"/>
      <c r="I540" s="46"/>
      <c r="J540" s="46"/>
      <c r="K540" s="128"/>
      <c r="L540" s="46"/>
      <c r="M540" s="46"/>
      <c r="N540" s="46"/>
      <c r="O540" s="46"/>
      <c r="P540" s="128"/>
      <c r="Q540" s="46"/>
      <c r="R540" s="46"/>
      <c r="S540" s="46"/>
      <c r="T540" s="131"/>
    </row>
    <row r="541" spans="1:20" x14ac:dyDescent="0.3">
      <c r="A541" s="128"/>
      <c r="B541" s="46"/>
      <c r="C541" s="46"/>
      <c r="D541" s="46"/>
      <c r="E541" s="46"/>
      <c r="F541" s="128"/>
      <c r="G541" s="46"/>
      <c r="H541" s="46"/>
      <c r="I541" s="46"/>
      <c r="J541" s="46"/>
      <c r="K541" s="128"/>
      <c r="L541" s="46"/>
      <c r="M541" s="46"/>
      <c r="N541" s="46"/>
      <c r="O541" s="46"/>
      <c r="P541" s="128"/>
      <c r="Q541" s="46"/>
      <c r="R541" s="46"/>
      <c r="S541" s="46"/>
      <c r="T541" s="131"/>
    </row>
    <row r="542" spans="1:20" x14ac:dyDescent="0.3">
      <c r="A542" s="128"/>
      <c r="B542" s="46"/>
      <c r="C542" s="46"/>
      <c r="D542" s="46"/>
      <c r="E542" s="46"/>
      <c r="F542" s="128"/>
      <c r="G542" s="46"/>
      <c r="H542" s="46"/>
      <c r="I542" s="46"/>
      <c r="J542" s="46"/>
      <c r="K542" s="128"/>
      <c r="L542" s="46"/>
      <c r="M542" s="46"/>
      <c r="N542" s="46"/>
      <c r="O542" s="46"/>
      <c r="P542" s="128"/>
      <c r="Q542" s="46"/>
      <c r="R542" s="46"/>
      <c r="S542" s="46"/>
      <c r="T542" s="131"/>
    </row>
    <row r="543" spans="1:20" x14ac:dyDescent="0.3">
      <c r="A543" s="128"/>
      <c r="B543" s="46"/>
      <c r="C543" s="46"/>
      <c r="D543" s="46"/>
      <c r="E543" s="46"/>
      <c r="F543" s="128"/>
      <c r="G543" s="46"/>
      <c r="H543" s="46"/>
      <c r="I543" s="46"/>
      <c r="J543" s="46"/>
      <c r="K543" s="128"/>
      <c r="L543" s="46"/>
      <c r="M543" s="46"/>
      <c r="N543" s="46"/>
      <c r="O543" s="46"/>
      <c r="P543" s="128"/>
      <c r="Q543" s="46"/>
      <c r="R543" s="46"/>
      <c r="S543" s="46"/>
      <c r="T543" s="131"/>
    </row>
    <row r="544" spans="1:20" x14ac:dyDescent="0.3">
      <c r="A544" s="128"/>
      <c r="B544" s="46"/>
      <c r="C544" s="46"/>
      <c r="D544" s="46"/>
      <c r="E544" s="46"/>
      <c r="F544" s="128"/>
      <c r="G544" s="46"/>
      <c r="H544" s="46"/>
      <c r="I544" s="46"/>
      <c r="J544" s="46"/>
      <c r="K544" s="128"/>
      <c r="L544" s="46"/>
      <c r="M544" s="46"/>
      <c r="N544" s="46"/>
      <c r="O544" s="46"/>
      <c r="P544" s="128"/>
      <c r="Q544" s="46"/>
      <c r="R544" s="46"/>
      <c r="S544" s="46"/>
      <c r="T544" s="131"/>
    </row>
    <row r="545" spans="1:20" x14ac:dyDescent="0.3">
      <c r="A545" s="128"/>
      <c r="B545" s="46"/>
      <c r="C545" s="46"/>
      <c r="D545" s="46"/>
      <c r="E545" s="46"/>
      <c r="F545" s="128"/>
      <c r="G545" s="46"/>
      <c r="H545" s="46"/>
      <c r="I545" s="46"/>
      <c r="J545" s="46"/>
      <c r="K545" s="128"/>
      <c r="L545" s="46"/>
      <c r="M545" s="46"/>
      <c r="N545" s="46"/>
      <c r="O545" s="46"/>
      <c r="P545" s="128"/>
      <c r="Q545" s="46"/>
      <c r="R545" s="46"/>
      <c r="S545" s="46"/>
      <c r="T545" s="131"/>
    </row>
    <row r="546" spans="1:20" x14ac:dyDescent="0.3">
      <c r="A546" s="128"/>
      <c r="B546" s="46"/>
      <c r="C546" s="46"/>
      <c r="D546" s="46"/>
      <c r="E546" s="46"/>
      <c r="F546" s="128"/>
      <c r="G546" s="46"/>
      <c r="H546" s="46"/>
      <c r="I546" s="46"/>
      <c r="J546" s="46"/>
      <c r="K546" s="128"/>
      <c r="L546" s="46"/>
      <c r="M546" s="46"/>
      <c r="N546" s="46"/>
      <c r="O546" s="46"/>
      <c r="P546" s="128"/>
      <c r="Q546" s="46"/>
      <c r="R546" s="46"/>
      <c r="S546" s="46"/>
      <c r="T546" s="131"/>
    </row>
    <row r="547" spans="1:20" x14ac:dyDescent="0.3">
      <c r="A547" s="128"/>
      <c r="B547" s="46"/>
      <c r="C547" s="46"/>
      <c r="D547" s="46"/>
      <c r="E547" s="46"/>
      <c r="F547" s="128"/>
      <c r="G547" s="46"/>
      <c r="H547" s="46"/>
      <c r="I547" s="46"/>
      <c r="J547" s="46"/>
      <c r="K547" s="128"/>
      <c r="L547" s="46"/>
      <c r="M547" s="46"/>
      <c r="N547" s="46"/>
      <c r="O547" s="46"/>
      <c r="P547" s="128"/>
      <c r="Q547" s="46"/>
      <c r="R547" s="46"/>
      <c r="S547" s="46"/>
      <c r="T547" s="131"/>
    </row>
    <row r="548" spans="1:20" x14ac:dyDescent="0.3">
      <c r="A548" s="128"/>
      <c r="B548" s="46"/>
      <c r="C548" s="46"/>
      <c r="D548" s="46"/>
      <c r="E548" s="46"/>
      <c r="F548" s="128"/>
      <c r="G548" s="46"/>
      <c r="H548" s="46"/>
      <c r="I548" s="46"/>
      <c r="J548" s="46"/>
      <c r="K548" s="128"/>
      <c r="L548" s="46"/>
      <c r="M548" s="46"/>
      <c r="N548" s="46"/>
      <c r="O548" s="46"/>
      <c r="P548" s="128"/>
      <c r="Q548" s="46"/>
      <c r="R548" s="46"/>
      <c r="S548" s="46"/>
      <c r="T548" s="131"/>
    </row>
    <row r="549" spans="1:20" x14ac:dyDescent="0.3">
      <c r="A549" s="128"/>
      <c r="B549" s="46"/>
      <c r="C549" s="46"/>
      <c r="D549" s="46"/>
      <c r="E549" s="46"/>
      <c r="F549" s="128"/>
      <c r="G549" s="46"/>
      <c r="H549" s="46"/>
      <c r="I549" s="46"/>
      <c r="J549" s="46"/>
      <c r="K549" s="128"/>
      <c r="L549" s="46"/>
      <c r="M549" s="46"/>
      <c r="N549" s="46"/>
      <c r="O549" s="46"/>
      <c r="P549" s="128"/>
      <c r="Q549" s="46"/>
      <c r="R549" s="46"/>
      <c r="S549" s="46"/>
      <c r="T549" s="131"/>
    </row>
    <row r="550" spans="1:20" x14ac:dyDescent="0.3">
      <c r="A550" s="128"/>
      <c r="B550" s="46"/>
      <c r="C550" s="46"/>
      <c r="D550" s="46"/>
      <c r="E550" s="46"/>
      <c r="F550" s="128"/>
      <c r="G550" s="46"/>
      <c r="H550" s="46"/>
      <c r="I550" s="46"/>
      <c r="J550" s="46"/>
      <c r="K550" s="128"/>
      <c r="L550" s="46"/>
      <c r="M550" s="46"/>
      <c r="N550" s="46"/>
      <c r="O550" s="46"/>
      <c r="P550" s="128"/>
      <c r="Q550" s="46"/>
      <c r="R550" s="46"/>
      <c r="S550" s="46"/>
      <c r="T550" s="131"/>
    </row>
    <row r="551" spans="1:20" x14ac:dyDescent="0.3">
      <c r="A551" s="128"/>
      <c r="B551" s="46"/>
      <c r="C551" s="46"/>
      <c r="D551" s="46"/>
      <c r="E551" s="46"/>
      <c r="F551" s="128"/>
      <c r="G551" s="46"/>
      <c r="H551" s="46"/>
      <c r="I551" s="46"/>
      <c r="J551" s="46"/>
      <c r="K551" s="128"/>
      <c r="L551" s="46"/>
      <c r="M551" s="46"/>
      <c r="N551" s="46"/>
      <c r="O551" s="46"/>
      <c r="P551" s="128"/>
      <c r="Q551" s="46"/>
      <c r="R551" s="46"/>
      <c r="S551" s="46"/>
      <c r="T551" s="131"/>
    </row>
    <row r="552" spans="1:20" x14ac:dyDescent="0.3">
      <c r="A552" s="128"/>
      <c r="B552" s="46"/>
      <c r="C552" s="46"/>
      <c r="D552" s="46"/>
      <c r="E552" s="46"/>
      <c r="F552" s="128"/>
      <c r="G552" s="46"/>
      <c r="H552" s="46"/>
      <c r="I552" s="46"/>
      <c r="J552" s="46"/>
      <c r="K552" s="128"/>
      <c r="L552" s="46"/>
      <c r="M552" s="46"/>
      <c r="N552" s="46"/>
      <c r="O552" s="46"/>
      <c r="P552" s="128"/>
      <c r="Q552" s="46"/>
      <c r="R552" s="46"/>
      <c r="S552" s="46"/>
      <c r="T552" s="131"/>
    </row>
    <row r="553" spans="1:20" x14ac:dyDescent="0.3">
      <c r="A553" s="128"/>
      <c r="B553" s="46"/>
      <c r="C553" s="46"/>
      <c r="D553" s="46"/>
      <c r="E553" s="46"/>
      <c r="F553" s="128"/>
      <c r="G553" s="46"/>
      <c r="H553" s="46"/>
      <c r="I553" s="46"/>
      <c r="J553" s="46"/>
      <c r="K553" s="128"/>
      <c r="L553" s="46"/>
      <c r="M553" s="46"/>
      <c r="N553" s="46"/>
      <c r="O553" s="46"/>
      <c r="P553" s="128"/>
      <c r="Q553" s="46"/>
      <c r="R553" s="46"/>
      <c r="S553" s="46"/>
      <c r="T553" s="131"/>
    </row>
    <row r="554" spans="1:20" x14ac:dyDescent="0.3">
      <c r="A554" s="128"/>
      <c r="B554" s="46"/>
      <c r="C554" s="46"/>
      <c r="D554" s="46"/>
      <c r="E554" s="46"/>
      <c r="F554" s="128"/>
      <c r="G554" s="46"/>
      <c r="H554" s="46"/>
      <c r="I554" s="46"/>
      <c r="J554" s="46"/>
      <c r="K554" s="128"/>
      <c r="L554" s="46"/>
      <c r="M554" s="46"/>
      <c r="N554" s="46"/>
      <c r="O554" s="46"/>
      <c r="P554" s="128"/>
      <c r="Q554" s="46"/>
      <c r="R554" s="46"/>
      <c r="S554" s="46"/>
      <c r="T554" s="131"/>
    </row>
    <row r="555" spans="1:20" x14ac:dyDescent="0.3">
      <c r="A555" s="128"/>
      <c r="B555" s="46"/>
      <c r="C555" s="46"/>
      <c r="D555" s="46"/>
      <c r="E555" s="46"/>
      <c r="F555" s="128"/>
      <c r="G555" s="46"/>
      <c r="H555" s="46"/>
      <c r="I555" s="46"/>
      <c r="J555" s="46"/>
      <c r="K555" s="128"/>
      <c r="L555" s="46"/>
      <c r="M555" s="46"/>
      <c r="N555" s="46"/>
      <c r="O555" s="46"/>
      <c r="P555" s="128"/>
      <c r="Q555" s="46"/>
      <c r="R555" s="46"/>
      <c r="S555" s="46"/>
      <c r="T555" s="131"/>
    </row>
    <row r="556" spans="1:20" x14ac:dyDescent="0.3">
      <c r="A556" s="128"/>
      <c r="B556" s="46"/>
      <c r="C556" s="46"/>
      <c r="D556" s="46"/>
      <c r="E556" s="46"/>
      <c r="F556" s="128"/>
      <c r="G556" s="46"/>
      <c r="H556" s="46"/>
      <c r="I556" s="46"/>
      <c r="J556" s="46"/>
      <c r="K556" s="128"/>
      <c r="L556" s="46"/>
      <c r="M556" s="46"/>
      <c r="N556" s="46"/>
      <c r="O556" s="46"/>
      <c r="P556" s="128"/>
      <c r="Q556" s="46"/>
      <c r="R556" s="46"/>
      <c r="S556" s="46"/>
      <c r="T556" s="131"/>
    </row>
    <row r="557" spans="1:20" x14ac:dyDescent="0.3">
      <c r="A557" s="128"/>
      <c r="B557" s="46"/>
      <c r="C557" s="46"/>
      <c r="D557" s="46"/>
      <c r="E557" s="46"/>
      <c r="F557" s="128"/>
      <c r="G557" s="46"/>
      <c r="H557" s="46"/>
      <c r="I557" s="46"/>
      <c r="J557" s="46"/>
      <c r="K557" s="128"/>
      <c r="L557" s="46"/>
      <c r="M557" s="46"/>
      <c r="N557" s="46"/>
      <c r="O557" s="46"/>
      <c r="P557" s="128"/>
      <c r="Q557" s="46"/>
      <c r="R557" s="46"/>
      <c r="S557" s="46"/>
      <c r="T557" s="131"/>
    </row>
    <row r="558" spans="1:20" x14ac:dyDescent="0.3">
      <c r="A558" s="128"/>
      <c r="B558" s="46"/>
      <c r="C558" s="46"/>
      <c r="D558" s="46"/>
      <c r="E558" s="46"/>
      <c r="F558" s="128"/>
      <c r="G558" s="46"/>
      <c r="H558" s="46"/>
      <c r="I558" s="46"/>
      <c r="J558" s="46"/>
      <c r="K558" s="128"/>
      <c r="L558" s="46"/>
      <c r="M558" s="46"/>
      <c r="N558" s="46"/>
      <c r="O558" s="46"/>
      <c r="P558" s="128"/>
      <c r="Q558" s="46"/>
      <c r="R558" s="46"/>
      <c r="S558" s="46"/>
      <c r="T558" s="131"/>
    </row>
    <row r="559" spans="1:20" x14ac:dyDescent="0.3">
      <c r="A559" s="128"/>
      <c r="B559" s="46"/>
      <c r="C559" s="46"/>
      <c r="D559" s="46"/>
      <c r="E559" s="46"/>
      <c r="F559" s="128"/>
      <c r="G559" s="46"/>
      <c r="H559" s="46"/>
      <c r="I559" s="46"/>
      <c r="J559" s="46"/>
      <c r="K559" s="128"/>
      <c r="L559" s="46"/>
      <c r="M559" s="46"/>
      <c r="N559" s="46"/>
      <c r="O559" s="46"/>
      <c r="P559" s="128"/>
      <c r="Q559" s="46"/>
      <c r="R559" s="46"/>
      <c r="S559" s="46"/>
      <c r="T559" s="131"/>
    </row>
    <row r="560" spans="1:20" x14ac:dyDescent="0.3">
      <c r="A560" s="128"/>
      <c r="B560" s="46"/>
      <c r="C560" s="46"/>
      <c r="D560" s="46"/>
      <c r="E560" s="46"/>
      <c r="F560" s="128"/>
      <c r="G560" s="46"/>
      <c r="H560" s="46"/>
      <c r="I560" s="46"/>
      <c r="J560" s="46"/>
      <c r="K560" s="128"/>
      <c r="L560" s="46"/>
      <c r="M560" s="46"/>
      <c r="N560" s="46"/>
      <c r="O560" s="46"/>
      <c r="P560" s="128"/>
      <c r="Q560" s="46"/>
      <c r="R560" s="46"/>
      <c r="S560" s="46"/>
      <c r="T560" s="131"/>
    </row>
    <row r="561" spans="1:20" x14ac:dyDescent="0.3">
      <c r="A561" s="128"/>
      <c r="B561" s="46"/>
      <c r="C561" s="46"/>
      <c r="D561" s="46"/>
      <c r="E561" s="46"/>
      <c r="F561" s="128"/>
      <c r="G561" s="46"/>
      <c r="H561" s="46"/>
      <c r="I561" s="46"/>
      <c r="J561" s="46"/>
      <c r="K561" s="128"/>
      <c r="L561" s="46"/>
      <c r="M561" s="46"/>
      <c r="N561" s="46"/>
      <c r="O561" s="46"/>
      <c r="P561" s="128"/>
      <c r="Q561" s="46"/>
      <c r="R561" s="46"/>
      <c r="S561" s="46"/>
      <c r="T561" s="131"/>
    </row>
    <row r="562" spans="1:20" x14ac:dyDescent="0.3">
      <c r="A562" s="128"/>
      <c r="B562" s="46"/>
      <c r="C562" s="46"/>
      <c r="D562" s="46"/>
      <c r="E562" s="46"/>
      <c r="F562" s="128"/>
      <c r="G562" s="46"/>
      <c r="H562" s="46"/>
      <c r="I562" s="46"/>
      <c r="J562" s="46"/>
      <c r="K562" s="128"/>
      <c r="L562" s="46"/>
      <c r="M562" s="46"/>
      <c r="N562" s="46"/>
      <c r="O562" s="46"/>
      <c r="P562" s="128"/>
      <c r="Q562" s="46"/>
      <c r="R562" s="46"/>
      <c r="S562" s="46"/>
      <c r="T562" s="131"/>
    </row>
    <row r="563" spans="1:20" x14ac:dyDescent="0.3">
      <c r="A563" s="128"/>
      <c r="B563" s="46"/>
      <c r="C563" s="46"/>
      <c r="D563" s="46"/>
      <c r="E563" s="46"/>
      <c r="F563" s="128"/>
      <c r="G563" s="46"/>
      <c r="H563" s="46"/>
      <c r="I563" s="46"/>
      <c r="J563" s="46"/>
      <c r="K563" s="128"/>
      <c r="L563" s="46"/>
      <c r="M563" s="46"/>
      <c r="N563" s="46"/>
      <c r="O563" s="46"/>
      <c r="P563" s="128"/>
      <c r="Q563" s="46"/>
      <c r="R563" s="46"/>
      <c r="S563" s="46"/>
      <c r="T563" s="131"/>
    </row>
    <row r="564" spans="1:20" x14ac:dyDescent="0.3">
      <c r="A564" s="128"/>
      <c r="B564" s="46"/>
      <c r="C564" s="46"/>
      <c r="D564" s="46"/>
      <c r="E564" s="46"/>
      <c r="F564" s="128"/>
      <c r="G564" s="46"/>
      <c r="H564" s="46"/>
      <c r="I564" s="46"/>
      <c r="J564" s="46"/>
      <c r="K564" s="128"/>
      <c r="L564" s="46"/>
      <c r="M564" s="46"/>
      <c r="N564" s="46"/>
      <c r="O564" s="46"/>
      <c r="P564" s="128"/>
      <c r="Q564" s="46"/>
      <c r="R564" s="46"/>
      <c r="S564" s="46"/>
      <c r="T564" s="131"/>
    </row>
    <row r="565" spans="1:20" x14ac:dyDescent="0.3">
      <c r="A565" s="128"/>
      <c r="B565" s="46"/>
      <c r="C565" s="46"/>
      <c r="D565" s="46"/>
      <c r="E565" s="46"/>
      <c r="F565" s="128"/>
      <c r="G565" s="46"/>
      <c r="H565" s="46"/>
      <c r="I565" s="46"/>
      <c r="J565" s="46"/>
      <c r="K565" s="128"/>
      <c r="L565" s="46"/>
      <c r="M565" s="46"/>
      <c r="N565" s="46"/>
      <c r="O565" s="46"/>
      <c r="P565" s="128"/>
      <c r="Q565" s="46"/>
      <c r="R565" s="46"/>
      <c r="S565" s="46"/>
      <c r="T565" s="131"/>
    </row>
    <row r="566" spans="1:20" x14ac:dyDescent="0.3">
      <c r="A566" s="128"/>
      <c r="B566" s="46"/>
      <c r="C566" s="46"/>
      <c r="D566" s="46"/>
      <c r="E566" s="46"/>
      <c r="F566" s="128"/>
      <c r="G566" s="46"/>
      <c r="H566" s="46"/>
      <c r="I566" s="46"/>
      <c r="J566" s="46"/>
      <c r="K566" s="128"/>
      <c r="L566" s="46"/>
      <c r="M566" s="46"/>
      <c r="N566" s="46"/>
      <c r="O566" s="46"/>
      <c r="P566" s="128"/>
      <c r="Q566" s="46"/>
      <c r="R566" s="46"/>
      <c r="S566" s="46"/>
      <c r="T566" s="131"/>
    </row>
    <row r="567" spans="1:20" x14ac:dyDescent="0.3">
      <c r="A567" s="128"/>
      <c r="B567" s="46"/>
      <c r="C567" s="46"/>
      <c r="D567" s="46"/>
      <c r="E567" s="46"/>
      <c r="F567" s="128"/>
      <c r="G567" s="46"/>
      <c r="H567" s="46"/>
      <c r="I567" s="46"/>
      <c r="J567" s="46"/>
      <c r="K567" s="128"/>
      <c r="L567" s="46"/>
      <c r="M567" s="46"/>
      <c r="N567" s="46"/>
      <c r="O567" s="46"/>
      <c r="P567" s="128"/>
      <c r="Q567" s="46"/>
      <c r="R567" s="46"/>
      <c r="S567" s="46"/>
      <c r="T567" s="131"/>
    </row>
    <row r="568" spans="1:20" x14ac:dyDescent="0.3">
      <c r="A568" s="128"/>
      <c r="B568" s="46"/>
      <c r="C568" s="46"/>
      <c r="D568" s="46"/>
      <c r="E568" s="46"/>
      <c r="F568" s="128"/>
      <c r="G568" s="46"/>
      <c r="H568" s="46"/>
      <c r="I568" s="46"/>
      <c r="J568" s="46"/>
      <c r="K568" s="128"/>
      <c r="L568" s="46"/>
      <c r="M568" s="46"/>
      <c r="N568" s="46"/>
      <c r="O568" s="46"/>
      <c r="P568" s="128"/>
      <c r="Q568" s="46"/>
      <c r="R568" s="46"/>
      <c r="S568" s="46"/>
      <c r="T568" s="131"/>
    </row>
    <row r="569" spans="1:20" x14ac:dyDescent="0.3">
      <c r="A569" s="128"/>
      <c r="B569" s="46"/>
      <c r="C569" s="46"/>
      <c r="D569" s="46"/>
      <c r="E569" s="46"/>
      <c r="F569" s="128"/>
      <c r="G569" s="46"/>
      <c r="H569" s="46"/>
      <c r="I569" s="46"/>
      <c r="J569" s="46"/>
      <c r="K569" s="128"/>
      <c r="L569" s="46"/>
      <c r="M569" s="46"/>
      <c r="N569" s="46"/>
      <c r="O569" s="46"/>
      <c r="P569" s="128"/>
      <c r="Q569" s="46"/>
      <c r="R569" s="46"/>
      <c r="S569" s="46"/>
      <c r="T569" s="131"/>
    </row>
    <row r="570" spans="1:20" x14ac:dyDescent="0.3">
      <c r="A570" s="128"/>
      <c r="B570" s="46"/>
      <c r="C570" s="46"/>
      <c r="D570" s="46"/>
      <c r="E570" s="46"/>
      <c r="F570" s="128"/>
      <c r="G570" s="46"/>
      <c r="H570" s="46"/>
      <c r="I570" s="46"/>
      <c r="J570" s="46"/>
      <c r="K570" s="128"/>
      <c r="L570" s="46"/>
      <c r="M570" s="46"/>
      <c r="N570" s="46"/>
      <c r="O570" s="46"/>
      <c r="P570" s="128"/>
      <c r="Q570" s="46"/>
      <c r="R570" s="46"/>
      <c r="S570" s="46"/>
      <c r="T570" s="131"/>
    </row>
    <row r="571" spans="1:20" x14ac:dyDescent="0.3">
      <c r="A571" s="128"/>
      <c r="B571" s="46"/>
      <c r="C571" s="46"/>
      <c r="D571" s="46"/>
      <c r="E571" s="46"/>
      <c r="F571" s="128"/>
      <c r="G571" s="46"/>
      <c r="H571" s="46"/>
      <c r="I571" s="46"/>
      <c r="J571" s="46"/>
      <c r="K571" s="128"/>
      <c r="L571" s="46"/>
      <c r="M571" s="46"/>
      <c r="N571" s="46"/>
      <c r="O571" s="46"/>
      <c r="P571" s="128"/>
      <c r="Q571" s="46"/>
      <c r="R571" s="46"/>
      <c r="S571" s="46"/>
      <c r="T571" s="131"/>
    </row>
    <row r="572" spans="1:20" x14ac:dyDescent="0.3">
      <c r="A572" s="128"/>
      <c r="B572" s="46"/>
      <c r="C572" s="46"/>
      <c r="D572" s="46"/>
      <c r="E572" s="46"/>
      <c r="F572" s="128"/>
      <c r="G572" s="46"/>
      <c r="H572" s="46"/>
      <c r="I572" s="46"/>
      <c r="J572" s="46"/>
      <c r="K572" s="128"/>
      <c r="L572" s="46"/>
      <c r="M572" s="46"/>
      <c r="N572" s="46"/>
      <c r="O572" s="46"/>
      <c r="P572" s="128"/>
      <c r="Q572" s="46"/>
      <c r="R572" s="46"/>
      <c r="S572" s="46"/>
      <c r="T572" s="131"/>
    </row>
    <row r="573" spans="1:20" x14ac:dyDescent="0.3">
      <c r="A573" s="128"/>
      <c r="B573" s="46"/>
      <c r="C573" s="46"/>
      <c r="D573" s="46"/>
      <c r="E573" s="46"/>
      <c r="F573" s="128"/>
      <c r="G573" s="46"/>
      <c r="H573" s="46"/>
      <c r="I573" s="46"/>
      <c r="J573" s="46"/>
      <c r="K573" s="128"/>
      <c r="L573" s="46"/>
      <c r="M573" s="46"/>
      <c r="N573" s="46"/>
      <c r="O573" s="46"/>
      <c r="P573" s="128"/>
      <c r="Q573" s="46"/>
      <c r="R573" s="46"/>
      <c r="S573" s="46"/>
      <c r="T573" s="131"/>
    </row>
    <row r="574" spans="1:20" x14ac:dyDescent="0.3">
      <c r="A574" s="128"/>
      <c r="B574" s="46"/>
      <c r="C574" s="46"/>
      <c r="D574" s="46"/>
      <c r="E574" s="46"/>
      <c r="F574" s="128"/>
      <c r="G574" s="46"/>
      <c r="H574" s="46"/>
      <c r="I574" s="46"/>
      <c r="J574" s="46"/>
      <c r="K574" s="128"/>
      <c r="L574" s="46"/>
      <c r="M574" s="46"/>
      <c r="N574" s="46"/>
      <c r="O574" s="46"/>
      <c r="P574" s="128"/>
      <c r="Q574" s="46"/>
      <c r="R574" s="46"/>
      <c r="S574" s="46"/>
      <c r="T574" s="131"/>
    </row>
    <row r="575" spans="1:20" x14ac:dyDescent="0.3">
      <c r="A575" s="128"/>
      <c r="B575" s="46"/>
      <c r="C575" s="46"/>
      <c r="D575" s="46"/>
      <c r="E575" s="46"/>
      <c r="F575" s="128"/>
      <c r="G575" s="46"/>
      <c r="H575" s="46"/>
      <c r="I575" s="46"/>
      <c r="J575" s="46"/>
      <c r="K575" s="128"/>
      <c r="L575" s="46"/>
      <c r="M575" s="46"/>
      <c r="N575" s="46"/>
      <c r="O575" s="46"/>
      <c r="P575" s="128"/>
      <c r="Q575" s="46"/>
      <c r="R575" s="46"/>
      <c r="S575" s="46"/>
      <c r="T575" s="131"/>
    </row>
    <row r="576" spans="1:20" x14ac:dyDescent="0.3">
      <c r="A576" s="128"/>
      <c r="B576" s="46"/>
      <c r="C576" s="46"/>
      <c r="D576" s="46"/>
      <c r="E576" s="46"/>
      <c r="F576" s="128"/>
      <c r="G576" s="46"/>
      <c r="H576" s="46"/>
      <c r="I576" s="46"/>
      <c r="J576" s="46"/>
      <c r="K576" s="128"/>
      <c r="L576" s="46"/>
      <c r="M576" s="46"/>
      <c r="N576" s="46"/>
      <c r="O576" s="46"/>
      <c r="P576" s="128"/>
      <c r="Q576" s="46"/>
      <c r="R576" s="46"/>
      <c r="S576" s="46"/>
      <c r="T576" s="131"/>
    </row>
    <row r="577" spans="1:20" x14ac:dyDescent="0.3">
      <c r="A577" s="128"/>
      <c r="B577" s="46"/>
      <c r="C577" s="46"/>
      <c r="D577" s="46"/>
      <c r="E577" s="46"/>
      <c r="F577" s="128"/>
      <c r="G577" s="46"/>
      <c r="H577" s="46"/>
      <c r="I577" s="46"/>
      <c r="J577" s="46"/>
      <c r="K577" s="128"/>
      <c r="L577" s="46"/>
      <c r="M577" s="46"/>
      <c r="N577" s="46"/>
      <c r="O577" s="46"/>
      <c r="P577" s="128"/>
      <c r="Q577" s="46"/>
      <c r="R577" s="46"/>
      <c r="S577" s="46"/>
      <c r="T577" s="131"/>
    </row>
    <row r="578" spans="1:20" x14ac:dyDescent="0.3">
      <c r="A578" s="128"/>
      <c r="B578" s="46"/>
      <c r="C578" s="46"/>
      <c r="D578" s="46"/>
      <c r="E578" s="46"/>
      <c r="F578" s="128"/>
      <c r="G578" s="46"/>
      <c r="H578" s="46"/>
      <c r="I578" s="46"/>
      <c r="J578" s="46"/>
      <c r="K578" s="128"/>
      <c r="L578" s="46"/>
      <c r="M578" s="46"/>
      <c r="N578" s="46"/>
      <c r="O578" s="46"/>
      <c r="P578" s="128"/>
      <c r="Q578" s="46"/>
      <c r="R578" s="46"/>
      <c r="S578" s="46"/>
      <c r="T578" s="131"/>
    </row>
    <row r="579" spans="1:20" x14ac:dyDescent="0.3">
      <c r="A579" s="128"/>
      <c r="B579" s="46"/>
      <c r="C579" s="46"/>
      <c r="D579" s="46"/>
      <c r="E579" s="46"/>
      <c r="F579" s="128"/>
      <c r="G579" s="46"/>
      <c r="H579" s="46"/>
      <c r="I579" s="46"/>
      <c r="J579" s="46"/>
      <c r="K579" s="128"/>
      <c r="L579" s="46"/>
      <c r="M579" s="46"/>
      <c r="N579" s="46"/>
      <c r="O579" s="46"/>
      <c r="P579" s="128"/>
      <c r="Q579" s="46"/>
      <c r="R579" s="46"/>
      <c r="S579" s="46"/>
      <c r="T579" s="131"/>
    </row>
    <row r="580" spans="1:20" x14ac:dyDescent="0.3">
      <c r="A580" s="128"/>
      <c r="B580" s="46"/>
      <c r="C580" s="46"/>
      <c r="D580" s="46"/>
      <c r="E580" s="46"/>
      <c r="F580" s="128"/>
      <c r="G580" s="46"/>
      <c r="H580" s="46"/>
      <c r="I580" s="46"/>
      <c r="J580" s="46"/>
      <c r="K580" s="128"/>
      <c r="L580" s="46"/>
      <c r="M580" s="46"/>
      <c r="N580" s="46"/>
      <c r="O580" s="46"/>
      <c r="P580" s="128"/>
      <c r="Q580" s="46"/>
      <c r="R580" s="46"/>
      <c r="S580" s="46"/>
      <c r="T580" s="131"/>
    </row>
    <row r="581" spans="1:20" x14ac:dyDescent="0.3">
      <c r="A581" s="128"/>
      <c r="B581" s="46"/>
      <c r="C581" s="46"/>
      <c r="D581" s="46"/>
      <c r="E581" s="46"/>
      <c r="F581" s="128"/>
      <c r="G581" s="46"/>
      <c r="H581" s="46"/>
      <c r="I581" s="46"/>
      <c r="J581" s="46"/>
      <c r="K581" s="128"/>
      <c r="L581" s="46"/>
      <c r="M581" s="46"/>
      <c r="N581" s="46"/>
      <c r="O581" s="46"/>
      <c r="P581" s="128"/>
      <c r="Q581" s="46"/>
      <c r="R581" s="46"/>
      <c r="S581" s="46"/>
      <c r="T581" s="131"/>
    </row>
    <row r="582" spans="1:20" x14ac:dyDescent="0.3">
      <c r="A582" s="128"/>
      <c r="B582" s="46"/>
      <c r="C582" s="46"/>
      <c r="D582" s="46"/>
      <c r="E582" s="46"/>
      <c r="F582" s="128"/>
      <c r="G582" s="46"/>
      <c r="H582" s="46"/>
      <c r="I582" s="46"/>
      <c r="J582" s="46"/>
      <c r="K582" s="128"/>
      <c r="L582" s="46"/>
      <c r="M582" s="46"/>
      <c r="N582" s="46"/>
      <c r="O582" s="46"/>
      <c r="P582" s="128"/>
      <c r="Q582" s="46"/>
      <c r="R582" s="46"/>
      <c r="S582" s="46"/>
      <c r="T582" s="131"/>
    </row>
    <row r="583" spans="1:20" x14ac:dyDescent="0.3">
      <c r="A583" s="128"/>
      <c r="B583" s="46"/>
      <c r="C583" s="46"/>
      <c r="D583" s="46"/>
      <c r="E583" s="46"/>
      <c r="F583" s="128"/>
      <c r="G583" s="46"/>
      <c r="H583" s="46"/>
      <c r="I583" s="46"/>
      <c r="J583" s="46"/>
      <c r="K583" s="128"/>
      <c r="L583" s="46"/>
      <c r="M583" s="46"/>
      <c r="N583" s="46"/>
      <c r="O583" s="46"/>
      <c r="P583" s="128"/>
      <c r="Q583" s="46"/>
      <c r="R583" s="46"/>
      <c r="S583" s="46"/>
      <c r="T583" s="131"/>
    </row>
    <row r="584" spans="1:20" x14ac:dyDescent="0.3">
      <c r="A584" s="128"/>
      <c r="B584" s="46"/>
      <c r="C584" s="46"/>
      <c r="D584" s="46"/>
      <c r="E584" s="46"/>
      <c r="F584" s="128"/>
      <c r="G584" s="46"/>
      <c r="H584" s="46"/>
      <c r="I584" s="46"/>
      <c r="J584" s="46"/>
      <c r="K584" s="128"/>
      <c r="L584" s="46"/>
      <c r="M584" s="46"/>
      <c r="N584" s="46"/>
      <c r="O584" s="46"/>
      <c r="P584" s="128"/>
      <c r="Q584" s="46"/>
      <c r="R584" s="46"/>
      <c r="S584" s="46"/>
      <c r="T584" s="131"/>
    </row>
    <row r="585" spans="1:20" x14ac:dyDescent="0.3">
      <c r="A585" s="128"/>
      <c r="B585" s="46"/>
      <c r="C585" s="46"/>
      <c r="D585" s="46"/>
      <c r="E585" s="46"/>
      <c r="F585" s="128"/>
      <c r="G585" s="46"/>
      <c r="H585" s="46"/>
      <c r="I585" s="46"/>
      <c r="J585" s="46"/>
      <c r="K585" s="128"/>
      <c r="L585" s="46"/>
      <c r="M585" s="46"/>
      <c r="N585" s="46"/>
      <c r="O585" s="46"/>
      <c r="P585" s="128"/>
      <c r="Q585" s="46"/>
      <c r="R585" s="46"/>
      <c r="S585" s="46"/>
      <c r="T585" s="131"/>
    </row>
    <row r="586" spans="1:20" x14ac:dyDescent="0.3">
      <c r="A586" s="128"/>
      <c r="B586" s="46"/>
      <c r="C586" s="46"/>
      <c r="D586" s="46"/>
      <c r="E586" s="46"/>
      <c r="F586" s="128"/>
      <c r="G586" s="46"/>
      <c r="H586" s="46"/>
      <c r="I586" s="46"/>
      <c r="J586" s="46"/>
      <c r="K586" s="128"/>
      <c r="L586" s="46"/>
      <c r="M586" s="46"/>
      <c r="N586" s="46"/>
      <c r="O586" s="46"/>
      <c r="P586" s="128"/>
      <c r="Q586" s="46"/>
      <c r="R586" s="46"/>
      <c r="S586" s="46"/>
      <c r="T586" s="131"/>
    </row>
    <row r="587" spans="1:20" x14ac:dyDescent="0.3">
      <c r="A587" s="128"/>
      <c r="B587" s="46"/>
      <c r="C587" s="46"/>
      <c r="D587" s="46"/>
      <c r="E587" s="46"/>
      <c r="F587" s="128"/>
      <c r="G587" s="46"/>
      <c r="H587" s="46"/>
      <c r="I587" s="46"/>
      <c r="J587" s="46"/>
      <c r="K587" s="128"/>
      <c r="L587" s="46"/>
      <c r="M587" s="46"/>
      <c r="N587" s="46"/>
      <c r="O587" s="46"/>
      <c r="P587" s="128"/>
      <c r="Q587" s="46"/>
      <c r="R587" s="46"/>
      <c r="S587" s="46"/>
      <c r="T587" s="131"/>
    </row>
    <row r="588" spans="1:20" x14ac:dyDescent="0.3">
      <c r="A588" s="128"/>
      <c r="B588" s="46"/>
      <c r="C588" s="46"/>
      <c r="D588" s="46"/>
      <c r="E588" s="46"/>
      <c r="F588" s="128"/>
      <c r="G588" s="46"/>
      <c r="H588" s="46"/>
      <c r="I588" s="46"/>
      <c r="J588" s="46"/>
      <c r="K588" s="128"/>
      <c r="L588" s="46"/>
      <c r="M588" s="46"/>
      <c r="N588" s="46"/>
      <c r="O588" s="46"/>
      <c r="P588" s="128"/>
      <c r="Q588" s="46"/>
      <c r="R588" s="46"/>
      <c r="S588" s="46"/>
      <c r="T588" s="131"/>
    </row>
    <row r="589" spans="1:20" x14ac:dyDescent="0.3">
      <c r="A589" s="128"/>
      <c r="B589" s="46"/>
      <c r="C589" s="46"/>
      <c r="D589" s="46"/>
      <c r="E589" s="46"/>
      <c r="F589" s="128"/>
      <c r="G589" s="46"/>
      <c r="H589" s="46"/>
      <c r="I589" s="46"/>
      <c r="J589" s="46"/>
      <c r="K589" s="128"/>
      <c r="L589" s="46"/>
      <c r="M589" s="46"/>
      <c r="N589" s="46"/>
      <c r="O589" s="46"/>
      <c r="P589" s="128"/>
      <c r="Q589" s="46"/>
      <c r="R589" s="46"/>
      <c r="S589" s="46"/>
      <c r="T589" s="131"/>
    </row>
    <row r="590" spans="1:20" x14ac:dyDescent="0.3">
      <c r="A590" s="128"/>
      <c r="B590" s="46"/>
      <c r="C590" s="46"/>
      <c r="D590" s="46"/>
      <c r="E590" s="46"/>
      <c r="F590" s="128"/>
      <c r="G590" s="46"/>
      <c r="H590" s="46"/>
      <c r="I590" s="46"/>
      <c r="J590" s="46"/>
      <c r="K590" s="128"/>
      <c r="L590" s="46"/>
      <c r="M590" s="46"/>
      <c r="N590" s="46"/>
      <c r="O590" s="46"/>
      <c r="P590" s="128"/>
      <c r="Q590" s="46"/>
      <c r="R590" s="46"/>
      <c r="S590" s="46"/>
      <c r="T590" s="131"/>
    </row>
    <row r="591" spans="1:20" x14ac:dyDescent="0.3">
      <c r="A591" s="128"/>
      <c r="B591" s="46"/>
      <c r="C591" s="46"/>
      <c r="D591" s="46"/>
      <c r="E591" s="46"/>
      <c r="F591" s="128"/>
      <c r="G591" s="46"/>
      <c r="H591" s="46"/>
      <c r="I591" s="46"/>
      <c r="J591" s="46"/>
      <c r="K591" s="128"/>
      <c r="L591" s="46"/>
      <c r="M591" s="46"/>
      <c r="N591" s="46"/>
      <c r="O591" s="46"/>
      <c r="P591" s="128"/>
      <c r="Q591" s="46"/>
      <c r="R591" s="46"/>
      <c r="S591" s="46"/>
      <c r="T591" s="131"/>
    </row>
    <row r="592" spans="1:20" x14ac:dyDescent="0.3">
      <c r="A592" s="128"/>
      <c r="B592" s="46"/>
      <c r="C592" s="46"/>
      <c r="D592" s="46"/>
      <c r="E592" s="46"/>
      <c r="F592" s="128"/>
      <c r="G592" s="46"/>
      <c r="H592" s="46"/>
      <c r="I592" s="46"/>
      <c r="J592" s="46"/>
      <c r="K592" s="128"/>
      <c r="L592" s="46"/>
      <c r="M592" s="46"/>
      <c r="N592" s="46"/>
      <c r="O592" s="46"/>
      <c r="P592" s="128"/>
      <c r="Q592" s="46"/>
      <c r="R592" s="46"/>
      <c r="S592" s="46"/>
      <c r="T592" s="131"/>
    </row>
    <row r="593" spans="1:20" x14ac:dyDescent="0.3">
      <c r="A593" s="128"/>
      <c r="B593" s="46"/>
      <c r="C593" s="46"/>
      <c r="D593" s="46"/>
      <c r="E593" s="46"/>
      <c r="F593" s="128"/>
      <c r="G593" s="46"/>
      <c r="H593" s="46"/>
      <c r="I593" s="46"/>
      <c r="J593" s="46"/>
      <c r="K593" s="128"/>
      <c r="L593" s="46"/>
      <c r="M593" s="46"/>
      <c r="N593" s="46"/>
      <c r="O593" s="46"/>
      <c r="P593" s="128"/>
      <c r="Q593" s="46"/>
      <c r="R593" s="46"/>
      <c r="S593" s="46"/>
      <c r="T593" s="131"/>
    </row>
    <row r="594" spans="1:20" x14ac:dyDescent="0.3">
      <c r="A594" s="128"/>
      <c r="B594" s="46"/>
      <c r="C594" s="46"/>
      <c r="D594" s="46"/>
      <c r="E594" s="46"/>
      <c r="F594" s="128"/>
      <c r="G594" s="46"/>
      <c r="H594" s="46"/>
      <c r="I594" s="46"/>
      <c r="J594" s="46"/>
      <c r="K594" s="128"/>
      <c r="L594" s="46"/>
      <c r="M594" s="46"/>
      <c r="N594" s="46"/>
      <c r="O594" s="46"/>
      <c r="P594" s="128"/>
      <c r="Q594" s="46"/>
      <c r="R594" s="46"/>
      <c r="S594" s="46"/>
      <c r="T594" s="131"/>
    </row>
    <row r="595" spans="1:20" x14ac:dyDescent="0.3">
      <c r="A595" s="128"/>
      <c r="B595" s="46"/>
      <c r="C595" s="46"/>
      <c r="D595" s="46"/>
      <c r="E595" s="46"/>
      <c r="F595" s="128"/>
      <c r="G595" s="46"/>
      <c r="H595" s="46"/>
      <c r="I595" s="46"/>
      <c r="J595" s="46"/>
      <c r="K595" s="128"/>
      <c r="L595" s="46"/>
      <c r="M595" s="46"/>
      <c r="N595" s="46"/>
      <c r="O595" s="46"/>
      <c r="P595" s="128"/>
      <c r="Q595" s="46"/>
      <c r="R595" s="46"/>
      <c r="S595" s="46"/>
      <c r="T595" s="131"/>
    </row>
    <row r="596" spans="1:20" x14ac:dyDescent="0.3">
      <c r="A596" s="128"/>
      <c r="B596" s="46"/>
      <c r="C596" s="46"/>
      <c r="D596" s="46"/>
      <c r="E596" s="46"/>
      <c r="F596" s="128"/>
      <c r="G596" s="46"/>
      <c r="H596" s="46"/>
      <c r="I596" s="46"/>
      <c r="J596" s="46"/>
      <c r="K596" s="128"/>
      <c r="L596" s="46"/>
      <c r="M596" s="46"/>
      <c r="N596" s="46"/>
      <c r="O596" s="46"/>
      <c r="P596" s="128"/>
      <c r="Q596" s="46"/>
      <c r="R596" s="46"/>
      <c r="S596" s="46"/>
      <c r="T596" s="131"/>
    </row>
    <row r="597" spans="1:20" x14ac:dyDescent="0.3">
      <c r="A597" s="128"/>
      <c r="B597" s="46"/>
      <c r="C597" s="46"/>
      <c r="D597" s="46"/>
      <c r="E597" s="46"/>
      <c r="F597" s="128"/>
      <c r="G597" s="46"/>
      <c r="H597" s="46"/>
      <c r="I597" s="46"/>
      <c r="J597" s="46"/>
      <c r="K597" s="128"/>
      <c r="L597" s="46"/>
      <c r="M597" s="46"/>
      <c r="N597" s="46"/>
      <c r="O597" s="46"/>
      <c r="P597" s="128"/>
      <c r="Q597" s="46"/>
      <c r="R597" s="46"/>
      <c r="S597" s="46"/>
      <c r="T597" s="131"/>
    </row>
    <row r="598" spans="1:20" x14ac:dyDescent="0.3">
      <c r="A598" s="128"/>
      <c r="B598" s="46"/>
      <c r="C598" s="46"/>
      <c r="D598" s="46"/>
      <c r="E598" s="46"/>
      <c r="F598" s="128"/>
      <c r="G598" s="46"/>
      <c r="H598" s="46"/>
      <c r="I598" s="46"/>
      <c r="J598" s="46"/>
      <c r="K598" s="128"/>
      <c r="L598" s="46"/>
      <c r="M598" s="46"/>
      <c r="N598" s="46"/>
      <c r="O598" s="46"/>
      <c r="P598" s="128"/>
      <c r="Q598" s="46"/>
      <c r="R598" s="46"/>
      <c r="S598" s="46"/>
      <c r="T598" s="131"/>
    </row>
    <row r="599" spans="1:20" x14ac:dyDescent="0.3">
      <c r="A599" s="128"/>
      <c r="B599" s="46"/>
      <c r="C599" s="46"/>
      <c r="D599" s="46"/>
      <c r="E599" s="46"/>
      <c r="F599" s="128"/>
      <c r="G599" s="46"/>
      <c r="H599" s="46"/>
      <c r="I599" s="46"/>
      <c r="J599" s="46"/>
      <c r="K599" s="128"/>
      <c r="L599" s="46"/>
      <c r="M599" s="46"/>
      <c r="N599" s="46"/>
      <c r="O599" s="46"/>
      <c r="P599" s="128"/>
      <c r="Q599" s="46"/>
      <c r="R599" s="46"/>
      <c r="S599" s="46"/>
      <c r="T599" s="131"/>
    </row>
    <row r="600" spans="1:20" x14ac:dyDescent="0.3">
      <c r="A600" s="128"/>
      <c r="B600" s="46"/>
      <c r="C600" s="46"/>
      <c r="D600" s="46"/>
      <c r="E600" s="46"/>
      <c r="F600" s="128"/>
      <c r="G600" s="46"/>
      <c r="H600" s="46"/>
      <c r="I600" s="46"/>
      <c r="J600" s="46"/>
      <c r="K600" s="128"/>
      <c r="L600" s="46"/>
      <c r="M600" s="46"/>
      <c r="N600" s="46"/>
      <c r="O600" s="46"/>
      <c r="P600" s="128"/>
      <c r="Q600" s="46"/>
      <c r="R600" s="46"/>
      <c r="S600" s="46"/>
      <c r="T600" s="131"/>
    </row>
    <row r="601" spans="1:20" x14ac:dyDescent="0.3">
      <c r="A601" s="128"/>
      <c r="B601" s="46"/>
      <c r="C601" s="46"/>
      <c r="D601" s="46"/>
      <c r="E601" s="46"/>
      <c r="F601" s="128"/>
      <c r="G601" s="46"/>
      <c r="H601" s="46"/>
      <c r="I601" s="46"/>
      <c r="J601" s="46"/>
      <c r="K601" s="128"/>
      <c r="L601" s="46"/>
      <c r="M601" s="46"/>
      <c r="N601" s="46"/>
      <c r="O601" s="46"/>
      <c r="P601" s="128"/>
      <c r="Q601" s="46"/>
      <c r="R601" s="46"/>
      <c r="S601" s="46"/>
      <c r="T601" s="131"/>
    </row>
    <row r="602" spans="1:20" x14ac:dyDescent="0.3">
      <c r="A602" s="128"/>
      <c r="B602" s="46"/>
      <c r="C602" s="46"/>
      <c r="D602" s="46"/>
      <c r="E602" s="46"/>
      <c r="F602" s="128"/>
      <c r="G602" s="46"/>
      <c r="H602" s="46"/>
      <c r="I602" s="46"/>
      <c r="J602" s="46"/>
      <c r="K602" s="128"/>
      <c r="L602" s="46"/>
      <c r="M602" s="46"/>
      <c r="N602" s="46"/>
      <c r="O602" s="46"/>
      <c r="P602" s="128"/>
      <c r="Q602" s="46"/>
      <c r="R602" s="46"/>
      <c r="S602" s="46"/>
      <c r="T602" s="131"/>
    </row>
    <row r="603" spans="1:20" x14ac:dyDescent="0.3">
      <c r="A603" s="128"/>
      <c r="B603" s="46"/>
      <c r="C603" s="46"/>
      <c r="D603" s="46"/>
      <c r="E603" s="46"/>
      <c r="F603" s="128"/>
      <c r="G603" s="46"/>
      <c r="H603" s="46"/>
      <c r="I603" s="46"/>
      <c r="J603" s="46"/>
      <c r="K603" s="128"/>
      <c r="L603" s="46"/>
      <c r="M603" s="46"/>
      <c r="N603" s="46"/>
      <c r="O603" s="46"/>
      <c r="P603" s="128"/>
      <c r="Q603" s="46"/>
      <c r="R603" s="46"/>
      <c r="S603" s="46"/>
      <c r="T603" s="131"/>
    </row>
    <row r="604" spans="1:20" x14ac:dyDescent="0.3">
      <c r="A604" s="128"/>
      <c r="B604" s="46"/>
      <c r="C604" s="46"/>
      <c r="D604" s="46"/>
      <c r="E604" s="46"/>
      <c r="F604" s="128"/>
      <c r="G604" s="46"/>
      <c r="H604" s="46"/>
      <c r="I604" s="46"/>
      <c r="J604" s="46"/>
      <c r="K604" s="128"/>
      <c r="L604" s="46"/>
      <c r="M604" s="46"/>
      <c r="N604" s="46"/>
      <c r="O604" s="46"/>
      <c r="P604" s="128"/>
      <c r="Q604" s="46"/>
      <c r="R604" s="46"/>
      <c r="S604" s="46"/>
      <c r="T604" s="131"/>
    </row>
    <row r="605" spans="1:20" x14ac:dyDescent="0.3">
      <c r="A605" s="128"/>
      <c r="B605" s="46"/>
      <c r="C605" s="46"/>
      <c r="D605" s="46"/>
      <c r="E605" s="46"/>
      <c r="F605" s="128"/>
      <c r="G605" s="46"/>
      <c r="H605" s="46"/>
      <c r="I605" s="46"/>
      <c r="J605" s="46"/>
      <c r="K605" s="128"/>
      <c r="L605" s="46"/>
      <c r="M605" s="46"/>
      <c r="N605" s="46"/>
      <c r="O605" s="46"/>
      <c r="P605" s="128"/>
      <c r="Q605" s="46"/>
      <c r="R605" s="46"/>
      <c r="S605" s="46"/>
      <c r="T605" s="131"/>
    </row>
    <row r="606" spans="1:20" x14ac:dyDescent="0.3">
      <c r="A606" s="128"/>
      <c r="B606" s="46"/>
      <c r="C606" s="46"/>
      <c r="D606" s="46"/>
      <c r="E606" s="46"/>
      <c r="F606" s="128"/>
      <c r="G606" s="46"/>
      <c r="H606" s="46"/>
      <c r="I606" s="46"/>
      <c r="J606" s="46"/>
      <c r="K606" s="128"/>
      <c r="L606" s="46"/>
      <c r="M606" s="46"/>
      <c r="N606" s="46"/>
      <c r="O606" s="46"/>
      <c r="P606" s="128"/>
      <c r="Q606" s="46"/>
      <c r="R606" s="46"/>
      <c r="S606" s="46"/>
      <c r="T606" s="131"/>
    </row>
    <row r="607" spans="1:20" x14ac:dyDescent="0.3">
      <c r="A607" s="128"/>
      <c r="B607" s="46"/>
      <c r="C607" s="46"/>
      <c r="D607" s="46"/>
      <c r="E607" s="46"/>
      <c r="F607" s="128"/>
      <c r="G607" s="46"/>
      <c r="H607" s="46"/>
      <c r="I607" s="46"/>
      <c r="J607" s="46"/>
      <c r="K607" s="128"/>
      <c r="L607" s="46"/>
      <c r="M607" s="46"/>
      <c r="N607" s="46"/>
      <c r="O607" s="46"/>
      <c r="P607" s="128"/>
      <c r="Q607" s="46"/>
      <c r="R607" s="46"/>
      <c r="S607" s="46"/>
      <c r="T607" s="131"/>
    </row>
    <row r="608" spans="1:20" x14ac:dyDescent="0.3">
      <c r="A608" s="128"/>
      <c r="B608" s="46"/>
      <c r="C608" s="46"/>
      <c r="D608" s="46"/>
      <c r="E608" s="46"/>
      <c r="F608" s="128"/>
      <c r="G608" s="46"/>
      <c r="H608" s="46"/>
      <c r="I608" s="46"/>
      <c r="J608" s="46"/>
      <c r="K608" s="128"/>
      <c r="L608" s="46"/>
      <c r="M608" s="46"/>
      <c r="N608" s="46"/>
      <c r="O608" s="46"/>
      <c r="P608" s="128"/>
      <c r="Q608" s="46"/>
      <c r="R608" s="46"/>
      <c r="S608" s="46"/>
      <c r="T608" s="131"/>
    </row>
    <row r="609" spans="1:20" x14ac:dyDescent="0.3">
      <c r="A609" s="128"/>
      <c r="B609" s="46"/>
      <c r="C609" s="46"/>
      <c r="D609" s="46"/>
      <c r="E609" s="46"/>
      <c r="F609" s="128"/>
      <c r="G609" s="46"/>
      <c r="H609" s="46"/>
      <c r="I609" s="46"/>
      <c r="J609" s="46"/>
      <c r="K609" s="128"/>
      <c r="L609" s="46"/>
      <c r="M609" s="46"/>
      <c r="N609" s="46"/>
      <c r="O609" s="46"/>
      <c r="P609" s="128"/>
      <c r="Q609" s="46"/>
      <c r="R609" s="46"/>
      <c r="S609" s="46"/>
      <c r="T609" s="131"/>
    </row>
    <row r="610" spans="1:20" x14ac:dyDescent="0.3">
      <c r="A610" s="128"/>
      <c r="B610" s="46"/>
      <c r="C610" s="46"/>
      <c r="D610" s="46"/>
      <c r="E610" s="46"/>
      <c r="F610" s="128"/>
      <c r="G610" s="46"/>
      <c r="H610" s="46"/>
      <c r="I610" s="46"/>
      <c r="J610" s="46"/>
      <c r="K610" s="128"/>
      <c r="L610" s="46"/>
      <c r="M610" s="46"/>
      <c r="N610" s="46"/>
      <c r="O610" s="46"/>
      <c r="P610" s="128"/>
      <c r="Q610" s="46"/>
      <c r="R610" s="46"/>
      <c r="S610" s="46"/>
      <c r="T610" s="131"/>
    </row>
    <row r="611" spans="1:20" x14ac:dyDescent="0.3">
      <c r="A611" s="128"/>
      <c r="B611" s="46"/>
      <c r="C611" s="46"/>
      <c r="D611" s="46"/>
      <c r="E611" s="46"/>
      <c r="F611" s="128"/>
      <c r="G611" s="46"/>
      <c r="H611" s="46"/>
      <c r="I611" s="46"/>
      <c r="J611" s="46"/>
      <c r="K611" s="128"/>
      <c r="L611" s="46"/>
      <c r="M611" s="46"/>
      <c r="N611" s="46"/>
      <c r="O611" s="46"/>
      <c r="P611" s="128"/>
      <c r="Q611" s="46"/>
      <c r="R611" s="46"/>
      <c r="S611" s="46"/>
      <c r="T611" s="131"/>
    </row>
    <row r="612" spans="1:20" x14ac:dyDescent="0.3">
      <c r="A612" s="128"/>
      <c r="B612" s="46"/>
      <c r="C612" s="46"/>
      <c r="D612" s="46"/>
      <c r="E612" s="46"/>
      <c r="F612" s="128"/>
      <c r="G612" s="46"/>
      <c r="H612" s="46"/>
      <c r="I612" s="46"/>
      <c r="J612" s="46"/>
      <c r="K612" s="128"/>
      <c r="L612" s="46"/>
      <c r="M612" s="46"/>
      <c r="N612" s="46"/>
      <c r="O612" s="46"/>
      <c r="P612" s="128"/>
      <c r="Q612" s="46"/>
      <c r="R612" s="46"/>
      <c r="S612" s="46"/>
      <c r="T612" s="131"/>
    </row>
    <row r="613" spans="1:20" x14ac:dyDescent="0.3">
      <c r="A613" s="128"/>
      <c r="B613" s="46"/>
      <c r="C613" s="46"/>
      <c r="D613" s="46"/>
      <c r="E613" s="46"/>
      <c r="F613" s="128"/>
      <c r="G613" s="46"/>
      <c r="H613" s="46"/>
      <c r="I613" s="46"/>
      <c r="J613" s="46"/>
      <c r="K613" s="128"/>
      <c r="L613" s="46"/>
      <c r="M613" s="46"/>
      <c r="N613" s="46"/>
      <c r="O613" s="46"/>
      <c r="P613" s="128"/>
      <c r="Q613" s="46"/>
      <c r="R613" s="46"/>
      <c r="S613" s="46"/>
      <c r="T613" s="131"/>
    </row>
    <row r="614" spans="1:20" x14ac:dyDescent="0.3">
      <c r="A614" s="128"/>
      <c r="B614" s="46"/>
      <c r="C614" s="46"/>
      <c r="D614" s="46"/>
      <c r="E614" s="46"/>
      <c r="F614" s="128"/>
      <c r="G614" s="46"/>
      <c r="H614" s="46"/>
      <c r="I614" s="46"/>
      <c r="J614" s="46"/>
      <c r="K614" s="128"/>
      <c r="L614" s="46"/>
      <c r="M614" s="46"/>
      <c r="N614" s="46"/>
      <c r="O614" s="46"/>
      <c r="P614" s="128"/>
      <c r="Q614" s="46"/>
      <c r="R614" s="46"/>
      <c r="S614" s="46"/>
      <c r="T614" s="131"/>
    </row>
    <row r="615" spans="1:20" x14ac:dyDescent="0.3">
      <c r="A615" s="128"/>
      <c r="B615" s="46"/>
      <c r="C615" s="46"/>
      <c r="D615" s="46"/>
      <c r="E615" s="46"/>
      <c r="F615" s="128"/>
      <c r="G615" s="46"/>
      <c r="H615" s="46"/>
      <c r="I615" s="46"/>
      <c r="J615" s="46"/>
      <c r="K615" s="128"/>
      <c r="L615" s="46"/>
      <c r="M615" s="46"/>
      <c r="N615" s="46"/>
      <c r="O615" s="46"/>
      <c r="P615" s="128"/>
      <c r="Q615" s="46"/>
      <c r="R615" s="46"/>
      <c r="S615" s="46"/>
      <c r="T615" s="131"/>
    </row>
    <row r="616" spans="1:20" x14ac:dyDescent="0.3">
      <c r="A616" s="128"/>
      <c r="B616" s="46"/>
      <c r="C616" s="46"/>
      <c r="D616" s="46"/>
      <c r="E616" s="46"/>
      <c r="F616" s="128"/>
      <c r="G616" s="46"/>
      <c r="H616" s="46"/>
      <c r="I616" s="46"/>
      <c r="J616" s="46"/>
      <c r="K616" s="128"/>
      <c r="L616" s="46"/>
      <c r="M616" s="46"/>
      <c r="N616" s="46"/>
      <c r="O616" s="46"/>
      <c r="P616" s="128"/>
      <c r="Q616" s="46"/>
      <c r="R616" s="46"/>
      <c r="S616" s="46"/>
      <c r="T616" s="131"/>
    </row>
    <row r="617" spans="1:20" x14ac:dyDescent="0.3">
      <c r="A617" s="128"/>
      <c r="B617" s="46"/>
      <c r="C617" s="46"/>
      <c r="D617" s="46"/>
      <c r="E617" s="46"/>
      <c r="F617" s="128"/>
      <c r="G617" s="46"/>
      <c r="H617" s="46"/>
      <c r="I617" s="46"/>
      <c r="J617" s="46"/>
      <c r="K617" s="128"/>
      <c r="L617" s="46"/>
      <c r="M617" s="46"/>
      <c r="N617" s="46"/>
      <c r="O617" s="46"/>
      <c r="P617" s="128"/>
      <c r="Q617" s="46"/>
      <c r="R617" s="46"/>
      <c r="S617" s="46"/>
      <c r="T617" s="131"/>
    </row>
    <row r="618" spans="1:20" x14ac:dyDescent="0.3">
      <c r="A618" s="128"/>
      <c r="B618" s="46"/>
      <c r="C618" s="46"/>
      <c r="D618" s="46"/>
      <c r="E618" s="46"/>
      <c r="F618" s="128"/>
      <c r="G618" s="46"/>
      <c r="H618" s="46"/>
      <c r="I618" s="46"/>
      <c r="J618" s="46"/>
      <c r="K618" s="128"/>
      <c r="L618" s="46"/>
      <c r="M618" s="46"/>
      <c r="N618" s="46"/>
      <c r="O618" s="46"/>
      <c r="P618" s="128"/>
      <c r="Q618" s="46"/>
      <c r="R618" s="46"/>
      <c r="S618" s="46"/>
      <c r="T618" s="131"/>
    </row>
    <row r="619" spans="1:20" x14ac:dyDescent="0.3">
      <c r="A619" s="128"/>
      <c r="B619" s="46"/>
      <c r="C619" s="46"/>
      <c r="D619" s="46"/>
      <c r="E619" s="46"/>
      <c r="F619" s="128"/>
      <c r="G619" s="46"/>
      <c r="H619" s="46"/>
      <c r="I619" s="46"/>
      <c r="J619" s="46"/>
      <c r="K619" s="128"/>
      <c r="L619" s="46"/>
      <c r="M619" s="46"/>
      <c r="N619" s="46"/>
      <c r="O619" s="46"/>
      <c r="P619" s="128"/>
      <c r="Q619" s="46"/>
      <c r="R619" s="46"/>
      <c r="S619" s="46"/>
      <c r="T619" s="131"/>
    </row>
    <row r="620" spans="1:20" x14ac:dyDescent="0.3">
      <c r="A620" s="128"/>
      <c r="B620" s="46"/>
      <c r="C620" s="46"/>
      <c r="D620" s="46"/>
      <c r="E620" s="46"/>
      <c r="F620" s="128"/>
      <c r="G620" s="46"/>
      <c r="H620" s="46"/>
      <c r="I620" s="46"/>
      <c r="J620" s="46"/>
      <c r="K620" s="128"/>
      <c r="L620" s="46"/>
      <c r="M620" s="46"/>
      <c r="N620" s="46"/>
      <c r="O620" s="46"/>
      <c r="P620" s="128"/>
      <c r="Q620" s="46"/>
      <c r="R620" s="46"/>
      <c r="S620" s="46"/>
      <c r="T620" s="131"/>
    </row>
    <row r="621" spans="1:20" x14ac:dyDescent="0.3">
      <c r="A621" s="128"/>
      <c r="B621" s="46"/>
      <c r="C621" s="46"/>
      <c r="D621" s="46"/>
      <c r="E621" s="46"/>
      <c r="F621" s="128"/>
      <c r="G621" s="46"/>
      <c r="H621" s="46"/>
      <c r="I621" s="46"/>
      <c r="J621" s="46"/>
      <c r="K621" s="128"/>
      <c r="L621" s="46"/>
      <c r="M621" s="46"/>
      <c r="N621" s="46"/>
      <c r="O621" s="46"/>
      <c r="P621" s="128"/>
      <c r="Q621" s="46"/>
      <c r="R621" s="46"/>
      <c r="S621" s="46"/>
      <c r="T621" s="131"/>
    </row>
    <row r="622" spans="1:20" x14ac:dyDescent="0.3">
      <c r="A622" s="128"/>
      <c r="B622" s="46"/>
      <c r="C622" s="46"/>
      <c r="D622" s="46"/>
      <c r="E622" s="46"/>
      <c r="F622" s="128"/>
      <c r="G622" s="46"/>
      <c r="H622" s="46"/>
      <c r="I622" s="46"/>
      <c r="J622" s="46"/>
      <c r="K622" s="128"/>
      <c r="L622" s="46"/>
      <c r="M622" s="46"/>
      <c r="N622" s="46"/>
      <c r="O622" s="46"/>
      <c r="P622" s="128"/>
      <c r="Q622" s="46"/>
      <c r="R622" s="46"/>
      <c r="S622" s="46"/>
      <c r="T622" s="131"/>
    </row>
    <row r="623" spans="1:20" x14ac:dyDescent="0.3">
      <c r="A623" s="128"/>
      <c r="B623" s="46"/>
      <c r="C623" s="46"/>
      <c r="D623" s="46"/>
      <c r="E623" s="46"/>
      <c r="F623" s="128"/>
      <c r="G623" s="46"/>
      <c r="H623" s="46"/>
      <c r="I623" s="46"/>
      <c r="J623" s="46"/>
      <c r="K623" s="128"/>
      <c r="L623" s="46"/>
      <c r="M623" s="46"/>
      <c r="N623" s="46"/>
      <c r="O623" s="46"/>
      <c r="P623" s="128"/>
      <c r="Q623" s="46"/>
      <c r="R623" s="46"/>
      <c r="S623" s="46"/>
      <c r="T623" s="131"/>
    </row>
    <row r="624" spans="1:20" x14ac:dyDescent="0.3">
      <c r="A624" s="128"/>
      <c r="B624" s="46"/>
      <c r="C624" s="46"/>
      <c r="D624" s="46"/>
      <c r="E624" s="46"/>
      <c r="F624" s="128"/>
      <c r="G624" s="46"/>
      <c r="H624" s="46"/>
      <c r="I624" s="46"/>
      <c r="J624" s="46"/>
      <c r="K624" s="128"/>
      <c r="L624" s="46"/>
      <c r="M624" s="46"/>
      <c r="N624" s="46"/>
      <c r="O624" s="46"/>
      <c r="P624" s="128"/>
      <c r="Q624" s="46"/>
      <c r="R624" s="46"/>
      <c r="S624" s="46"/>
      <c r="T624" s="131"/>
    </row>
    <row r="625" spans="1:20" x14ac:dyDescent="0.3">
      <c r="A625" s="128"/>
      <c r="B625" s="46"/>
      <c r="C625" s="46"/>
      <c r="D625" s="46"/>
      <c r="E625" s="46"/>
      <c r="F625" s="128"/>
      <c r="G625" s="46"/>
      <c r="H625" s="46"/>
      <c r="I625" s="46"/>
      <c r="J625" s="46"/>
      <c r="K625" s="128"/>
      <c r="L625" s="46"/>
      <c r="M625" s="46"/>
      <c r="N625" s="46"/>
      <c r="O625" s="46"/>
      <c r="P625" s="128"/>
      <c r="Q625" s="46"/>
      <c r="R625" s="46"/>
      <c r="S625" s="46"/>
      <c r="T625" s="131"/>
    </row>
    <row r="626" spans="1:20" x14ac:dyDescent="0.3">
      <c r="A626" s="128"/>
      <c r="B626" s="46"/>
      <c r="C626" s="46"/>
      <c r="D626" s="46"/>
      <c r="E626" s="46"/>
      <c r="F626" s="128"/>
      <c r="G626" s="46"/>
      <c r="H626" s="46"/>
      <c r="I626" s="46"/>
      <c r="J626" s="46"/>
      <c r="K626" s="128"/>
      <c r="L626" s="46"/>
      <c r="M626" s="46"/>
      <c r="N626" s="46"/>
      <c r="O626" s="46"/>
      <c r="P626" s="128"/>
      <c r="Q626" s="46"/>
      <c r="R626" s="46"/>
      <c r="S626" s="46"/>
      <c r="T626" s="131"/>
    </row>
    <row r="627" spans="1:20" x14ac:dyDescent="0.3">
      <c r="A627" s="128"/>
      <c r="B627" s="46"/>
      <c r="C627" s="46"/>
      <c r="D627" s="46"/>
      <c r="E627" s="46"/>
      <c r="F627" s="128"/>
      <c r="G627" s="46"/>
      <c r="H627" s="46"/>
      <c r="I627" s="46"/>
      <c r="J627" s="46"/>
      <c r="K627" s="128"/>
      <c r="L627" s="46"/>
      <c r="M627" s="46"/>
      <c r="N627" s="46"/>
      <c r="O627" s="46"/>
      <c r="P627" s="128"/>
      <c r="Q627" s="46"/>
      <c r="R627" s="46"/>
      <c r="S627" s="46"/>
      <c r="T627" s="131"/>
    </row>
    <row r="628" spans="1:20" x14ac:dyDescent="0.3">
      <c r="A628" s="128"/>
      <c r="B628" s="46"/>
      <c r="C628" s="46"/>
      <c r="D628" s="46"/>
      <c r="E628" s="46"/>
      <c r="F628" s="128"/>
      <c r="G628" s="46"/>
      <c r="H628" s="46"/>
      <c r="I628" s="46"/>
      <c r="J628" s="46"/>
      <c r="K628" s="128"/>
      <c r="L628" s="46"/>
      <c r="M628" s="46"/>
      <c r="N628" s="46"/>
      <c r="O628" s="46"/>
      <c r="P628" s="128"/>
      <c r="Q628" s="46"/>
      <c r="R628" s="46"/>
      <c r="S628" s="46"/>
      <c r="T628" s="131"/>
    </row>
    <row r="629" spans="1:20" x14ac:dyDescent="0.3">
      <c r="A629" s="128"/>
      <c r="B629" s="46"/>
      <c r="C629" s="46"/>
      <c r="D629" s="46"/>
      <c r="E629" s="46"/>
      <c r="F629" s="128"/>
      <c r="G629" s="46"/>
      <c r="H629" s="46"/>
      <c r="I629" s="46"/>
      <c r="J629" s="46"/>
      <c r="K629" s="128"/>
      <c r="L629" s="46"/>
      <c r="M629" s="46"/>
      <c r="N629" s="46"/>
      <c r="O629" s="46"/>
      <c r="P629" s="128"/>
      <c r="Q629" s="46"/>
      <c r="R629" s="46"/>
      <c r="S629" s="46"/>
      <c r="T629" s="131"/>
    </row>
    <row r="630" spans="1:20" x14ac:dyDescent="0.3">
      <c r="A630" s="128"/>
      <c r="B630" s="46"/>
      <c r="C630" s="46"/>
      <c r="D630" s="46"/>
      <c r="E630" s="46"/>
      <c r="F630" s="128"/>
      <c r="G630" s="46"/>
      <c r="H630" s="46"/>
      <c r="I630" s="46"/>
      <c r="J630" s="46"/>
      <c r="K630" s="128"/>
      <c r="L630" s="46"/>
      <c r="M630" s="46"/>
      <c r="N630" s="46"/>
      <c r="O630" s="46"/>
      <c r="P630" s="128"/>
      <c r="Q630" s="46"/>
      <c r="R630" s="46"/>
      <c r="S630" s="46"/>
      <c r="T630" s="131"/>
    </row>
    <row r="631" spans="1:20" x14ac:dyDescent="0.3">
      <c r="A631" s="128"/>
      <c r="B631" s="46"/>
      <c r="C631" s="46"/>
      <c r="D631" s="46"/>
      <c r="E631" s="46"/>
      <c r="F631" s="128"/>
      <c r="G631" s="46"/>
      <c r="H631" s="46"/>
      <c r="I631" s="46"/>
      <c r="J631" s="46"/>
      <c r="K631" s="128"/>
      <c r="L631" s="46"/>
      <c r="M631" s="46"/>
      <c r="N631" s="46"/>
      <c r="O631" s="46"/>
      <c r="P631" s="128"/>
      <c r="Q631" s="46"/>
      <c r="R631" s="46"/>
      <c r="S631" s="46"/>
      <c r="T631" s="131"/>
    </row>
    <row r="632" spans="1:20" x14ac:dyDescent="0.3">
      <c r="A632" s="128"/>
      <c r="B632" s="46"/>
      <c r="C632" s="46"/>
      <c r="D632" s="46"/>
      <c r="E632" s="46"/>
      <c r="F632" s="128"/>
      <c r="G632" s="46"/>
      <c r="H632" s="46"/>
      <c r="I632" s="46"/>
      <c r="J632" s="46"/>
      <c r="K632" s="128"/>
      <c r="L632" s="46"/>
      <c r="M632" s="46"/>
      <c r="N632" s="46"/>
      <c r="O632" s="46"/>
      <c r="P632" s="128"/>
      <c r="Q632" s="46"/>
      <c r="R632" s="46"/>
      <c r="S632" s="46"/>
      <c r="T632" s="131"/>
    </row>
    <row r="633" spans="1:20" x14ac:dyDescent="0.3">
      <c r="A633" s="128"/>
      <c r="B633" s="46"/>
      <c r="C633" s="46"/>
      <c r="D633" s="46"/>
      <c r="E633" s="46"/>
      <c r="F633" s="128"/>
      <c r="G633" s="46"/>
      <c r="H633" s="46"/>
      <c r="I633" s="46"/>
      <c r="J633" s="46"/>
      <c r="K633" s="128"/>
      <c r="L633" s="46"/>
      <c r="M633" s="46"/>
      <c r="N633" s="46"/>
      <c r="O633" s="46"/>
      <c r="P633" s="128"/>
      <c r="Q633" s="46"/>
      <c r="R633" s="46"/>
      <c r="S633" s="46"/>
      <c r="T633" s="131"/>
    </row>
    <row r="634" spans="1:20" x14ac:dyDescent="0.3">
      <c r="A634" s="128"/>
      <c r="B634" s="46"/>
      <c r="C634" s="46"/>
      <c r="D634" s="46"/>
      <c r="E634" s="46"/>
      <c r="F634" s="128"/>
      <c r="G634" s="46"/>
      <c r="H634" s="46"/>
      <c r="I634" s="46"/>
      <c r="J634" s="46"/>
      <c r="K634" s="128"/>
      <c r="L634" s="46"/>
      <c r="M634" s="46"/>
      <c r="N634" s="46"/>
      <c r="O634" s="46"/>
      <c r="P634" s="128"/>
      <c r="Q634" s="46"/>
      <c r="R634" s="46"/>
      <c r="S634" s="46"/>
      <c r="T634" s="131"/>
    </row>
    <row r="635" spans="1:20" x14ac:dyDescent="0.3">
      <c r="A635" s="128"/>
      <c r="B635" s="46"/>
      <c r="C635" s="46"/>
      <c r="D635" s="46"/>
      <c r="E635" s="46"/>
      <c r="F635" s="128"/>
      <c r="G635" s="46"/>
      <c r="H635" s="46"/>
      <c r="I635" s="46"/>
      <c r="J635" s="46"/>
      <c r="K635" s="128"/>
      <c r="L635" s="46"/>
      <c r="M635" s="46"/>
      <c r="N635" s="46"/>
      <c r="O635" s="46"/>
      <c r="P635" s="128"/>
      <c r="Q635" s="46"/>
      <c r="R635" s="46"/>
      <c r="S635" s="46"/>
      <c r="T635" s="131"/>
    </row>
    <row r="636" spans="1:20" x14ac:dyDescent="0.3">
      <c r="A636" s="128"/>
      <c r="B636" s="46"/>
      <c r="C636" s="46"/>
      <c r="D636" s="46"/>
      <c r="E636" s="46"/>
      <c r="F636" s="128"/>
      <c r="G636" s="46"/>
      <c r="H636" s="46"/>
      <c r="I636" s="46"/>
      <c r="J636" s="46"/>
      <c r="K636" s="128"/>
      <c r="L636" s="46"/>
      <c r="M636" s="46"/>
      <c r="N636" s="46"/>
      <c r="O636" s="46"/>
      <c r="P636" s="128"/>
      <c r="Q636" s="46"/>
      <c r="R636" s="46"/>
      <c r="S636" s="46"/>
      <c r="T636" s="131"/>
    </row>
    <row r="637" spans="1:20" x14ac:dyDescent="0.3">
      <c r="A637" s="128"/>
      <c r="B637" s="46"/>
      <c r="C637" s="46"/>
      <c r="D637" s="46"/>
      <c r="E637" s="46"/>
      <c r="F637" s="128"/>
      <c r="G637" s="46"/>
      <c r="H637" s="46"/>
      <c r="I637" s="46"/>
      <c r="J637" s="46"/>
      <c r="K637" s="128"/>
      <c r="L637" s="46"/>
      <c r="M637" s="46"/>
      <c r="N637" s="46"/>
      <c r="O637" s="46"/>
      <c r="P637" s="128"/>
      <c r="Q637" s="46"/>
      <c r="R637" s="46"/>
      <c r="S637" s="46"/>
      <c r="T637" s="131"/>
    </row>
    <row r="638" spans="1:20" x14ac:dyDescent="0.3">
      <c r="A638" s="128"/>
      <c r="B638" s="46"/>
      <c r="C638" s="46"/>
      <c r="D638" s="46"/>
      <c r="E638" s="46"/>
      <c r="F638" s="128"/>
      <c r="G638" s="46"/>
      <c r="H638" s="46"/>
      <c r="I638" s="46"/>
      <c r="J638" s="46"/>
      <c r="K638" s="128"/>
      <c r="L638" s="46"/>
      <c r="M638" s="46"/>
      <c r="N638" s="46"/>
      <c r="O638" s="46"/>
      <c r="P638" s="128"/>
      <c r="Q638" s="46"/>
      <c r="R638" s="46"/>
      <c r="S638" s="46"/>
      <c r="T638" s="131"/>
    </row>
    <row r="639" spans="1:20" x14ac:dyDescent="0.3">
      <c r="A639" s="128"/>
      <c r="B639" s="46"/>
      <c r="C639" s="46"/>
      <c r="D639" s="46"/>
      <c r="E639" s="46"/>
      <c r="F639" s="128"/>
      <c r="G639" s="46"/>
      <c r="H639" s="46"/>
      <c r="I639" s="46"/>
      <c r="J639" s="46"/>
      <c r="K639" s="128"/>
      <c r="L639" s="46"/>
      <c r="M639" s="46"/>
      <c r="N639" s="46"/>
      <c r="O639" s="46"/>
      <c r="P639" s="128"/>
      <c r="Q639" s="46"/>
      <c r="R639" s="46"/>
      <c r="S639" s="46"/>
      <c r="T639" s="131"/>
    </row>
    <row r="640" spans="1:20" x14ac:dyDescent="0.3">
      <c r="A640" s="128"/>
      <c r="B640" s="46"/>
      <c r="C640" s="46"/>
      <c r="D640" s="46"/>
      <c r="E640" s="46"/>
      <c r="F640" s="128"/>
      <c r="G640" s="46"/>
      <c r="H640" s="46"/>
      <c r="I640" s="46"/>
      <c r="J640" s="46"/>
      <c r="K640" s="128"/>
      <c r="L640" s="46"/>
      <c r="M640" s="46"/>
      <c r="N640" s="46"/>
      <c r="O640" s="46"/>
      <c r="P640" s="128"/>
      <c r="Q640" s="46"/>
      <c r="R640" s="46"/>
      <c r="S640" s="46"/>
      <c r="T640" s="131"/>
    </row>
    <row r="641" spans="1:20" x14ac:dyDescent="0.3">
      <c r="A641" s="128"/>
      <c r="B641" s="46"/>
      <c r="C641" s="46"/>
      <c r="D641" s="46"/>
      <c r="E641" s="46"/>
      <c r="F641" s="128"/>
      <c r="G641" s="46"/>
      <c r="H641" s="46"/>
      <c r="I641" s="46"/>
      <c r="J641" s="46"/>
      <c r="K641" s="128"/>
      <c r="L641" s="46"/>
      <c r="M641" s="46"/>
      <c r="N641" s="46"/>
      <c r="O641" s="46"/>
      <c r="P641" s="128"/>
      <c r="Q641" s="46"/>
      <c r="R641" s="46"/>
      <c r="S641" s="46"/>
      <c r="T641" s="131"/>
    </row>
    <row r="642" spans="1:20" x14ac:dyDescent="0.3">
      <c r="A642" s="128"/>
      <c r="B642" s="46"/>
      <c r="C642" s="46"/>
      <c r="D642" s="46"/>
      <c r="E642" s="46"/>
      <c r="F642" s="128"/>
      <c r="G642" s="46"/>
      <c r="H642" s="46"/>
      <c r="I642" s="46"/>
      <c r="J642" s="46"/>
      <c r="K642" s="128"/>
      <c r="L642" s="46"/>
      <c r="M642" s="46"/>
      <c r="N642" s="46"/>
      <c r="O642" s="46"/>
      <c r="P642" s="128"/>
      <c r="Q642" s="46"/>
      <c r="R642" s="46"/>
      <c r="S642" s="46"/>
      <c r="T642" s="131"/>
    </row>
    <row r="643" spans="1:20" x14ac:dyDescent="0.3">
      <c r="A643" s="128"/>
      <c r="B643" s="46"/>
      <c r="C643" s="46"/>
      <c r="D643" s="46"/>
      <c r="E643" s="46"/>
      <c r="F643" s="128"/>
      <c r="G643" s="46"/>
      <c r="H643" s="46"/>
      <c r="I643" s="46"/>
      <c r="J643" s="46"/>
      <c r="K643" s="128"/>
      <c r="L643" s="46"/>
      <c r="M643" s="46"/>
      <c r="N643" s="46"/>
      <c r="O643" s="46"/>
      <c r="P643" s="128"/>
      <c r="Q643" s="46"/>
      <c r="R643" s="46"/>
      <c r="S643" s="46"/>
      <c r="T643" s="131"/>
    </row>
    <row r="644" spans="1:20" x14ac:dyDescent="0.3">
      <c r="A644" s="128"/>
      <c r="B644" s="46"/>
      <c r="C644" s="46"/>
      <c r="D644" s="46"/>
      <c r="E644" s="46"/>
      <c r="F644" s="128"/>
      <c r="G644" s="46"/>
      <c r="H644" s="46"/>
      <c r="I644" s="46"/>
      <c r="J644" s="46"/>
      <c r="K644" s="128"/>
      <c r="L644" s="46"/>
      <c r="M644" s="46"/>
      <c r="N644" s="46"/>
      <c r="O644" s="46"/>
      <c r="P644" s="128"/>
      <c r="Q644" s="46"/>
      <c r="R644" s="46"/>
      <c r="S644" s="46"/>
      <c r="T644" s="131"/>
    </row>
    <row r="645" spans="1:20" x14ac:dyDescent="0.3">
      <c r="A645" s="128"/>
      <c r="B645" s="46"/>
      <c r="C645" s="46"/>
      <c r="D645" s="46"/>
      <c r="E645" s="46"/>
      <c r="F645" s="128"/>
      <c r="G645" s="46"/>
      <c r="H645" s="46"/>
      <c r="I645" s="46"/>
      <c r="J645" s="46"/>
      <c r="K645" s="128"/>
      <c r="L645" s="46"/>
      <c r="M645" s="46"/>
      <c r="N645" s="46"/>
      <c r="O645" s="46"/>
      <c r="P645" s="128"/>
      <c r="Q645" s="46"/>
      <c r="R645" s="46"/>
      <c r="S645" s="46"/>
      <c r="T645" s="131"/>
    </row>
    <row r="646" spans="1:20" x14ac:dyDescent="0.3">
      <c r="A646" s="128"/>
      <c r="B646" s="46"/>
      <c r="C646" s="46"/>
      <c r="D646" s="46"/>
      <c r="E646" s="46"/>
      <c r="F646" s="128"/>
      <c r="G646" s="46"/>
      <c r="H646" s="46"/>
      <c r="I646" s="46"/>
      <c r="J646" s="46"/>
      <c r="K646" s="128"/>
      <c r="L646" s="46"/>
      <c r="M646" s="46"/>
      <c r="N646" s="46"/>
      <c r="O646" s="46"/>
      <c r="P646" s="128"/>
      <c r="Q646" s="46"/>
      <c r="R646" s="46"/>
      <c r="S646" s="46"/>
      <c r="T646" s="131"/>
    </row>
    <row r="647" spans="1:20" x14ac:dyDescent="0.3">
      <c r="A647" s="128"/>
      <c r="B647" s="46"/>
      <c r="C647" s="46"/>
      <c r="D647" s="46"/>
      <c r="E647" s="46"/>
      <c r="F647" s="128"/>
      <c r="G647" s="46"/>
      <c r="H647" s="46"/>
      <c r="I647" s="46"/>
      <c r="J647" s="46"/>
      <c r="K647" s="128"/>
      <c r="L647" s="46"/>
      <c r="M647" s="46"/>
      <c r="N647" s="46"/>
      <c r="O647" s="46"/>
      <c r="P647" s="128"/>
      <c r="Q647" s="46"/>
      <c r="R647" s="46"/>
      <c r="S647" s="46"/>
      <c r="T647" s="131"/>
    </row>
    <row r="648" spans="1:20" x14ac:dyDescent="0.3">
      <c r="A648" s="128"/>
      <c r="B648" s="46"/>
      <c r="C648" s="46"/>
      <c r="D648" s="46"/>
      <c r="E648" s="46"/>
      <c r="F648" s="128"/>
      <c r="G648" s="46"/>
      <c r="H648" s="46"/>
      <c r="I648" s="46"/>
      <c r="J648" s="46"/>
      <c r="K648" s="128"/>
      <c r="L648" s="46"/>
      <c r="M648" s="46"/>
      <c r="N648" s="46"/>
      <c r="O648" s="46"/>
      <c r="P648" s="128"/>
      <c r="Q648" s="46"/>
      <c r="R648" s="46"/>
      <c r="S648" s="46"/>
      <c r="T648" s="131"/>
    </row>
    <row r="649" spans="1:20" x14ac:dyDescent="0.3">
      <c r="A649" s="128"/>
      <c r="B649" s="46"/>
      <c r="C649" s="46"/>
      <c r="D649" s="46"/>
      <c r="E649" s="46"/>
      <c r="F649" s="128"/>
      <c r="G649" s="46"/>
      <c r="H649" s="46"/>
      <c r="I649" s="46"/>
      <c r="J649" s="46"/>
      <c r="K649" s="128"/>
      <c r="L649" s="46"/>
      <c r="M649" s="46"/>
      <c r="N649" s="46"/>
      <c r="O649" s="46"/>
      <c r="P649" s="128"/>
      <c r="Q649" s="46"/>
      <c r="R649" s="46"/>
      <c r="S649" s="46"/>
      <c r="T649" s="131"/>
    </row>
    <row r="650" spans="1:20" x14ac:dyDescent="0.3">
      <c r="A650" s="128"/>
      <c r="B650" s="46"/>
      <c r="C650" s="46"/>
      <c r="D650" s="46"/>
      <c r="E650" s="46"/>
      <c r="F650" s="128"/>
      <c r="G650" s="46"/>
      <c r="H650" s="46"/>
      <c r="I650" s="46"/>
      <c r="J650" s="46"/>
      <c r="K650" s="128"/>
      <c r="L650" s="46"/>
      <c r="M650" s="46"/>
      <c r="N650" s="46"/>
      <c r="O650" s="46"/>
      <c r="P650" s="128"/>
      <c r="Q650" s="46"/>
      <c r="R650" s="46"/>
      <c r="S650" s="46"/>
      <c r="T650" s="131"/>
    </row>
    <row r="651" spans="1:20" x14ac:dyDescent="0.3">
      <c r="A651" s="128"/>
      <c r="B651" s="46"/>
      <c r="C651" s="46"/>
      <c r="D651" s="46"/>
      <c r="E651" s="46"/>
      <c r="F651" s="128"/>
      <c r="G651" s="46"/>
      <c r="H651" s="46"/>
      <c r="I651" s="46"/>
      <c r="J651" s="46"/>
      <c r="K651" s="128"/>
      <c r="L651" s="46"/>
      <c r="M651" s="46"/>
      <c r="N651" s="46"/>
      <c r="O651" s="46"/>
      <c r="P651" s="128"/>
      <c r="Q651" s="46"/>
      <c r="R651" s="46"/>
      <c r="S651" s="46"/>
      <c r="T651" s="131"/>
    </row>
    <row r="652" spans="1:20" x14ac:dyDescent="0.3">
      <c r="A652" s="128"/>
      <c r="B652" s="46"/>
      <c r="C652" s="46"/>
      <c r="D652" s="46"/>
      <c r="E652" s="46"/>
      <c r="F652" s="128"/>
      <c r="G652" s="46"/>
      <c r="H652" s="46"/>
      <c r="I652" s="46"/>
      <c r="J652" s="46"/>
      <c r="K652" s="128"/>
      <c r="L652" s="46"/>
      <c r="M652" s="46"/>
      <c r="N652" s="46"/>
      <c r="O652" s="46"/>
      <c r="P652" s="128"/>
      <c r="Q652" s="46"/>
      <c r="R652" s="46"/>
      <c r="S652" s="46"/>
      <c r="T652" s="131"/>
    </row>
    <row r="653" spans="1:20" x14ac:dyDescent="0.3">
      <c r="A653" s="128"/>
      <c r="B653" s="46"/>
      <c r="C653" s="46"/>
      <c r="D653" s="46"/>
      <c r="E653" s="46"/>
      <c r="F653" s="128"/>
      <c r="G653" s="46"/>
      <c r="H653" s="46"/>
      <c r="I653" s="46"/>
      <c r="J653" s="46"/>
      <c r="K653" s="128"/>
      <c r="L653" s="46"/>
      <c r="M653" s="46"/>
      <c r="N653" s="46"/>
      <c r="O653" s="46"/>
      <c r="P653" s="128"/>
      <c r="Q653" s="46"/>
      <c r="R653" s="46"/>
      <c r="S653" s="46"/>
      <c r="T653" s="131"/>
    </row>
    <row r="654" spans="1:20" x14ac:dyDescent="0.3">
      <c r="A654" s="128"/>
      <c r="B654" s="46"/>
      <c r="C654" s="46"/>
      <c r="D654" s="46"/>
      <c r="E654" s="46"/>
      <c r="F654" s="128"/>
      <c r="G654" s="46"/>
      <c r="H654" s="46"/>
      <c r="I654" s="46"/>
      <c r="J654" s="46"/>
      <c r="K654" s="128"/>
      <c r="L654" s="46"/>
      <c r="M654" s="46"/>
      <c r="N654" s="46"/>
      <c r="O654" s="46"/>
      <c r="P654" s="128"/>
      <c r="Q654" s="46"/>
      <c r="R654" s="46"/>
      <c r="S654" s="46"/>
      <c r="T654" s="131"/>
    </row>
    <row r="655" spans="1:20" x14ac:dyDescent="0.3">
      <c r="A655" s="128"/>
      <c r="B655" s="46"/>
      <c r="C655" s="46"/>
      <c r="D655" s="46"/>
      <c r="E655" s="46"/>
      <c r="F655" s="128"/>
      <c r="G655" s="46"/>
      <c r="H655" s="46"/>
      <c r="I655" s="46"/>
      <c r="J655" s="46"/>
      <c r="K655" s="128"/>
      <c r="L655" s="46"/>
      <c r="M655" s="46"/>
      <c r="N655" s="46"/>
      <c r="O655" s="46"/>
      <c r="P655" s="128"/>
      <c r="Q655" s="46"/>
      <c r="R655" s="46"/>
      <c r="S655" s="46"/>
      <c r="T655" s="131"/>
    </row>
    <row r="656" spans="1:20" x14ac:dyDescent="0.3">
      <c r="A656" s="128"/>
      <c r="B656" s="46"/>
      <c r="C656" s="46"/>
      <c r="D656" s="46"/>
      <c r="E656" s="46"/>
      <c r="F656" s="128"/>
      <c r="G656" s="46"/>
      <c r="H656" s="46"/>
      <c r="I656" s="46"/>
      <c r="J656" s="46"/>
      <c r="K656" s="128"/>
      <c r="L656" s="46"/>
      <c r="M656" s="46"/>
      <c r="N656" s="46"/>
      <c r="O656" s="46"/>
      <c r="P656" s="128"/>
      <c r="Q656" s="46"/>
      <c r="R656" s="46"/>
      <c r="S656" s="46"/>
      <c r="T656" s="131"/>
    </row>
    <row r="657" spans="1:20" x14ac:dyDescent="0.3">
      <c r="A657" s="128"/>
      <c r="B657" s="46"/>
      <c r="C657" s="46"/>
      <c r="D657" s="46"/>
      <c r="E657" s="46"/>
      <c r="F657" s="128"/>
      <c r="G657" s="46"/>
      <c r="H657" s="46"/>
      <c r="I657" s="46"/>
      <c r="J657" s="46"/>
      <c r="K657" s="128"/>
      <c r="L657" s="46"/>
      <c r="M657" s="46"/>
      <c r="N657" s="46"/>
      <c r="O657" s="46"/>
      <c r="P657" s="128"/>
      <c r="Q657" s="46"/>
      <c r="R657" s="46"/>
      <c r="S657" s="46"/>
      <c r="T657" s="131"/>
    </row>
    <row r="658" spans="1:20" x14ac:dyDescent="0.3">
      <c r="A658" s="128"/>
      <c r="B658" s="46"/>
      <c r="C658" s="46"/>
      <c r="D658" s="46"/>
      <c r="E658" s="46"/>
      <c r="F658" s="128"/>
      <c r="G658" s="46"/>
      <c r="H658" s="46"/>
      <c r="I658" s="46"/>
      <c r="J658" s="46"/>
      <c r="K658" s="128"/>
      <c r="L658" s="46"/>
      <c r="M658" s="46"/>
      <c r="N658" s="46"/>
      <c r="O658" s="46"/>
      <c r="P658" s="128"/>
      <c r="Q658" s="46"/>
      <c r="R658" s="46"/>
      <c r="S658" s="46"/>
      <c r="T658" s="131"/>
    </row>
    <row r="659" spans="1:20" x14ac:dyDescent="0.3">
      <c r="A659" s="128"/>
      <c r="B659" s="46"/>
      <c r="C659" s="46"/>
      <c r="D659" s="46"/>
      <c r="E659" s="46"/>
      <c r="F659" s="128"/>
      <c r="G659" s="46"/>
      <c r="H659" s="46"/>
      <c r="I659" s="46"/>
      <c r="J659" s="46"/>
      <c r="K659" s="128"/>
      <c r="L659" s="46"/>
      <c r="M659" s="46"/>
      <c r="N659" s="46"/>
      <c r="O659" s="46"/>
      <c r="P659" s="128"/>
      <c r="Q659" s="46"/>
      <c r="R659" s="46"/>
      <c r="S659" s="46"/>
      <c r="T659" s="131"/>
    </row>
    <row r="660" spans="1:20" x14ac:dyDescent="0.3">
      <c r="A660" s="128"/>
      <c r="B660" s="46"/>
      <c r="C660" s="46"/>
      <c r="D660" s="46"/>
      <c r="E660" s="46"/>
      <c r="F660" s="128"/>
      <c r="G660" s="46"/>
      <c r="H660" s="46"/>
      <c r="I660" s="46"/>
      <c r="J660" s="46"/>
      <c r="K660" s="128"/>
      <c r="L660" s="46"/>
      <c r="M660" s="46"/>
      <c r="N660" s="46"/>
      <c r="O660" s="46"/>
      <c r="P660" s="128"/>
      <c r="Q660" s="46"/>
      <c r="R660" s="46"/>
      <c r="S660" s="46"/>
      <c r="T660" s="131"/>
    </row>
    <row r="661" spans="1:20" x14ac:dyDescent="0.3">
      <c r="A661" s="128"/>
      <c r="B661" s="46"/>
      <c r="C661" s="46"/>
      <c r="D661" s="46"/>
      <c r="E661" s="46"/>
      <c r="F661" s="128"/>
      <c r="G661" s="46"/>
      <c r="H661" s="46"/>
      <c r="I661" s="46"/>
      <c r="J661" s="46"/>
      <c r="K661" s="128"/>
      <c r="L661" s="46"/>
      <c r="M661" s="46"/>
      <c r="N661" s="46"/>
      <c r="O661" s="46"/>
      <c r="P661" s="128"/>
      <c r="Q661" s="46"/>
      <c r="R661" s="46"/>
      <c r="S661" s="46"/>
      <c r="T661" s="131"/>
    </row>
    <row r="662" spans="1:20" x14ac:dyDescent="0.3">
      <c r="A662" s="128"/>
      <c r="B662" s="46"/>
      <c r="C662" s="46"/>
      <c r="D662" s="46"/>
      <c r="E662" s="46"/>
      <c r="F662" s="128"/>
      <c r="G662" s="46"/>
      <c r="H662" s="46"/>
      <c r="I662" s="46"/>
      <c r="J662" s="46"/>
      <c r="K662" s="128"/>
      <c r="L662" s="46"/>
      <c r="M662" s="46"/>
      <c r="N662" s="46"/>
      <c r="O662" s="46"/>
      <c r="P662" s="128"/>
      <c r="Q662" s="46"/>
      <c r="R662" s="46"/>
      <c r="S662" s="46"/>
      <c r="T662" s="131"/>
    </row>
    <row r="663" spans="1:20" x14ac:dyDescent="0.3">
      <c r="A663" s="128"/>
      <c r="B663" s="46"/>
      <c r="C663" s="46"/>
      <c r="D663" s="46"/>
      <c r="E663" s="46"/>
      <c r="F663" s="128"/>
      <c r="G663" s="46"/>
      <c r="H663" s="46"/>
      <c r="I663" s="46"/>
      <c r="J663" s="46"/>
      <c r="K663" s="128"/>
      <c r="L663" s="46"/>
      <c r="M663" s="46"/>
      <c r="N663" s="46"/>
      <c r="O663" s="46"/>
      <c r="P663" s="128"/>
      <c r="Q663" s="46"/>
      <c r="R663" s="46"/>
      <c r="S663" s="46"/>
      <c r="T663" s="131"/>
    </row>
    <row r="664" spans="1:20" x14ac:dyDescent="0.3">
      <c r="A664" s="128"/>
      <c r="B664" s="46"/>
      <c r="C664" s="46"/>
      <c r="D664" s="46"/>
      <c r="E664" s="46"/>
      <c r="F664" s="128"/>
      <c r="G664" s="46"/>
      <c r="H664" s="46"/>
      <c r="I664" s="46"/>
      <c r="J664" s="46"/>
      <c r="K664" s="128"/>
      <c r="L664" s="46"/>
      <c r="M664" s="46"/>
      <c r="N664" s="46"/>
      <c r="O664" s="46"/>
      <c r="P664" s="128"/>
      <c r="Q664" s="46"/>
      <c r="R664" s="46"/>
      <c r="S664" s="46"/>
      <c r="T664" s="131"/>
    </row>
    <row r="665" spans="1:20" x14ac:dyDescent="0.3">
      <c r="A665" s="128"/>
      <c r="B665" s="46"/>
      <c r="C665" s="46"/>
      <c r="D665" s="46"/>
      <c r="E665" s="46"/>
      <c r="F665" s="128"/>
      <c r="G665" s="46"/>
      <c r="H665" s="46"/>
      <c r="I665" s="46"/>
      <c r="J665" s="46"/>
      <c r="K665" s="128"/>
      <c r="L665" s="46"/>
      <c r="M665" s="46"/>
      <c r="N665" s="46"/>
      <c r="O665" s="46"/>
      <c r="P665" s="128"/>
      <c r="Q665" s="46"/>
      <c r="R665" s="46"/>
      <c r="S665" s="46"/>
      <c r="T665" s="131"/>
    </row>
    <row r="666" spans="1:20" x14ac:dyDescent="0.3">
      <c r="A666" s="128"/>
      <c r="B666" s="46"/>
      <c r="C666" s="46"/>
      <c r="D666" s="46"/>
      <c r="E666" s="46"/>
      <c r="F666" s="128"/>
      <c r="G666" s="46"/>
      <c r="H666" s="46"/>
      <c r="I666" s="46"/>
      <c r="J666" s="46"/>
      <c r="K666" s="128"/>
      <c r="L666" s="46"/>
      <c r="M666" s="46"/>
      <c r="N666" s="46"/>
      <c r="O666" s="46"/>
      <c r="P666" s="128"/>
      <c r="Q666" s="46"/>
      <c r="R666" s="46"/>
      <c r="S666" s="46"/>
      <c r="T666" s="131"/>
    </row>
    <row r="667" spans="1:20" x14ac:dyDescent="0.3">
      <c r="A667" s="128"/>
      <c r="B667" s="46"/>
      <c r="C667" s="46"/>
      <c r="D667" s="46"/>
      <c r="E667" s="46"/>
      <c r="F667" s="128"/>
      <c r="G667" s="46"/>
      <c r="H667" s="46"/>
      <c r="I667" s="46"/>
      <c r="J667" s="46"/>
      <c r="K667" s="128"/>
      <c r="L667" s="46"/>
      <c r="M667" s="46"/>
      <c r="N667" s="46"/>
      <c r="O667" s="46"/>
      <c r="P667" s="128"/>
      <c r="Q667" s="46"/>
      <c r="R667" s="46"/>
      <c r="S667" s="46"/>
      <c r="T667" s="131"/>
    </row>
    <row r="668" spans="1:20" x14ac:dyDescent="0.3">
      <c r="A668" s="128"/>
      <c r="B668" s="46"/>
      <c r="C668" s="46"/>
      <c r="D668" s="46"/>
      <c r="E668" s="46"/>
      <c r="F668" s="128"/>
      <c r="G668" s="46"/>
      <c r="H668" s="46"/>
      <c r="I668" s="46"/>
      <c r="J668" s="46"/>
      <c r="K668" s="128"/>
      <c r="L668" s="46"/>
      <c r="M668" s="46"/>
      <c r="N668" s="46"/>
      <c r="O668" s="46"/>
      <c r="P668" s="128"/>
      <c r="Q668" s="46"/>
      <c r="R668" s="46"/>
      <c r="S668" s="46"/>
      <c r="T668" s="131"/>
    </row>
    <row r="669" spans="1:20" x14ac:dyDescent="0.3">
      <c r="A669" s="128"/>
      <c r="B669" s="46"/>
      <c r="C669" s="46"/>
      <c r="D669" s="46"/>
      <c r="E669" s="46"/>
      <c r="F669" s="128"/>
      <c r="G669" s="46"/>
      <c r="H669" s="46"/>
      <c r="I669" s="46"/>
      <c r="J669" s="46"/>
      <c r="K669" s="128"/>
      <c r="L669" s="46"/>
      <c r="M669" s="46"/>
      <c r="N669" s="46"/>
      <c r="O669" s="46"/>
      <c r="P669" s="128"/>
      <c r="Q669" s="46"/>
      <c r="R669" s="46"/>
      <c r="S669" s="46"/>
      <c r="T669" s="131"/>
    </row>
    <row r="670" spans="1:20" x14ac:dyDescent="0.3">
      <c r="A670" s="128"/>
      <c r="B670" s="46"/>
      <c r="C670" s="46"/>
      <c r="D670" s="46"/>
      <c r="E670" s="46"/>
      <c r="F670" s="128"/>
      <c r="G670" s="46"/>
      <c r="H670" s="46"/>
      <c r="I670" s="46"/>
      <c r="J670" s="46"/>
      <c r="K670" s="128"/>
      <c r="L670" s="46"/>
      <c r="M670" s="46"/>
      <c r="N670" s="46"/>
      <c r="O670" s="46"/>
      <c r="P670" s="128"/>
      <c r="Q670" s="46"/>
      <c r="R670" s="46"/>
      <c r="S670" s="46"/>
      <c r="T670" s="131"/>
    </row>
    <row r="671" spans="1:20" x14ac:dyDescent="0.3">
      <c r="A671" s="128"/>
      <c r="B671" s="46"/>
      <c r="C671" s="46"/>
      <c r="D671" s="46"/>
      <c r="E671" s="46"/>
      <c r="F671" s="128"/>
      <c r="G671" s="46"/>
      <c r="H671" s="46"/>
      <c r="I671" s="46"/>
      <c r="J671" s="46"/>
      <c r="K671" s="128"/>
      <c r="L671" s="46"/>
      <c r="M671" s="46"/>
      <c r="N671" s="46"/>
      <c r="O671" s="46"/>
      <c r="P671" s="128"/>
      <c r="Q671" s="46"/>
      <c r="R671" s="46"/>
      <c r="S671" s="46"/>
      <c r="T671" s="131"/>
    </row>
    <row r="672" spans="1:20" x14ac:dyDescent="0.3">
      <c r="A672" s="128"/>
      <c r="B672" s="46"/>
      <c r="C672" s="46"/>
      <c r="D672" s="46"/>
      <c r="E672" s="46"/>
      <c r="F672" s="128"/>
      <c r="G672" s="46"/>
      <c r="H672" s="46"/>
      <c r="I672" s="46"/>
      <c r="J672" s="46"/>
      <c r="K672" s="128"/>
      <c r="L672" s="46"/>
      <c r="M672" s="46"/>
      <c r="N672" s="46"/>
      <c r="O672" s="46"/>
      <c r="P672" s="128"/>
      <c r="Q672" s="46"/>
      <c r="R672" s="46"/>
      <c r="S672" s="46"/>
      <c r="T672" s="131"/>
    </row>
    <row r="673" spans="1:20" x14ac:dyDescent="0.3">
      <c r="A673" s="128"/>
      <c r="B673" s="46"/>
      <c r="C673" s="46"/>
      <c r="D673" s="46"/>
      <c r="E673" s="46"/>
      <c r="F673" s="128"/>
      <c r="G673" s="46"/>
      <c r="H673" s="46"/>
      <c r="I673" s="46"/>
      <c r="J673" s="46"/>
      <c r="K673" s="128"/>
      <c r="L673" s="46"/>
      <c r="M673" s="46"/>
      <c r="N673" s="46"/>
      <c r="O673" s="46"/>
      <c r="P673" s="128"/>
      <c r="Q673" s="46"/>
      <c r="R673" s="46"/>
      <c r="S673" s="46"/>
      <c r="T673" s="131"/>
    </row>
    <row r="674" spans="1:20" x14ac:dyDescent="0.3">
      <c r="A674" s="128"/>
      <c r="B674" s="46"/>
      <c r="C674" s="46"/>
      <c r="D674" s="46"/>
      <c r="E674" s="46"/>
      <c r="F674" s="128"/>
      <c r="G674" s="46"/>
      <c r="H674" s="46"/>
      <c r="I674" s="46"/>
      <c r="J674" s="46"/>
      <c r="K674" s="128"/>
      <c r="L674" s="46"/>
      <c r="M674" s="46"/>
      <c r="N674" s="46"/>
      <c r="O674" s="46"/>
      <c r="P674" s="128"/>
      <c r="Q674" s="46"/>
      <c r="R674" s="46"/>
      <c r="S674" s="46"/>
      <c r="T674" s="131"/>
    </row>
    <row r="675" spans="1:20" x14ac:dyDescent="0.3">
      <c r="A675" s="128"/>
      <c r="B675" s="46"/>
      <c r="C675" s="46"/>
      <c r="D675" s="46"/>
      <c r="E675" s="46"/>
      <c r="F675" s="128"/>
      <c r="G675" s="46"/>
      <c r="H675" s="46"/>
      <c r="I675" s="46"/>
      <c r="J675" s="46"/>
      <c r="K675" s="128"/>
      <c r="L675" s="46"/>
      <c r="M675" s="46"/>
      <c r="N675" s="46"/>
      <c r="O675" s="46"/>
      <c r="P675" s="128"/>
      <c r="Q675" s="46"/>
      <c r="R675" s="46"/>
      <c r="S675" s="46"/>
      <c r="T675" s="131"/>
    </row>
    <row r="676" spans="1:20" x14ac:dyDescent="0.3">
      <c r="A676" s="128"/>
      <c r="B676" s="46"/>
      <c r="C676" s="46"/>
      <c r="D676" s="46"/>
      <c r="E676" s="46"/>
      <c r="F676" s="128"/>
      <c r="G676" s="46"/>
      <c r="H676" s="46"/>
      <c r="I676" s="46"/>
      <c r="J676" s="46"/>
      <c r="K676" s="128"/>
      <c r="L676" s="46"/>
      <c r="M676" s="46"/>
      <c r="N676" s="46"/>
      <c r="O676" s="46"/>
      <c r="P676" s="128"/>
      <c r="Q676" s="46"/>
      <c r="R676" s="46"/>
      <c r="S676" s="46"/>
      <c r="T676" s="131"/>
    </row>
    <row r="677" spans="1:20" x14ac:dyDescent="0.3">
      <c r="A677" s="128"/>
      <c r="B677" s="46"/>
      <c r="C677" s="46"/>
      <c r="D677" s="46"/>
      <c r="E677" s="46"/>
      <c r="F677" s="128"/>
      <c r="G677" s="46"/>
      <c r="H677" s="46"/>
      <c r="I677" s="46"/>
      <c r="J677" s="46"/>
      <c r="K677" s="128"/>
      <c r="L677" s="46"/>
      <c r="M677" s="46"/>
      <c r="N677" s="46"/>
      <c r="O677" s="46"/>
      <c r="P677" s="128"/>
      <c r="Q677" s="46"/>
      <c r="R677" s="46"/>
      <c r="S677" s="46"/>
      <c r="T677" s="131"/>
    </row>
    <row r="678" spans="1:20" x14ac:dyDescent="0.3">
      <c r="A678" s="128"/>
      <c r="B678" s="46"/>
      <c r="C678" s="46"/>
      <c r="D678" s="46"/>
      <c r="E678" s="46"/>
      <c r="F678" s="128"/>
      <c r="G678" s="46"/>
      <c r="H678" s="46"/>
      <c r="I678" s="46"/>
      <c r="J678" s="46"/>
      <c r="K678" s="128"/>
      <c r="L678" s="46"/>
      <c r="M678" s="46"/>
      <c r="N678" s="46"/>
      <c r="O678" s="46"/>
      <c r="P678" s="128"/>
      <c r="Q678" s="46"/>
      <c r="R678" s="46"/>
      <c r="S678" s="46"/>
      <c r="T678" s="131"/>
    </row>
    <row r="679" spans="1:20" x14ac:dyDescent="0.3">
      <c r="A679" s="128"/>
      <c r="B679" s="46"/>
      <c r="C679" s="46"/>
      <c r="D679" s="46"/>
      <c r="E679" s="46"/>
      <c r="F679" s="128"/>
      <c r="G679" s="46"/>
      <c r="H679" s="46"/>
      <c r="I679" s="46"/>
      <c r="J679" s="46"/>
      <c r="K679" s="128"/>
      <c r="L679" s="46"/>
      <c r="M679" s="46"/>
      <c r="N679" s="46"/>
      <c r="O679" s="46"/>
      <c r="P679" s="128"/>
      <c r="Q679" s="46"/>
      <c r="R679" s="46"/>
      <c r="S679" s="46"/>
      <c r="T679" s="131"/>
    </row>
    <row r="680" spans="1:20" x14ac:dyDescent="0.3">
      <c r="A680" s="128"/>
      <c r="B680" s="46"/>
      <c r="C680" s="46"/>
      <c r="D680" s="46"/>
      <c r="E680" s="46"/>
      <c r="F680" s="128"/>
      <c r="G680" s="46"/>
      <c r="H680" s="46"/>
      <c r="I680" s="46"/>
      <c r="J680" s="46"/>
      <c r="K680" s="128"/>
      <c r="L680" s="46"/>
      <c r="M680" s="46"/>
      <c r="N680" s="46"/>
      <c r="O680" s="46"/>
      <c r="P680" s="128"/>
      <c r="Q680" s="46"/>
      <c r="R680" s="46"/>
      <c r="S680" s="46"/>
      <c r="T680" s="131"/>
    </row>
    <row r="681" spans="1:20" x14ac:dyDescent="0.3">
      <c r="A681" s="128"/>
      <c r="B681" s="46"/>
      <c r="C681" s="46"/>
      <c r="D681" s="46"/>
      <c r="E681" s="46"/>
      <c r="F681" s="128"/>
      <c r="G681" s="46"/>
      <c r="H681" s="46"/>
      <c r="I681" s="46"/>
      <c r="J681" s="46"/>
      <c r="K681" s="128"/>
      <c r="L681" s="46"/>
      <c r="M681" s="46"/>
      <c r="N681" s="46"/>
      <c r="O681" s="46"/>
      <c r="P681" s="128"/>
      <c r="Q681" s="46"/>
      <c r="R681" s="46"/>
      <c r="S681" s="46"/>
      <c r="T681" s="131"/>
    </row>
    <row r="682" spans="1:20" x14ac:dyDescent="0.3">
      <c r="A682" s="128"/>
      <c r="B682" s="46"/>
      <c r="C682" s="46"/>
      <c r="D682" s="46"/>
      <c r="E682" s="46"/>
      <c r="F682" s="128"/>
      <c r="G682" s="46"/>
      <c r="H682" s="46"/>
      <c r="I682" s="46"/>
      <c r="J682" s="46"/>
      <c r="K682" s="128"/>
      <c r="L682" s="46"/>
      <c r="M682" s="46"/>
      <c r="N682" s="46"/>
      <c r="O682" s="46"/>
      <c r="P682" s="128"/>
      <c r="Q682" s="46"/>
      <c r="R682" s="46"/>
      <c r="S682" s="46"/>
      <c r="T682" s="131"/>
    </row>
    <row r="683" spans="1:20" x14ac:dyDescent="0.3">
      <c r="A683" s="128"/>
      <c r="B683" s="46"/>
      <c r="C683" s="46"/>
      <c r="D683" s="46"/>
      <c r="E683" s="46"/>
      <c r="F683" s="128"/>
      <c r="G683" s="46"/>
      <c r="H683" s="46"/>
      <c r="I683" s="46"/>
      <c r="J683" s="46"/>
      <c r="K683" s="128"/>
      <c r="L683" s="46"/>
      <c r="M683" s="46"/>
      <c r="N683" s="46"/>
      <c r="O683" s="46"/>
      <c r="P683" s="128"/>
      <c r="Q683" s="46"/>
      <c r="R683" s="46"/>
      <c r="S683" s="46"/>
      <c r="T683" s="131"/>
    </row>
    <row r="684" spans="1:20" x14ac:dyDescent="0.3">
      <c r="A684" s="128"/>
      <c r="B684" s="46"/>
      <c r="C684" s="46"/>
      <c r="D684" s="46"/>
      <c r="E684" s="46"/>
      <c r="F684" s="128"/>
      <c r="G684" s="46"/>
      <c r="H684" s="46"/>
      <c r="I684" s="46"/>
      <c r="J684" s="46"/>
      <c r="K684" s="128"/>
      <c r="L684" s="46"/>
      <c r="M684" s="46"/>
      <c r="N684" s="46"/>
      <c r="O684" s="46"/>
      <c r="P684" s="128"/>
      <c r="Q684" s="46"/>
      <c r="R684" s="46"/>
      <c r="S684" s="46"/>
      <c r="T684" s="131"/>
    </row>
    <row r="685" spans="1:20" x14ac:dyDescent="0.3">
      <c r="A685" s="128"/>
      <c r="B685" s="46"/>
      <c r="C685" s="46"/>
      <c r="D685" s="46"/>
      <c r="E685" s="46"/>
      <c r="F685" s="128"/>
      <c r="G685" s="46"/>
      <c r="H685" s="46"/>
      <c r="I685" s="46"/>
      <c r="J685" s="46"/>
      <c r="K685" s="128"/>
      <c r="L685" s="46"/>
      <c r="M685" s="46"/>
      <c r="N685" s="46"/>
      <c r="O685" s="46"/>
      <c r="P685" s="128"/>
      <c r="Q685" s="46"/>
      <c r="R685" s="46"/>
      <c r="S685" s="46"/>
      <c r="T685" s="131"/>
    </row>
    <row r="686" spans="1:20" x14ac:dyDescent="0.3">
      <c r="A686" s="128"/>
      <c r="B686" s="46"/>
      <c r="C686" s="46"/>
      <c r="D686" s="46"/>
      <c r="E686" s="46"/>
      <c r="F686" s="128"/>
      <c r="G686" s="46"/>
      <c r="H686" s="46"/>
      <c r="I686" s="46"/>
      <c r="J686" s="46"/>
      <c r="K686" s="128"/>
      <c r="L686" s="46"/>
      <c r="M686" s="46"/>
      <c r="N686" s="46"/>
      <c r="O686" s="46"/>
      <c r="P686" s="128"/>
      <c r="Q686" s="46"/>
      <c r="R686" s="46"/>
      <c r="S686" s="46"/>
      <c r="T686" s="131"/>
    </row>
    <row r="687" spans="1:20" x14ac:dyDescent="0.3">
      <c r="A687" s="128"/>
      <c r="B687" s="46"/>
      <c r="C687" s="46"/>
      <c r="D687" s="46"/>
      <c r="E687" s="46"/>
      <c r="F687" s="128"/>
      <c r="G687" s="46"/>
      <c r="H687" s="46"/>
      <c r="I687" s="46"/>
      <c r="J687" s="46"/>
      <c r="K687" s="128"/>
      <c r="L687" s="46"/>
      <c r="M687" s="46"/>
      <c r="N687" s="46"/>
      <c r="O687" s="46"/>
      <c r="P687" s="128"/>
      <c r="Q687" s="46"/>
      <c r="R687" s="46"/>
      <c r="S687" s="46"/>
      <c r="T687" s="131"/>
    </row>
    <row r="688" spans="1:20" x14ac:dyDescent="0.3">
      <c r="A688" s="128"/>
      <c r="B688" s="46"/>
      <c r="C688" s="46"/>
      <c r="D688" s="46"/>
      <c r="E688" s="46"/>
      <c r="F688" s="128"/>
      <c r="G688" s="46"/>
      <c r="H688" s="46"/>
      <c r="I688" s="46"/>
      <c r="J688" s="46"/>
      <c r="K688" s="128"/>
      <c r="L688" s="46"/>
      <c r="M688" s="46"/>
      <c r="N688" s="46"/>
      <c r="O688" s="46"/>
      <c r="P688" s="128"/>
      <c r="Q688" s="46"/>
      <c r="R688" s="46"/>
      <c r="S688" s="46"/>
      <c r="T688" s="131"/>
    </row>
    <row r="689" spans="1:20" x14ac:dyDescent="0.3">
      <c r="A689" s="128"/>
      <c r="B689" s="46"/>
      <c r="C689" s="46"/>
      <c r="D689" s="46"/>
      <c r="E689" s="46"/>
      <c r="F689" s="128"/>
      <c r="G689" s="46"/>
      <c r="H689" s="46"/>
      <c r="I689" s="46"/>
      <c r="J689" s="46"/>
      <c r="K689" s="128"/>
      <c r="L689" s="46"/>
      <c r="M689" s="46"/>
      <c r="N689" s="46"/>
      <c r="O689" s="46"/>
      <c r="P689" s="128"/>
      <c r="Q689" s="46"/>
      <c r="R689" s="46"/>
      <c r="S689" s="46"/>
      <c r="T689" s="131"/>
    </row>
    <row r="690" spans="1:20" x14ac:dyDescent="0.3">
      <c r="A690" s="128"/>
      <c r="B690" s="46"/>
      <c r="C690" s="46"/>
      <c r="D690" s="46"/>
      <c r="E690" s="46"/>
      <c r="F690" s="128"/>
      <c r="G690" s="46"/>
      <c r="H690" s="46"/>
      <c r="I690" s="46"/>
      <c r="J690" s="46"/>
      <c r="K690" s="128"/>
      <c r="L690" s="46"/>
      <c r="M690" s="46"/>
      <c r="N690" s="46"/>
      <c r="O690" s="46"/>
      <c r="P690" s="128"/>
      <c r="Q690" s="46"/>
      <c r="R690" s="46"/>
      <c r="S690" s="46"/>
      <c r="T690" s="131"/>
    </row>
    <row r="691" spans="1:20" x14ac:dyDescent="0.3">
      <c r="A691" s="128"/>
      <c r="B691" s="46"/>
      <c r="C691" s="46"/>
      <c r="D691" s="46"/>
      <c r="E691" s="46"/>
      <c r="F691" s="128"/>
      <c r="G691" s="46"/>
      <c r="H691" s="46"/>
      <c r="I691" s="46"/>
      <c r="J691" s="46"/>
      <c r="K691" s="128"/>
      <c r="L691" s="46"/>
      <c r="M691" s="46"/>
      <c r="N691" s="46"/>
      <c r="O691" s="46"/>
      <c r="P691" s="128"/>
      <c r="Q691" s="46"/>
      <c r="R691" s="46"/>
      <c r="S691" s="46"/>
      <c r="T691" s="131"/>
    </row>
    <row r="692" spans="1:20" x14ac:dyDescent="0.3">
      <c r="A692" s="128"/>
      <c r="B692" s="46"/>
      <c r="C692" s="46"/>
      <c r="D692" s="46"/>
      <c r="E692" s="46"/>
      <c r="F692" s="128"/>
      <c r="G692" s="46"/>
      <c r="H692" s="46"/>
      <c r="I692" s="46"/>
      <c r="J692" s="46"/>
      <c r="K692" s="128"/>
      <c r="L692" s="46"/>
      <c r="M692" s="46"/>
      <c r="N692" s="46"/>
      <c r="O692" s="46"/>
      <c r="P692" s="128"/>
      <c r="Q692" s="46"/>
      <c r="R692" s="46"/>
      <c r="S692" s="46"/>
      <c r="T692" s="131"/>
    </row>
    <row r="693" spans="1:20" x14ac:dyDescent="0.3">
      <c r="A693" s="128"/>
      <c r="B693" s="46"/>
      <c r="C693" s="46"/>
      <c r="D693" s="46"/>
      <c r="E693" s="46"/>
      <c r="F693" s="128"/>
      <c r="G693" s="46"/>
      <c r="H693" s="46"/>
      <c r="I693" s="46"/>
      <c r="J693" s="46"/>
      <c r="K693" s="128"/>
      <c r="L693" s="46"/>
      <c r="M693" s="46"/>
      <c r="N693" s="46"/>
      <c r="O693" s="46"/>
      <c r="P693" s="128"/>
      <c r="Q693" s="46"/>
      <c r="R693" s="46"/>
      <c r="S693" s="46"/>
      <c r="T693" s="131"/>
    </row>
    <row r="694" spans="1:20" x14ac:dyDescent="0.3">
      <c r="A694" s="128"/>
      <c r="B694" s="46"/>
      <c r="C694" s="46"/>
      <c r="D694" s="46"/>
      <c r="E694" s="46"/>
      <c r="F694" s="128"/>
      <c r="G694" s="46"/>
      <c r="H694" s="46"/>
      <c r="I694" s="46"/>
      <c r="J694" s="46"/>
      <c r="K694" s="128"/>
      <c r="L694" s="46"/>
      <c r="M694" s="46"/>
      <c r="N694" s="46"/>
      <c r="O694" s="46"/>
      <c r="P694" s="128"/>
      <c r="Q694" s="46"/>
      <c r="R694" s="46"/>
      <c r="S694" s="46"/>
      <c r="T694" s="131"/>
    </row>
    <row r="695" spans="1:20" x14ac:dyDescent="0.3">
      <c r="A695" s="128"/>
      <c r="B695" s="46"/>
      <c r="C695" s="46"/>
      <c r="D695" s="46"/>
      <c r="E695" s="46"/>
      <c r="F695" s="128"/>
      <c r="G695" s="46"/>
      <c r="H695" s="46"/>
      <c r="I695" s="46"/>
      <c r="J695" s="46"/>
      <c r="K695" s="128"/>
      <c r="L695" s="46"/>
      <c r="M695" s="46"/>
      <c r="N695" s="46"/>
      <c r="O695" s="46"/>
      <c r="P695" s="128"/>
      <c r="Q695" s="46"/>
      <c r="R695" s="46"/>
      <c r="S695" s="46"/>
      <c r="T695" s="131"/>
    </row>
    <row r="696" spans="1:20" x14ac:dyDescent="0.3">
      <c r="A696" s="128"/>
      <c r="B696" s="46"/>
      <c r="C696" s="46"/>
      <c r="D696" s="46"/>
      <c r="E696" s="46"/>
      <c r="F696" s="128"/>
      <c r="G696" s="46"/>
      <c r="H696" s="46"/>
      <c r="I696" s="46"/>
      <c r="J696" s="46"/>
      <c r="K696" s="128"/>
      <c r="L696" s="46"/>
      <c r="M696" s="46"/>
      <c r="N696" s="46"/>
      <c r="O696" s="46"/>
      <c r="P696" s="128"/>
      <c r="Q696" s="46"/>
      <c r="R696" s="46"/>
      <c r="S696" s="46"/>
      <c r="T696" s="131"/>
    </row>
    <row r="697" spans="1:20" x14ac:dyDescent="0.3">
      <c r="A697" s="128"/>
      <c r="B697" s="46"/>
      <c r="C697" s="46"/>
      <c r="D697" s="46"/>
      <c r="E697" s="46"/>
      <c r="F697" s="128"/>
      <c r="G697" s="46"/>
      <c r="H697" s="46"/>
      <c r="I697" s="46"/>
      <c r="J697" s="46"/>
      <c r="K697" s="128"/>
      <c r="L697" s="46"/>
      <c r="M697" s="46"/>
      <c r="N697" s="46"/>
      <c r="O697" s="46"/>
      <c r="P697" s="128"/>
      <c r="Q697" s="46"/>
      <c r="R697" s="46"/>
      <c r="S697" s="46"/>
      <c r="T697" s="131"/>
    </row>
    <row r="698" spans="1:20" x14ac:dyDescent="0.3">
      <c r="A698" s="128"/>
      <c r="B698" s="46"/>
      <c r="C698" s="46"/>
      <c r="D698" s="46"/>
      <c r="E698" s="46"/>
      <c r="F698" s="128"/>
      <c r="G698" s="46"/>
      <c r="H698" s="46"/>
      <c r="I698" s="46"/>
      <c r="J698" s="46"/>
      <c r="K698" s="128"/>
      <c r="L698" s="46"/>
      <c r="M698" s="46"/>
      <c r="N698" s="46"/>
      <c r="O698" s="46"/>
      <c r="P698" s="128"/>
      <c r="Q698" s="46"/>
      <c r="R698" s="46"/>
      <c r="S698" s="46"/>
      <c r="T698" s="131"/>
    </row>
    <row r="699" spans="1:20" x14ac:dyDescent="0.3">
      <c r="A699" s="128"/>
      <c r="B699" s="46"/>
      <c r="C699" s="46"/>
      <c r="D699" s="46"/>
      <c r="E699" s="46"/>
      <c r="F699" s="128"/>
      <c r="G699" s="46"/>
      <c r="H699" s="46"/>
      <c r="I699" s="46"/>
      <c r="J699" s="46"/>
      <c r="K699" s="128"/>
      <c r="L699" s="46"/>
      <c r="M699" s="46"/>
      <c r="N699" s="46"/>
      <c r="O699" s="46"/>
      <c r="P699" s="128"/>
      <c r="Q699" s="46"/>
      <c r="R699" s="46"/>
      <c r="S699" s="46"/>
      <c r="T699" s="131"/>
    </row>
    <row r="700" spans="1:20" x14ac:dyDescent="0.3">
      <c r="A700" s="128"/>
      <c r="B700" s="46"/>
      <c r="C700" s="46"/>
      <c r="D700" s="46"/>
      <c r="E700" s="46"/>
      <c r="F700" s="128"/>
      <c r="G700" s="46"/>
      <c r="H700" s="46"/>
      <c r="I700" s="46"/>
      <c r="J700" s="46"/>
      <c r="K700" s="128"/>
      <c r="L700" s="46"/>
      <c r="M700" s="46"/>
      <c r="N700" s="46"/>
      <c r="O700" s="46"/>
      <c r="P700" s="128"/>
      <c r="Q700" s="46"/>
      <c r="R700" s="46"/>
      <c r="S700" s="46"/>
      <c r="T700" s="131"/>
    </row>
    <row r="701" spans="1:20" x14ac:dyDescent="0.3">
      <c r="A701" s="128"/>
      <c r="B701" s="46"/>
      <c r="C701" s="46"/>
      <c r="D701" s="46"/>
      <c r="E701" s="46"/>
      <c r="F701" s="128"/>
      <c r="G701" s="46"/>
      <c r="H701" s="46"/>
      <c r="I701" s="46"/>
      <c r="J701" s="46"/>
      <c r="K701" s="128"/>
      <c r="L701" s="46"/>
      <c r="M701" s="46"/>
      <c r="N701" s="46"/>
      <c r="O701" s="46"/>
      <c r="P701" s="128"/>
      <c r="Q701" s="46"/>
      <c r="R701" s="46"/>
      <c r="S701" s="46"/>
      <c r="T701" s="131"/>
    </row>
    <row r="702" spans="1:20" x14ac:dyDescent="0.3">
      <c r="A702" s="128"/>
      <c r="B702" s="46"/>
      <c r="C702" s="46"/>
      <c r="D702" s="46"/>
      <c r="E702" s="46"/>
      <c r="F702" s="128"/>
      <c r="G702" s="46"/>
      <c r="H702" s="46"/>
      <c r="I702" s="46"/>
      <c r="J702" s="46"/>
      <c r="K702" s="128"/>
      <c r="L702" s="46"/>
      <c r="M702" s="46"/>
      <c r="N702" s="46"/>
      <c r="O702" s="46"/>
      <c r="P702" s="128"/>
      <c r="Q702" s="46"/>
      <c r="R702" s="46"/>
      <c r="S702" s="46"/>
      <c r="T702" s="131"/>
    </row>
    <row r="703" spans="1:20" x14ac:dyDescent="0.3">
      <c r="A703" s="128"/>
      <c r="B703" s="46"/>
      <c r="C703" s="46"/>
      <c r="D703" s="46"/>
      <c r="E703" s="46"/>
      <c r="F703" s="128"/>
      <c r="G703" s="46"/>
      <c r="H703" s="46"/>
      <c r="I703" s="46"/>
      <c r="J703" s="46"/>
      <c r="K703" s="128"/>
      <c r="L703" s="46"/>
      <c r="M703" s="46"/>
      <c r="N703" s="46"/>
      <c r="O703" s="46"/>
      <c r="P703" s="128"/>
      <c r="Q703" s="46"/>
      <c r="R703" s="46"/>
      <c r="S703" s="46"/>
      <c r="T703" s="131"/>
    </row>
    <row r="704" spans="1:20" x14ac:dyDescent="0.3">
      <c r="A704" s="128"/>
      <c r="B704" s="46"/>
      <c r="C704" s="46"/>
      <c r="D704" s="46"/>
      <c r="E704" s="46"/>
      <c r="F704" s="128"/>
      <c r="G704" s="46"/>
      <c r="H704" s="46"/>
      <c r="I704" s="46"/>
      <c r="J704" s="46"/>
      <c r="K704" s="128"/>
      <c r="L704" s="46"/>
      <c r="M704" s="46"/>
      <c r="N704" s="46"/>
      <c r="O704" s="46"/>
      <c r="P704" s="128"/>
      <c r="Q704" s="46"/>
      <c r="R704" s="46"/>
      <c r="S704" s="46"/>
      <c r="T704" s="131"/>
    </row>
    <row r="705" spans="1:20" x14ac:dyDescent="0.3">
      <c r="A705" s="128"/>
      <c r="B705" s="46"/>
      <c r="C705" s="46"/>
      <c r="D705" s="46"/>
      <c r="E705" s="46"/>
      <c r="F705" s="128"/>
      <c r="G705" s="46"/>
      <c r="H705" s="46"/>
      <c r="I705" s="46"/>
      <c r="J705" s="46"/>
      <c r="K705" s="128"/>
      <c r="L705" s="46"/>
      <c r="M705" s="46"/>
      <c r="N705" s="46"/>
      <c r="O705" s="46"/>
      <c r="P705" s="128"/>
      <c r="Q705" s="46"/>
      <c r="R705" s="46"/>
      <c r="S705" s="46"/>
      <c r="T705" s="131"/>
    </row>
    <row r="706" spans="1:20" x14ac:dyDescent="0.3">
      <c r="A706" s="128"/>
      <c r="B706" s="46"/>
      <c r="C706" s="46"/>
      <c r="D706" s="46"/>
      <c r="E706" s="46"/>
      <c r="F706" s="128"/>
      <c r="G706" s="46"/>
      <c r="H706" s="46"/>
      <c r="I706" s="46"/>
      <c r="J706" s="46"/>
      <c r="K706" s="128"/>
      <c r="L706" s="46"/>
      <c r="M706" s="46"/>
      <c r="N706" s="46"/>
      <c r="O706" s="46"/>
      <c r="P706" s="128"/>
      <c r="Q706" s="46"/>
      <c r="R706" s="46"/>
      <c r="S706" s="46"/>
      <c r="T706" s="131"/>
    </row>
    <row r="707" spans="1:20" x14ac:dyDescent="0.3">
      <c r="A707" s="128"/>
      <c r="B707" s="46"/>
      <c r="C707" s="46"/>
      <c r="D707" s="46"/>
      <c r="E707" s="46"/>
      <c r="F707" s="128"/>
      <c r="G707" s="46"/>
      <c r="H707" s="46"/>
      <c r="I707" s="46"/>
      <c r="J707" s="46"/>
      <c r="K707" s="128"/>
      <c r="L707" s="46"/>
      <c r="M707" s="46"/>
      <c r="N707" s="46"/>
      <c r="O707" s="46"/>
      <c r="P707" s="128"/>
      <c r="Q707" s="46"/>
      <c r="R707" s="46"/>
      <c r="S707" s="46"/>
      <c r="T707" s="131"/>
    </row>
    <row r="708" spans="1:20" x14ac:dyDescent="0.3">
      <c r="A708" s="128"/>
      <c r="B708" s="46"/>
      <c r="C708" s="46"/>
      <c r="D708" s="46"/>
      <c r="E708" s="46"/>
      <c r="F708" s="128"/>
      <c r="G708" s="46"/>
      <c r="H708" s="46"/>
      <c r="I708" s="46"/>
      <c r="J708" s="46"/>
      <c r="K708" s="128"/>
      <c r="L708" s="46"/>
      <c r="M708" s="46"/>
      <c r="N708" s="46"/>
      <c r="O708" s="46"/>
      <c r="P708" s="128"/>
      <c r="Q708" s="46"/>
      <c r="R708" s="46"/>
      <c r="S708" s="46"/>
      <c r="T708" s="131"/>
    </row>
    <row r="709" spans="1:20" x14ac:dyDescent="0.3">
      <c r="A709" s="128"/>
      <c r="B709" s="46"/>
      <c r="C709" s="46"/>
      <c r="D709" s="46"/>
      <c r="E709" s="46"/>
      <c r="F709" s="128"/>
      <c r="G709" s="46"/>
      <c r="H709" s="46"/>
      <c r="I709" s="46"/>
      <c r="J709" s="46"/>
      <c r="K709" s="128"/>
      <c r="L709" s="46"/>
      <c r="M709" s="46"/>
      <c r="N709" s="46"/>
      <c r="O709" s="46"/>
      <c r="P709" s="128"/>
      <c r="Q709" s="46"/>
      <c r="R709" s="46"/>
      <c r="S709" s="46"/>
      <c r="T709" s="131"/>
    </row>
    <row r="710" spans="1:20" x14ac:dyDescent="0.3">
      <c r="A710" s="128"/>
      <c r="B710" s="46"/>
      <c r="C710" s="46"/>
      <c r="D710" s="46"/>
      <c r="E710" s="46"/>
      <c r="F710" s="128"/>
      <c r="G710" s="46"/>
      <c r="H710" s="46"/>
      <c r="I710" s="46"/>
      <c r="J710" s="46"/>
      <c r="K710" s="128"/>
      <c r="L710" s="46"/>
      <c r="M710" s="46"/>
      <c r="N710" s="46"/>
      <c r="O710" s="46"/>
      <c r="P710" s="128"/>
      <c r="Q710" s="46"/>
      <c r="R710" s="46"/>
      <c r="S710" s="46"/>
      <c r="T710" s="131"/>
    </row>
    <row r="711" spans="1:20" x14ac:dyDescent="0.3">
      <c r="A711" s="128"/>
      <c r="B711" s="46"/>
      <c r="C711" s="46"/>
      <c r="D711" s="46"/>
      <c r="E711" s="46"/>
      <c r="F711" s="128"/>
      <c r="G711" s="46"/>
      <c r="H711" s="46"/>
      <c r="I711" s="46"/>
      <c r="J711" s="46"/>
      <c r="K711" s="128"/>
      <c r="L711" s="46"/>
      <c r="M711" s="46"/>
      <c r="N711" s="46"/>
      <c r="O711" s="46"/>
      <c r="P711" s="128"/>
      <c r="Q711" s="46"/>
      <c r="R711" s="46"/>
      <c r="S711" s="46"/>
      <c r="T711" s="131"/>
    </row>
    <row r="712" spans="1:20" x14ac:dyDescent="0.3">
      <c r="A712" s="128"/>
      <c r="B712" s="46"/>
      <c r="C712" s="46"/>
      <c r="D712" s="46"/>
      <c r="E712" s="46"/>
      <c r="F712" s="128"/>
      <c r="G712" s="46"/>
      <c r="H712" s="46"/>
      <c r="I712" s="46"/>
      <c r="J712" s="46"/>
      <c r="K712" s="128"/>
      <c r="L712" s="46"/>
      <c r="M712" s="46"/>
      <c r="N712" s="46"/>
      <c r="O712" s="46"/>
      <c r="P712" s="128"/>
      <c r="Q712" s="46"/>
      <c r="R712" s="46"/>
      <c r="S712" s="46"/>
      <c r="T712" s="131"/>
    </row>
    <row r="713" spans="1:20" x14ac:dyDescent="0.3">
      <c r="A713" s="128"/>
      <c r="B713" s="46"/>
      <c r="C713" s="46"/>
      <c r="D713" s="46"/>
      <c r="E713" s="46"/>
      <c r="F713" s="128"/>
      <c r="G713" s="46"/>
      <c r="H713" s="46"/>
      <c r="I713" s="46"/>
      <c r="J713" s="46"/>
      <c r="K713" s="128"/>
      <c r="L713" s="46"/>
      <c r="M713" s="46"/>
      <c r="N713" s="46"/>
      <c r="O713" s="46"/>
      <c r="P713" s="128"/>
      <c r="Q713" s="46"/>
      <c r="R713" s="46"/>
      <c r="S713" s="46"/>
      <c r="T713" s="131"/>
    </row>
    <row r="714" spans="1:20" x14ac:dyDescent="0.3">
      <c r="A714" s="128"/>
      <c r="B714" s="46"/>
      <c r="C714" s="46"/>
      <c r="D714" s="46"/>
      <c r="E714" s="46"/>
      <c r="F714" s="128"/>
      <c r="G714" s="46"/>
      <c r="H714" s="46"/>
      <c r="I714" s="46"/>
      <c r="J714" s="46"/>
      <c r="K714" s="128"/>
      <c r="L714" s="46"/>
      <c r="M714" s="46"/>
      <c r="N714" s="46"/>
      <c r="O714" s="46"/>
      <c r="P714" s="128"/>
      <c r="Q714" s="46"/>
      <c r="R714" s="46"/>
      <c r="S714" s="46"/>
      <c r="T714" s="131"/>
    </row>
    <row r="715" spans="1:20" x14ac:dyDescent="0.3">
      <c r="A715" s="128"/>
      <c r="B715" s="46"/>
      <c r="C715" s="46"/>
      <c r="D715" s="46"/>
      <c r="E715" s="46"/>
      <c r="F715" s="128"/>
      <c r="G715" s="46"/>
      <c r="H715" s="46"/>
      <c r="I715" s="46"/>
      <c r="J715" s="46"/>
      <c r="K715" s="128"/>
      <c r="L715" s="46"/>
      <c r="M715" s="46"/>
      <c r="N715" s="46"/>
      <c r="O715" s="46"/>
      <c r="P715" s="128"/>
      <c r="Q715" s="46"/>
      <c r="R715" s="46"/>
      <c r="S715" s="46"/>
      <c r="T715" s="131"/>
    </row>
    <row r="716" spans="1:20" x14ac:dyDescent="0.3">
      <c r="A716" s="128"/>
      <c r="B716" s="46"/>
      <c r="C716" s="46"/>
      <c r="D716" s="46"/>
      <c r="E716" s="46"/>
      <c r="F716" s="128"/>
      <c r="G716" s="46"/>
      <c r="H716" s="46"/>
      <c r="I716" s="46"/>
      <c r="J716" s="46"/>
      <c r="K716" s="128"/>
      <c r="L716" s="46"/>
      <c r="M716" s="46"/>
      <c r="N716" s="46"/>
      <c r="O716" s="46"/>
      <c r="P716" s="128"/>
      <c r="Q716" s="46"/>
      <c r="R716" s="46"/>
      <c r="S716" s="46"/>
      <c r="T716" s="131"/>
    </row>
    <row r="717" spans="1:20" x14ac:dyDescent="0.3">
      <c r="A717" s="128"/>
      <c r="B717" s="46"/>
      <c r="C717" s="46"/>
      <c r="D717" s="46"/>
      <c r="E717" s="46"/>
      <c r="F717" s="128"/>
      <c r="G717" s="46"/>
      <c r="H717" s="46"/>
      <c r="I717" s="46"/>
      <c r="J717" s="46"/>
      <c r="K717" s="128"/>
      <c r="L717" s="46"/>
      <c r="M717" s="46"/>
      <c r="N717" s="46"/>
      <c r="O717" s="46"/>
      <c r="P717" s="128"/>
      <c r="Q717" s="46"/>
      <c r="R717" s="46"/>
      <c r="S717" s="46"/>
      <c r="T717" s="131"/>
    </row>
    <row r="718" spans="1:20" x14ac:dyDescent="0.3">
      <c r="A718" s="128"/>
      <c r="B718" s="46"/>
      <c r="C718" s="46"/>
      <c r="D718" s="46"/>
      <c r="E718" s="46"/>
      <c r="F718" s="128"/>
      <c r="G718" s="46"/>
      <c r="H718" s="46"/>
      <c r="I718" s="46"/>
      <c r="J718" s="46"/>
      <c r="K718" s="128"/>
      <c r="L718" s="46"/>
      <c r="M718" s="46"/>
      <c r="N718" s="46"/>
      <c r="O718" s="46"/>
      <c r="P718" s="128"/>
      <c r="Q718" s="46"/>
      <c r="R718" s="46"/>
      <c r="S718" s="46"/>
      <c r="T718" s="131"/>
    </row>
    <row r="719" spans="1:20" x14ac:dyDescent="0.3">
      <c r="A719" s="128"/>
      <c r="B719" s="46"/>
      <c r="C719" s="46"/>
      <c r="D719" s="46"/>
      <c r="E719" s="46"/>
      <c r="F719" s="128"/>
      <c r="G719" s="46"/>
      <c r="H719" s="46"/>
      <c r="I719" s="46"/>
      <c r="J719" s="46"/>
      <c r="K719" s="128"/>
      <c r="L719" s="46"/>
      <c r="M719" s="46"/>
      <c r="N719" s="46"/>
      <c r="O719" s="46"/>
      <c r="P719" s="128"/>
      <c r="Q719" s="46"/>
      <c r="R719" s="46"/>
      <c r="S719" s="46"/>
      <c r="T719" s="131"/>
    </row>
    <row r="720" spans="1:20" x14ac:dyDescent="0.3">
      <c r="A720" s="128"/>
      <c r="B720" s="46"/>
      <c r="C720" s="46"/>
      <c r="D720" s="46"/>
      <c r="E720" s="46"/>
      <c r="F720" s="128"/>
      <c r="G720" s="46"/>
      <c r="H720" s="46"/>
      <c r="I720" s="46"/>
      <c r="J720" s="46"/>
      <c r="K720" s="128"/>
      <c r="L720" s="46"/>
      <c r="M720" s="46"/>
      <c r="N720" s="46"/>
      <c r="O720" s="46"/>
      <c r="P720" s="128"/>
      <c r="Q720" s="46"/>
      <c r="R720" s="46"/>
      <c r="S720" s="46"/>
      <c r="T720" s="131"/>
    </row>
    <row r="721" spans="1:20" x14ac:dyDescent="0.3">
      <c r="A721" s="128"/>
      <c r="B721" s="46"/>
      <c r="C721" s="46"/>
      <c r="D721" s="46"/>
      <c r="E721" s="46"/>
      <c r="F721" s="128"/>
      <c r="G721" s="46"/>
      <c r="H721" s="46"/>
      <c r="I721" s="46"/>
      <c r="J721" s="46"/>
      <c r="K721" s="128"/>
      <c r="L721" s="46"/>
      <c r="M721" s="46"/>
      <c r="N721" s="46"/>
      <c r="O721" s="46"/>
      <c r="P721" s="128"/>
      <c r="Q721" s="46"/>
      <c r="R721" s="46"/>
      <c r="S721" s="46"/>
      <c r="T721" s="131"/>
    </row>
    <row r="722" spans="1:20" x14ac:dyDescent="0.3">
      <c r="A722" s="128"/>
      <c r="B722" s="46"/>
      <c r="C722" s="46"/>
      <c r="D722" s="46"/>
      <c r="E722" s="46"/>
      <c r="F722" s="128"/>
      <c r="G722" s="46"/>
      <c r="H722" s="46"/>
      <c r="I722" s="46"/>
      <c r="J722" s="46"/>
      <c r="K722" s="128"/>
      <c r="L722" s="46"/>
      <c r="M722" s="46"/>
      <c r="N722" s="46"/>
      <c r="O722" s="46"/>
      <c r="P722" s="128"/>
      <c r="Q722" s="46"/>
      <c r="R722" s="46"/>
      <c r="S722" s="46"/>
      <c r="T722" s="131"/>
    </row>
    <row r="723" spans="1:20" x14ac:dyDescent="0.3">
      <c r="A723" s="128"/>
      <c r="B723" s="46"/>
      <c r="C723" s="46"/>
      <c r="D723" s="46"/>
      <c r="E723" s="46"/>
      <c r="F723" s="128"/>
      <c r="G723" s="46"/>
      <c r="H723" s="46"/>
      <c r="I723" s="46"/>
      <c r="J723" s="46"/>
      <c r="K723" s="128"/>
      <c r="L723" s="46"/>
      <c r="M723" s="46"/>
      <c r="N723" s="46"/>
      <c r="O723" s="46"/>
      <c r="P723" s="128"/>
      <c r="Q723" s="46"/>
      <c r="R723" s="46"/>
      <c r="S723" s="46"/>
      <c r="T723" s="131"/>
    </row>
    <row r="724" spans="1:20" x14ac:dyDescent="0.3">
      <c r="A724" s="128"/>
      <c r="B724" s="46"/>
      <c r="C724" s="46"/>
      <c r="D724" s="46"/>
      <c r="E724" s="46"/>
      <c r="F724" s="128"/>
      <c r="G724" s="46"/>
      <c r="H724" s="46"/>
      <c r="I724" s="46"/>
      <c r="J724" s="46"/>
      <c r="K724" s="128"/>
      <c r="L724" s="46"/>
      <c r="M724" s="46"/>
      <c r="N724" s="46"/>
      <c r="O724" s="46"/>
      <c r="P724" s="128"/>
      <c r="Q724" s="46"/>
      <c r="R724" s="46"/>
      <c r="S724" s="46"/>
      <c r="T724" s="131"/>
    </row>
    <row r="725" spans="1:20" x14ac:dyDescent="0.3">
      <c r="A725" s="128"/>
      <c r="B725" s="46"/>
      <c r="C725" s="46"/>
      <c r="D725" s="46"/>
      <c r="E725" s="46"/>
      <c r="F725" s="128"/>
      <c r="G725" s="46"/>
      <c r="H725" s="46"/>
      <c r="I725" s="46"/>
      <c r="J725" s="46"/>
      <c r="K725" s="128"/>
      <c r="L725" s="46"/>
      <c r="M725" s="46"/>
      <c r="N725" s="46"/>
      <c r="O725" s="46"/>
      <c r="P725" s="128"/>
      <c r="Q725" s="46"/>
      <c r="R725" s="46"/>
      <c r="S725" s="46"/>
      <c r="T725" s="131"/>
    </row>
    <row r="726" spans="1:20" x14ac:dyDescent="0.3">
      <c r="A726" s="128"/>
      <c r="B726" s="46"/>
      <c r="C726" s="46"/>
      <c r="D726" s="46"/>
      <c r="E726" s="46"/>
      <c r="F726" s="128"/>
      <c r="G726" s="46"/>
      <c r="H726" s="46"/>
      <c r="I726" s="46"/>
      <c r="J726" s="46"/>
      <c r="K726" s="128"/>
      <c r="L726" s="46"/>
      <c r="M726" s="46"/>
      <c r="N726" s="46"/>
      <c r="O726" s="46"/>
      <c r="P726" s="128"/>
      <c r="Q726" s="46"/>
      <c r="R726" s="46"/>
      <c r="S726" s="46"/>
      <c r="T726" s="131"/>
    </row>
    <row r="727" spans="1:20" x14ac:dyDescent="0.3">
      <c r="A727" s="128"/>
      <c r="B727" s="46"/>
      <c r="C727" s="46"/>
      <c r="D727" s="46"/>
      <c r="E727" s="46"/>
      <c r="F727" s="128"/>
      <c r="G727" s="46"/>
      <c r="H727" s="46"/>
      <c r="I727" s="46"/>
      <c r="J727" s="46"/>
      <c r="K727" s="128"/>
      <c r="L727" s="46"/>
      <c r="M727" s="46"/>
      <c r="N727" s="46"/>
      <c r="O727" s="46"/>
      <c r="P727" s="128"/>
      <c r="Q727" s="46"/>
      <c r="R727" s="46"/>
      <c r="S727" s="46"/>
      <c r="T727" s="131"/>
    </row>
    <row r="728" spans="1:20" x14ac:dyDescent="0.3">
      <c r="A728" s="128"/>
      <c r="B728" s="46"/>
      <c r="C728" s="46"/>
      <c r="D728" s="46"/>
      <c r="E728" s="46"/>
      <c r="F728" s="128"/>
      <c r="G728" s="46"/>
      <c r="H728" s="46"/>
      <c r="I728" s="46"/>
      <c r="J728" s="46"/>
      <c r="K728" s="128"/>
      <c r="L728" s="46"/>
      <c r="M728" s="46"/>
      <c r="N728" s="46"/>
      <c r="O728" s="46"/>
      <c r="P728" s="128"/>
      <c r="Q728" s="46"/>
      <c r="R728" s="46"/>
      <c r="S728" s="46"/>
      <c r="T728" s="131"/>
    </row>
    <row r="729" spans="1:20" x14ac:dyDescent="0.3">
      <c r="A729" s="128"/>
      <c r="B729" s="46"/>
      <c r="C729" s="46"/>
      <c r="D729" s="46"/>
      <c r="E729" s="46"/>
      <c r="F729" s="128"/>
      <c r="G729" s="46"/>
      <c r="H729" s="46"/>
      <c r="I729" s="46"/>
      <c r="J729" s="46"/>
      <c r="K729" s="128"/>
      <c r="L729" s="46"/>
      <c r="M729" s="46"/>
      <c r="N729" s="46"/>
      <c r="O729" s="46"/>
      <c r="P729" s="128"/>
      <c r="Q729" s="46"/>
      <c r="R729" s="46"/>
      <c r="S729" s="46"/>
      <c r="T729" s="131"/>
    </row>
    <row r="730" spans="1:20" x14ac:dyDescent="0.3">
      <c r="A730" s="128"/>
      <c r="B730" s="46"/>
      <c r="C730" s="46"/>
      <c r="D730" s="46"/>
      <c r="E730" s="46"/>
      <c r="F730" s="128"/>
      <c r="G730" s="46"/>
      <c r="H730" s="46"/>
      <c r="I730" s="46"/>
      <c r="J730" s="46"/>
      <c r="K730" s="128"/>
      <c r="L730" s="46"/>
      <c r="M730" s="46"/>
      <c r="N730" s="46"/>
      <c r="O730" s="46"/>
      <c r="P730" s="128"/>
      <c r="Q730" s="46"/>
      <c r="R730" s="46"/>
      <c r="S730" s="46"/>
      <c r="T730" s="131"/>
    </row>
    <row r="731" spans="1:20" x14ac:dyDescent="0.3">
      <c r="A731" s="128"/>
      <c r="B731" s="46"/>
      <c r="C731" s="46"/>
      <c r="D731" s="46"/>
      <c r="E731" s="46"/>
      <c r="F731" s="128"/>
      <c r="G731" s="46"/>
      <c r="H731" s="46"/>
      <c r="I731" s="46"/>
      <c r="J731" s="46"/>
      <c r="K731" s="128"/>
      <c r="L731" s="46"/>
      <c r="M731" s="46"/>
      <c r="N731" s="46"/>
      <c r="O731" s="46"/>
      <c r="P731" s="128"/>
      <c r="Q731" s="46"/>
      <c r="R731" s="46"/>
      <c r="S731" s="46"/>
      <c r="T731" s="131"/>
    </row>
    <row r="732" spans="1:20" x14ac:dyDescent="0.3">
      <c r="A732" s="128"/>
      <c r="B732" s="46"/>
      <c r="C732" s="46"/>
      <c r="D732" s="46"/>
      <c r="E732" s="46"/>
      <c r="F732" s="128"/>
      <c r="G732" s="46"/>
      <c r="H732" s="46"/>
      <c r="I732" s="46"/>
      <c r="J732" s="46"/>
      <c r="K732" s="128"/>
      <c r="L732" s="46"/>
      <c r="M732" s="46"/>
      <c r="N732" s="46"/>
      <c r="O732" s="46"/>
      <c r="P732" s="128"/>
      <c r="Q732" s="46"/>
      <c r="R732" s="46"/>
      <c r="S732" s="46"/>
      <c r="T732" s="131"/>
    </row>
    <row r="733" spans="1:20" x14ac:dyDescent="0.3">
      <c r="A733" s="128"/>
      <c r="B733" s="46"/>
      <c r="C733" s="46"/>
      <c r="D733" s="46"/>
      <c r="E733" s="46"/>
      <c r="F733" s="128"/>
      <c r="G733" s="46"/>
      <c r="H733" s="46"/>
      <c r="I733" s="46"/>
      <c r="J733" s="46"/>
      <c r="K733" s="128"/>
      <c r="L733" s="46"/>
      <c r="M733" s="46"/>
      <c r="N733" s="46"/>
      <c r="O733" s="46"/>
      <c r="P733" s="128"/>
      <c r="Q733" s="46"/>
      <c r="R733" s="46"/>
      <c r="S733" s="46"/>
      <c r="T733" s="131"/>
    </row>
    <row r="734" spans="1:20" x14ac:dyDescent="0.3">
      <c r="A734" s="128"/>
      <c r="B734" s="46"/>
      <c r="C734" s="46"/>
      <c r="D734" s="46"/>
      <c r="E734" s="46"/>
      <c r="F734" s="128"/>
      <c r="G734" s="46"/>
      <c r="H734" s="46"/>
      <c r="I734" s="46"/>
      <c r="J734" s="46"/>
      <c r="K734" s="128"/>
      <c r="L734" s="46"/>
      <c r="M734" s="46"/>
      <c r="N734" s="46"/>
      <c r="O734" s="46"/>
      <c r="P734" s="128"/>
      <c r="Q734" s="46"/>
      <c r="R734" s="46"/>
      <c r="S734" s="46"/>
      <c r="T734" s="131"/>
    </row>
    <row r="735" spans="1:20" x14ac:dyDescent="0.3">
      <c r="A735" s="128"/>
      <c r="B735" s="46"/>
      <c r="C735" s="46"/>
      <c r="D735" s="46"/>
      <c r="E735" s="46"/>
      <c r="F735" s="128"/>
      <c r="G735" s="46"/>
      <c r="H735" s="46"/>
      <c r="I735" s="46"/>
      <c r="J735" s="46"/>
      <c r="K735" s="128"/>
      <c r="L735" s="46"/>
      <c r="M735" s="46"/>
      <c r="N735" s="46"/>
      <c r="O735" s="46"/>
      <c r="P735" s="128"/>
      <c r="Q735" s="46"/>
      <c r="R735" s="46"/>
      <c r="S735" s="46"/>
      <c r="T735" s="131"/>
    </row>
    <row r="736" spans="1:20" x14ac:dyDescent="0.3">
      <c r="A736" s="128"/>
      <c r="B736" s="46"/>
      <c r="C736" s="46"/>
      <c r="D736" s="46"/>
      <c r="E736" s="46"/>
      <c r="F736" s="128"/>
      <c r="G736" s="46"/>
      <c r="H736" s="46"/>
      <c r="I736" s="46"/>
      <c r="J736" s="46"/>
      <c r="K736" s="128"/>
      <c r="L736" s="46"/>
      <c r="M736" s="46"/>
      <c r="N736" s="46"/>
      <c r="O736" s="46"/>
      <c r="P736" s="128"/>
      <c r="Q736" s="46"/>
      <c r="R736" s="46"/>
      <c r="S736" s="46"/>
      <c r="T736" s="131"/>
    </row>
    <row r="737" spans="1:20" x14ac:dyDescent="0.3">
      <c r="A737" s="128"/>
      <c r="B737" s="46"/>
      <c r="C737" s="46"/>
      <c r="D737" s="46"/>
      <c r="E737" s="46"/>
      <c r="F737" s="128"/>
      <c r="G737" s="46"/>
      <c r="H737" s="46"/>
      <c r="I737" s="46"/>
      <c r="J737" s="46"/>
      <c r="K737" s="128"/>
      <c r="L737" s="46"/>
      <c r="M737" s="46"/>
      <c r="N737" s="46"/>
      <c r="O737" s="46"/>
      <c r="P737" s="128"/>
      <c r="Q737" s="46"/>
      <c r="R737" s="46"/>
      <c r="S737" s="46"/>
      <c r="T737" s="131"/>
    </row>
    <row r="738" spans="1:20" x14ac:dyDescent="0.3">
      <c r="A738" s="128"/>
      <c r="B738" s="46"/>
      <c r="C738" s="46"/>
      <c r="D738" s="46"/>
      <c r="E738" s="46"/>
      <c r="F738" s="128"/>
      <c r="G738" s="46"/>
      <c r="H738" s="46"/>
      <c r="I738" s="46"/>
      <c r="J738" s="46"/>
      <c r="K738" s="128"/>
      <c r="L738" s="46"/>
      <c r="M738" s="46"/>
      <c r="N738" s="46"/>
      <c r="O738" s="46"/>
      <c r="P738" s="128"/>
      <c r="Q738" s="46"/>
      <c r="R738" s="46"/>
      <c r="S738" s="46"/>
      <c r="T738" s="131"/>
    </row>
    <row r="739" spans="1:20" x14ac:dyDescent="0.3">
      <c r="A739" s="128"/>
      <c r="B739" s="46"/>
      <c r="C739" s="46"/>
      <c r="D739" s="46"/>
      <c r="E739" s="46"/>
      <c r="F739" s="128"/>
      <c r="G739" s="46"/>
      <c r="H739" s="46"/>
      <c r="I739" s="46"/>
      <c r="J739" s="46"/>
      <c r="K739" s="128"/>
      <c r="L739" s="46"/>
      <c r="M739" s="46"/>
      <c r="N739" s="46"/>
      <c r="O739" s="46"/>
      <c r="P739" s="128"/>
      <c r="Q739" s="46"/>
      <c r="R739" s="46"/>
      <c r="S739" s="46"/>
      <c r="T739" s="131"/>
    </row>
    <row r="740" spans="1:20" x14ac:dyDescent="0.3">
      <c r="A740" s="128"/>
      <c r="B740" s="46"/>
      <c r="C740" s="46"/>
      <c r="D740" s="46"/>
      <c r="E740" s="46"/>
      <c r="F740" s="128"/>
      <c r="G740" s="46"/>
      <c r="H740" s="46"/>
      <c r="I740" s="46"/>
      <c r="J740" s="46"/>
      <c r="K740" s="128"/>
      <c r="L740" s="46"/>
      <c r="M740" s="46"/>
      <c r="N740" s="46"/>
      <c r="O740" s="46"/>
      <c r="P740" s="128"/>
      <c r="Q740" s="46"/>
      <c r="R740" s="46"/>
      <c r="S740" s="46"/>
      <c r="T740" s="131"/>
    </row>
    <row r="741" spans="1:20" x14ac:dyDescent="0.3">
      <c r="A741" s="128"/>
      <c r="B741" s="46"/>
      <c r="C741" s="46"/>
      <c r="D741" s="46"/>
      <c r="E741" s="46"/>
      <c r="F741" s="128"/>
      <c r="G741" s="46"/>
      <c r="H741" s="46"/>
      <c r="I741" s="46"/>
      <c r="J741" s="46"/>
      <c r="K741" s="128"/>
      <c r="L741" s="46"/>
      <c r="M741" s="46"/>
      <c r="N741" s="46"/>
      <c r="O741" s="46"/>
      <c r="P741" s="128"/>
      <c r="Q741" s="46"/>
      <c r="R741" s="46"/>
      <c r="S741" s="46"/>
      <c r="T741" s="131"/>
    </row>
    <row r="742" spans="1:20" x14ac:dyDescent="0.3">
      <c r="A742" s="128"/>
      <c r="B742" s="46"/>
      <c r="C742" s="46"/>
      <c r="D742" s="46"/>
      <c r="E742" s="46"/>
      <c r="F742" s="128"/>
      <c r="G742" s="46"/>
      <c r="H742" s="46"/>
      <c r="I742" s="46"/>
      <c r="J742" s="46"/>
      <c r="K742" s="128"/>
      <c r="L742" s="46"/>
      <c r="M742" s="46"/>
      <c r="N742" s="46"/>
      <c r="O742" s="46"/>
      <c r="P742" s="128"/>
      <c r="Q742" s="46"/>
      <c r="R742" s="46"/>
      <c r="S742" s="46"/>
      <c r="T742" s="131"/>
    </row>
    <row r="743" spans="1:20" x14ac:dyDescent="0.3">
      <c r="A743" s="128"/>
      <c r="B743" s="46"/>
      <c r="C743" s="46"/>
      <c r="D743" s="46"/>
      <c r="E743" s="46"/>
      <c r="F743" s="128"/>
      <c r="G743" s="46"/>
      <c r="H743" s="46"/>
      <c r="I743" s="46"/>
      <c r="J743" s="46"/>
      <c r="K743" s="128"/>
      <c r="L743" s="46"/>
      <c r="M743" s="46"/>
      <c r="N743" s="46"/>
      <c r="O743" s="46"/>
      <c r="P743" s="128"/>
      <c r="Q743" s="46"/>
      <c r="R743" s="46"/>
      <c r="S743" s="46"/>
      <c r="T743" s="131"/>
    </row>
    <row r="744" spans="1:20" x14ac:dyDescent="0.3">
      <c r="A744" s="128"/>
      <c r="B744" s="46"/>
      <c r="C744" s="46"/>
      <c r="D744" s="46"/>
      <c r="E744" s="46"/>
      <c r="F744" s="128"/>
      <c r="G744" s="46"/>
      <c r="H744" s="46"/>
      <c r="I744" s="46"/>
      <c r="J744" s="46"/>
      <c r="K744" s="128"/>
      <c r="L744" s="46"/>
      <c r="M744" s="46"/>
      <c r="N744" s="46"/>
      <c r="O744" s="46"/>
      <c r="P744" s="128"/>
      <c r="Q744" s="46"/>
      <c r="R744" s="46"/>
      <c r="S744" s="46"/>
      <c r="T744" s="131"/>
    </row>
    <row r="745" spans="1:20" x14ac:dyDescent="0.3">
      <c r="A745" s="128"/>
      <c r="B745" s="46"/>
      <c r="C745" s="46"/>
      <c r="D745" s="46"/>
      <c r="E745" s="46"/>
      <c r="F745" s="128"/>
      <c r="G745" s="46"/>
      <c r="H745" s="46"/>
      <c r="I745" s="46"/>
      <c r="J745" s="46"/>
      <c r="K745" s="128"/>
      <c r="L745" s="46"/>
      <c r="M745" s="46"/>
      <c r="N745" s="46"/>
      <c r="O745" s="46"/>
      <c r="P745" s="128"/>
      <c r="Q745" s="46"/>
      <c r="R745" s="46"/>
      <c r="S745" s="46"/>
      <c r="T745" s="131"/>
    </row>
    <row r="746" spans="1:20" x14ac:dyDescent="0.3">
      <c r="A746" s="128"/>
      <c r="B746" s="46"/>
      <c r="C746" s="46"/>
      <c r="D746" s="46"/>
      <c r="E746" s="46"/>
      <c r="F746" s="128"/>
      <c r="G746" s="46"/>
      <c r="H746" s="46"/>
      <c r="I746" s="46"/>
      <c r="J746" s="46"/>
      <c r="K746" s="128"/>
      <c r="L746" s="46"/>
      <c r="M746" s="46"/>
      <c r="N746" s="46"/>
      <c r="O746" s="46"/>
      <c r="P746" s="128"/>
      <c r="Q746" s="46"/>
      <c r="R746" s="46"/>
      <c r="S746" s="46"/>
      <c r="T746" s="131"/>
    </row>
    <row r="747" spans="1:20" x14ac:dyDescent="0.3">
      <c r="A747" s="128"/>
      <c r="B747" s="46"/>
      <c r="C747" s="46"/>
      <c r="D747" s="46"/>
      <c r="E747" s="46"/>
      <c r="F747" s="128"/>
      <c r="G747" s="46"/>
      <c r="H747" s="46"/>
      <c r="I747" s="46"/>
      <c r="J747" s="46"/>
      <c r="K747" s="128"/>
      <c r="L747" s="46"/>
      <c r="M747" s="46"/>
      <c r="N747" s="46"/>
      <c r="O747" s="46"/>
      <c r="P747" s="128"/>
      <c r="Q747" s="46"/>
      <c r="R747" s="46"/>
      <c r="S747" s="46"/>
      <c r="T747" s="131"/>
    </row>
    <row r="748" spans="1:20" x14ac:dyDescent="0.3">
      <c r="A748" s="128"/>
      <c r="B748" s="46"/>
      <c r="C748" s="46"/>
      <c r="D748" s="46"/>
      <c r="E748" s="46"/>
      <c r="F748" s="128"/>
      <c r="G748" s="46"/>
      <c r="H748" s="46"/>
      <c r="I748" s="46"/>
      <c r="J748" s="46"/>
      <c r="K748" s="128"/>
      <c r="L748" s="46"/>
      <c r="M748" s="46"/>
      <c r="N748" s="46"/>
      <c r="O748" s="46"/>
      <c r="P748" s="128"/>
      <c r="Q748" s="46"/>
      <c r="R748" s="46"/>
      <c r="S748" s="46"/>
      <c r="T748" s="131"/>
    </row>
    <row r="749" spans="1:20" x14ac:dyDescent="0.3">
      <c r="A749" s="128"/>
      <c r="B749" s="46"/>
      <c r="C749" s="46"/>
      <c r="D749" s="46"/>
      <c r="E749" s="46"/>
      <c r="F749" s="128"/>
      <c r="G749" s="46"/>
      <c r="H749" s="46"/>
      <c r="I749" s="46"/>
      <c r="J749" s="46"/>
      <c r="K749" s="128"/>
      <c r="L749" s="46"/>
      <c r="M749" s="46"/>
      <c r="N749" s="46"/>
      <c r="O749" s="46"/>
      <c r="P749" s="128"/>
      <c r="Q749" s="46"/>
      <c r="R749" s="46"/>
      <c r="S749" s="46"/>
      <c r="T749" s="131"/>
    </row>
    <row r="750" spans="1:20" x14ac:dyDescent="0.3">
      <c r="A750" s="128"/>
      <c r="B750" s="46"/>
      <c r="C750" s="46"/>
      <c r="D750" s="46"/>
      <c r="E750" s="46"/>
      <c r="F750" s="128"/>
      <c r="G750" s="46"/>
      <c r="H750" s="46"/>
      <c r="I750" s="46"/>
      <c r="J750" s="46"/>
      <c r="K750" s="128"/>
      <c r="L750" s="46"/>
      <c r="M750" s="46"/>
      <c r="N750" s="46"/>
      <c r="O750" s="46"/>
      <c r="P750" s="128"/>
      <c r="Q750" s="46"/>
      <c r="R750" s="46"/>
      <c r="S750" s="46"/>
      <c r="T750" s="131"/>
    </row>
    <row r="751" spans="1:20" x14ac:dyDescent="0.3">
      <c r="A751" s="128"/>
      <c r="B751" s="46"/>
      <c r="C751" s="46"/>
      <c r="D751" s="46"/>
      <c r="E751" s="46"/>
      <c r="F751" s="128"/>
      <c r="G751" s="46"/>
      <c r="H751" s="46"/>
      <c r="I751" s="46"/>
      <c r="J751" s="46"/>
      <c r="K751" s="128"/>
      <c r="L751" s="46"/>
      <c r="M751" s="46"/>
      <c r="N751" s="46"/>
      <c r="O751" s="46"/>
      <c r="P751" s="128"/>
      <c r="Q751" s="46"/>
      <c r="R751" s="46"/>
      <c r="S751" s="46"/>
      <c r="T751" s="131"/>
    </row>
    <row r="752" spans="1:20" x14ac:dyDescent="0.3">
      <c r="A752" s="128"/>
      <c r="B752" s="46"/>
      <c r="C752" s="46"/>
      <c r="D752" s="46"/>
      <c r="E752" s="46"/>
      <c r="F752" s="128"/>
      <c r="G752" s="46"/>
      <c r="H752" s="46"/>
      <c r="I752" s="46"/>
      <c r="J752" s="46"/>
      <c r="K752" s="128"/>
      <c r="L752" s="46"/>
      <c r="M752" s="46"/>
      <c r="N752" s="46"/>
      <c r="O752" s="46"/>
      <c r="P752" s="128"/>
      <c r="Q752" s="46"/>
      <c r="R752" s="46"/>
      <c r="S752" s="46"/>
      <c r="T752" s="131"/>
    </row>
    <row r="753" spans="1:20" x14ac:dyDescent="0.3">
      <c r="A753" s="128"/>
      <c r="B753" s="46"/>
      <c r="C753" s="46"/>
      <c r="D753" s="46"/>
      <c r="E753" s="46"/>
      <c r="F753" s="128"/>
      <c r="G753" s="46"/>
      <c r="H753" s="46"/>
      <c r="I753" s="46"/>
      <c r="J753" s="46"/>
      <c r="K753" s="128"/>
      <c r="L753" s="46"/>
      <c r="M753" s="46"/>
      <c r="N753" s="46"/>
      <c r="O753" s="46"/>
      <c r="P753" s="128"/>
      <c r="Q753" s="46"/>
      <c r="R753" s="46"/>
      <c r="S753" s="46"/>
      <c r="T753" s="131"/>
    </row>
    <row r="754" spans="1:20" x14ac:dyDescent="0.3">
      <c r="A754" s="128"/>
      <c r="B754" s="46"/>
      <c r="C754" s="46"/>
      <c r="D754" s="46"/>
      <c r="E754" s="46"/>
      <c r="F754" s="128"/>
      <c r="G754" s="46"/>
      <c r="H754" s="46"/>
      <c r="I754" s="46"/>
      <c r="J754" s="46"/>
      <c r="K754" s="128"/>
      <c r="L754" s="46"/>
      <c r="M754" s="46"/>
      <c r="N754" s="46"/>
      <c r="O754" s="46"/>
      <c r="P754" s="128"/>
      <c r="Q754" s="46"/>
      <c r="R754" s="46"/>
      <c r="S754" s="46"/>
      <c r="T754" s="131"/>
    </row>
    <row r="755" spans="1:20" x14ac:dyDescent="0.3">
      <c r="A755" s="128"/>
      <c r="B755" s="46"/>
      <c r="C755" s="46"/>
      <c r="D755" s="46"/>
      <c r="E755" s="46"/>
      <c r="F755" s="128"/>
      <c r="G755" s="46"/>
      <c r="H755" s="46"/>
      <c r="I755" s="46"/>
      <c r="J755" s="46"/>
      <c r="K755" s="128"/>
      <c r="L755" s="46"/>
      <c r="M755" s="46"/>
      <c r="N755" s="46"/>
      <c r="O755" s="46"/>
      <c r="P755" s="128"/>
      <c r="Q755" s="46"/>
      <c r="R755" s="46"/>
      <c r="S755" s="46"/>
      <c r="T755" s="131"/>
    </row>
    <row r="756" spans="1:20" x14ac:dyDescent="0.3">
      <c r="A756" s="128"/>
      <c r="B756" s="46"/>
      <c r="C756" s="46"/>
      <c r="D756" s="46"/>
      <c r="E756" s="46"/>
      <c r="F756" s="128"/>
      <c r="G756" s="46"/>
      <c r="H756" s="46"/>
      <c r="I756" s="46"/>
      <c r="J756" s="46"/>
      <c r="K756" s="128"/>
      <c r="L756" s="46"/>
      <c r="M756" s="46"/>
      <c r="N756" s="46"/>
      <c r="O756" s="46"/>
      <c r="P756" s="128"/>
      <c r="Q756" s="46"/>
      <c r="R756" s="46"/>
      <c r="S756" s="46"/>
      <c r="T756" s="131"/>
    </row>
    <row r="757" spans="1:20" x14ac:dyDescent="0.3">
      <c r="A757" s="128"/>
      <c r="B757" s="46"/>
      <c r="C757" s="46"/>
      <c r="D757" s="46"/>
      <c r="E757" s="46"/>
      <c r="F757" s="128"/>
      <c r="G757" s="46"/>
      <c r="H757" s="46"/>
      <c r="I757" s="46"/>
      <c r="J757" s="46"/>
      <c r="K757" s="128"/>
      <c r="L757" s="46"/>
      <c r="M757" s="46"/>
      <c r="N757" s="46"/>
      <c r="O757" s="46"/>
      <c r="P757" s="128"/>
      <c r="Q757" s="46"/>
      <c r="R757" s="46"/>
      <c r="S757" s="46"/>
      <c r="T757" s="131"/>
    </row>
    <row r="758" spans="1:20" x14ac:dyDescent="0.3">
      <c r="A758" s="128"/>
      <c r="B758" s="46"/>
      <c r="C758" s="46"/>
      <c r="D758" s="46"/>
      <c r="E758" s="46"/>
      <c r="F758" s="128"/>
      <c r="G758" s="46"/>
      <c r="H758" s="46"/>
      <c r="I758" s="46"/>
      <c r="J758" s="46"/>
      <c r="K758" s="128"/>
      <c r="L758" s="46"/>
      <c r="M758" s="46"/>
      <c r="N758" s="46"/>
      <c r="O758" s="46"/>
      <c r="P758" s="128"/>
      <c r="Q758" s="46"/>
      <c r="R758" s="46"/>
      <c r="S758" s="46"/>
      <c r="T758" s="131"/>
    </row>
    <row r="759" spans="1:20" x14ac:dyDescent="0.3">
      <c r="A759" s="128"/>
      <c r="B759" s="46"/>
      <c r="C759" s="46"/>
      <c r="D759" s="46"/>
      <c r="E759" s="46"/>
      <c r="F759" s="128"/>
      <c r="G759" s="46"/>
      <c r="H759" s="46"/>
      <c r="I759" s="46"/>
      <c r="J759" s="46"/>
      <c r="K759" s="128"/>
      <c r="L759" s="46"/>
      <c r="M759" s="46"/>
      <c r="N759" s="46"/>
      <c r="O759" s="46"/>
      <c r="P759" s="128"/>
      <c r="Q759" s="46"/>
      <c r="R759" s="46"/>
      <c r="S759" s="46"/>
      <c r="T759" s="131"/>
    </row>
    <row r="760" spans="1:20" x14ac:dyDescent="0.3">
      <c r="A760" s="128"/>
      <c r="B760" s="46"/>
      <c r="C760" s="46"/>
      <c r="D760" s="46"/>
      <c r="E760" s="46"/>
      <c r="F760" s="128"/>
      <c r="G760" s="46"/>
      <c r="H760" s="46"/>
      <c r="I760" s="46"/>
      <c r="J760" s="46"/>
      <c r="K760" s="128"/>
      <c r="L760" s="46"/>
      <c r="M760" s="46"/>
      <c r="N760" s="46"/>
      <c r="O760" s="46"/>
      <c r="P760" s="128"/>
      <c r="Q760" s="46"/>
      <c r="R760" s="46"/>
      <c r="S760" s="46"/>
      <c r="T760" s="131"/>
    </row>
    <row r="761" spans="1:20" x14ac:dyDescent="0.3">
      <c r="A761" s="128"/>
      <c r="B761" s="46"/>
      <c r="C761" s="46"/>
      <c r="D761" s="46"/>
      <c r="E761" s="46"/>
      <c r="F761" s="128"/>
      <c r="G761" s="46"/>
      <c r="H761" s="46"/>
      <c r="I761" s="46"/>
      <c r="J761" s="46"/>
      <c r="K761" s="128"/>
      <c r="L761" s="46"/>
      <c r="M761" s="46"/>
      <c r="N761" s="46"/>
      <c r="O761" s="46"/>
      <c r="P761" s="128"/>
      <c r="Q761" s="46"/>
      <c r="R761" s="46"/>
      <c r="S761" s="46"/>
      <c r="T761" s="131"/>
    </row>
    <row r="762" spans="1:20" x14ac:dyDescent="0.3">
      <c r="A762" s="128"/>
      <c r="B762" s="46"/>
      <c r="C762" s="46"/>
      <c r="D762" s="46"/>
      <c r="E762" s="46"/>
      <c r="F762" s="128"/>
      <c r="G762" s="46"/>
      <c r="H762" s="46"/>
      <c r="I762" s="46"/>
      <c r="J762" s="46"/>
      <c r="K762" s="128"/>
      <c r="L762" s="46"/>
      <c r="M762" s="46"/>
      <c r="N762" s="46"/>
      <c r="O762" s="46"/>
      <c r="P762" s="128"/>
      <c r="Q762" s="46"/>
      <c r="R762" s="46"/>
      <c r="S762" s="46"/>
      <c r="T762" s="131"/>
    </row>
    <row r="763" spans="1:20" x14ac:dyDescent="0.3">
      <c r="A763" s="128"/>
      <c r="B763" s="46"/>
      <c r="C763" s="46"/>
      <c r="D763" s="46"/>
      <c r="E763" s="46"/>
      <c r="F763" s="128"/>
      <c r="G763" s="46"/>
      <c r="H763" s="46"/>
      <c r="I763" s="46"/>
      <c r="J763" s="46"/>
      <c r="K763" s="128"/>
      <c r="L763" s="46"/>
      <c r="M763" s="46"/>
      <c r="N763" s="46"/>
      <c r="O763" s="46"/>
      <c r="P763" s="128"/>
      <c r="Q763" s="46"/>
      <c r="R763" s="46"/>
      <c r="S763" s="46"/>
      <c r="T763" s="131"/>
    </row>
    <row r="764" spans="1:20" x14ac:dyDescent="0.3">
      <c r="A764" s="128"/>
      <c r="B764" s="46"/>
      <c r="C764" s="46"/>
      <c r="D764" s="46"/>
      <c r="E764" s="46"/>
      <c r="F764" s="128"/>
      <c r="G764" s="46"/>
      <c r="H764" s="46"/>
      <c r="I764" s="46"/>
      <c r="J764" s="46"/>
      <c r="K764" s="128"/>
      <c r="L764" s="46"/>
      <c r="M764" s="46"/>
      <c r="N764" s="46"/>
      <c r="O764" s="46"/>
      <c r="P764" s="128"/>
      <c r="Q764" s="46"/>
      <c r="R764" s="46"/>
      <c r="S764" s="46"/>
      <c r="T764" s="131"/>
    </row>
    <row r="765" spans="1:20" x14ac:dyDescent="0.3">
      <c r="A765" s="128"/>
      <c r="B765" s="46"/>
      <c r="C765" s="46"/>
      <c r="D765" s="46"/>
      <c r="E765" s="46"/>
      <c r="F765" s="128"/>
      <c r="G765" s="46"/>
      <c r="H765" s="46"/>
      <c r="I765" s="46"/>
      <c r="J765" s="46"/>
      <c r="K765" s="128"/>
      <c r="L765" s="46"/>
      <c r="M765" s="46"/>
      <c r="N765" s="46"/>
      <c r="O765" s="46"/>
      <c r="P765" s="128"/>
      <c r="Q765" s="46"/>
      <c r="R765" s="46"/>
      <c r="S765" s="46"/>
      <c r="T765" s="131"/>
    </row>
    <row r="766" spans="1:20" x14ac:dyDescent="0.3">
      <c r="A766" s="128"/>
      <c r="B766" s="46"/>
      <c r="C766" s="46"/>
      <c r="D766" s="46"/>
      <c r="E766" s="46"/>
      <c r="F766" s="128"/>
      <c r="G766" s="46"/>
      <c r="H766" s="46"/>
      <c r="I766" s="46"/>
      <c r="J766" s="46"/>
      <c r="K766" s="128"/>
      <c r="L766" s="46"/>
      <c r="M766" s="46"/>
      <c r="N766" s="46"/>
      <c r="O766" s="46"/>
      <c r="P766" s="128"/>
      <c r="Q766" s="46"/>
      <c r="R766" s="46"/>
      <c r="S766" s="46"/>
      <c r="T766" s="131"/>
    </row>
    <row r="767" spans="1:20" x14ac:dyDescent="0.3">
      <c r="A767" s="128"/>
      <c r="B767" s="46"/>
      <c r="C767" s="46"/>
      <c r="D767" s="46"/>
      <c r="E767" s="46"/>
      <c r="F767" s="128"/>
      <c r="G767" s="46"/>
      <c r="H767" s="46"/>
      <c r="I767" s="46"/>
      <c r="J767" s="46"/>
      <c r="K767" s="128"/>
      <c r="L767" s="46"/>
      <c r="M767" s="46"/>
      <c r="N767" s="46"/>
      <c r="O767" s="46"/>
      <c r="P767" s="128"/>
      <c r="Q767" s="46"/>
      <c r="R767" s="46"/>
      <c r="S767" s="46"/>
      <c r="T767" s="131"/>
    </row>
    <row r="768" spans="1:20" x14ac:dyDescent="0.3">
      <c r="A768" s="128"/>
      <c r="B768" s="46"/>
      <c r="C768" s="46"/>
      <c r="D768" s="46"/>
      <c r="E768" s="46"/>
      <c r="F768" s="128"/>
      <c r="G768" s="46"/>
      <c r="H768" s="46"/>
      <c r="I768" s="46"/>
      <c r="J768" s="46"/>
      <c r="K768" s="128"/>
      <c r="L768" s="46"/>
      <c r="M768" s="46"/>
      <c r="N768" s="46"/>
      <c r="O768" s="46"/>
      <c r="P768" s="128"/>
      <c r="Q768" s="46"/>
      <c r="R768" s="46"/>
      <c r="S768" s="46"/>
      <c r="T768" s="131"/>
    </row>
    <row r="769" spans="1:20" x14ac:dyDescent="0.3">
      <c r="A769" s="128"/>
      <c r="B769" s="46"/>
      <c r="C769" s="46"/>
      <c r="D769" s="46"/>
      <c r="E769" s="46"/>
      <c r="F769" s="128"/>
      <c r="G769" s="46"/>
      <c r="H769" s="46"/>
      <c r="I769" s="46"/>
      <c r="J769" s="46"/>
      <c r="K769" s="128"/>
      <c r="L769" s="46"/>
      <c r="M769" s="46"/>
      <c r="N769" s="46"/>
      <c r="O769" s="46"/>
      <c r="P769" s="128"/>
      <c r="Q769" s="46"/>
      <c r="R769" s="46"/>
      <c r="S769" s="46"/>
      <c r="T769" s="131"/>
    </row>
    <row r="770" spans="1:20" x14ac:dyDescent="0.3">
      <c r="A770" s="128"/>
      <c r="B770" s="46"/>
      <c r="C770" s="46"/>
      <c r="D770" s="46"/>
      <c r="E770" s="46"/>
      <c r="F770" s="128"/>
      <c r="G770" s="46"/>
      <c r="H770" s="46"/>
      <c r="I770" s="46"/>
      <c r="J770" s="46"/>
      <c r="K770" s="128"/>
      <c r="L770" s="46"/>
      <c r="M770" s="46"/>
      <c r="N770" s="46"/>
      <c r="O770" s="46"/>
      <c r="P770" s="128"/>
      <c r="Q770" s="46"/>
      <c r="R770" s="46"/>
      <c r="S770" s="46"/>
      <c r="T770" s="131"/>
    </row>
    <row r="771" spans="1:20" x14ac:dyDescent="0.3">
      <c r="A771" s="128"/>
      <c r="B771" s="46"/>
      <c r="C771" s="46"/>
      <c r="D771" s="46"/>
      <c r="E771" s="46"/>
      <c r="F771" s="128"/>
      <c r="G771" s="46"/>
      <c r="H771" s="46"/>
      <c r="I771" s="46"/>
      <c r="J771" s="46"/>
      <c r="K771" s="128"/>
      <c r="L771" s="46"/>
      <c r="M771" s="46"/>
      <c r="N771" s="46"/>
      <c r="O771" s="46"/>
      <c r="P771" s="128"/>
      <c r="Q771" s="46"/>
      <c r="R771" s="46"/>
      <c r="S771" s="46"/>
      <c r="T771" s="131"/>
    </row>
    <row r="772" spans="1:20" x14ac:dyDescent="0.3">
      <c r="A772" s="128"/>
      <c r="B772" s="46"/>
      <c r="C772" s="46"/>
      <c r="D772" s="46"/>
      <c r="E772" s="46"/>
      <c r="F772" s="128"/>
      <c r="G772" s="46"/>
      <c r="H772" s="46"/>
      <c r="I772" s="46"/>
      <c r="J772" s="46"/>
      <c r="K772" s="128"/>
      <c r="L772" s="46"/>
      <c r="M772" s="46"/>
      <c r="N772" s="46"/>
      <c r="O772" s="46"/>
      <c r="P772" s="128"/>
      <c r="Q772" s="46"/>
      <c r="R772" s="46"/>
      <c r="S772" s="46"/>
      <c r="T772" s="131"/>
    </row>
    <row r="773" spans="1:20" x14ac:dyDescent="0.3">
      <c r="A773" s="128"/>
      <c r="B773" s="46"/>
      <c r="C773" s="46"/>
      <c r="D773" s="46"/>
      <c r="E773" s="46"/>
      <c r="F773" s="128"/>
      <c r="G773" s="46"/>
      <c r="H773" s="46"/>
      <c r="I773" s="46"/>
      <c r="J773" s="46"/>
      <c r="K773" s="128"/>
      <c r="L773" s="46"/>
      <c r="M773" s="46"/>
      <c r="N773" s="46"/>
      <c r="O773" s="46"/>
      <c r="P773" s="128"/>
      <c r="Q773" s="46"/>
      <c r="R773" s="46"/>
      <c r="S773" s="46"/>
      <c r="T773" s="131"/>
    </row>
    <row r="774" spans="1:20" x14ac:dyDescent="0.3">
      <c r="A774" s="128"/>
      <c r="B774" s="46"/>
      <c r="C774" s="46"/>
      <c r="D774" s="46"/>
      <c r="E774" s="46"/>
      <c r="F774" s="128"/>
      <c r="G774" s="46"/>
      <c r="H774" s="46"/>
      <c r="I774" s="46"/>
      <c r="J774" s="46"/>
      <c r="K774" s="128"/>
      <c r="L774" s="46"/>
      <c r="M774" s="46"/>
      <c r="N774" s="46"/>
      <c r="O774" s="46"/>
      <c r="P774" s="128"/>
      <c r="Q774" s="46"/>
      <c r="R774" s="46"/>
      <c r="S774" s="46"/>
      <c r="T774" s="131"/>
    </row>
    <row r="775" spans="1:20" x14ac:dyDescent="0.3">
      <c r="A775" s="128"/>
      <c r="B775" s="46"/>
      <c r="C775" s="46"/>
      <c r="D775" s="46"/>
      <c r="E775" s="46"/>
      <c r="F775" s="128"/>
      <c r="G775" s="46"/>
      <c r="H775" s="46"/>
      <c r="I775" s="46"/>
      <c r="J775" s="46"/>
      <c r="K775" s="128"/>
      <c r="L775" s="46"/>
      <c r="M775" s="46"/>
      <c r="N775" s="46"/>
      <c r="O775" s="46"/>
      <c r="P775" s="128"/>
      <c r="Q775" s="46"/>
      <c r="R775" s="46"/>
      <c r="S775" s="46"/>
      <c r="T775" s="131"/>
    </row>
    <row r="776" spans="1:20" x14ac:dyDescent="0.3">
      <c r="A776" s="128"/>
      <c r="B776" s="46"/>
      <c r="C776" s="46"/>
      <c r="D776" s="46"/>
      <c r="E776" s="46"/>
      <c r="F776" s="128"/>
      <c r="G776" s="46"/>
      <c r="H776" s="46"/>
      <c r="I776" s="46"/>
      <c r="J776" s="46"/>
      <c r="K776" s="128"/>
      <c r="L776" s="46"/>
      <c r="M776" s="46"/>
      <c r="N776" s="46"/>
      <c r="O776" s="46"/>
      <c r="P776" s="128"/>
      <c r="Q776" s="46"/>
      <c r="R776" s="46"/>
      <c r="S776" s="46"/>
      <c r="T776" s="131"/>
    </row>
    <row r="777" spans="1:20" x14ac:dyDescent="0.3">
      <c r="A777" s="128"/>
      <c r="B777" s="46"/>
      <c r="C777" s="46"/>
      <c r="D777" s="46"/>
      <c r="E777" s="46"/>
      <c r="F777" s="128"/>
      <c r="G777" s="46"/>
      <c r="H777" s="46"/>
      <c r="I777" s="46"/>
      <c r="J777" s="46"/>
      <c r="K777" s="128"/>
      <c r="L777" s="46"/>
      <c r="M777" s="46"/>
      <c r="N777" s="46"/>
      <c r="O777" s="46"/>
      <c r="P777" s="128"/>
      <c r="Q777" s="46"/>
      <c r="R777" s="46"/>
      <c r="S777" s="46"/>
      <c r="T777" s="131"/>
    </row>
    <row r="778" spans="1:20" x14ac:dyDescent="0.3">
      <c r="A778" s="128"/>
      <c r="B778" s="46"/>
      <c r="C778" s="46"/>
      <c r="D778" s="46"/>
      <c r="E778" s="46"/>
      <c r="F778" s="128"/>
      <c r="G778" s="46"/>
      <c r="H778" s="46"/>
      <c r="I778" s="46"/>
      <c r="J778" s="46"/>
      <c r="K778" s="128"/>
      <c r="L778" s="46"/>
      <c r="M778" s="46"/>
      <c r="N778" s="46"/>
      <c r="O778" s="46"/>
      <c r="P778" s="128"/>
      <c r="Q778" s="46"/>
      <c r="R778" s="46"/>
      <c r="S778" s="46"/>
      <c r="T778" s="131"/>
    </row>
    <row r="779" spans="1:20" x14ac:dyDescent="0.3">
      <c r="A779" s="128"/>
      <c r="B779" s="46"/>
      <c r="C779" s="46"/>
      <c r="D779" s="46"/>
      <c r="E779" s="46"/>
      <c r="F779" s="128"/>
      <c r="G779" s="46"/>
      <c r="H779" s="46"/>
      <c r="I779" s="46"/>
      <c r="J779" s="46"/>
      <c r="K779" s="128"/>
      <c r="L779" s="46"/>
      <c r="M779" s="46"/>
      <c r="N779" s="46"/>
      <c r="O779" s="46"/>
      <c r="P779" s="128"/>
      <c r="Q779" s="46"/>
      <c r="R779" s="46"/>
      <c r="S779" s="46"/>
      <c r="T779" s="131"/>
    </row>
    <row r="780" spans="1:20" x14ac:dyDescent="0.3">
      <c r="A780" s="128"/>
      <c r="B780" s="46"/>
      <c r="C780" s="46"/>
      <c r="D780" s="46"/>
      <c r="E780" s="46"/>
      <c r="F780" s="128"/>
      <c r="G780" s="46"/>
      <c r="H780" s="46"/>
      <c r="I780" s="46"/>
      <c r="J780" s="46"/>
      <c r="K780" s="128"/>
      <c r="L780" s="46"/>
      <c r="M780" s="46"/>
      <c r="N780" s="46"/>
      <c r="O780" s="46"/>
      <c r="P780" s="128"/>
      <c r="Q780" s="46"/>
      <c r="R780" s="46"/>
      <c r="S780" s="46"/>
      <c r="T780" s="131"/>
    </row>
    <row r="781" spans="1:20" x14ac:dyDescent="0.3">
      <c r="A781" s="128"/>
      <c r="B781" s="46"/>
      <c r="C781" s="46"/>
      <c r="D781" s="46"/>
      <c r="E781" s="46"/>
      <c r="F781" s="128"/>
      <c r="G781" s="46"/>
      <c r="H781" s="46"/>
      <c r="I781" s="46"/>
      <c r="J781" s="46"/>
      <c r="K781" s="128"/>
      <c r="L781" s="46"/>
      <c r="M781" s="46"/>
      <c r="N781" s="46"/>
      <c r="O781" s="46"/>
      <c r="P781" s="128"/>
      <c r="Q781" s="46"/>
      <c r="R781" s="46"/>
      <c r="S781" s="46"/>
      <c r="T781" s="131"/>
    </row>
    <row r="782" spans="1:20" x14ac:dyDescent="0.3">
      <c r="A782" s="128"/>
      <c r="B782" s="46"/>
      <c r="C782" s="46"/>
      <c r="D782" s="46"/>
      <c r="E782" s="46"/>
      <c r="F782" s="128"/>
      <c r="G782" s="46"/>
      <c r="H782" s="46"/>
      <c r="I782" s="46"/>
      <c r="J782" s="46"/>
      <c r="K782" s="128"/>
      <c r="L782" s="46"/>
      <c r="M782" s="46"/>
      <c r="N782" s="46"/>
      <c r="O782" s="46"/>
      <c r="P782" s="128"/>
      <c r="Q782" s="46"/>
      <c r="R782" s="46"/>
      <c r="S782" s="46"/>
      <c r="T782" s="131"/>
    </row>
    <row r="783" spans="1:20" x14ac:dyDescent="0.3">
      <c r="A783" s="128"/>
      <c r="B783" s="46"/>
      <c r="C783" s="46"/>
      <c r="D783" s="46"/>
      <c r="E783" s="46"/>
      <c r="F783" s="128"/>
      <c r="G783" s="46"/>
      <c r="H783" s="46"/>
      <c r="I783" s="46"/>
      <c r="J783" s="46"/>
      <c r="K783" s="128"/>
      <c r="L783" s="46"/>
      <c r="M783" s="46"/>
      <c r="N783" s="46"/>
      <c r="O783" s="46"/>
      <c r="P783" s="128"/>
      <c r="Q783" s="46"/>
      <c r="R783" s="46"/>
      <c r="S783" s="46"/>
      <c r="T783" s="131"/>
    </row>
    <row r="784" spans="1:20" x14ac:dyDescent="0.3">
      <c r="A784" s="128"/>
      <c r="B784" s="46"/>
      <c r="C784" s="46"/>
      <c r="D784" s="46"/>
      <c r="E784" s="46"/>
      <c r="F784" s="128"/>
      <c r="G784" s="46"/>
      <c r="H784" s="46"/>
      <c r="I784" s="46"/>
      <c r="J784" s="46"/>
      <c r="K784" s="128"/>
      <c r="L784" s="46"/>
      <c r="M784" s="46"/>
      <c r="N784" s="46"/>
      <c r="O784" s="46"/>
      <c r="P784" s="128"/>
      <c r="Q784" s="46"/>
      <c r="R784" s="46"/>
      <c r="S784" s="46"/>
      <c r="T784" s="131"/>
    </row>
    <row r="785" spans="1:20" x14ac:dyDescent="0.3">
      <c r="A785" s="128"/>
      <c r="B785" s="46"/>
      <c r="C785" s="46"/>
      <c r="D785" s="46"/>
      <c r="E785" s="46"/>
      <c r="F785" s="128"/>
      <c r="G785" s="46"/>
      <c r="H785" s="46"/>
      <c r="I785" s="46"/>
      <c r="J785" s="46"/>
      <c r="K785" s="128"/>
      <c r="L785" s="46"/>
      <c r="M785" s="46"/>
      <c r="N785" s="46"/>
      <c r="O785" s="46"/>
      <c r="P785" s="128"/>
      <c r="Q785" s="46"/>
      <c r="R785" s="46"/>
      <c r="S785" s="46"/>
      <c r="T785" s="131"/>
    </row>
    <row r="786" spans="1:20" x14ac:dyDescent="0.3">
      <c r="A786" s="128"/>
      <c r="B786" s="46"/>
      <c r="C786" s="46"/>
      <c r="D786" s="46"/>
      <c r="E786" s="46"/>
      <c r="F786" s="128"/>
      <c r="G786" s="46"/>
      <c r="H786" s="46"/>
      <c r="I786" s="46"/>
      <c r="J786" s="46"/>
      <c r="K786" s="128"/>
      <c r="L786" s="46"/>
      <c r="M786" s="46"/>
      <c r="N786" s="46"/>
      <c r="O786" s="46"/>
      <c r="P786" s="128"/>
      <c r="Q786" s="46"/>
      <c r="R786" s="46"/>
      <c r="S786" s="46"/>
      <c r="T786" s="131"/>
    </row>
    <row r="787" spans="1:20" x14ac:dyDescent="0.3">
      <c r="A787" s="128"/>
      <c r="B787" s="46"/>
      <c r="C787" s="46"/>
      <c r="D787" s="46"/>
      <c r="E787" s="46"/>
      <c r="F787" s="128"/>
      <c r="G787" s="46"/>
      <c r="H787" s="46"/>
      <c r="I787" s="46"/>
      <c r="J787" s="46"/>
      <c r="K787" s="128"/>
      <c r="L787" s="46"/>
      <c r="M787" s="46"/>
      <c r="N787" s="46"/>
      <c r="O787" s="46"/>
      <c r="P787" s="128"/>
      <c r="Q787" s="46"/>
      <c r="R787" s="46"/>
      <c r="S787" s="46"/>
      <c r="T787" s="131"/>
    </row>
    <row r="788" spans="1:20" x14ac:dyDescent="0.3">
      <c r="A788" s="128"/>
      <c r="B788" s="46"/>
      <c r="C788" s="46"/>
      <c r="D788" s="46"/>
      <c r="E788" s="46"/>
      <c r="F788" s="128"/>
      <c r="G788" s="46"/>
      <c r="H788" s="46"/>
      <c r="I788" s="46"/>
      <c r="J788" s="46"/>
      <c r="K788" s="128"/>
      <c r="L788" s="46"/>
      <c r="M788" s="46"/>
      <c r="N788" s="46"/>
      <c r="O788" s="46"/>
      <c r="P788" s="128"/>
      <c r="Q788" s="46"/>
      <c r="R788" s="46"/>
      <c r="S788" s="46"/>
      <c r="T788" s="131"/>
    </row>
    <row r="789" spans="1:20" x14ac:dyDescent="0.3">
      <c r="A789" s="128"/>
      <c r="B789" s="46"/>
      <c r="C789" s="46"/>
      <c r="D789" s="46"/>
      <c r="E789" s="46"/>
      <c r="F789" s="128"/>
      <c r="G789" s="46"/>
      <c r="H789" s="46"/>
      <c r="I789" s="46"/>
      <c r="J789" s="46"/>
      <c r="K789" s="128"/>
      <c r="L789" s="46"/>
      <c r="M789" s="46"/>
      <c r="N789" s="46"/>
      <c r="O789" s="46"/>
      <c r="P789" s="128"/>
      <c r="Q789" s="46"/>
      <c r="R789" s="46"/>
      <c r="S789" s="46"/>
      <c r="T789" s="131"/>
    </row>
    <row r="790" spans="1:20" x14ac:dyDescent="0.3">
      <c r="A790" s="128"/>
      <c r="B790" s="46"/>
      <c r="C790" s="46"/>
      <c r="D790" s="46"/>
      <c r="E790" s="46"/>
      <c r="F790" s="128"/>
      <c r="G790" s="46"/>
      <c r="H790" s="46"/>
      <c r="I790" s="46"/>
      <c r="J790" s="46"/>
      <c r="K790" s="128"/>
      <c r="L790" s="46"/>
      <c r="M790" s="46"/>
      <c r="N790" s="46"/>
      <c r="O790" s="46"/>
      <c r="P790" s="128"/>
      <c r="Q790" s="46"/>
      <c r="R790" s="46"/>
      <c r="S790" s="46"/>
      <c r="T790" s="131"/>
    </row>
    <row r="791" spans="1:20" x14ac:dyDescent="0.3">
      <c r="A791" s="128"/>
      <c r="B791" s="46"/>
      <c r="C791" s="46"/>
      <c r="D791" s="46"/>
      <c r="E791" s="46"/>
      <c r="F791" s="128"/>
      <c r="G791" s="46"/>
      <c r="H791" s="46"/>
      <c r="I791" s="46"/>
      <c r="J791" s="46"/>
      <c r="K791" s="128"/>
      <c r="L791" s="46"/>
      <c r="M791" s="46"/>
      <c r="N791" s="46"/>
      <c r="O791" s="46"/>
      <c r="P791" s="128"/>
      <c r="Q791" s="46"/>
      <c r="R791" s="46"/>
      <c r="S791" s="46"/>
      <c r="T791" s="131"/>
    </row>
    <row r="792" spans="1:20" x14ac:dyDescent="0.3">
      <c r="A792" s="128"/>
      <c r="B792" s="46"/>
      <c r="C792" s="46"/>
      <c r="D792" s="46"/>
      <c r="E792" s="46"/>
      <c r="F792" s="128"/>
      <c r="G792" s="46"/>
      <c r="H792" s="46"/>
      <c r="I792" s="46"/>
      <c r="J792" s="46"/>
      <c r="K792" s="128"/>
      <c r="L792" s="46"/>
      <c r="M792" s="46"/>
      <c r="N792" s="46"/>
      <c r="O792" s="46"/>
      <c r="P792" s="128"/>
      <c r="Q792" s="46"/>
      <c r="R792" s="46"/>
      <c r="S792" s="46"/>
      <c r="T792" s="131"/>
    </row>
    <row r="793" spans="1:20" x14ac:dyDescent="0.3">
      <c r="A793" s="128"/>
      <c r="B793" s="46"/>
      <c r="C793" s="46"/>
      <c r="D793" s="46"/>
      <c r="E793" s="46"/>
      <c r="F793" s="128"/>
      <c r="G793" s="46"/>
      <c r="H793" s="46"/>
      <c r="I793" s="46"/>
      <c r="J793" s="46"/>
      <c r="K793" s="128"/>
      <c r="L793" s="46"/>
      <c r="M793" s="46"/>
      <c r="N793" s="46"/>
      <c r="O793" s="46"/>
      <c r="P793" s="128"/>
      <c r="Q793" s="46"/>
      <c r="R793" s="46"/>
      <c r="S793" s="46"/>
      <c r="T793" s="131"/>
    </row>
    <row r="794" spans="1:20" x14ac:dyDescent="0.3">
      <c r="A794" s="128"/>
      <c r="B794" s="46"/>
      <c r="C794" s="46"/>
      <c r="D794" s="46"/>
      <c r="E794" s="46"/>
      <c r="F794" s="128"/>
      <c r="G794" s="46"/>
      <c r="H794" s="46"/>
      <c r="I794" s="46"/>
      <c r="J794" s="46"/>
      <c r="K794" s="128"/>
      <c r="L794" s="46"/>
      <c r="M794" s="46"/>
      <c r="N794" s="46"/>
      <c r="O794" s="46"/>
      <c r="P794" s="128"/>
      <c r="Q794" s="46"/>
      <c r="R794" s="46"/>
      <c r="S794" s="46"/>
      <c r="T794" s="131"/>
    </row>
    <row r="795" spans="1:20" x14ac:dyDescent="0.3">
      <c r="A795" s="128"/>
      <c r="B795" s="46"/>
      <c r="C795" s="46"/>
      <c r="D795" s="46"/>
      <c r="E795" s="46"/>
      <c r="F795" s="128"/>
      <c r="G795" s="46"/>
      <c r="H795" s="46"/>
      <c r="I795" s="46"/>
      <c r="J795" s="46"/>
      <c r="K795" s="128"/>
      <c r="L795" s="46"/>
      <c r="M795" s="46"/>
      <c r="N795" s="46"/>
      <c r="O795" s="46"/>
      <c r="P795" s="128"/>
      <c r="Q795" s="46"/>
      <c r="R795" s="46"/>
      <c r="S795" s="46"/>
      <c r="T795" s="131"/>
    </row>
    <row r="796" spans="1:20" x14ac:dyDescent="0.3">
      <c r="A796" s="128"/>
      <c r="B796" s="46"/>
      <c r="C796" s="46"/>
      <c r="D796" s="46"/>
      <c r="E796" s="46"/>
      <c r="F796" s="128"/>
      <c r="G796" s="46"/>
      <c r="H796" s="46"/>
      <c r="I796" s="46"/>
      <c r="J796" s="46"/>
      <c r="K796" s="128"/>
      <c r="L796" s="46"/>
      <c r="M796" s="46"/>
      <c r="N796" s="46"/>
      <c r="O796" s="46"/>
      <c r="P796" s="128"/>
      <c r="Q796" s="46"/>
      <c r="R796" s="46"/>
      <c r="S796" s="46"/>
      <c r="T796" s="131"/>
    </row>
    <row r="797" spans="1:20" x14ac:dyDescent="0.3">
      <c r="A797" s="128"/>
      <c r="B797" s="46"/>
      <c r="C797" s="46"/>
      <c r="D797" s="46"/>
      <c r="E797" s="46"/>
      <c r="F797" s="128"/>
      <c r="G797" s="46"/>
      <c r="H797" s="46"/>
      <c r="I797" s="46"/>
      <c r="J797" s="46"/>
      <c r="K797" s="128"/>
      <c r="L797" s="46"/>
      <c r="M797" s="46"/>
      <c r="N797" s="46"/>
      <c r="O797" s="46"/>
      <c r="P797" s="128"/>
      <c r="Q797" s="46"/>
      <c r="R797" s="46"/>
      <c r="S797" s="46"/>
      <c r="T797" s="131"/>
    </row>
    <row r="798" spans="1:20" x14ac:dyDescent="0.3">
      <c r="A798" s="128"/>
      <c r="B798" s="46"/>
      <c r="C798" s="46"/>
      <c r="D798" s="46"/>
      <c r="E798" s="46"/>
      <c r="F798" s="128"/>
      <c r="G798" s="46"/>
      <c r="H798" s="46"/>
      <c r="I798" s="46"/>
      <c r="J798" s="46"/>
      <c r="K798" s="128"/>
      <c r="L798" s="46"/>
      <c r="M798" s="46"/>
      <c r="N798" s="46"/>
      <c r="O798" s="46"/>
      <c r="P798" s="128"/>
      <c r="Q798" s="46"/>
      <c r="R798" s="46"/>
      <c r="S798" s="46"/>
      <c r="T798" s="131"/>
    </row>
    <row r="799" spans="1:20" x14ac:dyDescent="0.3">
      <c r="A799" s="128"/>
      <c r="B799" s="46"/>
      <c r="C799" s="46"/>
      <c r="D799" s="46"/>
      <c r="E799" s="46"/>
      <c r="F799" s="128"/>
      <c r="G799" s="46"/>
      <c r="H799" s="46"/>
      <c r="I799" s="46"/>
      <c r="J799" s="46"/>
      <c r="K799" s="128"/>
      <c r="L799" s="46"/>
      <c r="M799" s="46"/>
      <c r="N799" s="46"/>
      <c r="O799" s="46"/>
      <c r="P799" s="128"/>
      <c r="Q799" s="46"/>
      <c r="R799" s="46"/>
      <c r="S799" s="46"/>
      <c r="T799" s="131"/>
    </row>
    <row r="800" spans="1:20" x14ac:dyDescent="0.3">
      <c r="A800" s="128"/>
      <c r="B800" s="46"/>
      <c r="C800" s="46"/>
      <c r="D800" s="46"/>
      <c r="E800" s="46"/>
      <c r="F800" s="128"/>
      <c r="G800" s="46"/>
      <c r="H800" s="46"/>
      <c r="I800" s="46"/>
      <c r="J800" s="46"/>
      <c r="K800" s="128"/>
      <c r="L800" s="46"/>
      <c r="M800" s="46"/>
      <c r="N800" s="46"/>
      <c r="O800" s="46"/>
      <c r="P800" s="128"/>
      <c r="Q800" s="46"/>
      <c r="R800" s="46"/>
      <c r="S800" s="46"/>
      <c r="T800" s="131"/>
    </row>
    <row r="801" spans="1:20" x14ac:dyDescent="0.3">
      <c r="A801" s="128"/>
      <c r="B801" s="46"/>
      <c r="C801" s="46"/>
      <c r="D801" s="46"/>
      <c r="E801" s="46"/>
      <c r="F801" s="128"/>
      <c r="G801" s="46"/>
      <c r="H801" s="46"/>
      <c r="I801" s="46"/>
      <c r="J801" s="46"/>
      <c r="K801" s="128"/>
      <c r="L801" s="46"/>
      <c r="M801" s="46"/>
      <c r="N801" s="46"/>
      <c r="O801" s="46"/>
      <c r="P801" s="128"/>
      <c r="Q801" s="46"/>
      <c r="R801" s="46"/>
      <c r="S801" s="46"/>
      <c r="T801" s="131"/>
    </row>
    <row r="802" spans="1:20" x14ac:dyDescent="0.3">
      <c r="A802" s="128"/>
      <c r="B802" s="46"/>
      <c r="C802" s="46"/>
      <c r="D802" s="46"/>
      <c r="E802" s="46"/>
      <c r="F802" s="128"/>
      <c r="G802" s="46"/>
      <c r="H802" s="46"/>
      <c r="I802" s="46"/>
      <c r="J802" s="46"/>
      <c r="K802" s="128"/>
      <c r="L802" s="46"/>
      <c r="M802" s="46"/>
      <c r="N802" s="46"/>
      <c r="O802" s="46"/>
      <c r="P802" s="128"/>
      <c r="Q802" s="46"/>
      <c r="R802" s="46"/>
      <c r="S802" s="46"/>
      <c r="T802" s="131"/>
    </row>
    <row r="803" spans="1:20" x14ac:dyDescent="0.3">
      <c r="A803" s="128"/>
      <c r="B803" s="46"/>
      <c r="C803" s="46"/>
      <c r="D803" s="46"/>
      <c r="E803" s="46"/>
      <c r="F803" s="128"/>
      <c r="G803" s="46"/>
      <c r="H803" s="46"/>
      <c r="I803" s="46"/>
      <c r="J803" s="46"/>
      <c r="K803" s="128"/>
      <c r="L803" s="46"/>
      <c r="M803" s="46"/>
      <c r="N803" s="46"/>
      <c r="O803" s="46"/>
      <c r="P803" s="128"/>
      <c r="Q803" s="46"/>
      <c r="R803" s="46"/>
      <c r="S803" s="46"/>
      <c r="T803" s="131"/>
    </row>
    <row r="804" spans="1:20" x14ac:dyDescent="0.3">
      <c r="A804" s="128"/>
      <c r="B804" s="46"/>
      <c r="C804" s="46"/>
      <c r="D804" s="46"/>
      <c r="E804" s="46"/>
      <c r="F804" s="128"/>
      <c r="G804" s="46"/>
      <c r="H804" s="46"/>
      <c r="I804" s="46"/>
      <c r="J804" s="46"/>
      <c r="K804" s="128"/>
      <c r="L804" s="46"/>
      <c r="M804" s="46"/>
      <c r="N804" s="46"/>
      <c r="O804" s="46"/>
      <c r="P804" s="128"/>
      <c r="Q804" s="46"/>
      <c r="R804" s="46"/>
      <c r="S804" s="46"/>
      <c r="T804" s="131"/>
    </row>
    <row r="805" spans="1:20" x14ac:dyDescent="0.3">
      <c r="A805" s="128"/>
      <c r="B805" s="46"/>
      <c r="C805" s="46"/>
      <c r="D805" s="46"/>
      <c r="E805" s="46"/>
      <c r="F805" s="128"/>
      <c r="G805" s="46"/>
      <c r="H805" s="46"/>
      <c r="I805" s="46"/>
      <c r="J805" s="46"/>
      <c r="K805" s="128"/>
      <c r="L805" s="46"/>
      <c r="M805" s="46"/>
      <c r="N805" s="46"/>
      <c r="O805" s="46"/>
      <c r="P805" s="128"/>
      <c r="Q805" s="46"/>
      <c r="R805" s="46"/>
      <c r="S805" s="46"/>
      <c r="T805" s="131"/>
    </row>
    <row r="806" spans="1:20" x14ac:dyDescent="0.3">
      <c r="A806" s="128"/>
      <c r="B806" s="46"/>
      <c r="C806" s="46"/>
      <c r="D806" s="46"/>
      <c r="E806" s="46"/>
      <c r="F806" s="128"/>
      <c r="G806" s="46"/>
      <c r="H806" s="46"/>
      <c r="I806" s="46"/>
      <c r="J806" s="46"/>
      <c r="K806" s="128"/>
      <c r="L806" s="46"/>
      <c r="M806" s="46"/>
      <c r="N806" s="46"/>
      <c r="O806" s="46"/>
      <c r="P806" s="128"/>
      <c r="Q806" s="46"/>
      <c r="R806" s="46"/>
      <c r="S806" s="46"/>
      <c r="T806" s="131"/>
    </row>
    <row r="807" spans="1:20" x14ac:dyDescent="0.3">
      <c r="A807" s="128"/>
      <c r="B807" s="46"/>
      <c r="C807" s="46"/>
      <c r="D807" s="46"/>
      <c r="E807" s="46"/>
      <c r="F807" s="128"/>
      <c r="G807" s="46"/>
      <c r="H807" s="46"/>
      <c r="I807" s="46"/>
      <c r="J807" s="46"/>
      <c r="K807" s="128"/>
      <c r="L807" s="46"/>
      <c r="M807" s="46"/>
      <c r="N807" s="46"/>
      <c r="O807" s="46"/>
      <c r="P807" s="128"/>
      <c r="Q807" s="46"/>
      <c r="R807" s="46"/>
      <c r="S807" s="46"/>
      <c r="T807" s="131"/>
    </row>
    <row r="808" spans="1:20" x14ac:dyDescent="0.3">
      <c r="A808" s="128"/>
      <c r="B808" s="46"/>
      <c r="C808" s="46"/>
      <c r="D808" s="46"/>
      <c r="E808" s="46"/>
      <c r="F808" s="128"/>
      <c r="G808" s="46"/>
      <c r="H808" s="46"/>
      <c r="I808" s="46"/>
      <c r="J808" s="46"/>
      <c r="K808" s="128"/>
      <c r="L808" s="46"/>
      <c r="M808" s="46"/>
      <c r="N808" s="46"/>
      <c r="O808" s="46"/>
      <c r="P808" s="128"/>
      <c r="Q808" s="46"/>
      <c r="R808" s="46"/>
      <c r="S808" s="46"/>
      <c r="T808" s="131"/>
    </row>
    <row r="809" spans="1:20" x14ac:dyDescent="0.3">
      <c r="A809" s="128"/>
      <c r="B809" s="46"/>
      <c r="C809" s="46"/>
      <c r="D809" s="46"/>
      <c r="E809" s="46"/>
      <c r="F809" s="128"/>
      <c r="G809" s="46"/>
      <c r="H809" s="46"/>
      <c r="I809" s="46"/>
      <c r="J809" s="46"/>
      <c r="K809" s="128"/>
      <c r="L809" s="46"/>
      <c r="M809" s="46"/>
      <c r="N809" s="46"/>
      <c r="O809" s="46"/>
      <c r="P809" s="128"/>
      <c r="Q809" s="46"/>
      <c r="R809" s="46"/>
      <c r="S809" s="46"/>
      <c r="T809" s="131"/>
    </row>
    <row r="810" spans="1:20" x14ac:dyDescent="0.3">
      <c r="A810" s="128"/>
      <c r="B810" s="46"/>
      <c r="C810" s="46"/>
      <c r="D810" s="46"/>
      <c r="E810" s="46"/>
      <c r="F810" s="128"/>
      <c r="G810" s="46"/>
      <c r="H810" s="46"/>
      <c r="I810" s="46"/>
      <c r="J810" s="46"/>
      <c r="K810" s="128"/>
      <c r="L810" s="46"/>
      <c r="M810" s="46"/>
      <c r="N810" s="46"/>
      <c r="O810" s="46"/>
      <c r="P810" s="128"/>
      <c r="Q810" s="46"/>
      <c r="R810" s="46"/>
      <c r="S810" s="46"/>
      <c r="T810" s="131"/>
    </row>
    <row r="811" spans="1:20" x14ac:dyDescent="0.3">
      <c r="A811" s="128"/>
      <c r="B811" s="46"/>
      <c r="C811" s="46"/>
      <c r="D811" s="46"/>
      <c r="E811" s="46"/>
      <c r="F811" s="128"/>
      <c r="G811" s="46"/>
      <c r="H811" s="46"/>
      <c r="I811" s="46"/>
      <c r="J811" s="46"/>
      <c r="K811" s="128"/>
      <c r="L811" s="46"/>
      <c r="M811" s="46"/>
      <c r="N811" s="46"/>
      <c r="O811" s="46"/>
      <c r="P811" s="128"/>
      <c r="Q811" s="46"/>
      <c r="R811" s="46"/>
      <c r="S811" s="46"/>
      <c r="T811" s="131"/>
    </row>
    <row r="812" spans="1:20" x14ac:dyDescent="0.3">
      <c r="A812" s="128"/>
      <c r="B812" s="46"/>
      <c r="C812" s="46"/>
      <c r="D812" s="46"/>
      <c r="E812" s="46"/>
      <c r="F812" s="128"/>
      <c r="G812" s="46"/>
      <c r="H812" s="46"/>
      <c r="I812" s="46"/>
      <c r="J812" s="46"/>
      <c r="K812" s="128"/>
      <c r="L812" s="46"/>
      <c r="M812" s="46"/>
      <c r="N812" s="46"/>
      <c r="O812" s="46"/>
      <c r="P812" s="128"/>
      <c r="Q812" s="46"/>
      <c r="R812" s="46"/>
      <c r="S812" s="46"/>
      <c r="T812" s="131"/>
    </row>
    <row r="813" spans="1:20" x14ac:dyDescent="0.3">
      <c r="A813" s="128"/>
      <c r="B813" s="46"/>
      <c r="C813" s="46"/>
      <c r="D813" s="46"/>
      <c r="E813" s="46"/>
      <c r="F813" s="128"/>
      <c r="G813" s="46"/>
      <c r="H813" s="46"/>
      <c r="I813" s="46"/>
      <c r="J813" s="46"/>
      <c r="K813" s="128"/>
      <c r="L813" s="46"/>
      <c r="M813" s="46"/>
      <c r="N813" s="46"/>
      <c r="O813" s="46"/>
      <c r="P813" s="128"/>
      <c r="Q813" s="46"/>
      <c r="R813" s="46"/>
      <c r="S813" s="46"/>
      <c r="T813" s="131"/>
    </row>
    <row r="814" spans="1:20" x14ac:dyDescent="0.3">
      <c r="A814" s="128"/>
      <c r="B814" s="46"/>
      <c r="C814" s="46"/>
      <c r="D814" s="46"/>
      <c r="E814" s="46"/>
      <c r="F814" s="128"/>
      <c r="G814" s="46"/>
      <c r="H814" s="46"/>
      <c r="I814" s="46"/>
      <c r="J814" s="46"/>
      <c r="K814" s="128"/>
      <c r="L814" s="46"/>
      <c r="M814" s="46"/>
      <c r="N814" s="46"/>
      <c r="O814" s="46"/>
      <c r="P814" s="128"/>
      <c r="Q814" s="46"/>
      <c r="R814" s="46"/>
      <c r="S814" s="46"/>
      <c r="T814" s="131"/>
    </row>
    <row r="815" spans="1:20" x14ac:dyDescent="0.3">
      <c r="A815" s="128"/>
      <c r="B815" s="46"/>
      <c r="C815" s="46"/>
      <c r="D815" s="46"/>
      <c r="E815" s="46"/>
      <c r="F815" s="128"/>
      <c r="G815" s="46"/>
      <c r="H815" s="46"/>
      <c r="I815" s="46"/>
      <c r="J815" s="46"/>
      <c r="K815" s="128"/>
      <c r="L815" s="46"/>
      <c r="M815" s="46"/>
      <c r="N815" s="46"/>
      <c r="O815" s="46"/>
      <c r="P815" s="128"/>
      <c r="Q815" s="46"/>
      <c r="R815" s="46"/>
      <c r="S815" s="46"/>
      <c r="T815" s="131"/>
    </row>
    <row r="816" spans="1:20" x14ac:dyDescent="0.3">
      <c r="A816" s="128"/>
      <c r="B816" s="46"/>
      <c r="C816" s="46"/>
      <c r="D816" s="46"/>
      <c r="E816" s="46"/>
      <c r="F816" s="128"/>
      <c r="G816" s="46"/>
      <c r="H816" s="46"/>
      <c r="I816" s="46"/>
      <c r="J816" s="46"/>
      <c r="K816" s="128"/>
      <c r="L816" s="46"/>
      <c r="M816" s="46"/>
      <c r="N816" s="46"/>
      <c r="O816" s="46"/>
      <c r="P816" s="128"/>
      <c r="Q816" s="46"/>
      <c r="R816" s="46"/>
      <c r="S816" s="46"/>
      <c r="T816" s="131"/>
    </row>
    <row r="817" spans="1:20" x14ac:dyDescent="0.3">
      <c r="A817" s="128"/>
      <c r="B817" s="46"/>
      <c r="C817" s="46"/>
      <c r="D817" s="46"/>
      <c r="E817" s="46"/>
      <c r="F817" s="128"/>
      <c r="G817" s="46"/>
      <c r="H817" s="46"/>
      <c r="I817" s="46"/>
      <c r="J817" s="46"/>
      <c r="K817" s="128"/>
      <c r="L817" s="46"/>
      <c r="M817" s="46"/>
      <c r="N817" s="46"/>
      <c r="O817" s="46"/>
      <c r="P817" s="128"/>
      <c r="Q817" s="46"/>
      <c r="R817" s="46"/>
      <c r="S817" s="46"/>
      <c r="T817" s="131"/>
    </row>
    <row r="818" spans="1:20" x14ac:dyDescent="0.3">
      <c r="A818" s="128"/>
      <c r="B818" s="46"/>
      <c r="C818" s="46"/>
      <c r="D818" s="46"/>
      <c r="E818" s="46"/>
      <c r="F818" s="128"/>
      <c r="G818" s="46"/>
      <c r="H818" s="46"/>
      <c r="I818" s="46"/>
      <c r="J818" s="46"/>
      <c r="K818" s="128"/>
      <c r="L818" s="46"/>
      <c r="M818" s="46"/>
      <c r="N818" s="46"/>
      <c r="O818" s="46"/>
      <c r="P818" s="128"/>
      <c r="Q818" s="46"/>
      <c r="R818" s="46"/>
      <c r="S818" s="46"/>
      <c r="T818" s="131"/>
    </row>
    <row r="819" spans="1:20" x14ac:dyDescent="0.3">
      <c r="A819" s="128"/>
      <c r="B819" s="46"/>
      <c r="C819" s="46"/>
      <c r="D819" s="46"/>
      <c r="E819" s="46"/>
      <c r="F819" s="128"/>
      <c r="G819" s="46"/>
      <c r="H819" s="46"/>
      <c r="I819" s="46"/>
      <c r="J819" s="46"/>
      <c r="K819" s="128"/>
      <c r="L819" s="46"/>
      <c r="M819" s="46"/>
      <c r="N819" s="46"/>
      <c r="O819" s="46"/>
      <c r="P819" s="128"/>
      <c r="Q819" s="46"/>
      <c r="R819" s="46"/>
      <c r="S819" s="46"/>
      <c r="T819" s="131"/>
    </row>
    <row r="820" spans="1:20" x14ac:dyDescent="0.3">
      <c r="A820" s="128"/>
      <c r="B820" s="46"/>
      <c r="C820" s="46"/>
      <c r="D820" s="46"/>
      <c r="E820" s="46"/>
      <c r="F820" s="128"/>
      <c r="G820" s="46"/>
      <c r="H820" s="46"/>
      <c r="I820" s="46"/>
      <c r="J820" s="46"/>
      <c r="K820" s="128"/>
      <c r="L820" s="46"/>
      <c r="M820" s="46"/>
      <c r="N820" s="46"/>
      <c r="O820" s="46"/>
      <c r="P820" s="128"/>
      <c r="Q820" s="46"/>
      <c r="R820" s="46"/>
      <c r="S820" s="46"/>
      <c r="T820" s="131"/>
    </row>
    <row r="821" spans="1:20" x14ac:dyDescent="0.3">
      <c r="A821" s="128"/>
      <c r="B821" s="46"/>
      <c r="C821" s="46"/>
      <c r="D821" s="46"/>
      <c r="E821" s="46"/>
      <c r="F821" s="128"/>
      <c r="G821" s="46"/>
      <c r="H821" s="46"/>
      <c r="I821" s="46"/>
      <c r="J821" s="46"/>
      <c r="K821" s="128"/>
      <c r="L821" s="46"/>
      <c r="M821" s="46"/>
      <c r="N821" s="46"/>
      <c r="O821" s="46"/>
      <c r="P821" s="128"/>
      <c r="Q821" s="46"/>
      <c r="R821" s="46"/>
      <c r="S821" s="46"/>
      <c r="T821" s="131"/>
    </row>
    <row r="822" spans="1:20" x14ac:dyDescent="0.3">
      <c r="A822" s="128"/>
      <c r="B822" s="46"/>
      <c r="C822" s="46"/>
      <c r="D822" s="46"/>
      <c r="E822" s="46"/>
      <c r="F822" s="128"/>
      <c r="G822" s="46"/>
      <c r="H822" s="46"/>
      <c r="I822" s="46"/>
      <c r="J822" s="46"/>
      <c r="K822" s="128"/>
      <c r="L822" s="46"/>
      <c r="M822" s="46"/>
      <c r="N822" s="46"/>
      <c r="O822" s="46"/>
      <c r="P822" s="128"/>
      <c r="Q822" s="46"/>
      <c r="R822" s="46"/>
      <c r="S822" s="46"/>
      <c r="T822" s="131"/>
    </row>
    <row r="823" spans="1:20" x14ac:dyDescent="0.3">
      <c r="A823" s="128"/>
      <c r="B823" s="46"/>
      <c r="C823" s="46"/>
      <c r="D823" s="46"/>
      <c r="E823" s="46"/>
      <c r="F823" s="128"/>
      <c r="G823" s="46"/>
      <c r="H823" s="46"/>
      <c r="I823" s="46"/>
      <c r="J823" s="46"/>
      <c r="K823" s="128"/>
      <c r="L823" s="46"/>
      <c r="M823" s="46"/>
      <c r="N823" s="46"/>
      <c r="O823" s="46"/>
      <c r="P823" s="128"/>
      <c r="Q823" s="46"/>
      <c r="R823" s="46"/>
      <c r="S823" s="46"/>
      <c r="T823" s="131"/>
    </row>
    <row r="824" spans="1:20" x14ac:dyDescent="0.3">
      <c r="A824" s="128"/>
      <c r="B824" s="46"/>
      <c r="C824" s="46"/>
      <c r="D824" s="46"/>
      <c r="E824" s="46"/>
      <c r="F824" s="128"/>
      <c r="G824" s="46"/>
      <c r="H824" s="46"/>
      <c r="I824" s="46"/>
      <c r="J824" s="46"/>
      <c r="K824" s="128"/>
      <c r="L824" s="46"/>
      <c r="M824" s="46"/>
      <c r="N824" s="46"/>
      <c r="O824" s="46"/>
      <c r="P824" s="128"/>
      <c r="Q824" s="46"/>
      <c r="R824" s="46"/>
      <c r="S824" s="46"/>
      <c r="T824" s="131"/>
    </row>
    <row r="825" spans="1:20" x14ac:dyDescent="0.3">
      <c r="A825" s="128"/>
      <c r="B825" s="46"/>
      <c r="C825" s="46"/>
      <c r="D825" s="46"/>
      <c r="E825" s="46"/>
      <c r="F825" s="128"/>
      <c r="G825" s="46"/>
      <c r="H825" s="46"/>
      <c r="I825" s="46"/>
      <c r="J825" s="46"/>
      <c r="K825" s="128"/>
      <c r="L825" s="46"/>
      <c r="M825" s="46"/>
      <c r="N825" s="46"/>
      <c r="O825" s="46"/>
      <c r="P825" s="128"/>
      <c r="Q825" s="46"/>
      <c r="R825" s="46"/>
      <c r="S825" s="46"/>
      <c r="T825" s="131"/>
    </row>
    <row r="826" spans="1:20" x14ac:dyDescent="0.3">
      <c r="A826" s="128"/>
      <c r="B826" s="46"/>
      <c r="C826" s="46"/>
      <c r="D826" s="46"/>
      <c r="E826" s="46"/>
      <c r="F826" s="128"/>
      <c r="G826" s="46"/>
      <c r="H826" s="46"/>
      <c r="I826" s="46"/>
      <c r="J826" s="46"/>
      <c r="K826" s="128"/>
      <c r="L826" s="46"/>
      <c r="M826" s="46"/>
      <c r="N826" s="46"/>
      <c r="O826" s="46"/>
      <c r="P826" s="128"/>
      <c r="Q826" s="46"/>
      <c r="R826" s="46"/>
      <c r="S826" s="46"/>
      <c r="T826" s="131"/>
    </row>
    <row r="827" spans="1:20" x14ac:dyDescent="0.3">
      <c r="A827" s="128"/>
      <c r="B827" s="46"/>
      <c r="C827" s="46"/>
      <c r="D827" s="46"/>
      <c r="E827" s="46"/>
      <c r="F827" s="128"/>
      <c r="G827" s="46"/>
      <c r="H827" s="46"/>
      <c r="I827" s="46"/>
      <c r="J827" s="46"/>
      <c r="K827" s="128"/>
      <c r="L827" s="46"/>
      <c r="M827" s="46"/>
      <c r="N827" s="46"/>
      <c r="O827" s="46"/>
      <c r="P827" s="128"/>
      <c r="Q827" s="46"/>
      <c r="R827" s="46"/>
      <c r="S827" s="46"/>
      <c r="T827" s="131"/>
    </row>
    <row r="828" spans="1:20" x14ac:dyDescent="0.3">
      <c r="A828" s="128"/>
      <c r="B828" s="46"/>
      <c r="C828" s="46"/>
      <c r="D828" s="46"/>
      <c r="E828" s="46"/>
      <c r="F828" s="128"/>
      <c r="G828" s="46"/>
      <c r="H828" s="46"/>
      <c r="I828" s="46"/>
      <c r="J828" s="46"/>
      <c r="K828" s="128"/>
      <c r="L828" s="46"/>
      <c r="M828" s="46"/>
      <c r="N828" s="46"/>
      <c r="O828" s="46"/>
      <c r="P828" s="128"/>
      <c r="Q828" s="46"/>
      <c r="R828" s="46"/>
      <c r="S828" s="46"/>
      <c r="T828" s="131"/>
    </row>
    <row r="829" spans="1:20" x14ac:dyDescent="0.3">
      <c r="A829" s="128"/>
      <c r="B829" s="46"/>
      <c r="C829" s="46"/>
      <c r="D829" s="46"/>
      <c r="E829" s="46"/>
      <c r="F829" s="128"/>
      <c r="G829" s="46"/>
      <c r="H829" s="46"/>
      <c r="I829" s="46"/>
      <c r="J829" s="46"/>
      <c r="K829" s="128"/>
      <c r="L829" s="46"/>
      <c r="M829" s="46"/>
      <c r="N829" s="46"/>
      <c r="O829" s="46"/>
      <c r="P829" s="128"/>
      <c r="Q829" s="46"/>
      <c r="R829" s="46"/>
      <c r="S829" s="46"/>
      <c r="T829" s="131"/>
    </row>
    <row r="830" spans="1:20" x14ac:dyDescent="0.3">
      <c r="A830" s="128"/>
      <c r="B830" s="46"/>
      <c r="C830" s="46"/>
      <c r="D830" s="46"/>
      <c r="E830" s="46"/>
      <c r="F830" s="128"/>
      <c r="G830" s="46"/>
      <c r="H830" s="46"/>
      <c r="I830" s="46"/>
      <c r="J830" s="46"/>
      <c r="K830" s="128"/>
      <c r="L830" s="46"/>
      <c r="M830" s="46"/>
      <c r="N830" s="46"/>
      <c r="O830" s="46"/>
      <c r="P830" s="128"/>
      <c r="Q830" s="46"/>
      <c r="R830" s="46"/>
      <c r="S830" s="46"/>
      <c r="T830" s="131"/>
    </row>
    <row r="831" spans="1:20" x14ac:dyDescent="0.3">
      <c r="A831" s="128"/>
      <c r="B831" s="46"/>
      <c r="C831" s="46"/>
      <c r="D831" s="46"/>
      <c r="E831" s="46"/>
      <c r="F831" s="128"/>
      <c r="G831" s="46"/>
      <c r="H831" s="46"/>
      <c r="I831" s="46"/>
      <c r="J831" s="46"/>
      <c r="K831" s="128"/>
      <c r="L831" s="46"/>
      <c r="M831" s="46"/>
      <c r="N831" s="46"/>
      <c r="O831" s="46"/>
      <c r="P831" s="128"/>
      <c r="Q831" s="46"/>
      <c r="R831" s="46"/>
      <c r="S831" s="46"/>
      <c r="T831" s="131"/>
    </row>
    <row r="832" spans="1:20" x14ac:dyDescent="0.3">
      <c r="A832" s="128"/>
      <c r="B832" s="46"/>
      <c r="C832" s="46"/>
      <c r="D832" s="46"/>
      <c r="E832" s="46"/>
      <c r="F832" s="128"/>
      <c r="G832" s="46"/>
      <c r="H832" s="46"/>
      <c r="I832" s="46"/>
      <c r="J832" s="46"/>
      <c r="K832" s="128"/>
      <c r="L832" s="46"/>
      <c r="M832" s="46"/>
      <c r="N832" s="46"/>
      <c r="O832" s="46"/>
      <c r="P832" s="128"/>
      <c r="Q832" s="46"/>
      <c r="R832" s="46"/>
      <c r="S832" s="46"/>
      <c r="T832" s="131"/>
    </row>
    <row r="833" spans="1:20" x14ac:dyDescent="0.3">
      <c r="A833" s="128"/>
      <c r="B833" s="46"/>
      <c r="C833" s="46"/>
      <c r="D833" s="46"/>
      <c r="E833" s="46"/>
      <c r="F833" s="128"/>
      <c r="G833" s="46"/>
      <c r="H833" s="46"/>
      <c r="I833" s="46"/>
      <c r="J833" s="46"/>
      <c r="K833" s="128"/>
      <c r="L833" s="46"/>
      <c r="M833" s="46"/>
      <c r="N833" s="46"/>
      <c r="O833" s="46"/>
      <c r="P833" s="128"/>
      <c r="Q833" s="46"/>
      <c r="R833" s="46"/>
      <c r="S833" s="46"/>
      <c r="T833" s="131"/>
    </row>
    <row r="834" spans="1:20" x14ac:dyDescent="0.3">
      <c r="A834" s="128"/>
      <c r="B834" s="46"/>
      <c r="C834" s="46"/>
      <c r="D834" s="46"/>
      <c r="E834" s="46"/>
      <c r="F834" s="128"/>
      <c r="G834" s="46"/>
      <c r="H834" s="46"/>
      <c r="I834" s="46"/>
      <c r="J834" s="46"/>
      <c r="K834" s="128"/>
      <c r="L834" s="46"/>
      <c r="M834" s="46"/>
      <c r="N834" s="46"/>
      <c r="O834" s="46"/>
      <c r="P834" s="128"/>
      <c r="Q834" s="46"/>
      <c r="R834" s="46"/>
      <c r="S834" s="46"/>
      <c r="T834" s="131"/>
    </row>
    <row r="835" spans="1:20" x14ac:dyDescent="0.3">
      <c r="A835" s="128"/>
      <c r="B835" s="46"/>
      <c r="C835" s="46"/>
      <c r="D835" s="46"/>
      <c r="E835" s="46"/>
      <c r="F835" s="128"/>
      <c r="G835" s="46"/>
      <c r="H835" s="46"/>
      <c r="I835" s="46"/>
      <c r="J835" s="46"/>
      <c r="K835" s="128"/>
      <c r="L835" s="46"/>
      <c r="M835" s="46"/>
      <c r="N835" s="46"/>
      <c r="O835" s="46"/>
      <c r="P835" s="128"/>
      <c r="Q835" s="46"/>
      <c r="R835" s="46"/>
      <c r="S835" s="46"/>
      <c r="T835" s="131"/>
    </row>
    <row r="836" spans="1:20" x14ac:dyDescent="0.3">
      <c r="A836" s="128"/>
      <c r="B836" s="46"/>
      <c r="C836" s="46"/>
      <c r="D836" s="46"/>
      <c r="E836" s="46"/>
      <c r="F836" s="128"/>
      <c r="G836" s="46"/>
      <c r="H836" s="46"/>
      <c r="I836" s="46"/>
      <c r="J836" s="46"/>
      <c r="K836" s="128"/>
      <c r="L836" s="46"/>
      <c r="M836" s="46"/>
      <c r="N836" s="46"/>
      <c r="O836" s="46"/>
      <c r="P836" s="128"/>
      <c r="Q836" s="46"/>
      <c r="R836" s="46"/>
      <c r="S836" s="46"/>
      <c r="T836" s="131"/>
    </row>
    <row r="837" spans="1:20" x14ac:dyDescent="0.3">
      <c r="A837" s="128"/>
      <c r="B837" s="46"/>
      <c r="C837" s="46"/>
      <c r="D837" s="46"/>
      <c r="E837" s="46"/>
      <c r="F837" s="128"/>
      <c r="G837" s="46"/>
      <c r="H837" s="46"/>
      <c r="I837" s="46"/>
      <c r="J837" s="46"/>
      <c r="K837" s="128"/>
      <c r="L837" s="46"/>
      <c r="M837" s="46"/>
      <c r="N837" s="46"/>
      <c r="O837" s="46"/>
      <c r="P837" s="128"/>
      <c r="Q837" s="46"/>
      <c r="R837" s="46"/>
      <c r="S837" s="46"/>
      <c r="T837" s="131"/>
    </row>
    <row r="838" spans="1:20" x14ac:dyDescent="0.3">
      <c r="A838" s="128"/>
      <c r="B838" s="46"/>
      <c r="C838" s="46"/>
      <c r="D838" s="46"/>
      <c r="E838" s="46"/>
      <c r="F838" s="128"/>
      <c r="G838" s="46"/>
      <c r="H838" s="46"/>
      <c r="I838" s="46"/>
      <c r="J838" s="46"/>
      <c r="K838" s="128"/>
      <c r="L838" s="46"/>
      <c r="M838" s="46"/>
      <c r="N838" s="46"/>
      <c r="O838" s="46"/>
      <c r="P838" s="128"/>
      <c r="Q838" s="46"/>
      <c r="R838" s="46"/>
      <c r="S838" s="46"/>
      <c r="T838" s="131"/>
    </row>
    <row r="839" spans="1:20" x14ac:dyDescent="0.3">
      <c r="A839" s="128"/>
      <c r="B839" s="46"/>
      <c r="C839" s="46"/>
      <c r="D839" s="46"/>
      <c r="E839" s="46"/>
      <c r="F839" s="128"/>
      <c r="G839" s="46"/>
      <c r="H839" s="46"/>
      <c r="I839" s="46"/>
      <c r="J839" s="46"/>
      <c r="K839" s="128"/>
      <c r="L839" s="46"/>
      <c r="M839" s="46"/>
      <c r="N839" s="46"/>
      <c r="O839" s="46"/>
      <c r="P839" s="128"/>
      <c r="Q839" s="46"/>
      <c r="R839" s="46"/>
      <c r="S839" s="46"/>
      <c r="T839" s="131"/>
    </row>
    <row r="840" spans="1:20" x14ac:dyDescent="0.3">
      <c r="A840" s="128"/>
      <c r="B840" s="46"/>
      <c r="C840" s="46"/>
      <c r="D840" s="46"/>
      <c r="E840" s="46"/>
      <c r="F840" s="128"/>
      <c r="G840" s="46"/>
      <c r="H840" s="46"/>
      <c r="I840" s="46"/>
      <c r="J840" s="46"/>
      <c r="K840" s="128"/>
      <c r="L840" s="46"/>
      <c r="M840" s="46"/>
      <c r="N840" s="46"/>
      <c r="O840" s="46"/>
      <c r="P840" s="128"/>
      <c r="Q840" s="46"/>
      <c r="R840" s="46"/>
      <c r="S840" s="46"/>
      <c r="T840" s="131"/>
    </row>
    <row r="841" spans="1:20" x14ac:dyDescent="0.3">
      <c r="A841" s="128"/>
      <c r="B841" s="46"/>
      <c r="C841" s="46"/>
      <c r="D841" s="46"/>
      <c r="E841" s="46"/>
      <c r="F841" s="128"/>
      <c r="G841" s="46"/>
      <c r="H841" s="46"/>
      <c r="I841" s="46"/>
      <c r="J841" s="46"/>
      <c r="K841" s="128"/>
      <c r="L841" s="46"/>
      <c r="M841" s="46"/>
      <c r="N841" s="46"/>
      <c r="O841" s="46"/>
      <c r="P841" s="128"/>
      <c r="Q841" s="46"/>
      <c r="R841" s="46"/>
      <c r="S841" s="46"/>
      <c r="T841" s="131"/>
    </row>
    <row r="842" spans="1:20" x14ac:dyDescent="0.3">
      <c r="A842" s="128"/>
      <c r="B842" s="46"/>
      <c r="C842" s="46"/>
      <c r="D842" s="46"/>
      <c r="E842" s="46"/>
      <c r="F842" s="128"/>
      <c r="G842" s="46"/>
      <c r="H842" s="46"/>
      <c r="I842" s="46"/>
      <c r="J842" s="46"/>
      <c r="K842" s="128"/>
      <c r="L842" s="46"/>
      <c r="M842" s="46"/>
      <c r="N842" s="46"/>
      <c r="O842" s="46"/>
      <c r="P842" s="128"/>
      <c r="Q842" s="46"/>
      <c r="R842" s="46"/>
      <c r="S842" s="46"/>
      <c r="T842" s="131"/>
    </row>
    <row r="843" spans="1:20" x14ac:dyDescent="0.3">
      <c r="A843" s="128"/>
      <c r="B843" s="46"/>
      <c r="C843" s="46"/>
      <c r="D843" s="46"/>
      <c r="E843" s="46"/>
      <c r="F843" s="128"/>
      <c r="G843" s="46"/>
      <c r="H843" s="46"/>
      <c r="I843" s="46"/>
      <c r="J843" s="46"/>
      <c r="K843" s="128"/>
      <c r="L843" s="46"/>
      <c r="M843" s="46"/>
      <c r="N843" s="46"/>
      <c r="O843" s="46"/>
      <c r="P843" s="128"/>
      <c r="Q843" s="46"/>
      <c r="R843" s="46"/>
      <c r="S843" s="46"/>
      <c r="T843" s="131"/>
    </row>
    <row r="844" spans="1:20" x14ac:dyDescent="0.3">
      <c r="A844" s="128"/>
      <c r="B844" s="46"/>
      <c r="C844" s="46"/>
      <c r="D844" s="46"/>
      <c r="E844" s="46"/>
      <c r="F844" s="128"/>
      <c r="G844" s="46"/>
      <c r="H844" s="46"/>
      <c r="I844" s="46"/>
      <c r="J844" s="46"/>
      <c r="K844" s="128"/>
      <c r="L844" s="46"/>
      <c r="M844" s="46"/>
      <c r="N844" s="46"/>
      <c r="O844" s="46"/>
      <c r="P844" s="128"/>
      <c r="Q844" s="46"/>
      <c r="R844" s="46"/>
      <c r="S844" s="46"/>
      <c r="T844" s="131"/>
    </row>
    <row r="845" spans="1:20" x14ac:dyDescent="0.3">
      <c r="A845" s="128"/>
      <c r="B845" s="46"/>
      <c r="C845" s="46"/>
      <c r="D845" s="46"/>
      <c r="E845" s="46"/>
      <c r="F845" s="128"/>
      <c r="G845" s="46"/>
      <c r="H845" s="46"/>
      <c r="I845" s="46"/>
      <c r="J845" s="46"/>
      <c r="K845" s="128"/>
      <c r="L845" s="46"/>
      <c r="M845" s="46"/>
      <c r="N845" s="46"/>
      <c r="O845" s="46"/>
      <c r="P845" s="128"/>
      <c r="Q845" s="46"/>
      <c r="R845" s="46"/>
      <c r="S845" s="46"/>
      <c r="T845" s="131"/>
    </row>
    <row r="846" spans="1:20" x14ac:dyDescent="0.3">
      <c r="A846" s="128"/>
      <c r="B846" s="46"/>
      <c r="C846" s="46"/>
      <c r="D846" s="46"/>
      <c r="E846" s="46"/>
      <c r="F846" s="128"/>
      <c r="G846" s="46"/>
      <c r="H846" s="46"/>
      <c r="I846" s="46"/>
      <c r="J846" s="46"/>
      <c r="K846" s="128"/>
      <c r="L846" s="46"/>
      <c r="M846" s="46"/>
      <c r="N846" s="46"/>
      <c r="O846" s="46"/>
      <c r="P846" s="128"/>
      <c r="Q846" s="46"/>
      <c r="R846" s="46"/>
      <c r="S846" s="46"/>
      <c r="T846" s="131"/>
    </row>
    <row r="847" spans="1:20" x14ac:dyDescent="0.3">
      <c r="A847" s="128"/>
      <c r="B847" s="46"/>
      <c r="C847" s="46"/>
      <c r="D847" s="46"/>
      <c r="E847" s="46"/>
      <c r="F847" s="128"/>
      <c r="G847" s="46"/>
      <c r="H847" s="46"/>
      <c r="I847" s="46"/>
      <c r="J847" s="46"/>
      <c r="K847" s="128"/>
      <c r="L847" s="46"/>
      <c r="M847" s="46"/>
      <c r="N847" s="46"/>
      <c r="O847" s="46"/>
      <c r="P847" s="128"/>
      <c r="Q847" s="46"/>
      <c r="R847" s="46"/>
      <c r="S847" s="46"/>
      <c r="T847" s="131"/>
    </row>
    <row r="848" spans="1:20" x14ac:dyDescent="0.3">
      <c r="A848" s="128"/>
      <c r="B848" s="46"/>
      <c r="C848" s="46"/>
      <c r="D848" s="46"/>
      <c r="E848" s="46"/>
      <c r="F848" s="128"/>
      <c r="G848" s="46"/>
      <c r="H848" s="46"/>
      <c r="I848" s="46"/>
      <c r="J848" s="46"/>
      <c r="K848" s="128"/>
      <c r="L848" s="46"/>
      <c r="M848" s="46"/>
      <c r="N848" s="46"/>
      <c r="O848" s="46"/>
      <c r="P848" s="128"/>
      <c r="Q848" s="46"/>
      <c r="R848" s="46"/>
      <c r="S848" s="46"/>
      <c r="T848" s="131"/>
    </row>
    <row r="849" spans="1:20" x14ac:dyDescent="0.3">
      <c r="A849" s="128"/>
      <c r="B849" s="46"/>
      <c r="C849" s="46"/>
      <c r="D849" s="46"/>
      <c r="E849" s="46"/>
      <c r="F849" s="128"/>
      <c r="G849" s="46"/>
      <c r="H849" s="46"/>
      <c r="I849" s="46"/>
      <c r="J849" s="46"/>
      <c r="K849" s="128"/>
      <c r="L849" s="46"/>
      <c r="M849" s="46"/>
      <c r="N849" s="46"/>
      <c r="O849" s="46"/>
      <c r="P849" s="128"/>
      <c r="Q849" s="46"/>
      <c r="R849" s="46"/>
      <c r="S849" s="46"/>
      <c r="T849" s="131"/>
    </row>
    <row r="850" spans="1:20" x14ac:dyDescent="0.3">
      <c r="A850" s="128"/>
      <c r="B850" s="46"/>
      <c r="C850" s="46"/>
      <c r="D850" s="46"/>
      <c r="E850" s="46"/>
      <c r="F850" s="128"/>
      <c r="G850" s="46"/>
      <c r="H850" s="46"/>
      <c r="I850" s="46"/>
      <c r="J850" s="46"/>
      <c r="K850" s="128"/>
      <c r="L850" s="46"/>
      <c r="M850" s="46"/>
      <c r="N850" s="46"/>
      <c r="O850" s="46"/>
      <c r="P850" s="128"/>
      <c r="Q850" s="46"/>
      <c r="R850" s="46"/>
      <c r="S850" s="46"/>
      <c r="T850" s="131"/>
    </row>
    <row r="851" spans="1:20" x14ac:dyDescent="0.3">
      <c r="A851" s="128"/>
      <c r="B851" s="46"/>
      <c r="C851" s="46"/>
      <c r="D851" s="46"/>
      <c r="E851" s="46"/>
      <c r="F851" s="128"/>
      <c r="G851" s="46"/>
      <c r="H851" s="46"/>
      <c r="I851" s="46"/>
      <c r="J851" s="46"/>
      <c r="K851" s="128"/>
      <c r="L851" s="46"/>
      <c r="M851" s="46"/>
      <c r="N851" s="46"/>
      <c r="O851" s="46"/>
      <c r="P851" s="128"/>
      <c r="Q851" s="46"/>
      <c r="R851" s="46"/>
      <c r="S851" s="46"/>
      <c r="T851" s="131"/>
    </row>
    <row r="852" spans="1:20" x14ac:dyDescent="0.3">
      <c r="A852" s="128"/>
      <c r="B852" s="46"/>
      <c r="C852" s="46"/>
      <c r="D852" s="46"/>
      <c r="E852" s="46"/>
      <c r="F852" s="128"/>
      <c r="G852" s="46"/>
      <c r="H852" s="46"/>
      <c r="I852" s="46"/>
      <c r="J852" s="46"/>
      <c r="K852" s="128"/>
      <c r="L852" s="46"/>
      <c r="M852" s="46"/>
      <c r="N852" s="46"/>
      <c r="O852" s="46"/>
      <c r="P852" s="128"/>
      <c r="Q852" s="46"/>
      <c r="R852" s="46"/>
      <c r="S852" s="46"/>
      <c r="T852" s="131"/>
    </row>
    <row r="853" spans="1:20" x14ac:dyDescent="0.3">
      <c r="A853" s="128"/>
      <c r="B853" s="46"/>
      <c r="C853" s="46"/>
      <c r="D853" s="46"/>
      <c r="E853" s="46"/>
      <c r="F853" s="128"/>
      <c r="G853" s="46"/>
      <c r="H853" s="46"/>
      <c r="I853" s="46"/>
      <c r="J853" s="46"/>
      <c r="K853" s="128"/>
      <c r="L853" s="46"/>
      <c r="M853" s="46"/>
      <c r="N853" s="46"/>
      <c r="O853" s="46"/>
      <c r="P853" s="128"/>
      <c r="Q853" s="46"/>
      <c r="R853" s="46"/>
      <c r="S853" s="46"/>
      <c r="T853" s="131"/>
    </row>
    <row r="854" spans="1:20" x14ac:dyDescent="0.3">
      <c r="A854" s="128"/>
      <c r="B854" s="46"/>
      <c r="C854" s="46"/>
      <c r="D854" s="46"/>
      <c r="E854" s="46"/>
      <c r="F854" s="128"/>
      <c r="G854" s="46"/>
      <c r="H854" s="46"/>
      <c r="I854" s="46"/>
      <c r="J854" s="46"/>
      <c r="K854" s="128"/>
      <c r="L854" s="46"/>
      <c r="M854" s="46"/>
      <c r="N854" s="46"/>
      <c r="O854" s="46"/>
      <c r="P854" s="128"/>
      <c r="Q854" s="46"/>
      <c r="R854" s="46"/>
      <c r="S854" s="46"/>
      <c r="T854" s="131"/>
    </row>
    <row r="855" spans="1:20" x14ac:dyDescent="0.3">
      <c r="A855" s="128"/>
      <c r="B855" s="46"/>
      <c r="C855" s="46"/>
      <c r="D855" s="46"/>
      <c r="E855" s="46"/>
      <c r="F855" s="128"/>
      <c r="G855" s="46"/>
      <c r="H855" s="46"/>
      <c r="I855" s="46"/>
      <c r="J855" s="46"/>
      <c r="K855" s="128"/>
      <c r="L855" s="46"/>
      <c r="M855" s="46"/>
      <c r="N855" s="46"/>
      <c r="O855" s="46"/>
      <c r="P855" s="128"/>
      <c r="Q855" s="46"/>
      <c r="R855" s="46"/>
      <c r="S855" s="46"/>
      <c r="T855" s="131"/>
    </row>
    <row r="856" spans="1:20" x14ac:dyDescent="0.3">
      <c r="A856" s="128"/>
      <c r="B856" s="46"/>
      <c r="C856" s="46"/>
      <c r="D856" s="46"/>
      <c r="E856" s="46"/>
      <c r="F856" s="128"/>
      <c r="G856" s="46"/>
      <c r="H856" s="46"/>
      <c r="I856" s="46"/>
      <c r="J856" s="46"/>
      <c r="K856" s="128"/>
      <c r="L856" s="46"/>
      <c r="M856" s="46"/>
      <c r="N856" s="46"/>
      <c r="O856" s="46"/>
      <c r="P856" s="128"/>
      <c r="Q856" s="46"/>
      <c r="R856" s="46"/>
      <c r="S856" s="46"/>
      <c r="T856" s="131"/>
    </row>
    <row r="857" spans="1:20" x14ac:dyDescent="0.3">
      <c r="A857" s="128"/>
      <c r="B857" s="46"/>
      <c r="C857" s="46"/>
      <c r="D857" s="46"/>
      <c r="E857" s="46"/>
      <c r="F857" s="128"/>
      <c r="G857" s="46"/>
      <c r="H857" s="46"/>
      <c r="I857" s="46"/>
      <c r="J857" s="46"/>
      <c r="K857" s="128"/>
      <c r="L857" s="46"/>
      <c r="M857" s="46"/>
      <c r="N857" s="46"/>
      <c r="O857" s="46"/>
      <c r="P857" s="128"/>
      <c r="Q857" s="46"/>
      <c r="R857" s="46"/>
      <c r="S857" s="46"/>
      <c r="T857" s="131"/>
    </row>
    <row r="858" spans="1:20" x14ac:dyDescent="0.3">
      <c r="A858" s="128"/>
      <c r="B858" s="46"/>
      <c r="C858" s="46"/>
      <c r="D858" s="46"/>
      <c r="E858" s="46"/>
      <c r="F858" s="128"/>
      <c r="G858" s="46"/>
      <c r="H858" s="46"/>
      <c r="I858" s="46"/>
      <c r="J858" s="46"/>
      <c r="K858" s="128"/>
      <c r="L858" s="46"/>
      <c r="M858" s="46"/>
      <c r="N858" s="46"/>
      <c r="O858" s="46"/>
      <c r="P858" s="128"/>
      <c r="Q858" s="46"/>
      <c r="R858" s="46"/>
      <c r="S858" s="46"/>
      <c r="T858" s="131"/>
    </row>
    <row r="859" spans="1:20" x14ac:dyDescent="0.3">
      <c r="A859" s="128"/>
      <c r="B859" s="46"/>
      <c r="C859" s="46"/>
      <c r="D859" s="46"/>
      <c r="E859" s="46"/>
      <c r="F859" s="128"/>
      <c r="G859" s="46"/>
      <c r="H859" s="46"/>
      <c r="I859" s="46"/>
      <c r="J859" s="46"/>
      <c r="K859" s="128"/>
      <c r="L859" s="46"/>
      <c r="M859" s="46"/>
      <c r="N859" s="46"/>
      <c r="O859" s="46"/>
      <c r="P859" s="128"/>
      <c r="Q859" s="46"/>
      <c r="R859" s="46"/>
      <c r="S859" s="46"/>
      <c r="T859" s="131"/>
    </row>
    <row r="860" spans="1:20" x14ac:dyDescent="0.3">
      <c r="A860" s="128"/>
      <c r="B860" s="46"/>
      <c r="C860" s="46"/>
      <c r="D860" s="46"/>
      <c r="E860" s="46"/>
      <c r="F860" s="128"/>
      <c r="G860" s="46"/>
      <c r="H860" s="46"/>
      <c r="I860" s="46"/>
      <c r="J860" s="46"/>
      <c r="K860" s="128"/>
      <c r="L860" s="46"/>
      <c r="M860" s="46"/>
      <c r="N860" s="46"/>
      <c r="O860" s="46"/>
      <c r="P860" s="128"/>
      <c r="Q860" s="46"/>
      <c r="R860" s="46"/>
      <c r="S860" s="46"/>
      <c r="T860" s="131"/>
    </row>
    <row r="861" spans="1:20" x14ac:dyDescent="0.3">
      <c r="A861" s="128"/>
      <c r="B861" s="46"/>
      <c r="C861" s="46"/>
      <c r="D861" s="46"/>
      <c r="E861" s="46"/>
      <c r="F861" s="128"/>
      <c r="G861" s="46"/>
      <c r="H861" s="46"/>
      <c r="I861" s="46"/>
      <c r="J861" s="46"/>
      <c r="K861" s="128"/>
      <c r="L861" s="46"/>
      <c r="M861" s="46"/>
      <c r="N861" s="46"/>
      <c r="O861" s="46"/>
      <c r="P861" s="128"/>
      <c r="Q861" s="46"/>
      <c r="R861" s="46"/>
      <c r="S861" s="46"/>
      <c r="T861" s="131"/>
    </row>
    <row r="862" spans="1:20" x14ac:dyDescent="0.3">
      <c r="A862" s="128"/>
      <c r="B862" s="46"/>
      <c r="C862" s="46"/>
      <c r="D862" s="46"/>
      <c r="E862" s="46"/>
      <c r="F862" s="128"/>
      <c r="G862" s="46"/>
      <c r="H862" s="46"/>
      <c r="I862" s="46"/>
      <c r="J862" s="46"/>
      <c r="K862" s="128"/>
      <c r="L862" s="46"/>
      <c r="M862" s="46"/>
      <c r="N862" s="46"/>
      <c r="O862" s="46"/>
      <c r="P862" s="128"/>
      <c r="Q862" s="46"/>
      <c r="R862" s="46"/>
      <c r="S862" s="46"/>
      <c r="T862" s="131"/>
    </row>
    <row r="863" spans="1:20" x14ac:dyDescent="0.3">
      <c r="A863" s="128"/>
      <c r="B863" s="46"/>
      <c r="C863" s="46"/>
      <c r="D863" s="46"/>
      <c r="E863" s="46"/>
      <c r="F863" s="128"/>
      <c r="G863" s="46"/>
      <c r="H863" s="46"/>
      <c r="I863" s="46"/>
      <c r="J863" s="46"/>
      <c r="K863" s="128"/>
      <c r="L863" s="46"/>
      <c r="M863" s="46"/>
      <c r="N863" s="46"/>
      <c r="O863" s="46"/>
      <c r="P863" s="128"/>
      <c r="Q863" s="46"/>
      <c r="R863" s="46"/>
      <c r="S863" s="46"/>
      <c r="T863" s="131"/>
    </row>
    <row r="864" spans="1:20" x14ac:dyDescent="0.3">
      <c r="A864" s="128"/>
      <c r="B864" s="46"/>
      <c r="C864" s="46"/>
      <c r="D864" s="46"/>
      <c r="E864" s="46"/>
      <c r="F864" s="128"/>
      <c r="G864" s="46"/>
      <c r="H864" s="46"/>
      <c r="I864" s="46"/>
      <c r="J864" s="46"/>
      <c r="K864" s="128"/>
      <c r="L864" s="46"/>
      <c r="M864" s="46"/>
      <c r="N864" s="46"/>
      <c r="O864" s="46"/>
      <c r="P864" s="128"/>
      <c r="Q864" s="46"/>
      <c r="R864" s="46"/>
      <c r="S864" s="46"/>
      <c r="T864" s="131"/>
    </row>
    <row r="865" spans="1:20" x14ac:dyDescent="0.3">
      <c r="A865" s="128"/>
      <c r="B865" s="46"/>
      <c r="C865" s="46"/>
      <c r="D865" s="46"/>
      <c r="E865" s="46"/>
      <c r="F865" s="128"/>
      <c r="G865" s="46"/>
      <c r="H865" s="46"/>
      <c r="I865" s="46"/>
      <c r="J865" s="46"/>
      <c r="K865" s="128"/>
      <c r="L865" s="46"/>
      <c r="M865" s="46"/>
      <c r="N865" s="46"/>
      <c r="O865" s="46"/>
      <c r="P865" s="128"/>
      <c r="Q865" s="46"/>
      <c r="R865" s="46"/>
      <c r="S865" s="46"/>
      <c r="T865" s="131"/>
    </row>
    <row r="866" spans="1:20" x14ac:dyDescent="0.3">
      <c r="A866" s="128"/>
      <c r="B866" s="46"/>
      <c r="C866" s="46"/>
      <c r="D866" s="46"/>
      <c r="E866" s="46"/>
      <c r="F866" s="128"/>
      <c r="G866" s="46"/>
      <c r="H866" s="46"/>
      <c r="I866" s="46"/>
      <c r="J866" s="46"/>
      <c r="K866" s="128"/>
      <c r="L866" s="46"/>
      <c r="M866" s="46"/>
      <c r="N866" s="46"/>
      <c r="O866" s="46"/>
      <c r="P866" s="128"/>
      <c r="Q866" s="46"/>
      <c r="R866" s="46"/>
      <c r="S866" s="46"/>
      <c r="T866" s="131"/>
    </row>
    <row r="867" spans="1:20" x14ac:dyDescent="0.3">
      <c r="A867" s="128"/>
      <c r="B867" s="46"/>
      <c r="C867" s="46"/>
      <c r="D867" s="46"/>
      <c r="E867" s="46"/>
      <c r="F867" s="128"/>
      <c r="G867" s="46"/>
      <c r="H867" s="46"/>
      <c r="I867" s="46"/>
      <c r="J867" s="46"/>
      <c r="K867" s="128"/>
      <c r="L867" s="46"/>
      <c r="M867" s="46"/>
      <c r="N867" s="46"/>
      <c r="O867" s="46"/>
      <c r="P867" s="128"/>
      <c r="Q867" s="46"/>
      <c r="R867" s="46"/>
      <c r="S867" s="46"/>
      <c r="T867" s="131"/>
    </row>
    <row r="868" spans="1:20" x14ac:dyDescent="0.3">
      <c r="A868" s="128"/>
      <c r="B868" s="46"/>
      <c r="C868" s="46"/>
      <c r="D868" s="46"/>
      <c r="E868" s="46"/>
      <c r="F868" s="128"/>
      <c r="G868" s="46"/>
      <c r="H868" s="46"/>
      <c r="I868" s="46"/>
      <c r="J868" s="46"/>
      <c r="K868" s="128"/>
      <c r="L868" s="46"/>
      <c r="M868" s="46"/>
      <c r="N868" s="46"/>
      <c r="O868" s="46"/>
      <c r="P868" s="128"/>
      <c r="Q868" s="46"/>
      <c r="R868" s="46"/>
      <c r="S868" s="46"/>
      <c r="T868" s="131"/>
    </row>
    <row r="869" spans="1:20" x14ac:dyDescent="0.3">
      <c r="A869" s="128"/>
      <c r="B869" s="46"/>
      <c r="C869" s="46"/>
      <c r="D869" s="46"/>
      <c r="E869" s="46"/>
      <c r="F869" s="128"/>
      <c r="G869" s="46"/>
      <c r="H869" s="46"/>
      <c r="I869" s="46"/>
      <c r="J869" s="46"/>
      <c r="K869" s="128"/>
      <c r="L869" s="46"/>
      <c r="M869" s="46"/>
      <c r="N869" s="46"/>
      <c r="O869" s="46"/>
      <c r="P869" s="128"/>
      <c r="Q869" s="46"/>
      <c r="R869" s="46"/>
      <c r="S869" s="46"/>
      <c r="T869" s="131"/>
    </row>
    <row r="870" spans="1:20" x14ac:dyDescent="0.3">
      <c r="A870" s="128"/>
      <c r="B870" s="46"/>
      <c r="C870" s="46"/>
      <c r="D870" s="46"/>
      <c r="E870" s="46"/>
      <c r="F870" s="128"/>
      <c r="G870" s="46"/>
      <c r="H870" s="46"/>
      <c r="I870" s="46"/>
      <c r="J870" s="46"/>
      <c r="K870" s="128"/>
      <c r="L870" s="46"/>
      <c r="M870" s="46"/>
      <c r="N870" s="46"/>
      <c r="O870" s="46"/>
      <c r="P870" s="128"/>
      <c r="Q870" s="46"/>
      <c r="R870" s="46"/>
      <c r="S870" s="46"/>
      <c r="T870" s="131"/>
    </row>
    <row r="871" spans="1:20" x14ac:dyDescent="0.3">
      <c r="A871" s="128"/>
      <c r="B871" s="46"/>
      <c r="C871" s="46"/>
      <c r="D871" s="46"/>
      <c r="E871" s="46"/>
      <c r="F871" s="128"/>
      <c r="G871" s="46"/>
      <c r="H871" s="46"/>
      <c r="I871" s="46"/>
      <c r="J871" s="46"/>
      <c r="K871" s="128"/>
      <c r="L871" s="46"/>
      <c r="M871" s="46"/>
      <c r="N871" s="46"/>
      <c r="O871" s="46"/>
      <c r="P871" s="128"/>
      <c r="Q871" s="46"/>
      <c r="R871" s="46"/>
      <c r="S871" s="46"/>
      <c r="T871" s="131"/>
    </row>
    <row r="872" spans="1:20" x14ac:dyDescent="0.3">
      <c r="A872" s="128"/>
      <c r="B872" s="46"/>
      <c r="C872" s="46"/>
      <c r="D872" s="46"/>
      <c r="E872" s="46"/>
      <c r="F872" s="128"/>
      <c r="G872" s="46"/>
      <c r="H872" s="46"/>
      <c r="I872" s="46"/>
      <c r="J872" s="46"/>
      <c r="K872" s="128"/>
      <c r="L872" s="46"/>
      <c r="M872" s="46"/>
      <c r="N872" s="46"/>
      <c r="O872" s="46"/>
      <c r="P872" s="128"/>
      <c r="Q872" s="46"/>
      <c r="R872" s="46"/>
      <c r="S872" s="46"/>
      <c r="T872" s="131"/>
    </row>
    <row r="873" spans="1:20" x14ac:dyDescent="0.3">
      <c r="A873" s="128"/>
      <c r="B873" s="46"/>
      <c r="C873" s="46"/>
      <c r="D873" s="46"/>
      <c r="E873" s="46"/>
      <c r="F873" s="128"/>
      <c r="G873" s="46"/>
      <c r="H873" s="46"/>
      <c r="I873" s="46"/>
      <c r="J873" s="46"/>
      <c r="K873" s="128"/>
      <c r="L873" s="46"/>
      <c r="M873" s="46"/>
      <c r="N873" s="46"/>
      <c r="O873" s="46"/>
      <c r="P873" s="128"/>
      <c r="Q873" s="46"/>
      <c r="R873" s="46"/>
      <c r="S873" s="46"/>
      <c r="T873" s="131"/>
    </row>
    <row r="874" spans="1:20" x14ac:dyDescent="0.3">
      <c r="A874" s="128"/>
      <c r="B874" s="46"/>
      <c r="C874" s="46"/>
      <c r="D874" s="46"/>
      <c r="E874" s="46"/>
      <c r="F874" s="128"/>
      <c r="G874" s="46"/>
      <c r="H874" s="46"/>
      <c r="I874" s="46"/>
      <c r="J874" s="46"/>
      <c r="K874" s="128"/>
      <c r="L874" s="46"/>
      <c r="M874" s="46"/>
      <c r="N874" s="46"/>
      <c r="O874" s="46"/>
      <c r="P874" s="128"/>
      <c r="Q874" s="46"/>
      <c r="R874" s="46"/>
      <c r="S874" s="46"/>
      <c r="T874" s="131"/>
    </row>
    <row r="875" spans="1:20" x14ac:dyDescent="0.3">
      <c r="A875" s="128"/>
      <c r="B875" s="46"/>
      <c r="C875" s="46"/>
      <c r="D875" s="46"/>
      <c r="E875" s="46"/>
      <c r="F875" s="128"/>
      <c r="G875" s="46"/>
      <c r="H875" s="46"/>
      <c r="I875" s="46"/>
      <c r="J875" s="46"/>
      <c r="K875" s="128"/>
      <c r="L875" s="46"/>
      <c r="M875" s="46"/>
      <c r="N875" s="46"/>
      <c r="O875" s="46"/>
      <c r="P875" s="128"/>
      <c r="Q875" s="46"/>
      <c r="R875" s="46"/>
      <c r="S875" s="46"/>
      <c r="T875" s="131"/>
    </row>
    <row r="876" spans="1:20" x14ac:dyDescent="0.3">
      <c r="A876" s="128"/>
      <c r="B876" s="46"/>
      <c r="C876" s="46"/>
      <c r="D876" s="46"/>
      <c r="E876" s="46"/>
      <c r="F876" s="128"/>
      <c r="G876" s="46"/>
      <c r="H876" s="46"/>
      <c r="I876" s="46"/>
      <c r="J876" s="46"/>
      <c r="K876" s="128"/>
      <c r="L876" s="46"/>
      <c r="M876" s="46"/>
      <c r="N876" s="46"/>
      <c r="O876" s="46"/>
      <c r="P876" s="128"/>
      <c r="Q876" s="46"/>
      <c r="R876" s="46"/>
      <c r="S876" s="46"/>
      <c r="T876" s="131"/>
    </row>
    <row r="877" spans="1:20" x14ac:dyDescent="0.3">
      <c r="A877" s="128"/>
      <c r="B877" s="46"/>
      <c r="C877" s="46"/>
      <c r="D877" s="46"/>
      <c r="E877" s="46"/>
      <c r="F877" s="128"/>
      <c r="G877" s="46"/>
      <c r="H877" s="46"/>
      <c r="I877" s="46"/>
      <c r="J877" s="46"/>
      <c r="K877" s="128"/>
      <c r="L877" s="46"/>
      <c r="M877" s="46"/>
      <c r="N877" s="46"/>
      <c r="O877" s="46"/>
      <c r="P877" s="128"/>
      <c r="Q877" s="46"/>
      <c r="R877" s="46"/>
      <c r="S877" s="46"/>
      <c r="T877" s="131"/>
    </row>
    <row r="878" spans="1:20" x14ac:dyDescent="0.3">
      <c r="A878" s="128"/>
      <c r="B878" s="46"/>
      <c r="C878" s="46"/>
      <c r="D878" s="46"/>
      <c r="E878" s="46"/>
      <c r="F878" s="128"/>
      <c r="G878" s="46"/>
      <c r="H878" s="46"/>
      <c r="I878" s="46"/>
      <c r="J878" s="46"/>
      <c r="K878" s="128"/>
      <c r="L878" s="46"/>
      <c r="M878" s="46"/>
      <c r="N878" s="46"/>
      <c r="O878" s="46"/>
      <c r="P878" s="128"/>
      <c r="Q878" s="46"/>
      <c r="R878" s="46"/>
      <c r="S878" s="46"/>
      <c r="T878" s="131"/>
    </row>
    <row r="879" spans="1:20" x14ac:dyDescent="0.3">
      <c r="A879" s="128"/>
      <c r="B879" s="46"/>
      <c r="C879" s="46"/>
      <c r="D879" s="46"/>
      <c r="E879" s="46"/>
      <c r="F879" s="128"/>
      <c r="G879" s="46"/>
      <c r="H879" s="46"/>
      <c r="I879" s="46"/>
      <c r="J879" s="46"/>
      <c r="K879" s="128"/>
      <c r="L879" s="46"/>
      <c r="M879" s="46"/>
      <c r="N879" s="46"/>
      <c r="O879" s="46"/>
      <c r="P879" s="128"/>
      <c r="Q879" s="46"/>
      <c r="R879" s="46"/>
      <c r="S879" s="46"/>
      <c r="T879" s="131"/>
    </row>
    <row r="880" spans="1:20" x14ac:dyDescent="0.3">
      <c r="A880" s="128"/>
      <c r="B880" s="46"/>
      <c r="C880" s="46"/>
      <c r="D880" s="46"/>
      <c r="E880" s="46"/>
      <c r="F880" s="128"/>
      <c r="G880" s="46"/>
      <c r="H880" s="46"/>
      <c r="I880" s="46"/>
      <c r="J880" s="46"/>
      <c r="K880" s="128"/>
      <c r="L880" s="46"/>
      <c r="M880" s="46"/>
      <c r="N880" s="46"/>
      <c r="O880" s="46"/>
      <c r="P880" s="128"/>
      <c r="Q880" s="46"/>
      <c r="R880" s="46"/>
      <c r="S880" s="46"/>
      <c r="T880" s="131"/>
    </row>
    <row r="881" spans="1:20" x14ac:dyDescent="0.3">
      <c r="A881" s="128"/>
      <c r="B881" s="46"/>
      <c r="C881" s="46"/>
      <c r="D881" s="46"/>
      <c r="E881" s="46"/>
      <c r="F881" s="128"/>
      <c r="G881" s="46"/>
      <c r="H881" s="46"/>
      <c r="I881" s="46"/>
      <c r="J881" s="46"/>
      <c r="K881" s="128"/>
      <c r="L881" s="46"/>
      <c r="M881" s="46"/>
      <c r="N881" s="46"/>
      <c r="O881" s="46"/>
      <c r="P881" s="128"/>
      <c r="Q881" s="46"/>
      <c r="R881" s="46"/>
      <c r="S881" s="46"/>
      <c r="T881" s="131"/>
    </row>
    <row r="882" spans="1:20" x14ac:dyDescent="0.3">
      <c r="A882" s="128"/>
      <c r="B882" s="46"/>
      <c r="C882" s="46"/>
      <c r="D882" s="46"/>
      <c r="E882" s="46"/>
      <c r="F882" s="128"/>
      <c r="G882" s="46"/>
      <c r="H882" s="46"/>
      <c r="I882" s="46"/>
      <c r="J882" s="46"/>
      <c r="K882" s="128"/>
      <c r="L882" s="46"/>
      <c r="M882" s="46"/>
      <c r="N882" s="46"/>
      <c r="O882" s="46"/>
      <c r="P882" s="128"/>
      <c r="Q882" s="46"/>
      <c r="R882" s="46"/>
      <c r="S882" s="46"/>
      <c r="T882" s="131"/>
    </row>
    <row r="883" spans="1:20" x14ac:dyDescent="0.3">
      <c r="A883" s="128"/>
      <c r="B883" s="46"/>
      <c r="C883" s="46"/>
      <c r="D883" s="46"/>
      <c r="E883" s="46"/>
      <c r="F883" s="128"/>
      <c r="G883" s="46"/>
      <c r="H883" s="46"/>
      <c r="I883" s="46"/>
      <c r="J883" s="46"/>
      <c r="K883" s="128"/>
      <c r="L883" s="46"/>
      <c r="M883" s="46"/>
      <c r="N883" s="46"/>
      <c r="O883" s="46"/>
      <c r="P883" s="128"/>
      <c r="Q883" s="46"/>
      <c r="R883" s="46"/>
      <c r="S883" s="46"/>
      <c r="T883" s="131"/>
    </row>
    <row r="884" spans="1:20" x14ac:dyDescent="0.3">
      <c r="A884" s="128"/>
      <c r="B884" s="46"/>
      <c r="C884" s="46"/>
      <c r="D884" s="46"/>
      <c r="E884" s="46"/>
      <c r="F884" s="128"/>
      <c r="G884" s="46"/>
      <c r="H884" s="46"/>
      <c r="I884" s="46"/>
      <c r="J884" s="46"/>
      <c r="K884" s="128"/>
      <c r="L884" s="46"/>
      <c r="M884" s="46"/>
      <c r="N884" s="46"/>
      <c r="O884" s="46"/>
      <c r="P884" s="128"/>
      <c r="Q884" s="46"/>
      <c r="R884" s="46"/>
      <c r="S884" s="46"/>
      <c r="T884" s="131"/>
    </row>
    <row r="885" spans="1:20" x14ac:dyDescent="0.3">
      <c r="A885" s="128"/>
      <c r="B885" s="46"/>
      <c r="C885" s="46"/>
      <c r="D885" s="46"/>
      <c r="E885" s="46"/>
      <c r="F885" s="128"/>
      <c r="G885" s="46"/>
      <c r="H885" s="46"/>
      <c r="I885" s="46"/>
      <c r="J885" s="46"/>
      <c r="K885" s="128"/>
      <c r="L885" s="46"/>
      <c r="M885" s="46"/>
      <c r="N885" s="46"/>
      <c r="O885" s="46"/>
      <c r="P885" s="128"/>
      <c r="Q885" s="46"/>
      <c r="R885" s="46"/>
      <c r="S885" s="46"/>
      <c r="T885" s="131"/>
    </row>
    <row r="886" spans="1:20" x14ac:dyDescent="0.3">
      <c r="A886" s="128"/>
      <c r="B886" s="46"/>
      <c r="C886" s="46"/>
      <c r="D886" s="46"/>
      <c r="E886" s="46"/>
      <c r="F886" s="128"/>
      <c r="G886" s="46"/>
      <c r="H886" s="46"/>
      <c r="I886" s="46"/>
      <c r="J886" s="46"/>
      <c r="K886" s="128"/>
      <c r="L886" s="46"/>
      <c r="M886" s="46"/>
      <c r="N886" s="46"/>
      <c r="O886" s="46"/>
      <c r="P886" s="128"/>
      <c r="Q886" s="46"/>
      <c r="R886" s="46"/>
      <c r="S886" s="46"/>
      <c r="T886" s="131"/>
    </row>
    <row r="887" spans="1:20" x14ac:dyDescent="0.3">
      <c r="A887" s="128"/>
      <c r="B887" s="46"/>
      <c r="C887" s="46"/>
      <c r="D887" s="46"/>
      <c r="E887" s="46"/>
      <c r="F887" s="128"/>
      <c r="G887" s="46"/>
      <c r="H887" s="46"/>
      <c r="I887" s="46"/>
      <c r="J887" s="46"/>
      <c r="K887" s="128"/>
      <c r="L887" s="46"/>
      <c r="M887" s="46"/>
      <c r="N887" s="46"/>
      <c r="O887" s="46"/>
      <c r="P887" s="128"/>
      <c r="Q887" s="46"/>
      <c r="R887" s="46"/>
      <c r="S887" s="46"/>
      <c r="T887" s="131"/>
    </row>
    <row r="888" spans="1:20" x14ac:dyDescent="0.3">
      <c r="A888" s="128"/>
      <c r="B888" s="46"/>
      <c r="C888" s="46"/>
      <c r="D888" s="46"/>
      <c r="E888" s="46"/>
      <c r="F888" s="128"/>
      <c r="G888" s="46"/>
      <c r="H888" s="46"/>
      <c r="I888" s="46"/>
      <c r="J888" s="46"/>
      <c r="K888" s="128"/>
      <c r="L888" s="46"/>
      <c r="M888" s="46"/>
      <c r="N888" s="46"/>
      <c r="O888" s="46"/>
      <c r="P888" s="128"/>
      <c r="Q888" s="46"/>
      <c r="R888" s="46"/>
      <c r="S888" s="46"/>
      <c r="T888" s="131"/>
    </row>
    <row r="889" spans="1:20" x14ac:dyDescent="0.3">
      <c r="A889" s="128"/>
      <c r="B889" s="46"/>
      <c r="C889" s="46"/>
      <c r="D889" s="46"/>
      <c r="E889" s="46"/>
      <c r="F889" s="128"/>
      <c r="G889" s="46"/>
      <c r="H889" s="46"/>
      <c r="I889" s="46"/>
      <c r="J889" s="46"/>
      <c r="K889" s="128"/>
      <c r="L889" s="46"/>
      <c r="M889" s="46"/>
      <c r="N889" s="46"/>
      <c r="O889" s="46"/>
      <c r="P889" s="128"/>
      <c r="Q889" s="46"/>
      <c r="R889" s="46"/>
      <c r="S889" s="46"/>
      <c r="T889" s="131"/>
    </row>
    <row r="890" spans="1:20" x14ac:dyDescent="0.3">
      <c r="A890" s="128"/>
      <c r="B890" s="46"/>
      <c r="C890" s="46"/>
      <c r="D890" s="46"/>
      <c r="E890" s="46"/>
      <c r="F890" s="128"/>
      <c r="G890" s="46"/>
      <c r="H890" s="46"/>
      <c r="I890" s="46"/>
      <c r="J890" s="46"/>
      <c r="K890" s="128"/>
      <c r="L890" s="46"/>
      <c r="M890" s="46"/>
      <c r="N890" s="46"/>
      <c r="O890" s="46"/>
      <c r="P890" s="128"/>
      <c r="Q890" s="46"/>
      <c r="R890" s="46"/>
      <c r="S890" s="46"/>
      <c r="T890" s="131"/>
    </row>
    <row r="891" spans="1:20" x14ac:dyDescent="0.3">
      <c r="A891" s="128"/>
      <c r="B891" s="46"/>
      <c r="C891" s="46"/>
      <c r="D891" s="46"/>
      <c r="E891" s="46"/>
      <c r="F891" s="128"/>
      <c r="G891" s="46"/>
      <c r="H891" s="46"/>
      <c r="I891" s="46"/>
      <c r="J891" s="46"/>
      <c r="K891" s="128"/>
      <c r="L891" s="46"/>
      <c r="M891" s="46"/>
      <c r="N891" s="46"/>
      <c r="O891" s="46"/>
      <c r="P891" s="128"/>
      <c r="Q891" s="46"/>
      <c r="R891" s="46"/>
      <c r="S891" s="46"/>
      <c r="T891" s="131"/>
    </row>
    <row r="892" spans="1:20" x14ac:dyDescent="0.3">
      <c r="A892" s="128"/>
      <c r="B892" s="46"/>
      <c r="C892" s="46"/>
      <c r="D892" s="46"/>
      <c r="E892" s="46"/>
      <c r="F892" s="128"/>
      <c r="G892" s="46"/>
      <c r="H892" s="46"/>
      <c r="I892" s="46"/>
      <c r="J892" s="46"/>
      <c r="K892" s="128"/>
      <c r="L892" s="46"/>
      <c r="M892" s="46"/>
      <c r="N892" s="46"/>
      <c r="O892" s="46"/>
      <c r="P892" s="128"/>
      <c r="Q892" s="46"/>
      <c r="R892" s="46"/>
      <c r="S892" s="46"/>
      <c r="T892" s="131"/>
    </row>
    <row r="893" spans="1:20" x14ac:dyDescent="0.3">
      <c r="A893" s="128"/>
      <c r="B893" s="46"/>
      <c r="C893" s="46"/>
      <c r="D893" s="46"/>
      <c r="E893" s="46"/>
      <c r="F893" s="128"/>
      <c r="G893" s="46"/>
      <c r="H893" s="46"/>
      <c r="I893" s="46"/>
      <c r="J893" s="46"/>
      <c r="K893" s="128"/>
      <c r="L893" s="46"/>
      <c r="M893" s="46"/>
      <c r="N893" s="46"/>
      <c r="O893" s="46"/>
      <c r="P893" s="128"/>
      <c r="Q893" s="46"/>
      <c r="R893" s="46"/>
      <c r="S893" s="46"/>
      <c r="T893" s="131"/>
    </row>
    <row r="894" spans="1:20" x14ac:dyDescent="0.3">
      <c r="A894" s="128"/>
      <c r="B894" s="46"/>
      <c r="C894" s="46"/>
      <c r="D894" s="46"/>
      <c r="E894" s="46"/>
      <c r="F894" s="128"/>
      <c r="G894" s="46"/>
      <c r="H894" s="46"/>
      <c r="I894" s="46"/>
      <c r="J894" s="46"/>
      <c r="K894" s="128"/>
      <c r="L894" s="46"/>
      <c r="M894" s="46"/>
      <c r="N894" s="46"/>
      <c r="O894" s="46"/>
      <c r="P894" s="128"/>
      <c r="Q894" s="46"/>
      <c r="R894" s="46"/>
      <c r="S894" s="46"/>
      <c r="T894" s="131"/>
    </row>
    <row r="895" spans="1:20" x14ac:dyDescent="0.3">
      <c r="A895" s="128"/>
      <c r="B895" s="46"/>
      <c r="C895" s="46"/>
      <c r="D895" s="46"/>
      <c r="E895" s="46"/>
      <c r="F895" s="128"/>
      <c r="G895" s="46"/>
      <c r="H895" s="46"/>
      <c r="I895" s="46"/>
      <c r="J895" s="46"/>
      <c r="K895" s="128"/>
      <c r="L895" s="46"/>
      <c r="M895" s="46"/>
      <c r="N895" s="46"/>
      <c r="O895" s="46"/>
      <c r="P895" s="128"/>
      <c r="Q895" s="46"/>
      <c r="R895" s="46"/>
      <c r="S895" s="46"/>
      <c r="T895" s="131"/>
    </row>
    <row r="896" spans="1:20" x14ac:dyDescent="0.3">
      <c r="A896" s="128"/>
      <c r="B896" s="46"/>
      <c r="C896" s="46"/>
      <c r="D896" s="46"/>
      <c r="E896" s="46"/>
      <c r="F896" s="128"/>
      <c r="G896" s="46"/>
      <c r="H896" s="46"/>
      <c r="I896" s="46"/>
      <c r="J896" s="46"/>
      <c r="K896" s="128"/>
      <c r="L896" s="46"/>
      <c r="M896" s="46"/>
      <c r="N896" s="46"/>
      <c r="O896" s="46"/>
      <c r="P896" s="128"/>
      <c r="Q896" s="46"/>
      <c r="R896" s="46"/>
      <c r="S896" s="46"/>
      <c r="T896" s="131"/>
    </row>
    <row r="897" spans="1:20" x14ac:dyDescent="0.3">
      <c r="A897" s="128"/>
      <c r="B897" s="46"/>
      <c r="C897" s="46"/>
      <c r="D897" s="46"/>
      <c r="E897" s="46"/>
      <c r="F897" s="128"/>
      <c r="G897" s="46"/>
      <c r="H897" s="46"/>
      <c r="I897" s="46"/>
      <c r="J897" s="46"/>
      <c r="K897" s="128"/>
      <c r="L897" s="46"/>
      <c r="M897" s="46"/>
      <c r="N897" s="46"/>
      <c r="O897" s="46"/>
      <c r="P897" s="128"/>
      <c r="Q897" s="46"/>
      <c r="R897" s="46"/>
      <c r="S897" s="46"/>
      <c r="T897" s="131"/>
    </row>
    <row r="898" spans="1:20" x14ac:dyDescent="0.3">
      <c r="A898" s="128"/>
      <c r="B898" s="46"/>
      <c r="C898" s="46"/>
      <c r="D898" s="46"/>
      <c r="E898" s="46"/>
      <c r="F898" s="128"/>
      <c r="G898" s="46"/>
      <c r="H898" s="46"/>
      <c r="I898" s="46"/>
      <c r="J898" s="46"/>
      <c r="K898" s="128"/>
      <c r="L898" s="46"/>
      <c r="M898" s="46"/>
      <c r="N898" s="46"/>
      <c r="O898" s="46"/>
      <c r="P898" s="128"/>
      <c r="Q898" s="46"/>
      <c r="R898" s="46"/>
      <c r="S898" s="46"/>
      <c r="T898" s="131"/>
    </row>
    <row r="899" spans="1:20" x14ac:dyDescent="0.3">
      <c r="A899" s="128"/>
      <c r="B899" s="46"/>
      <c r="C899" s="46"/>
      <c r="D899" s="46"/>
      <c r="E899" s="46"/>
      <c r="F899" s="128"/>
      <c r="G899" s="46"/>
      <c r="H899" s="46"/>
      <c r="I899" s="46"/>
      <c r="J899" s="46"/>
      <c r="K899" s="128"/>
      <c r="L899" s="46"/>
      <c r="M899" s="46"/>
      <c r="N899" s="46"/>
      <c r="O899" s="46"/>
      <c r="P899" s="128"/>
      <c r="Q899" s="46"/>
      <c r="R899" s="46"/>
      <c r="S899" s="46"/>
      <c r="T899" s="131"/>
    </row>
    <row r="900" spans="1:20" x14ac:dyDescent="0.3">
      <c r="A900" s="128"/>
      <c r="B900" s="46"/>
      <c r="C900" s="46"/>
      <c r="D900" s="46"/>
      <c r="E900" s="46"/>
      <c r="F900" s="128"/>
      <c r="G900" s="46"/>
      <c r="H900" s="46"/>
      <c r="I900" s="46"/>
      <c r="J900" s="46"/>
      <c r="K900" s="128"/>
      <c r="L900" s="46"/>
      <c r="M900" s="46"/>
      <c r="N900" s="46"/>
      <c r="O900" s="46"/>
      <c r="P900" s="128"/>
      <c r="Q900" s="46"/>
      <c r="R900" s="46"/>
      <c r="S900" s="46"/>
      <c r="T900" s="131"/>
    </row>
    <row r="901" spans="1:20" x14ac:dyDescent="0.3">
      <c r="A901" s="128"/>
      <c r="B901" s="46"/>
      <c r="C901" s="46"/>
      <c r="D901" s="46"/>
      <c r="E901" s="46"/>
      <c r="F901" s="128"/>
      <c r="G901" s="46"/>
      <c r="H901" s="46"/>
      <c r="I901" s="46"/>
      <c r="J901" s="46"/>
      <c r="K901" s="128"/>
      <c r="L901" s="46"/>
      <c r="M901" s="46"/>
      <c r="N901" s="46"/>
      <c r="O901" s="46"/>
      <c r="P901" s="128"/>
      <c r="Q901" s="46"/>
      <c r="R901" s="46"/>
      <c r="S901" s="46"/>
      <c r="T901" s="131"/>
    </row>
    <row r="902" spans="1:20" x14ac:dyDescent="0.3">
      <c r="A902" s="128"/>
      <c r="B902" s="46"/>
      <c r="C902" s="46"/>
      <c r="D902" s="46"/>
      <c r="E902" s="46"/>
      <c r="F902" s="128"/>
      <c r="G902" s="46"/>
      <c r="H902" s="46"/>
      <c r="I902" s="46"/>
      <c r="J902" s="46"/>
      <c r="K902" s="128"/>
      <c r="L902" s="46"/>
      <c r="M902" s="46"/>
      <c r="N902" s="46"/>
      <c r="O902" s="46"/>
      <c r="P902" s="128"/>
      <c r="Q902" s="46"/>
      <c r="R902" s="46"/>
      <c r="S902" s="46"/>
      <c r="T902" s="131"/>
    </row>
    <row r="903" spans="1:20" x14ac:dyDescent="0.3">
      <c r="A903" s="128"/>
      <c r="B903" s="46"/>
      <c r="C903" s="46"/>
      <c r="D903" s="46"/>
      <c r="E903" s="46"/>
      <c r="F903" s="128"/>
      <c r="G903" s="46"/>
      <c r="H903" s="46"/>
      <c r="I903" s="46"/>
      <c r="J903" s="46"/>
      <c r="K903" s="128"/>
      <c r="L903" s="46"/>
      <c r="M903" s="46"/>
      <c r="N903" s="46"/>
      <c r="O903" s="46"/>
      <c r="P903" s="128"/>
      <c r="Q903" s="46"/>
      <c r="R903" s="46"/>
      <c r="S903" s="46"/>
      <c r="T903" s="131"/>
    </row>
    <row r="904" spans="1:20" x14ac:dyDescent="0.3">
      <c r="A904" s="128"/>
      <c r="B904" s="46"/>
      <c r="C904" s="46"/>
      <c r="D904" s="46"/>
      <c r="E904" s="46"/>
      <c r="F904" s="128"/>
      <c r="G904" s="46"/>
      <c r="H904" s="46"/>
      <c r="I904" s="46"/>
      <c r="J904" s="46"/>
      <c r="K904" s="128"/>
      <c r="L904" s="46"/>
      <c r="M904" s="46"/>
      <c r="N904" s="46"/>
      <c r="O904" s="46"/>
      <c r="P904" s="128"/>
      <c r="Q904" s="46"/>
      <c r="R904" s="46"/>
      <c r="S904" s="46"/>
      <c r="T904" s="131"/>
    </row>
    <row r="905" spans="1:20" x14ac:dyDescent="0.3">
      <c r="A905" s="128"/>
      <c r="B905" s="46"/>
      <c r="C905" s="46"/>
      <c r="D905" s="46"/>
      <c r="E905" s="46"/>
      <c r="F905" s="128"/>
      <c r="G905" s="46"/>
      <c r="H905" s="46"/>
      <c r="I905" s="46"/>
      <c r="J905" s="46"/>
      <c r="K905" s="128"/>
      <c r="L905" s="46"/>
      <c r="M905" s="46"/>
      <c r="N905" s="46"/>
      <c r="O905" s="46"/>
      <c r="P905" s="128"/>
      <c r="Q905" s="46"/>
      <c r="R905" s="46"/>
      <c r="S905" s="46"/>
      <c r="T905" s="131"/>
    </row>
    <row r="906" spans="1:20" x14ac:dyDescent="0.3">
      <c r="A906" s="128"/>
      <c r="B906" s="46"/>
      <c r="C906" s="46"/>
      <c r="D906" s="46"/>
      <c r="E906" s="46"/>
      <c r="F906" s="128"/>
      <c r="G906" s="46"/>
      <c r="H906" s="46"/>
      <c r="I906" s="46"/>
      <c r="J906" s="46"/>
      <c r="K906" s="128"/>
      <c r="L906" s="46"/>
      <c r="M906" s="46"/>
      <c r="N906" s="46"/>
      <c r="O906" s="46"/>
      <c r="P906" s="128"/>
      <c r="Q906" s="46"/>
      <c r="R906" s="46"/>
      <c r="S906" s="46"/>
      <c r="T906" s="131"/>
    </row>
    <row r="907" spans="1:20" x14ac:dyDescent="0.3">
      <c r="A907" s="128"/>
      <c r="B907" s="46"/>
      <c r="C907" s="46"/>
      <c r="D907" s="46"/>
      <c r="E907" s="46"/>
      <c r="F907" s="128"/>
      <c r="G907" s="46"/>
      <c r="H907" s="46"/>
      <c r="I907" s="46"/>
      <c r="J907" s="46"/>
      <c r="K907" s="128"/>
      <c r="L907" s="46"/>
      <c r="M907" s="46"/>
      <c r="N907" s="46"/>
      <c r="O907" s="46"/>
      <c r="P907" s="128"/>
      <c r="Q907" s="46"/>
      <c r="R907" s="46"/>
      <c r="S907" s="46"/>
      <c r="T907" s="131"/>
    </row>
    <row r="908" spans="1:20" x14ac:dyDescent="0.3">
      <c r="A908" s="128"/>
      <c r="B908" s="46"/>
      <c r="C908" s="46"/>
      <c r="D908" s="46"/>
      <c r="E908" s="46"/>
      <c r="F908" s="128"/>
      <c r="G908" s="46"/>
      <c r="H908" s="46"/>
      <c r="I908" s="46"/>
      <c r="J908" s="46"/>
      <c r="K908" s="128"/>
      <c r="L908" s="46"/>
      <c r="M908" s="46"/>
      <c r="N908" s="46"/>
      <c r="O908" s="46"/>
      <c r="P908" s="128"/>
      <c r="Q908" s="46"/>
      <c r="R908" s="46"/>
      <c r="S908" s="46"/>
      <c r="T908" s="131"/>
    </row>
    <row r="909" spans="1:20" x14ac:dyDescent="0.3">
      <c r="A909" s="128"/>
      <c r="B909" s="46"/>
      <c r="C909" s="46"/>
      <c r="D909" s="46"/>
      <c r="E909" s="46"/>
      <c r="F909" s="128"/>
      <c r="G909" s="46"/>
      <c r="H909" s="46"/>
      <c r="I909" s="46"/>
      <c r="J909" s="46"/>
      <c r="K909" s="128"/>
      <c r="L909" s="46"/>
      <c r="M909" s="46"/>
      <c r="N909" s="46"/>
      <c r="O909" s="46"/>
      <c r="P909" s="128"/>
      <c r="Q909" s="46"/>
      <c r="R909" s="46"/>
      <c r="S909" s="46"/>
      <c r="T909" s="131"/>
    </row>
    <row r="910" spans="1:20" x14ac:dyDescent="0.3">
      <c r="A910" s="128"/>
      <c r="B910" s="46"/>
      <c r="C910" s="46"/>
      <c r="D910" s="46"/>
      <c r="E910" s="46"/>
      <c r="F910" s="128"/>
      <c r="G910" s="46"/>
      <c r="H910" s="46"/>
      <c r="I910" s="46"/>
      <c r="J910" s="46"/>
      <c r="K910" s="128"/>
      <c r="L910" s="46"/>
      <c r="M910" s="46"/>
      <c r="N910" s="46"/>
      <c r="O910" s="46"/>
      <c r="P910" s="128"/>
      <c r="Q910" s="46"/>
      <c r="R910" s="46"/>
      <c r="S910" s="46"/>
      <c r="T910" s="131"/>
    </row>
    <row r="911" spans="1:20" x14ac:dyDescent="0.3">
      <c r="A911" s="128"/>
      <c r="B911" s="46"/>
      <c r="C911" s="46"/>
      <c r="D911" s="46"/>
      <c r="E911" s="46"/>
      <c r="F911" s="128"/>
      <c r="G911" s="46"/>
      <c r="H911" s="46"/>
      <c r="I911" s="46"/>
      <c r="J911" s="46"/>
      <c r="K911" s="128"/>
      <c r="L911" s="46"/>
      <c r="M911" s="46"/>
      <c r="N911" s="46"/>
      <c r="O911" s="46"/>
      <c r="P911" s="128"/>
      <c r="Q911" s="46"/>
      <c r="R911" s="46"/>
      <c r="S911" s="46"/>
      <c r="T911" s="131"/>
    </row>
    <row r="912" spans="1:20" x14ac:dyDescent="0.3">
      <c r="A912" s="128"/>
      <c r="B912" s="46"/>
      <c r="C912" s="46"/>
      <c r="D912" s="46"/>
      <c r="E912" s="46"/>
      <c r="F912" s="128"/>
      <c r="G912" s="46"/>
      <c r="H912" s="46"/>
      <c r="I912" s="46"/>
      <c r="J912" s="46"/>
      <c r="K912" s="128"/>
      <c r="L912" s="46"/>
      <c r="M912" s="46"/>
      <c r="N912" s="46"/>
      <c r="O912" s="46"/>
      <c r="P912" s="128"/>
      <c r="Q912" s="46"/>
      <c r="R912" s="46"/>
      <c r="S912" s="46"/>
      <c r="T912" s="131"/>
    </row>
    <row r="913" spans="1:20" x14ac:dyDescent="0.3">
      <c r="A913" s="128"/>
      <c r="B913" s="46"/>
      <c r="C913" s="46"/>
      <c r="D913" s="46"/>
      <c r="E913" s="46"/>
      <c r="F913" s="128"/>
      <c r="G913" s="46"/>
      <c r="H913" s="46"/>
      <c r="I913" s="46"/>
      <c r="J913" s="46"/>
      <c r="K913" s="128"/>
      <c r="L913" s="46"/>
      <c r="M913" s="46"/>
      <c r="N913" s="46"/>
      <c r="O913" s="46"/>
      <c r="P913" s="128"/>
      <c r="Q913" s="46"/>
      <c r="R913" s="46"/>
      <c r="S913" s="46"/>
      <c r="T913" s="131"/>
    </row>
    <row r="914" spans="1:20" x14ac:dyDescent="0.3">
      <c r="A914" s="128"/>
      <c r="B914" s="46"/>
      <c r="C914" s="46"/>
      <c r="D914" s="46"/>
      <c r="E914" s="46"/>
      <c r="F914" s="128"/>
      <c r="G914" s="46"/>
      <c r="H914" s="46"/>
      <c r="I914" s="46"/>
      <c r="J914" s="46"/>
      <c r="K914" s="128"/>
      <c r="L914" s="46"/>
      <c r="M914" s="46"/>
      <c r="N914" s="46"/>
      <c r="O914" s="46"/>
      <c r="P914" s="128"/>
      <c r="Q914" s="46"/>
      <c r="R914" s="46"/>
      <c r="S914" s="46"/>
      <c r="T914" s="131"/>
    </row>
    <row r="915" spans="1:20" x14ac:dyDescent="0.3">
      <c r="A915" s="128"/>
      <c r="B915" s="46"/>
      <c r="C915" s="46"/>
      <c r="D915" s="46"/>
      <c r="E915" s="46"/>
      <c r="F915" s="128"/>
      <c r="G915" s="46"/>
      <c r="H915" s="46"/>
      <c r="I915" s="46"/>
      <c r="J915" s="46"/>
      <c r="K915" s="128"/>
      <c r="L915" s="46"/>
      <c r="M915" s="46"/>
      <c r="N915" s="46"/>
      <c r="O915" s="46"/>
      <c r="P915" s="128"/>
      <c r="Q915" s="46"/>
      <c r="R915" s="46"/>
      <c r="S915" s="46"/>
      <c r="T915" s="131"/>
    </row>
    <row r="916" spans="1:20" x14ac:dyDescent="0.3">
      <c r="A916" s="128"/>
      <c r="B916" s="46"/>
      <c r="C916" s="46"/>
      <c r="D916" s="46"/>
      <c r="E916" s="46"/>
      <c r="F916" s="128"/>
      <c r="G916" s="46"/>
      <c r="H916" s="46"/>
      <c r="I916" s="46"/>
      <c r="J916" s="46"/>
      <c r="K916" s="128"/>
      <c r="L916" s="46"/>
      <c r="M916" s="46"/>
      <c r="N916" s="46"/>
      <c r="O916" s="46"/>
      <c r="P916" s="128"/>
      <c r="Q916" s="46"/>
      <c r="R916" s="46"/>
      <c r="S916" s="46"/>
      <c r="T916" s="131"/>
    </row>
    <row r="917" spans="1:20" x14ac:dyDescent="0.3">
      <c r="A917" s="128"/>
      <c r="B917" s="46"/>
      <c r="C917" s="46"/>
      <c r="D917" s="46"/>
      <c r="E917" s="46"/>
      <c r="F917" s="128"/>
      <c r="G917" s="46"/>
      <c r="H917" s="46"/>
      <c r="I917" s="46"/>
      <c r="J917" s="46"/>
      <c r="K917" s="128"/>
      <c r="L917" s="46"/>
      <c r="M917" s="46"/>
      <c r="N917" s="46"/>
      <c r="O917" s="46"/>
      <c r="P917" s="128"/>
      <c r="Q917" s="46"/>
      <c r="R917" s="46"/>
      <c r="S917" s="46"/>
      <c r="T917" s="131"/>
    </row>
    <row r="918" spans="1:20" x14ac:dyDescent="0.3">
      <c r="A918" s="128"/>
      <c r="B918" s="46"/>
      <c r="C918" s="46"/>
      <c r="D918" s="46"/>
      <c r="E918" s="46"/>
      <c r="F918" s="128"/>
      <c r="G918" s="46"/>
      <c r="H918" s="46"/>
      <c r="I918" s="46"/>
      <c r="J918" s="46"/>
      <c r="K918" s="128"/>
      <c r="L918" s="46"/>
      <c r="M918" s="46"/>
      <c r="N918" s="46"/>
      <c r="O918" s="46"/>
      <c r="P918" s="128"/>
      <c r="Q918" s="46"/>
      <c r="R918" s="46"/>
      <c r="S918" s="46"/>
      <c r="T918" s="131"/>
    </row>
    <row r="919" spans="1:20" x14ac:dyDescent="0.3">
      <c r="A919" s="128"/>
      <c r="B919" s="46"/>
      <c r="C919" s="46"/>
      <c r="D919" s="46"/>
      <c r="E919" s="46"/>
      <c r="F919" s="128"/>
      <c r="G919" s="46"/>
      <c r="H919" s="46"/>
      <c r="I919" s="46"/>
      <c r="J919" s="46"/>
      <c r="K919" s="128"/>
      <c r="L919" s="46"/>
      <c r="M919" s="46"/>
      <c r="N919" s="46"/>
      <c r="O919" s="46"/>
      <c r="P919" s="128"/>
      <c r="Q919" s="46"/>
      <c r="R919" s="46"/>
      <c r="S919" s="46"/>
      <c r="T919" s="131"/>
    </row>
    <row r="920" spans="1:20" x14ac:dyDescent="0.3">
      <c r="A920" s="128"/>
      <c r="B920" s="46"/>
      <c r="C920" s="46"/>
      <c r="D920" s="46"/>
      <c r="E920" s="46"/>
      <c r="F920" s="128"/>
      <c r="G920" s="46"/>
      <c r="H920" s="46"/>
      <c r="I920" s="46"/>
      <c r="J920" s="46"/>
      <c r="K920" s="128"/>
      <c r="L920" s="46"/>
      <c r="M920" s="46"/>
      <c r="N920" s="46"/>
      <c r="O920" s="46"/>
      <c r="P920" s="128"/>
      <c r="Q920" s="46"/>
      <c r="R920" s="46"/>
      <c r="S920" s="46"/>
      <c r="T920" s="131"/>
    </row>
    <row r="921" spans="1:20" x14ac:dyDescent="0.3">
      <c r="A921" s="128"/>
      <c r="B921" s="46"/>
      <c r="C921" s="46"/>
      <c r="D921" s="46"/>
      <c r="E921" s="46"/>
      <c r="F921" s="128"/>
      <c r="G921" s="46"/>
      <c r="H921" s="46"/>
      <c r="I921" s="46"/>
      <c r="J921" s="46"/>
      <c r="K921" s="128"/>
      <c r="L921" s="46"/>
      <c r="M921" s="46"/>
      <c r="N921" s="46"/>
      <c r="O921" s="46"/>
      <c r="P921" s="128"/>
      <c r="Q921" s="46"/>
      <c r="R921" s="46"/>
      <c r="S921" s="46"/>
      <c r="T921" s="131"/>
    </row>
    <row r="922" spans="1:20" x14ac:dyDescent="0.3">
      <c r="A922" s="128"/>
      <c r="B922" s="46"/>
      <c r="C922" s="46"/>
      <c r="D922" s="46"/>
      <c r="E922" s="46"/>
      <c r="F922" s="128"/>
      <c r="G922" s="46"/>
      <c r="H922" s="46"/>
      <c r="I922" s="46"/>
      <c r="J922" s="46"/>
      <c r="K922" s="128"/>
      <c r="L922" s="46"/>
      <c r="M922" s="46"/>
      <c r="N922" s="46"/>
      <c r="O922" s="46"/>
      <c r="P922" s="128"/>
      <c r="Q922" s="46"/>
      <c r="R922" s="46"/>
      <c r="S922" s="46"/>
      <c r="T922" s="131"/>
    </row>
    <row r="923" spans="1:20" x14ac:dyDescent="0.3">
      <c r="A923" s="128"/>
      <c r="B923" s="46"/>
      <c r="C923" s="46"/>
      <c r="D923" s="46"/>
      <c r="E923" s="46"/>
      <c r="F923" s="128"/>
      <c r="G923" s="46"/>
      <c r="H923" s="46"/>
      <c r="I923" s="46"/>
      <c r="J923" s="46"/>
      <c r="K923" s="128"/>
      <c r="L923" s="46"/>
      <c r="M923" s="46"/>
      <c r="N923" s="46"/>
      <c r="O923" s="46"/>
      <c r="P923" s="128"/>
      <c r="Q923" s="46"/>
      <c r="R923" s="46"/>
      <c r="S923" s="46"/>
      <c r="T923" s="131"/>
    </row>
    <row r="924" spans="1:20" x14ac:dyDescent="0.3">
      <c r="A924" s="128"/>
      <c r="B924" s="46"/>
      <c r="C924" s="46"/>
      <c r="D924" s="46"/>
      <c r="E924" s="46"/>
      <c r="F924" s="128"/>
      <c r="G924" s="46"/>
      <c r="H924" s="46"/>
      <c r="I924" s="46"/>
      <c r="J924" s="46"/>
      <c r="K924" s="128"/>
      <c r="L924" s="46"/>
      <c r="M924" s="46"/>
      <c r="N924" s="46"/>
      <c r="O924" s="46"/>
      <c r="P924" s="128"/>
      <c r="Q924" s="46"/>
      <c r="R924" s="46"/>
      <c r="S924" s="46"/>
      <c r="T924" s="131"/>
    </row>
    <row r="925" spans="1:20" x14ac:dyDescent="0.3">
      <c r="A925" s="128"/>
      <c r="B925" s="46"/>
      <c r="C925" s="46"/>
      <c r="D925" s="46"/>
      <c r="E925" s="46"/>
      <c r="F925" s="128"/>
      <c r="G925" s="46"/>
      <c r="H925" s="46"/>
      <c r="I925" s="46"/>
      <c r="J925" s="46"/>
      <c r="K925" s="128"/>
      <c r="L925" s="46"/>
      <c r="M925" s="46"/>
      <c r="N925" s="46"/>
      <c r="O925" s="46"/>
      <c r="P925" s="128"/>
      <c r="Q925" s="46"/>
      <c r="R925" s="46"/>
      <c r="S925" s="46"/>
      <c r="T925" s="131"/>
    </row>
    <row r="926" spans="1:20" x14ac:dyDescent="0.3">
      <c r="A926" s="128"/>
      <c r="B926" s="46"/>
      <c r="C926" s="46"/>
      <c r="D926" s="46"/>
      <c r="E926" s="46"/>
      <c r="F926" s="128"/>
      <c r="G926" s="46"/>
      <c r="H926" s="46"/>
      <c r="I926" s="46"/>
      <c r="J926" s="46"/>
      <c r="K926" s="128"/>
      <c r="L926" s="46"/>
      <c r="M926" s="46"/>
      <c r="N926" s="46"/>
      <c r="O926" s="46"/>
      <c r="P926" s="128"/>
      <c r="Q926" s="46"/>
      <c r="R926" s="46"/>
      <c r="S926" s="46"/>
      <c r="T926" s="131"/>
    </row>
    <row r="927" spans="1:20" x14ac:dyDescent="0.3">
      <c r="A927" s="128"/>
      <c r="B927" s="46"/>
      <c r="C927" s="46"/>
      <c r="D927" s="46"/>
      <c r="E927" s="46"/>
      <c r="F927" s="128"/>
      <c r="G927" s="46"/>
      <c r="H927" s="46"/>
      <c r="I927" s="46"/>
      <c r="J927" s="46"/>
      <c r="K927" s="128"/>
      <c r="L927" s="46"/>
      <c r="M927" s="46"/>
      <c r="N927" s="46"/>
      <c r="O927" s="46"/>
      <c r="P927" s="128"/>
      <c r="Q927" s="46"/>
      <c r="R927" s="46"/>
      <c r="S927" s="46"/>
      <c r="T927" s="131"/>
    </row>
    <row r="928" spans="1:20" x14ac:dyDescent="0.3">
      <c r="A928" s="128"/>
      <c r="B928" s="46"/>
      <c r="C928" s="46"/>
      <c r="D928" s="46"/>
      <c r="E928" s="46"/>
      <c r="F928" s="128"/>
      <c r="G928" s="46"/>
      <c r="H928" s="46"/>
      <c r="I928" s="46"/>
      <c r="J928" s="46"/>
      <c r="K928" s="128"/>
      <c r="L928" s="46"/>
      <c r="M928" s="46"/>
      <c r="N928" s="46"/>
      <c r="O928" s="46"/>
      <c r="P928" s="128"/>
      <c r="Q928" s="46"/>
      <c r="R928" s="46"/>
      <c r="S928" s="46"/>
      <c r="T928" s="131"/>
    </row>
    <row r="929" spans="1:20" x14ac:dyDescent="0.3">
      <c r="A929" s="128"/>
      <c r="B929" s="46"/>
      <c r="C929" s="46"/>
      <c r="D929" s="46"/>
      <c r="E929" s="46"/>
      <c r="F929" s="128"/>
      <c r="G929" s="46"/>
      <c r="H929" s="46"/>
      <c r="I929" s="46"/>
      <c r="J929" s="46"/>
      <c r="K929" s="128"/>
      <c r="L929" s="46"/>
      <c r="M929" s="46"/>
      <c r="N929" s="46"/>
      <c r="O929" s="46"/>
      <c r="P929" s="128"/>
      <c r="Q929" s="46"/>
      <c r="R929" s="46"/>
      <c r="S929" s="46"/>
      <c r="T929" s="131"/>
    </row>
    <row r="930" spans="1:20" x14ac:dyDescent="0.3">
      <c r="A930" s="128"/>
      <c r="B930" s="46"/>
      <c r="C930" s="46"/>
      <c r="D930" s="46"/>
      <c r="E930" s="46"/>
      <c r="F930" s="128"/>
      <c r="G930" s="46"/>
      <c r="H930" s="46"/>
      <c r="I930" s="46"/>
      <c r="J930" s="46"/>
      <c r="K930" s="128"/>
      <c r="L930" s="46"/>
      <c r="M930" s="46"/>
      <c r="N930" s="46"/>
      <c r="O930" s="46"/>
      <c r="P930" s="128"/>
      <c r="Q930" s="46"/>
      <c r="R930" s="46"/>
      <c r="S930" s="46"/>
      <c r="T930" s="131"/>
    </row>
    <row r="931" spans="1:20" x14ac:dyDescent="0.3">
      <c r="A931" s="128"/>
      <c r="B931" s="46"/>
      <c r="C931" s="46"/>
      <c r="D931" s="46"/>
      <c r="E931" s="46"/>
      <c r="F931" s="128"/>
      <c r="G931" s="46"/>
      <c r="H931" s="46"/>
      <c r="I931" s="46"/>
      <c r="J931" s="46"/>
      <c r="K931" s="128"/>
      <c r="L931" s="46"/>
      <c r="M931" s="46"/>
      <c r="N931" s="46"/>
      <c r="O931" s="46"/>
      <c r="P931" s="128"/>
      <c r="Q931" s="46"/>
      <c r="R931" s="46"/>
      <c r="S931" s="46"/>
      <c r="T931" s="131"/>
    </row>
    <row r="932" spans="1:20" x14ac:dyDescent="0.3">
      <c r="A932" s="128"/>
      <c r="B932" s="46"/>
      <c r="C932" s="46"/>
      <c r="D932" s="46"/>
      <c r="E932" s="46"/>
      <c r="F932" s="128"/>
      <c r="G932" s="46"/>
      <c r="H932" s="46"/>
      <c r="I932" s="46"/>
      <c r="J932" s="46"/>
      <c r="K932" s="128"/>
      <c r="L932" s="46"/>
      <c r="M932" s="46"/>
      <c r="N932" s="46"/>
      <c r="O932" s="46"/>
      <c r="P932" s="128"/>
      <c r="Q932" s="46"/>
      <c r="R932" s="46"/>
      <c r="S932" s="46"/>
      <c r="T932" s="131"/>
    </row>
    <row r="933" spans="1:20" x14ac:dyDescent="0.3">
      <c r="A933" s="128"/>
      <c r="B933" s="46"/>
      <c r="C933" s="46"/>
      <c r="D933" s="46"/>
      <c r="E933" s="46"/>
      <c r="F933" s="128"/>
      <c r="G933" s="46"/>
      <c r="H933" s="46"/>
      <c r="I933" s="46"/>
      <c r="J933" s="46"/>
      <c r="K933" s="128"/>
      <c r="L933" s="46"/>
      <c r="M933" s="46"/>
      <c r="N933" s="46"/>
      <c r="O933" s="46"/>
      <c r="P933" s="128"/>
      <c r="Q933" s="46"/>
      <c r="R933" s="46"/>
      <c r="S933" s="46"/>
      <c r="T933" s="131"/>
    </row>
    <row r="934" spans="1:20" x14ac:dyDescent="0.3">
      <c r="A934" s="128"/>
      <c r="B934" s="46"/>
      <c r="C934" s="46"/>
      <c r="D934" s="46"/>
      <c r="E934" s="46"/>
      <c r="F934" s="128"/>
      <c r="G934" s="46"/>
      <c r="H934" s="46"/>
      <c r="I934" s="46"/>
      <c r="J934" s="46"/>
      <c r="K934" s="128"/>
      <c r="L934" s="46"/>
      <c r="M934" s="46"/>
      <c r="N934" s="46"/>
      <c r="O934" s="46"/>
      <c r="P934" s="128"/>
      <c r="Q934" s="46"/>
      <c r="R934" s="46"/>
      <c r="S934" s="46"/>
      <c r="T934" s="131"/>
    </row>
    <row r="935" spans="1:20" x14ac:dyDescent="0.3">
      <c r="A935" s="128"/>
      <c r="B935" s="46"/>
      <c r="C935" s="46"/>
      <c r="D935" s="46"/>
      <c r="E935" s="46"/>
      <c r="F935" s="128"/>
      <c r="G935" s="46"/>
      <c r="H935" s="46"/>
      <c r="I935" s="46"/>
      <c r="J935" s="46"/>
      <c r="K935" s="128"/>
      <c r="L935" s="46"/>
      <c r="M935" s="46"/>
      <c r="N935" s="46"/>
      <c r="O935" s="46"/>
      <c r="P935" s="128"/>
      <c r="Q935" s="46"/>
      <c r="R935" s="46"/>
      <c r="S935" s="46"/>
      <c r="T935" s="131"/>
    </row>
    <row r="936" spans="1:20" x14ac:dyDescent="0.3">
      <c r="A936" s="128"/>
      <c r="B936" s="46"/>
      <c r="C936" s="46"/>
      <c r="D936" s="46"/>
      <c r="E936" s="46"/>
      <c r="F936" s="128"/>
      <c r="G936" s="46"/>
      <c r="H936" s="46"/>
      <c r="I936" s="46"/>
      <c r="J936" s="46"/>
      <c r="K936" s="128"/>
      <c r="L936" s="46"/>
      <c r="M936" s="46"/>
      <c r="N936" s="46"/>
      <c r="O936" s="46"/>
      <c r="P936" s="128"/>
      <c r="Q936" s="46"/>
      <c r="R936" s="46"/>
      <c r="S936" s="46"/>
      <c r="T936" s="131"/>
    </row>
    <row r="937" spans="1:20" x14ac:dyDescent="0.3">
      <c r="A937" s="128"/>
      <c r="B937" s="46"/>
      <c r="C937" s="46"/>
      <c r="D937" s="46"/>
      <c r="E937" s="46"/>
      <c r="F937" s="128"/>
      <c r="G937" s="46"/>
      <c r="H937" s="46"/>
      <c r="I937" s="46"/>
      <c r="J937" s="46"/>
      <c r="K937" s="128"/>
      <c r="L937" s="46"/>
      <c r="M937" s="46"/>
      <c r="N937" s="46"/>
      <c r="O937" s="46"/>
      <c r="P937" s="128"/>
      <c r="Q937" s="46"/>
      <c r="R937" s="46"/>
      <c r="S937" s="46"/>
      <c r="T937" s="131"/>
    </row>
    <row r="938" spans="1:20" x14ac:dyDescent="0.3">
      <c r="A938" s="128"/>
      <c r="B938" s="46"/>
      <c r="C938" s="46"/>
      <c r="D938" s="46"/>
      <c r="E938" s="46"/>
      <c r="F938" s="128"/>
      <c r="G938" s="46"/>
      <c r="H938" s="46"/>
      <c r="I938" s="46"/>
      <c r="J938" s="46"/>
      <c r="K938" s="128"/>
      <c r="L938" s="46"/>
      <c r="M938" s="46"/>
      <c r="N938" s="46"/>
      <c r="O938" s="46"/>
      <c r="P938" s="128"/>
      <c r="Q938" s="46"/>
      <c r="R938" s="46"/>
      <c r="S938" s="46"/>
      <c r="T938" s="131"/>
    </row>
    <row r="939" spans="1:20" x14ac:dyDescent="0.3">
      <c r="A939" s="128"/>
      <c r="B939" s="46"/>
      <c r="C939" s="46"/>
      <c r="D939" s="46"/>
      <c r="E939" s="46"/>
      <c r="F939" s="128"/>
      <c r="G939" s="46"/>
      <c r="H939" s="46"/>
      <c r="I939" s="46"/>
      <c r="J939" s="46"/>
      <c r="K939" s="128"/>
      <c r="L939" s="46"/>
      <c r="M939" s="46"/>
      <c r="N939" s="46"/>
      <c r="O939" s="46"/>
      <c r="P939" s="128"/>
      <c r="Q939" s="46"/>
      <c r="R939" s="46"/>
      <c r="S939" s="46"/>
      <c r="T939" s="131"/>
    </row>
    <row r="940" spans="1:20" x14ac:dyDescent="0.3">
      <c r="A940" s="128"/>
      <c r="B940" s="46"/>
      <c r="C940" s="46"/>
      <c r="D940" s="46"/>
      <c r="E940" s="46"/>
      <c r="F940" s="128"/>
      <c r="G940" s="46"/>
      <c r="H940" s="46"/>
      <c r="I940" s="46"/>
      <c r="J940" s="46"/>
      <c r="K940" s="128"/>
      <c r="L940" s="46"/>
      <c r="M940" s="46"/>
      <c r="N940" s="46"/>
      <c r="O940" s="46"/>
      <c r="P940" s="128"/>
      <c r="Q940" s="46"/>
      <c r="R940" s="46"/>
      <c r="S940" s="46"/>
      <c r="T940" s="131"/>
    </row>
    <row r="941" spans="1:20" x14ac:dyDescent="0.3">
      <c r="A941" s="128"/>
      <c r="B941" s="46"/>
      <c r="C941" s="46"/>
      <c r="D941" s="46"/>
      <c r="E941" s="46"/>
      <c r="F941" s="128"/>
      <c r="G941" s="46"/>
      <c r="H941" s="46"/>
      <c r="I941" s="46"/>
      <c r="J941" s="46"/>
      <c r="K941" s="128"/>
      <c r="L941" s="46"/>
      <c r="M941" s="46"/>
      <c r="N941" s="46"/>
      <c r="O941" s="46"/>
      <c r="P941" s="128"/>
      <c r="Q941" s="46"/>
      <c r="R941" s="46"/>
      <c r="S941" s="46"/>
      <c r="T941" s="131"/>
    </row>
    <row r="942" spans="1:20" x14ac:dyDescent="0.3">
      <c r="A942" s="128"/>
      <c r="B942" s="46"/>
      <c r="C942" s="46"/>
      <c r="D942" s="46"/>
      <c r="E942" s="46"/>
      <c r="F942" s="128"/>
      <c r="G942" s="46"/>
      <c r="H942" s="46"/>
      <c r="I942" s="46"/>
      <c r="J942" s="46"/>
      <c r="K942" s="128"/>
      <c r="L942" s="46"/>
      <c r="M942" s="46"/>
      <c r="N942" s="46"/>
      <c r="O942" s="46"/>
      <c r="P942" s="128"/>
      <c r="Q942" s="46"/>
      <c r="R942" s="46"/>
      <c r="S942" s="46"/>
      <c r="T942" s="131"/>
    </row>
    <row r="943" spans="1:20" x14ac:dyDescent="0.3">
      <c r="A943" s="128"/>
      <c r="B943" s="46"/>
      <c r="C943" s="46"/>
      <c r="D943" s="46"/>
      <c r="E943" s="46"/>
      <c r="F943" s="128"/>
      <c r="G943" s="46"/>
      <c r="H943" s="46"/>
      <c r="I943" s="46"/>
      <c r="J943" s="46"/>
      <c r="K943" s="128"/>
      <c r="L943" s="46"/>
      <c r="M943" s="46"/>
      <c r="N943" s="46"/>
      <c r="O943" s="46"/>
      <c r="P943" s="128"/>
      <c r="Q943" s="46"/>
      <c r="R943" s="46"/>
      <c r="S943" s="46"/>
      <c r="T943" s="131"/>
    </row>
    <row r="944" spans="1:20" x14ac:dyDescent="0.3">
      <c r="A944" s="128"/>
      <c r="B944" s="46"/>
      <c r="C944" s="46"/>
      <c r="D944" s="46"/>
      <c r="E944" s="46"/>
      <c r="F944" s="128"/>
      <c r="G944" s="46"/>
      <c r="H944" s="46"/>
      <c r="I944" s="46"/>
      <c r="J944" s="46"/>
      <c r="K944" s="128"/>
      <c r="L944" s="46"/>
      <c r="M944" s="46"/>
      <c r="N944" s="46"/>
      <c r="O944" s="46"/>
      <c r="P944" s="128"/>
      <c r="Q944" s="46"/>
      <c r="R944" s="46"/>
      <c r="S944" s="46"/>
      <c r="T944" s="131"/>
    </row>
    <row r="945" spans="1:20" x14ac:dyDescent="0.3">
      <c r="A945" s="128"/>
      <c r="B945" s="46"/>
      <c r="C945" s="46"/>
      <c r="D945" s="46"/>
      <c r="E945" s="46"/>
      <c r="F945" s="128"/>
      <c r="G945" s="46"/>
      <c r="H945" s="46"/>
      <c r="I945" s="46"/>
      <c r="J945" s="46"/>
      <c r="K945" s="128"/>
      <c r="L945" s="46"/>
      <c r="M945" s="46"/>
      <c r="N945" s="46"/>
      <c r="O945" s="46"/>
      <c r="P945" s="128"/>
      <c r="Q945" s="46"/>
      <c r="R945" s="46"/>
      <c r="S945" s="46"/>
      <c r="T945" s="131"/>
    </row>
    <row r="946" spans="1:20" x14ac:dyDescent="0.3">
      <c r="A946" s="128"/>
      <c r="B946" s="46"/>
      <c r="C946" s="46"/>
      <c r="D946" s="46"/>
      <c r="E946" s="46"/>
      <c r="F946" s="128"/>
      <c r="G946" s="46"/>
      <c r="H946" s="46"/>
      <c r="I946" s="46"/>
      <c r="J946" s="46"/>
      <c r="K946" s="128"/>
      <c r="L946" s="46"/>
      <c r="M946" s="46"/>
      <c r="N946" s="46"/>
      <c r="O946" s="46"/>
      <c r="P946" s="128"/>
      <c r="Q946" s="46"/>
      <c r="R946" s="46"/>
      <c r="S946" s="46"/>
      <c r="T946" s="131"/>
    </row>
    <row r="947" spans="1:20" x14ac:dyDescent="0.3">
      <c r="A947" s="128"/>
      <c r="B947" s="46"/>
      <c r="C947" s="46"/>
      <c r="D947" s="46"/>
      <c r="E947" s="46"/>
      <c r="F947" s="128"/>
      <c r="G947" s="46"/>
      <c r="H947" s="46"/>
      <c r="I947" s="46"/>
      <c r="J947" s="46"/>
      <c r="K947" s="128"/>
      <c r="L947" s="46"/>
      <c r="M947" s="46"/>
      <c r="N947" s="46"/>
      <c r="O947" s="46"/>
      <c r="P947" s="128"/>
      <c r="Q947" s="46"/>
      <c r="R947" s="46"/>
      <c r="S947" s="46"/>
      <c r="T947" s="131"/>
    </row>
    <row r="948" spans="1:20" x14ac:dyDescent="0.3">
      <c r="A948" s="128"/>
      <c r="B948" s="46"/>
      <c r="C948" s="46"/>
      <c r="D948" s="46"/>
      <c r="E948" s="46"/>
      <c r="F948" s="128"/>
      <c r="G948" s="46"/>
      <c r="H948" s="46"/>
      <c r="I948" s="46"/>
      <c r="J948" s="46"/>
      <c r="K948" s="128"/>
      <c r="L948" s="46"/>
      <c r="M948" s="46"/>
      <c r="N948" s="46"/>
      <c r="O948" s="46"/>
      <c r="P948" s="128"/>
      <c r="Q948" s="46"/>
      <c r="R948" s="46"/>
      <c r="S948" s="46"/>
      <c r="T948" s="131"/>
    </row>
    <row r="949" spans="1:20" x14ac:dyDescent="0.3">
      <c r="A949" s="128"/>
      <c r="B949" s="46"/>
      <c r="C949" s="46"/>
      <c r="D949" s="46"/>
      <c r="E949" s="46"/>
      <c r="F949" s="128"/>
      <c r="G949" s="46"/>
      <c r="H949" s="46"/>
      <c r="I949" s="46"/>
      <c r="J949" s="46"/>
      <c r="K949" s="128"/>
      <c r="L949" s="46"/>
      <c r="M949" s="46"/>
      <c r="N949" s="46"/>
      <c r="O949" s="46"/>
      <c r="P949" s="128"/>
      <c r="Q949" s="46"/>
      <c r="R949" s="46"/>
      <c r="S949" s="46"/>
      <c r="T949" s="131"/>
    </row>
    <row r="950" spans="1:20" x14ac:dyDescent="0.3">
      <c r="A950" s="128"/>
      <c r="B950" s="46"/>
      <c r="C950" s="46"/>
      <c r="D950" s="46"/>
      <c r="E950" s="46"/>
      <c r="F950" s="128"/>
      <c r="G950" s="46"/>
      <c r="H950" s="46"/>
      <c r="I950" s="46"/>
      <c r="J950" s="46"/>
      <c r="K950" s="128"/>
      <c r="L950" s="46"/>
      <c r="M950" s="46"/>
      <c r="N950" s="46"/>
      <c r="O950" s="46"/>
      <c r="P950" s="128"/>
      <c r="Q950" s="46"/>
      <c r="R950" s="46"/>
      <c r="S950" s="46"/>
      <c r="T950" s="131"/>
    </row>
    <row r="951" spans="1:20" x14ac:dyDescent="0.3">
      <c r="A951" s="128"/>
      <c r="B951" s="46"/>
      <c r="C951" s="46"/>
      <c r="D951" s="46"/>
      <c r="E951" s="46"/>
      <c r="F951" s="128"/>
      <c r="G951" s="46"/>
      <c r="H951" s="46"/>
      <c r="I951" s="46"/>
      <c r="J951" s="46"/>
      <c r="K951" s="128"/>
      <c r="L951" s="46"/>
      <c r="M951" s="46"/>
      <c r="N951" s="46"/>
      <c r="O951" s="46"/>
      <c r="P951" s="128"/>
      <c r="Q951" s="46"/>
      <c r="R951" s="46"/>
      <c r="S951" s="46"/>
      <c r="T951" s="131"/>
    </row>
    <row r="952" spans="1:20" x14ac:dyDescent="0.3">
      <c r="A952" s="128"/>
      <c r="B952" s="46"/>
      <c r="C952" s="46"/>
      <c r="D952" s="46"/>
      <c r="E952" s="46"/>
      <c r="F952" s="128"/>
      <c r="G952" s="46"/>
      <c r="H952" s="46"/>
      <c r="I952" s="46"/>
      <c r="J952" s="46"/>
      <c r="K952" s="128"/>
      <c r="L952" s="46"/>
      <c r="M952" s="46"/>
      <c r="N952" s="46"/>
      <c r="O952" s="46"/>
      <c r="P952" s="128"/>
      <c r="Q952" s="46"/>
      <c r="R952" s="46"/>
      <c r="S952" s="46"/>
      <c r="T952" s="131"/>
    </row>
    <row r="953" spans="1:20" x14ac:dyDescent="0.3">
      <c r="A953" s="128"/>
      <c r="B953" s="46"/>
      <c r="C953" s="46"/>
      <c r="D953" s="46"/>
      <c r="E953" s="46"/>
      <c r="F953" s="128"/>
      <c r="G953" s="46"/>
      <c r="H953" s="46"/>
      <c r="I953" s="46"/>
      <c r="J953" s="46"/>
      <c r="K953" s="128"/>
      <c r="L953" s="46"/>
      <c r="M953" s="46"/>
      <c r="N953" s="46"/>
      <c r="O953" s="46"/>
      <c r="P953" s="128"/>
      <c r="Q953" s="46"/>
      <c r="R953" s="46"/>
      <c r="S953" s="46"/>
      <c r="T953" s="131"/>
    </row>
    <row r="954" spans="1:20" x14ac:dyDescent="0.3">
      <c r="A954" s="128"/>
      <c r="B954" s="46"/>
      <c r="C954" s="46"/>
      <c r="D954" s="46"/>
      <c r="E954" s="46"/>
      <c r="F954" s="128"/>
      <c r="G954" s="46"/>
      <c r="H954" s="46"/>
      <c r="I954" s="46"/>
      <c r="J954" s="46"/>
      <c r="K954" s="128"/>
      <c r="L954" s="46"/>
      <c r="M954" s="46"/>
      <c r="N954" s="46"/>
      <c r="O954" s="46"/>
      <c r="P954" s="128"/>
      <c r="Q954" s="46"/>
      <c r="R954" s="46"/>
      <c r="S954" s="46"/>
      <c r="T954" s="131"/>
    </row>
    <row r="955" spans="1:20" x14ac:dyDescent="0.3">
      <c r="A955" s="128"/>
      <c r="B955" s="46"/>
      <c r="C955" s="46"/>
      <c r="D955" s="46"/>
      <c r="E955" s="46"/>
      <c r="F955" s="128"/>
      <c r="G955" s="46"/>
      <c r="H955" s="46"/>
      <c r="I955" s="46"/>
      <c r="J955" s="46"/>
      <c r="K955" s="128"/>
      <c r="L955" s="46"/>
      <c r="M955" s="46"/>
      <c r="N955" s="46"/>
      <c r="O955" s="46"/>
      <c r="P955" s="128"/>
      <c r="Q955" s="46"/>
      <c r="R955" s="46"/>
      <c r="S955" s="46"/>
      <c r="T955" s="131"/>
    </row>
    <row r="956" spans="1:20" x14ac:dyDescent="0.3">
      <c r="A956" s="128"/>
      <c r="B956" s="46"/>
      <c r="C956" s="46"/>
      <c r="D956" s="46"/>
      <c r="E956" s="46"/>
      <c r="F956" s="128"/>
      <c r="G956" s="46"/>
      <c r="H956" s="46"/>
      <c r="I956" s="46"/>
      <c r="J956" s="46"/>
      <c r="K956" s="128"/>
      <c r="L956" s="46"/>
      <c r="M956" s="46"/>
      <c r="N956" s="46"/>
      <c r="O956" s="46"/>
      <c r="P956" s="128"/>
      <c r="Q956" s="46"/>
      <c r="R956" s="46"/>
      <c r="S956" s="46"/>
      <c r="T956" s="131"/>
    </row>
    <row r="957" spans="1:20" x14ac:dyDescent="0.3">
      <c r="A957" s="128"/>
      <c r="B957" s="46"/>
      <c r="C957" s="46"/>
      <c r="D957" s="46"/>
      <c r="E957" s="46"/>
      <c r="F957" s="128"/>
      <c r="G957" s="46"/>
      <c r="H957" s="46"/>
      <c r="I957" s="46"/>
      <c r="J957" s="46"/>
      <c r="K957" s="128"/>
      <c r="L957" s="46"/>
      <c r="M957" s="46"/>
      <c r="N957" s="46"/>
      <c r="O957" s="46"/>
      <c r="P957" s="128"/>
      <c r="Q957" s="46"/>
      <c r="R957" s="46"/>
      <c r="S957" s="46"/>
      <c r="T957" s="131"/>
    </row>
    <row r="958" spans="1:20" x14ac:dyDescent="0.3">
      <c r="A958" s="128"/>
      <c r="B958" s="46"/>
      <c r="C958" s="46"/>
      <c r="D958" s="46"/>
      <c r="E958" s="46"/>
      <c r="F958" s="128"/>
      <c r="G958" s="46"/>
      <c r="H958" s="46"/>
      <c r="I958" s="46"/>
      <c r="J958" s="46"/>
      <c r="K958" s="128"/>
      <c r="L958" s="46"/>
      <c r="M958" s="46"/>
      <c r="N958" s="46"/>
      <c r="O958" s="46"/>
      <c r="P958" s="128"/>
      <c r="Q958" s="46"/>
      <c r="R958" s="46"/>
      <c r="S958" s="46"/>
      <c r="T958" s="131"/>
    </row>
    <row r="959" spans="1:20" x14ac:dyDescent="0.3">
      <c r="A959" s="128"/>
      <c r="B959" s="46"/>
      <c r="C959" s="46"/>
      <c r="D959" s="46"/>
      <c r="E959" s="46"/>
      <c r="F959" s="128"/>
      <c r="G959" s="46"/>
      <c r="H959" s="46"/>
      <c r="I959" s="46"/>
      <c r="J959" s="46"/>
      <c r="K959" s="128"/>
      <c r="L959" s="46"/>
      <c r="M959" s="46"/>
      <c r="N959" s="46"/>
      <c r="O959" s="46"/>
      <c r="P959" s="128"/>
      <c r="Q959" s="46"/>
      <c r="R959" s="46"/>
      <c r="S959" s="46"/>
      <c r="T959" s="131"/>
    </row>
    <row r="960" spans="1:20" x14ac:dyDescent="0.3">
      <c r="A960" s="128"/>
      <c r="B960" s="46"/>
      <c r="C960" s="46"/>
      <c r="D960" s="46"/>
      <c r="E960" s="46"/>
      <c r="F960" s="128"/>
      <c r="G960" s="46"/>
      <c r="H960" s="46"/>
      <c r="I960" s="46"/>
      <c r="J960" s="46"/>
      <c r="K960" s="128"/>
      <c r="L960" s="46"/>
      <c r="M960" s="46"/>
      <c r="N960" s="46"/>
      <c r="O960" s="46"/>
      <c r="P960" s="128"/>
      <c r="Q960" s="46"/>
      <c r="R960" s="46"/>
      <c r="S960" s="46"/>
      <c r="T960" s="131"/>
    </row>
    <row r="961" spans="1:20" x14ac:dyDescent="0.3">
      <c r="A961" s="128"/>
      <c r="B961" s="46"/>
      <c r="C961" s="46"/>
      <c r="D961" s="46"/>
      <c r="E961" s="46"/>
      <c r="F961" s="128"/>
      <c r="G961" s="46"/>
      <c r="H961" s="46"/>
      <c r="I961" s="46"/>
      <c r="J961" s="46"/>
      <c r="K961" s="128"/>
      <c r="L961" s="46"/>
      <c r="M961" s="46"/>
      <c r="N961" s="46"/>
      <c r="O961" s="46"/>
      <c r="P961" s="128"/>
      <c r="Q961" s="46"/>
      <c r="R961" s="46"/>
      <c r="S961" s="46"/>
      <c r="T961" s="131"/>
    </row>
    <row r="962" spans="1:20" x14ac:dyDescent="0.3">
      <c r="A962" s="128"/>
      <c r="B962" s="46"/>
      <c r="C962" s="46"/>
      <c r="D962" s="46"/>
      <c r="E962" s="46"/>
      <c r="F962" s="128"/>
      <c r="G962" s="46"/>
      <c r="H962" s="46"/>
      <c r="I962" s="46"/>
      <c r="J962" s="46"/>
      <c r="K962" s="128"/>
      <c r="L962" s="46"/>
      <c r="M962" s="46"/>
      <c r="N962" s="46"/>
      <c r="O962" s="46"/>
      <c r="P962" s="128"/>
      <c r="Q962" s="46"/>
      <c r="R962" s="46"/>
      <c r="S962" s="46"/>
      <c r="T962" s="131"/>
    </row>
    <row r="963" spans="1:20" x14ac:dyDescent="0.3">
      <c r="A963" s="128"/>
      <c r="B963" s="46"/>
      <c r="C963" s="46"/>
      <c r="D963" s="46"/>
      <c r="E963" s="46"/>
      <c r="F963" s="128"/>
      <c r="G963" s="46"/>
      <c r="H963" s="46"/>
      <c r="I963" s="46"/>
      <c r="J963" s="46"/>
      <c r="K963" s="128"/>
      <c r="L963" s="46"/>
      <c r="M963" s="46"/>
      <c r="N963" s="46"/>
      <c r="O963" s="46"/>
      <c r="P963" s="128"/>
      <c r="Q963" s="46"/>
      <c r="R963" s="46"/>
      <c r="S963" s="46"/>
      <c r="T963" s="131"/>
    </row>
    <row r="964" spans="1:20" x14ac:dyDescent="0.3">
      <c r="A964" s="128"/>
      <c r="B964" s="46"/>
      <c r="C964" s="46"/>
      <c r="D964" s="46"/>
      <c r="E964" s="46"/>
      <c r="F964" s="128"/>
      <c r="G964" s="46"/>
      <c r="H964" s="46"/>
      <c r="I964" s="46"/>
      <c r="J964" s="46"/>
      <c r="K964" s="128"/>
      <c r="L964" s="46"/>
      <c r="M964" s="46"/>
      <c r="N964" s="46"/>
      <c r="O964" s="46"/>
      <c r="P964" s="128"/>
      <c r="Q964" s="46"/>
      <c r="R964" s="46"/>
      <c r="S964" s="46"/>
      <c r="T964" s="131"/>
    </row>
    <row r="965" spans="1:20" x14ac:dyDescent="0.3">
      <c r="A965" s="128"/>
      <c r="B965" s="46"/>
      <c r="C965" s="46"/>
      <c r="D965" s="46"/>
      <c r="E965" s="46"/>
      <c r="F965" s="128"/>
      <c r="G965" s="46"/>
      <c r="H965" s="46"/>
      <c r="I965" s="46"/>
      <c r="J965" s="46"/>
      <c r="K965" s="128"/>
      <c r="L965" s="46"/>
      <c r="M965" s="46"/>
      <c r="N965" s="46"/>
      <c r="O965" s="46"/>
      <c r="P965" s="128"/>
      <c r="Q965" s="46"/>
      <c r="R965" s="46"/>
      <c r="S965" s="46"/>
      <c r="T965" s="131"/>
    </row>
    <row r="966" spans="1:20" x14ac:dyDescent="0.3">
      <c r="A966" s="128"/>
      <c r="B966" s="46"/>
      <c r="C966" s="46"/>
      <c r="D966" s="46"/>
      <c r="E966" s="46"/>
      <c r="F966" s="128"/>
      <c r="G966" s="46"/>
      <c r="H966" s="46"/>
      <c r="I966" s="46"/>
      <c r="J966" s="46"/>
      <c r="K966" s="128"/>
      <c r="L966" s="46"/>
      <c r="M966" s="46"/>
      <c r="N966" s="46"/>
      <c r="O966" s="46"/>
      <c r="P966" s="128"/>
      <c r="Q966" s="46"/>
      <c r="R966" s="46"/>
      <c r="S966" s="46"/>
      <c r="T966" s="131"/>
    </row>
    <row r="967" spans="1:20" x14ac:dyDescent="0.3">
      <c r="A967" s="128"/>
      <c r="B967" s="46"/>
      <c r="C967" s="46"/>
      <c r="D967" s="46"/>
      <c r="E967" s="46"/>
      <c r="F967" s="128"/>
      <c r="G967" s="46"/>
      <c r="H967" s="46"/>
      <c r="I967" s="46"/>
      <c r="J967" s="46"/>
      <c r="K967" s="128"/>
      <c r="L967" s="46"/>
      <c r="M967" s="46"/>
      <c r="N967" s="46"/>
      <c r="O967" s="46"/>
      <c r="P967" s="128"/>
      <c r="Q967" s="46"/>
      <c r="R967" s="46"/>
      <c r="S967" s="46"/>
      <c r="T967" s="131"/>
    </row>
    <row r="968" spans="1:20" x14ac:dyDescent="0.3">
      <c r="A968" s="128"/>
      <c r="B968" s="46"/>
      <c r="C968" s="46"/>
      <c r="D968" s="46"/>
      <c r="E968" s="46"/>
      <c r="F968" s="128"/>
      <c r="G968" s="46"/>
      <c r="H968" s="46"/>
      <c r="I968" s="46"/>
      <c r="J968" s="46"/>
      <c r="K968" s="128"/>
      <c r="L968" s="46"/>
      <c r="M968" s="46"/>
      <c r="N968" s="46"/>
      <c r="O968" s="46"/>
      <c r="P968" s="128"/>
      <c r="Q968" s="46"/>
      <c r="R968" s="46"/>
      <c r="S968" s="46"/>
      <c r="T968" s="131"/>
    </row>
    <row r="969" spans="1:20" x14ac:dyDescent="0.3">
      <c r="A969" s="128"/>
      <c r="B969" s="46"/>
      <c r="C969" s="46"/>
      <c r="D969" s="46"/>
      <c r="E969" s="46"/>
      <c r="F969" s="128"/>
      <c r="G969" s="46"/>
      <c r="H969" s="46"/>
      <c r="I969" s="46"/>
      <c r="J969" s="46"/>
      <c r="K969" s="128"/>
      <c r="L969" s="46"/>
      <c r="M969" s="46"/>
      <c r="N969" s="46"/>
      <c r="O969" s="46"/>
      <c r="P969" s="128"/>
      <c r="Q969" s="46"/>
      <c r="R969" s="46"/>
      <c r="S969" s="46"/>
      <c r="T969" s="131"/>
    </row>
    <row r="970" spans="1:20" x14ac:dyDescent="0.3">
      <c r="A970" s="128"/>
      <c r="B970" s="46"/>
      <c r="C970" s="46"/>
      <c r="D970" s="46"/>
      <c r="E970" s="46"/>
      <c r="F970" s="128"/>
      <c r="G970" s="46"/>
      <c r="H970" s="46"/>
      <c r="I970" s="46"/>
      <c r="J970" s="46"/>
      <c r="K970" s="128"/>
      <c r="L970" s="46"/>
      <c r="M970" s="46"/>
      <c r="N970" s="46"/>
      <c r="O970" s="46"/>
      <c r="P970" s="128"/>
      <c r="Q970" s="46"/>
      <c r="R970" s="46"/>
      <c r="S970" s="46"/>
      <c r="T970" s="131"/>
    </row>
    <row r="971" spans="1:20" x14ac:dyDescent="0.3">
      <c r="A971" s="128"/>
      <c r="B971" s="46"/>
      <c r="C971" s="46"/>
      <c r="D971" s="46"/>
      <c r="E971" s="46"/>
      <c r="F971" s="128"/>
      <c r="G971" s="46"/>
      <c r="H971" s="46"/>
      <c r="I971" s="46"/>
      <c r="J971" s="46"/>
      <c r="K971" s="128"/>
      <c r="L971" s="46"/>
      <c r="M971" s="46"/>
      <c r="N971" s="46"/>
      <c r="O971" s="46"/>
      <c r="P971" s="128"/>
      <c r="Q971" s="46"/>
      <c r="R971" s="46"/>
      <c r="S971" s="46"/>
      <c r="T971" s="131"/>
    </row>
    <row r="972" spans="1:20" x14ac:dyDescent="0.3">
      <c r="A972" s="128"/>
      <c r="B972" s="46"/>
      <c r="C972" s="46"/>
      <c r="D972" s="46"/>
      <c r="E972" s="46"/>
      <c r="F972" s="128"/>
      <c r="G972" s="46"/>
      <c r="H972" s="46"/>
      <c r="I972" s="46"/>
      <c r="J972" s="46"/>
      <c r="K972" s="128"/>
      <c r="L972" s="46"/>
      <c r="M972" s="46"/>
      <c r="N972" s="46"/>
      <c r="O972" s="46"/>
      <c r="P972" s="128"/>
      <c r="Q972" s="46"/>
      <c r="R972" s="46"/>
      <c r="S972" s="46"/>
      <c r="T972" s="131"/>
    </row>
    <row r="973" spans="1:20" x14ac:dyDescent="0.3">
      <c r="A973" s="128"/>
      <c r="B973" s="46"/>
      <c r="C973" s="46"/>
      <c r="D973" s="46"/>
      <c r="E973" s="46"/>
      <c r="F973" s="128"/>
      <c r="G973" s="46"/>
      <c r="H973" s="46"/>
      <c r="I973" s="46"/>
      <c r="J973" s="46"/>
      <c r="K973" s="128"/>
      <c r="L973" s="46"/>
      <c r="M973" s="46"/>
      <c r="N973" s="46"/>
      <c r="O973" s="46"/>
      <c r="P973" s="128"/>
      <c r="Q973" s="46"/>
      <c r="R973" s="46"/>
      <c r="S973" s="46"/>
      <c r="T973" s="131"/>
    </row>
    <row r="974" spans="1:20" x14ac:dyDescent="0.3">
      <c r="A974" s="128"/>
      <c r="B974" s="46"/>
      <c r="C974" s="46"/>
      <c r="D974" s="46"/>
      <c r="E974" s="46"/>
      <c r="F974" s="128"/>
      <c r="G974" s="46"/>
      <c r="H974" s="46"/>
      <c r="I974" s="46"/>
      <c r="J974" s="46"/>
      <c r="K974" s="128"/>
      <c r="L974" s="46"/>
      <c r="M974" s="46"/>
      <c r="N974" s="46"/>
      <c r="O974" s="46"/>
      <c r="P974" s="128"/>
      <c r="Q974" s="46"/>
      <c r="R974" s="46"/>
      <c r="S974" s="46"/>
      <c r="T974" s="131"/>
    </row>
    <row r="975" spans="1:20" x14ac:dyDescent="0.3">
      <c r="A975" s="128"/>
      <c r="B975" s="46"/>
      <c r="C975" s="46"/>
      <c r="D975" s="46"/>
      <c r="E975" s="46"/>
      <c r="F975" s="128"/>
      <c r="G975" s="46"/>
      <c r="H975" s="46"/>
      <c r="I975" s="46"/>
      <c r="J975" s="46"/>
      <c r="K975" s="128"/>
      <c r="L975" s="46"/>
      <c r="M975" s="46"/>
      <c r="N975" s="46"/>
      <c r="O975" s="46"/>
      <c r="P975" s="128"/>
      <c r="Q975" s="46"/>
      <c r="R975" s="46"/>
      <c r="S975" s="46"/>
      <c r="T975" s="131"/>
    </row>
    <row r="976" spans="1:20" x14ac:dyDescent="0.3">
      <c r="A976" s="128"/>
      <c r="B976" s="46"/>
      <c r="C976" s="46"/>
      <c r="D976" s="46"/>
      <c r="E976" s="46"/>
      <c r="F976" s="128"/>
      <c r="G976" s="46"/>
      <c r="H976" s="46"/>
      <c r="I976" s="46"/>
      <c r="J976" s="46"/>
      <c r="K976" s="128"/>
      <c r="L976" s="46"/>
      <c r="M976" s="46"/>
      <c r="N976" s="46"/>
      <c r="O976" s="46"/>
      <c r="P976" s="128"/>
      <c r="Q976" s="46"/>
      <c r="R976" s="46"/>
      <c r="S976" s="46"/>
      <c r="T976" s="131"/>
    </row>
    <row r="977" spans="1:20" x14ac:dyDescent="0.3">
      <c r="A977" s="128"/>
      <c r="B977" s="46"/>
      <c r="C977" s="46"/>
      <c r="D977" s="46"/>
      <c r="E977" s="46"/>
      <c r="F977" s="128"/>
      <c r="G977" s="46"/>
      <c r="H977" s="46"/>
      <c r="I977" s="46"/>
      <c r="J977" s="46"/>
      <c r="K977" s="128"/>
      <c r="L977" s="46"/>
      <c r="M977" s="46"/>
      <c r="N977" s="46"/>
      <c r="O977" s="46"/>
      <c r="P977" s="128"/>
      <c r="Q977" s="46"/>
      <c r="R977" s="46"/>
      <c r="S977" s="46"/>
      <c r="T977" s="131"/>
    </row>
    <row r="978" spans="1:20" x14ac:dyDescent="0.3">
      <c r="A978" s="128"/>
      <c r="B978" s="46"/>
      <c r="C978" s="46"/>
      <c r="D978" s="46"/>
      <c r="E978" s="46"/>
      <c r="F978" s="128"/>
      <c r="G978" s="46"/>
      <c r="H978" s="46"/>
      <c r="I978" s="46"/>
      <c r="J978" s="46"/>
      <c r="K978" s="128"/>
      <c r="L978" s="46"/>
      <c r="M978" s="46"/>
      <c r="N978" s="46"/>
      <c r="O978" s="46"/>
      <c r="P978" s="128"/>
      <c r="Q978" s="46"/>
      <c r="R978" s="46"/>
      <c r="S978" s="46"/>
      <c r="T978" s="131"/>
    </row>
    <row r="979" spans="1:20" x14ac:dyDescent="0.3">
      <c r="A979" s="128"/>
      <c r="B979" s="46"/>
      <c r="C979" s="46"/>
      <c r="D979" s="46"/>
      <c r="E979" s="46"/>
      <c r="F979" s="128"/>
      <c r="G979" s="46"/>
      <c r="H979" s="46"/>
      <c r="I979" s="46"/>
      <c r="J979" s="46"/>
      <c r="K979" s="128"/>
      <c r="L979" s="46"/>
      <c r="M979" s="46"/>
      <c r="N979" s="46"/>
      <c r="O979" s="46"/>
      <c r="P979" s="128"/>
      <c r="Q979" s="46"/>
      <c r="R979" s="46"/>
      <c r="S979" s="46"/>
      <c r="T979" s="131"/>
    </row>
    <row r="980" spans="1:20" x14ac:dyDescent="0.3">
      <c r="A980" s="128"/>
      <c r="B980" s="46"/>
      <c r="C980" s="46"/>
      <c r="D980" s="46"/>
      <c r="E980" s="46"/>
      <c r="F980" s="128"/>
      <c r="G980" s="46"/>
      <c r="H980" s="46"/>
      <c r="I980" s="46"/>
      <c r="J980" s="46"/>
      <c r="K980" s="128"/>
      <c r="L980" s="46"/>
      <c r="M980" s="46"/>
      <c r="N980" s="46"/>
      <c r="O980" s="46"/>
      <c r="P980" s="128"/>
      <c r="Q980" s="46"/>
      <c r="R980" s="46"/>
      <c r="S980" s="46"/>
      <c r="T980" s="131"/>
    </row>
    <row r="981" spans="1:20" x14ac:dyDescent="0.3">
      <c r="A981" s="128"/>
      <c r="B981" s="46"/>
      <c r="C981" s="46"/>
      <c r="D981" s="46"/>
      <c r="E981" s="46"/>
      <c r="F981" s="128"/>
      <c r="G981" s="46"/>
      <c r="H981" s="46"/>
      <c r="I981" s="46"/>
      <c r="J981" s="46"/>
      <c r="K981" s="128"/>
      <c r="L981" s="46"/>
      <c r="M981" s="46"/>
      <c r="N981" s="46"/>
      <c r="O981" s="46"/>
      <c r="P981" s="128"/>
      <c r="Q981" s="46"/>
      <c r="R981" s="46"/>
      <c r="S981" s="46"/>
      <c r="T981" s="131"/>
    </row>
    <row r="982" spans="1:20" x14ac:dyDescent="0.3">
      <c r="A982" s="128"/>
      <c r="B982" s="46"/>
      <c r="C982" s="46"/>
      <c r="D982" s="46"/>
      <c r="E982" s="46"/>
      <c r="F982" s="128"/>
      <c r="G982" s="46"/>
      <c r="H982" s="46"/>
      <c r="I982" s="46"/>
      <c r="J982" s="46"/>
      <c r="K982" s="128"/>
      <c r="L982" s="46"/>
      <c r="M982" s="46"/>
      <c r="N982" s="46"/>
      <c r="O982" s="46"/>
      <c r="P982" s="128"/>
      <c r="Q982" s="46"/>
      <c r="R982" s="46"/>
      <c r="S982" s="46"/>
      <c r="T982" s="131"/>
    </row>
    <row r="983" spans="1:20" x14ac:dyDescent="0.3">
      <c r="A983" s="128"/>
      <c r="B983" s="46"/>
      <c r="C983" s="46"/>
      <c r="D983" s="46"/>
      <c r="E983" s="46"/>
      <c r="F983" s="128"/>
      <c r="G983" s="46"/>
      <c r="H983" s="46"/>
      <c r="I983" s="46"/>
      <c r="J983" s="46"/>
      <c r="K983" s="128"/>
      <c r="L983" s="46"/>
      <c r="M983" s="46"/>
      <c r="N983" s="46"/>
      <c r="O983" s="46"/>
      <c r="P983" s="128"/>
      <c r="Q983" s="46"/>
      <c r="R983" s="46"/>
      <c r="S983" s="46"/>
      <c r="T983" s="131"/>
    </row>
    <row r="984" spans="1:20" x14ac:dyDescent="0.3">
      <c r="A984" s="128"/>
      <c r="B984" s="46"/>
      <c r="C984" s="46"/>
      <c r="D984" s="46"/>
      <c r="E984" s="46"/>
      <c r="F984" s="128"/>
      <c r="G984" s="46"/>
      <c r="H984" s="46"/>
      <c r="I984" s="46"/>
      <c r="J984" s="46"/>
      <c r="K984" s="128"/>
      <c r="L984" s="46"/>
      <c r="M984" s="46"/>
      <c r="N984" s="46"/>
      <c r="O984" s="46"/>
      <c r="P984" s="128"/>
      <c r="Q984" s="46"/>
      <c r="R984" s="46"/>
      <c r="S984" s="46"/>
      <c r="T984" s="131"/>
    </row>
    <row r="985" spans="1:20" x14ac:dyDescent="0.3">
      <c r="A985" s="128"/>
      <c r="B985" s="46"/>
      <c r="C985" s="46"/>
      <c r="D985" s="46"/>
      <c r="E985" s="46"/>
      <c r="F985" s="128"/>
      <c r="G985" s="46"/>
      <c r="H985" s="46"/>
      <c r="I985" s="46"/>
      <c r="J985" s="46"/>
      <c r="K985" s="128"/>
      <c r="L985" s="46"/>
      <c r="M985" s="46"/>
      <c r="N985" s="46"/>
      <c r="O985" s="46"/>
      <c r="P985" s="128"/>
      <c r="Q985" s="46"/>
      <c r="R985" s="46"/>
      <c r="S985" s="46"/>
      <c r="T985" s="131"/>
    </row>
    <row r="986" spans="1:20" x14ac:dyDescent="0.3">
      <c r="A986" s="128"/>
      <c r="B986" s="46"/>
      <c r="C986" s="46"/>
      <c r="D986" s="46"/>
      <c r="E986" s="46"/>
      <c r="F986" s="128"/>
      <c r="G986" s="46"/>
      <c r="H986" s="46"/>
      <c r="I986" s="46"/>
      <c r="J986" s="46"/>
      <c r="K986" s="128"/>
      <c r="L986" s="46"/>
      <c r="M986" s="46"/>
      <c r="N986" s="46"/>
      <c r="O986" s="46"/>
      <c r="P986" s="128"/>
      <c r="Q986" s="46"/>
      <c r="R986" s="46"/>
      <c r="S986" s="46"/>
      <c r="T986" s="131"/>
    </row>
    <row r="987" spans="1:20" x14ac:dyDescent="0.3">
      <c r="A987" s="128"/>
      <c r="B987" s="46"/>
      <c r="C987" s="46"/>
      <c r="D987" s="46"/>
      <c r="E987" s="46"/>
      <c r="F987" s="128"/>
      <c r="G987" s="46"/>
      <c r="H987" s="46"/>
      <c r="I987" s="46"/>
      <c r="J987" s="46"/>
      <c r="K987" s="128"/>
      <c r="L987" s="46"/>
      <c r="M987" s="46"/>
      <c r="N987" s="46"/>
      <c r="O987" s="46"/>
      <c r="P987" s="128"/>
      <c r="Q987" s="46"/>
      <c r="R987" s="46"/>
      <c r="S987" s="46"/>
      <c r="T987" s="131"/>
    </row>
    <row r="988" spans="1:20" x14ac:dyDescent="0.3">
      <c r="A988" s="128"/>
      <c r="B988" s="46"/>
      <c r="C988" s="46"/>
      <c r="D988" s="46"/>
      <c r="E988" s="46"/>
      <c r="F988" s="128"/>
      <c r="G988" s="46"/>
      <c r="H988" s="46"/>
      <c r="I988" s="46"/>
      <c r="J988" s="46"/>
      <c r="K988" s="128"/>
      <c r="L988" s="46"/>
      <c r="M988" s="46"/>
      <c r="N988" s="46"/>
      <c r="O988" s="46"/>
      <c r="P988" s="128"/>
      <c r="Q988" s="46"/>
      <c r="R988" s="46"/>
      <c r="S988" s="46"/>
      <c r="T988" s="131"/>
    </row>
    <row r="989" spans="1:20" x14ac:dyDescent="0.3">
      <c r="A989" s="128"/>
      <c r="B989" s="46"/>
      <c r="C989" s="46"/>
      <c r="D989" s="46"/>
      <c r="E989" s="46"/>
      <c r="F989" s="128"/>
      <c r="G989" s="46"/>
      <c r="H989" s="46"/>
      <c r="I989" s="46"/>
      <c r="J989" s="46"/>
      <c r="K989" s="128"/>
      <c r="L989" s="46"/>
      <c r="M989" s="46"/>
      <c r="N989" s="46"/>
      <c r="O989" s="46"/>
      <c r="P989" s="128"/>
      <c r="Q989" s="46"/>
      <c r="R989" s="46"/>
      <c r="S989" s="46"/>
      <c r="T989" s="131"/>
    </row>
    <row r="990" spans="1:20" x14ac:dyDescent="0.3">
      <c r="A990" s="128"/>
      <c r="B990" s="46"/>
      <c r="C990" s="46"/>
      <c r="D990" s="46"/>
      <c r="E990" s="46"/>
      <c r="F990" s="128"/>
      <c r="G990" s="46"/>
      <c r="H990" s="46"/>
      <c r="I990" s="46"/>
      <c r="J990" s="46"/>
      <c r="K990" s="128"/>
      <c r="L990" s="46"/>
      <c r="M990" s="46"/>
      <c r="N990" s="46"/>
      <c r="O990" s="46"/>
      <c r="P990" s="128"/>
      <c r="Q990" s="46"/>
      <c r="R990" s="46"/>
      <c r="S990" s="46"/>
      <c r="T990" s="131"/>
    </row>
    <row r="991" spans="1:20" x14ac:dyDescent="0.3">
      <c r="A991" s="128"/>
      <c r="B991" s="46"/>
      <c r="C991" s="46"/>
      <c r="D991" s="46"/>
      <c r="E991" s="46"/>
      <c r="F991" s="128"/>
      <c r="G991" s="46"/>
      <c r="H991" s="46"/>
      <c r="I991" s="46"/>
      <c r="J991" s="46"/>
      <c r="K991" s="128"/>
      <c r="L991" s="46"/>
      <c r="M991" s="46"/>
      <c r="N991" s="46"/>
      <c r="O991" s="46"/>
      <c r="P991" s="128"/>
      <c r="Q991" s="46"/>
      <c r="R991" s="46"/>
      <c r="S991" s="46"/>
      <c r="T991" s="131"/>
    </row>
    <row r="992" spans="1:20" x14ac:dyDescent="0.3">
      <c r="A992" s="128"/>
      <c r="B992" s="46"/>
      <c r="C992" s="46"/>
      <c r="D992" s="46"/>
      <c r="E992" s="46"/>
      <c r="F992" s="128"/>
      <c r="G992" s="46"/>
      <c r="H992" s="46"/>
      <c r="I992" s="46"/>
      <c r="J992" s="46"/>
      <c r="K992" s="128"/>
      <c r="L992" s="46"/>
      <c r="M992" s="46"/>
      <c r="N992" s="46"/>
      <c r="O992" s="46"/>
      <c r="P992" s="128"/>
      <c r="Q992" s="46"/>
      <c r="R992" s="46"/>
      <c r="S992" s="46"/>
      <c r="T992" s="131"/>
    </row>
    <row r="993" spans="1:20" x14ac:dyDescent="0.3">
      <c r="A993" s="128"/>
      <c r="B993" s="46"/>
      <c r="C993" s="46"/>
      <c r="D993" s="46"/>
      <c r="E993" s="46"/>
      <c r="F993" s="128"/>
      <c r="G993" s="46"/>
      <c r="H993" s="46"/>
      <c r="I993" s="46"/>
      <c r="J993" s="46"/>
      <c r="K993" s="128"/>
      <c r="L993" s="46"/>
      <c r="M993" s="46"/>
      <c r="N993" s="46"/>
      <c r="O993" s="46"/>
      <c r="P993" s="128"/>
      <c r="Q993" s="46"/>
      <c r="R993" s="46"/>
      <c r="S993" s="46"/>
      <c r="T993" s="131"/>
    </row>
    <row r="994" spans="1:20" x14ac:dyDescent="0.3">
      <c r="A994" s="128"/>
      <c r="B994" s="46"/>
      <c r="C994" s="46"/>
      <c r="D994" s="46"/>
      <c r="E994" s="46"/>
      <c r="F994" s="128"/>
      <c r="G994" s="46"/>
      <c r="H994" s="46"/>
      <c r="I994" s="46"/>
      <c r="J994" s="46"/>
      <c r="K994" s="128"/>
      <c r="L994" s="46"/>
      <c r="M994" s="46"/>
      <c r="N994" s="46"/>
      <c r="O994" s="46"/>
      <c r="P994" s="128"/>
      <c r="Q994" s="46"/>
      <c r="R994" s="46"/>
      <c r="S994" s="46"/>
      <c r="T994" s="131"/>
    </row>
    <row r="995" spans="1:20" x14ac:dyDescent="0.3">
      <c r="A995" s="128"/>
      <c r="B995" s="46"/>
      <c r="C995" s="46"/>
      <c r="D995" s="46"/>
      <c r="E995" s="46"/>
      <c r="F995" s="128"/>
      <c r="G995" s="46"/>
      <c r="H995" s="46"/>
      <c r="I995" s="46"/>
      <c r="J995" s="46"/>
      <c r="K995" s="128"/>
      <c r="L995" s="46"/>
      <c r="M995" s="46"/>
      <c r="N995" s="46"/>
      <c r="O995" s="46"/>
      <c r="P995" s="128"/>
      <c r="Q995" s="46"/>
      <c r="R995" s="46"/>
      <c r="S995" s="46"/>
      <c r="T995" s="131"/>
    </row>
    <row r="996" spans="1:20" x14ac:dyDescent="0.3">
      <c r="A996" s="128"/>
      <c r="B996" s="46"/>
      <c r="C996" s="46"/>
      <c r="D996" s="46"/>
      <c r="E996" s="46"/>
      <c r="F996" s="128"/>
      <c r="G996" s="46"/>
      <c r="H996" s="46"/>
      <c r="I996" s="46"/>
      <c r="J996" s="46"/>
      <c r="K996" s="128"/>
      <c r="L996" s="46"/>
      <c r="M996" s="46"/>
      <c r="N996" s="46"/>
      <c r="O996" s="46"/>
      <c r="P996" s="128"/>
      <c r="Q996" s="46"/>
      <c r="R996" s="46"/>
      <c r="S996" s="46"/>
      <c r="T996" s="131"/>
    </row>
    <row r="997" spans="1:20" x14ac:dyDescent="0.3">
      <c r="A997" s="128"/>
      <c r="B997" s="46"/>
      <c r="C997" s="46"/>
      <c r="D997" s="46"/>
      <c r="E997" s="46"/>
      <c r="F997" s="128"/>
      <c r="G997" s="46"/>
      <c r="H997" s="46"/>
      <c r="I997" s="46"/>
      <c r="J997" s="46"/>
      <c r="K997" s="128"/>
      <c r="L997" s="46"/>
      <c r="M997" s="46"/>
      <c r="N997" s="46"/>
      <c r="O997" s="46"/>
      <c r="P997" s="128"/>
      <c r="Q997" s="46"/>
      <c r="R997" s="46"/>
      <c r="S997" s="46"/>
      <c r="T997" s="131"/>
    </row>
    <row r="998" spans="1:20" x14ac:dyDescent="0.3">
      <c r="A998" s="128"/>
      <c r="B998" s="46"/>
      <c r="C998" s="46"/>
      <c r="D998" s="46"/>
      <c r="E998" s="46"/>
      <c r="F998" s="128"/>
      <c r="G998" s="46"/>
      <c r="H998" s="46"/>
      <c r="I998" s="46"/>
      <c r="J998" s="46"/>
      <c r="K998" s="128"/>
      <c r="L998" s="46"/>
      <c r="M998" s="46"/>
      <c r="N998" s="46"/>
      <c r="O998" s="46"/>
      <c r="P998" s="128"/>
      <c r="Q998" s="46"/>
      <c r="R998" s="46"/>
      <c r="S998" s="46"/>
      <c r="T998" s="131"/>
    </row>
    <row r="999" spans="1:20" x14ac:dyDescent="0.3">
      <c r="A999" s="128"/>
      <c r="B999" s="46"/>
      <c r="C999" s="46"/>
      <c r="D999" s="46"/>
      <c r="E999" s="46"/>
      <c r="F999" s="128"/>
      <c r="G999" s="46"/>
      <c r="H999" s="46"/>
      <c r="I999" s="46"/>
      <c r="J999" s="46"/>
      <c r="K999" s="128"/>
      <c r="L999" s="46"/>
      <c r="M999" s="46"/>
      <c r="N999" s="46"/>
      <c r="O999" s="46"/>
      <c r="P999" s="128"/>
      <c r="Q999" s="46"/>
      <c r="R999" s="46"/>
      <c r="S999" s="46"/>
      <c r="T999" s="131"/>
    </row>
    <row r="1000" spans="1:20" x14ac:dyDescent="0.3">
      <c r="A1000" s="128"/>
      <c r="B1000" s="46"/>
      <c r="C1000" s="46"/>
      <c r="D1000" s="46"/>
      <c r="E1000" s="46"/>
      <c r="F1000" s="128"/>
      <c r="G1000" s="46"/>
      <c r="H1000" s="46"/>
      <c r="I1000" s="46"/>
      <c r="J1000" s="46"/>
      <c r="K1000" s="128"/>
      <c r="L1000" s="46"/>
      <c r="M1000" s="46"/>
      <c r="N1000" s="46"/>
      <c r="O1000" s="46"/>
      <c r="P1000" s="128"/>
      <c r="Q1000" s="46"/>
      <c r="R1000" s="46"/>
      <c r="S1000" s="46"/>
      <c r="T1000" s="131"/>
    </row>
  </sheetData>
  <mergeCells count="12">
    <mergeCell ref="A1:E1"/>
    <mergeCell ref="A2:C2"/>
    <mergeCell ref="D2:E2"/>
    <mergeCell ref="F1:J1"/>
    <mergeCell ref="F2:H2"/>
    <mergeCell ref="I2:J2"/>
    <mergeCell ref="K1:O1"/>
    <mergeCell ref="K2:M2"/>
    <mergeCell ref="N2:O2"/>
    <mergeCell ref="P1:T1"/>
    <mergeCell ref="P2:R2"/>
    <mergeCell ref="S2:T2"/>
  </mergeCells>
  <pageMargins left="0.511811024" right="0.511811024" top="0.78740157499999996" bottom="0.78740157499999996" header="0.31496062000000002" footer="0.31496062000000002"/>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C1:S20"/>
  <sheetViews>
    <sheetView workbookViewId="0">
      <selection activeCell="E18" sqref="E18"/>
    </sheetView>
  </sheetViews>
  <sheetFormatPr defaultRowHeight="14.4" x14ac:dyDescent="0.3"/>
  <cols>
    <col min="10" max="10" width="12.5546875" customWidth="1"/>
  </cols>
  <sheetData>
    <row r="1" spans="3:19" x14ac:dyDescent="0.3">
      <c r="C1">
        <v>0</v>
      </c>
      <c r="D1">
        <v>250</v>
      </c>
      <c r="E1">
        <v>500</v>
      </c>
      <c r="F1">
        <v>750</v>
      </c>
      <c r="G1">
        <v>1000</v>
      </c>
      <c r="H1">
        <v>1250</v>
      </c>
      <c r="J1" t="s">
        <v>162</v>
      </c>
    </row>
    <row r="2" spans="3:19" x14ac:dyDescent="0.3">
      <c r="C2">
        <v>1</v>
      </c>
      <c r="D2">
        <v>500</v>
      </c>
      <c r="E2">
        <v>750</v>
      </c>
      <c r="F2">
        <v>1000</v>
      </c>
      <c r="G2">
        <v>1250</v>
      </c>
      <c r="H2">
        <v>1500</v>
      </c>
    </row>
    <row r="3" spans="3:19" x14ac:dyDescent="0.3">
      <c r="C3">
        <v>2</v>
      </c>
      <c r="D3">
        <v>750</v>
      </c>
      <c r="E3">
        <v>1000</v>
      </c>
      <c r="F3">
        <v>1250</v>
      </c>
      <c r="G3">
        <v>1500</v>
      </c>
      <c r="H3">
        <v>1750</v>
      </c>
      <c r="J3" t="s">
        <v>165</v>
      </c>
      <c r="K3" t="s">
        <v>166</v>
      </c>
      <c r="L3" t="s">
        <v>167</v>
      </c>
      <c r="M3" t="s">
        <v>168</v>
      </c>
      <c r="N3" t="s">
        <v>169</v>
      </c>
      <c r="O3" t="s">
        <v>170</v>
      </c>
      <c r="P3" t="s">
        <v>171</v>
      </c>
      <c r="Q3" t="s">
        <v>172</v>
      </c>
      <c r="R3" t="s">
        <v>174</v>
      </c>
      <c r="S3" t="s">
        <v>173</v>
      </c>
    </row>
    <row r="4" spans="3:19" x14ac:dyDescent="0.3">
      <c r="C4">
        <v>3</v>
      </c>
      <c r="D4">
        <v>1000</v>
      </c>
      <c r="E4">
        <v>1250</v>
      </c>
      <c r="F4">
        <v>1500</v>
      </c>
      <c r="G4">
        <v>1750</v>
      </c>
      <c r="H4">
        <v>2000</v>
      </c>
      <c r="J4">
        <v>0</v>
      </c>
      <c r="K4">
        <v>0</v>
      </c>
      <c r="L4">
        <v>0</v>
      </c>
      <c r="M4">
        <v>0</v>
      </c>
      <c r="N4">
        <v>0</v>
      </c>
      <c r="O4">
        <v>0</v>
      </c>
      <c r="P4">
        <v>0</v>
      </c>
      <c r="Q4">
        <v>0</v>
      </c>
      <c r="R4">
        <v>0</v>
      </c>
    </row>
    <row r="5" spans="3:19" x14ac:dyDescent="0.3">
      <c r="C5">
        <v>4</v>
      </c>
      <c r="D5">
        <v>1250</v>
      </c>
      <c r="E5">
        <v>1500</v>
      </c>
      <c r="F5">
        <v>1750</v>
      </c>
      <c r="G5">
        <v>2000</v>
      </c>
      <c r="H5">
        <v>2250</v>
      </c>
      <c r="J5">
        <v>0</v>
      </c>
      <c r="K5">
        <v>0</v>
      </c>
      <c r="L5">
        <v>0</v>
      </c>
      <c r="M5">
        <v>0</v>
      </c>
      <c r="N5">
        <v>0</v>
      </c>
      <c r="O5">
        <v>1</v>
      </c>
      <c r="P5">
        <v>0</v>
      </c>
      <c r="Q5">
        <v>0</v>
      </c>
      <c r="R5">
        <v>0</v>
      </c>
    </row>
    <row r="6" spans="3:19" x14ac:dyDescent="0.3">
      <c r="C6">
        <v>5</v>
      </c>
      <c r="D6">
        <v>1500</v>
      </c>
      <c r="E6">
        <v>1750</v>
      </c>
      <c r="F6">
        <v>2000</v>
      </c>
      <c r="G6">
        <v>2250</v>
      </c>
      <c r="H6">
        <v>2500</v>
      </c>
      <c r="I6">
        <v>1</v>
      </c>
      <c r="J6">
        <v>0</v>
      </c>
      <c r="K6">
        <v>1</v>
      </c>
      <c r="L6">
        <v>0</v>
      </c>
      <c r="M6">
        <v>0</v>
      </c>
      <c r="N6">
        <v>0</v>
      </c>
      <c r="O6">
        <v>1</v>
      </c>
      <c r="P6">
        <v>0</v>
      </c>
      <c r="Q6">
        <v>0</v>
      </c>
      <c r="R6">
        <v>0</v>
      </c>
    </row>
    <row r="7" spans="3:19" x14ac:dyDescent="0.3">
      <c r="C7">
        <v>6</v>
      </c>
      <c r="D7">
        <v>1750</v>
      </c>
      <c r="E7">
        <v>2000</v>
      </c>
      <c r="F7">
        <v>2250</v>
      </c>
      <c r="G7">
        <v>2500</v>
      </c>
      <c r="H7">
        <v>2750</v>
      </c>
      <c r="I7">
        <v>2</v>
      </c>
      <c r="J7">
        <v>0</v>
      </c>
      <c r="K7">
        <v>1</v>
      </c>
      <c r="L7">
        <v>0</v>
      </c>
      <c r="M7">
        <v>0</v>
      </c>
      <c r="N7">
        <v>0</v>
      </c>
      <c r="O7">
        <v>1</v>
      </c>
      <c r="P7">
        <v>0</v>
      </c>
      <c r="Q7">
        <v>0</v>
      </c>
      <c r="R7">
        <v>0</v>
      </c>
    </row>
    <row r="8" spans="3:19" x14ac:dyDescent="0.3">
      <c r="C8">
        <v>7</v>
      </c>
      <c r="D8">
        <v>2000</v>
      </c>
      <c r="E8">
        <v>2250</v>
      </c>
      <c r="F8">
        <v>2500</v>
      </c>
      <c r="G8">
        <v>2750</v>
      </c>
      <c r="H8">
        <v>3000</v>
      </c>
      <c r="I8">
        <v>3</v>
      </c>
      <c r="J8">
        <v>0</v>
      </c>
      <c r="K8">
        <v>1</v>
      </c>
      <c r="L8">
        <v>1</v>
      </c>
      <c r="M8">
        <v>0</v>
      </c>
      <c r="N8">
        <v>0</v>
      </c>
      <c r="O8">
        <v>1</v>
      </c>
      <c r="P8">
        <v>0</v>
      </c>
      <c r="Q8">
        <v>0</v>
      </c>
      <c r="R8">
        <v>0</v>
      </c>
    </row>
    <row r="9" spans="3:19" x14ac:dyDescent="0.3">
      <c r="C9">
        <v>8</v>
      </c>
      <c r="D9">
        <v>2250</v>
      </c>
      <c r="E9">
        <v>2500</v>
      </c>
      <c r="F9">
        <v>2750</v>
      </c>
      <c r="G9">
        <v>3000</v>
      </c>
      <c r="H9">
        <v>3250</v>
      </c>
      <c r="I9">
        <v>4</v>
      </c>
      <c r="J9">
        <v>0</v>
      </c>
      <c r="K9">
        <v>1</v>
      </c>
      <c r="L9">
        <v>1</v>
      </c>
      <c r="M9">
        <v>0</v>
      </c>
      <c r="N9">
        <v>0</v>
      </c>
      <c r="O9">
        <v>1</v>
      </c>
      <c r="P9">
        <v>0</v>
      </c>
      <c r="Q9">
        <v>0</v>
      </c>
      <c r="R9">
        <v>0</v>
      </c>
    </row>
    <row r="10" spans="3:19" x14ac:dyDescent="0.3">
      <c r="C10">
        <f t="shared" ref="C10:H10" si="0">SUM(C1:C9)</f>
        <v>36</v>
      </c>
      <c r="D10">
        <f t="shared" si="0"/>
        <v>11250</v>
      </c>
      <c r="E10">
        <f t="shared" si="0"/>
        <v>13500</v>
      </c>
      <c r="F10">
        <f t="shared" si="0"/>
        <v>15750</v>
      </c>
      <c r="G10">
        <f t="shared" si="0"/>
        <v>18000</v>
      </c>
      <c r="H10">
        <f t="shared" si="0"/>
        <v>20250</v>
      </c>
      <c r="I10">
        <v>5</v>
      </c>
      <c r="J10">
        <v>0</v>
      </c>
      <c r="K10">
        <v>1</v>
      </c>
      <c r="L10">
        <v>1</v>
      </c>
      <c r="M10">
        <v>0</v>
      </c>
      <c r="N10">
        <v>0</v>
      </c>
      <c r="O10">
        <v>1</v>
      </c>
      <c r="P10">
        <v>0</v>
      </c>
      <c r="Q10">
        <v>0</v>
      </c>
      <c r="R10">
        <v>0</v>
      </c>
    </row>
    <row r="11" spans="3:19" x14ac:dyDescent="0.3">
      <c r="E11">
        <f>(E10-D10)</f>
        <v>2250</v>
      </c>
      <c r="F11">
        <f>(F10-E10)</f>
        <v>2250</v>
      </c>
      <c r="G11">
        <f>(G10-F10)</f>
        <v>2250</v>
      </c>
      <c r="H11">
        <f>(H10-G10)</f>
        <v>2250</v>
      </c>
      <c r="I11">
        <v>6</v>
      </c>
      <c r="J11">
        <v>0</v>
      </c>
      <c r="K11">
        <v>1</v>
      </c>
      <c r="L11">
        <v>1</v>
      </c>
      <c r="M11">
        <v>1</v>
      </c>
      <c r="N11">
        <v>0</v>
      </c>
      <c r="O11">
        <v>1</v>
      </c>
      <c r="P11">
        <v>0</v>
      </c>
      <c r="Q11">
        <v>0</v>
      </c>
      <c r="R11">
        <v>0</v>
      </c>
    </row>
    <row r="12" spans="3:19" x14ac:dyDescent="0.3">
      <c r="C12" t="s">
        <v>163</v>
      </c>
      <c r="D12">
        <f>D1+(9-1)*250</f>
        <v>2250</v>
      </c>
      <c r="E12">
        <f>E1+(9-1)*250</f>
        <v>2500</v>
      </c>
      <c r="F12">
        <f>F1+(9-1)*250</f>
        <v>2750</v>
      </c>
      <c r="G12">
        <f>G1+(9-1)*250</f>
        <v>3000</v>
      </c>
      <c r="H12">
        <f>H1+(9-1)*250</f>
        <v>3250</v>
      </c>
      <c r="I12">
        <v>7</v>
      </c>
      <c r="J12">
        <v>0</v>
      </c>
      <c r="K12">
        <v>1</v>
      </c>
      <c r="L12">
        <v>1</v>
      </c>
      <c r="M12">
        <v>1</v>
      </c>
      <c r="N12">
        <v>0</v>
      </c>
      <c r="O12">
        <v>1</v>
      </c>
      <c r="P12">
        <v>0</v>
      </c>
      <c r="Q12">
        <v>0</v>
      </c>
      <c r="R12">
        <v>0</v>
      </c>
    </row>
    <row r="13" spans="3:19" x14ac:dyDescent="0.3">
      <c r="C13" t="s">
        <v>164</v>
      </c>
      <c r="D13">
        <f>(9/2)*(D12+D1)</f>
        <v>11250</v>
      </c>
      <c r="E13">
        <f>(9/2)*(E12+E1)</f>
        <v>13500</v>
      </c>
      <c r="F13">
        <f>(9/2)*(F12+F1)</f>
        <v>15750</v>
      </c>
      <c r="G13">
        <f>(9/2)*(G12+G1)</f>
        <v>18000</v>
      </c>
      <c r="H13">
        <f>(9/2)*(H12+H1)</f>
        <v>20250</v>
      </c>
      <c r="I13">
        <v>8</v>
      </c>
      <c r="J13">
        <v>0</v>
      </c>
      <c r="K13">
        <v>1</v>
      </c>
      <c r="L13">
        <v>1</v>
      </c>
      <c r="M13">
        <v>1</v>
      </c>
      <c r="N13">
        <v>0</v>
      </c>
      <c r="O13">
        <v>1</v>
      </c>
      <c r="P13">
        <v>0</v>
      </c>
      <c r="Q13">
        <v>0</v>
      </c>
      <c r="R13">
        <v>0</v>
      </c>
    </row>
    <row r="14" spans="3:19" x14ac:dyDescent="0.3">
      <c r="I14">
        <v>9</v>
      </c>
      <c r="J14">
        <v>0</v>
      </c>
      <c r="K14">
        <v>1</v>
      </c>
      <c r="L14">
        <v>1</v>
      </c>
      <c r="M14">
        <v>1</v>
      </c>
      <c r="N14">
        <v>0</v>
      </c>
      <c r="O14">
        <v>1</v>
      </c>
      <c r="P14">
        <v>0</v>
      </c>
      <c r="Q14">
        <v>0</v>
      </c>
      <c r="R14">
        <v>0</v>
      </c>
    </row>
    <row r="15" spans="3:19" x14ac:dyDescent="0.3">
      <c r="I15">
        <v>10</v>
      </c>
      <c r="J15">
        <v>1</v>
      </c>
      <c r="K15">
        <v>1</v>
      </c>
      <c r="L15">
        <v>1</v>
      </c>
      <c r="M15">
        <v>1</v>
      </c>
      <c r="N15">
        <v>1</v>
      </c>
      <c r="O15">
        <v>1</v>
      </c>
      <c r="P15">
        <v>1</v>
      </c>
      <c r="Q15">
        <v>1</v>
      </c>
      <c r="R15">
        <v>1</v>
      </c>
    </row>
    <row r="16" spans="3:19" x14ac:dyDescent="0.3">
      <c r="J16">
        <v>0</v>
      </c>
      <c r="K16">
        <v>0</v>
      </c>
      <c r="L16">
        <v>1</v>
      </c>
      <c r="M16">
        <v>1</v>
      </c>
      <c r="N16">
        <v>1</v>
      </c>
      <c r="O16">
        <v>0</v>
      </c>
      <c r="P16">
        <v>1</v>
      </c>
      <c r="Q16">
        <v>1</v>
      </c>
      <c r="R16">
        <v>0</v>
      </c>
    </row>
    <row r="17" spans="10:18" x14ac:dyDescent="0.3">
      <c r="J17">
        <v>0</v>
      </c>
      <c r="K17">
        <v>0</v>
      </c>
      <c r="L17">
        <v>0</v>
      </c>
      <c r="M17">
        <v>1</v>
      </c>
      <c r="N17">
        <v>1</v>
      </c>
      <c r="O17">
        <v>0</v>
      </c>
      <c r="P17">
        <v>0</v>
      </c>
      <c r="Q17">
        <v>0</v>
      </c>
      <c r="R17">
        <v>0</v>
      </c>
    </row>
    <row r="18" spans="10:18" x14ac:dyDescent="0.3">
      <c r="J18">
        <v>0</v>
      </c>
      <c r="K18">
        <v>0</v>
      </c>
      <c r="L18">
        <v>0</v>
      </c>
      <c r="M18">
        <v>0</v>
      </c>
      <c r="N18">
        <v>1</v>
      </c>
      <c r="O18">
        <v>0</v>
      </c>
      <c r="P18">
        <v>0</v>
      </c>
      <c r="Q18">
        <v>0</v>
      </c>
      <c r="R18">
        <v>0</v>
      </c>
    </row>
    <row r="19" spans="10:18" x14ac:dyDescent="0.3">
      <c r="J19">
        <v>0</v>
      </c>
      <c r="K19">
        <v>0</v>
      </c>
      <c r="L19">
        <v>0</v>
      </c>
      <c r="M19">
        <v>0</v>
      </c>
      <c r="N19">
        <v>0</v>
      </c>
      <c r="O19">
        <v>0</v>
      </c>
      <c r="P19">
        <v>0</v>
      </c>
      <c r="Q19">
        <v>0</v>
      </c>
      <c r="R19">
        <v>0</v>
      </c>
    </row>
    <row r="20" spans="10:18" x14ac:dyDescent="0.3">
      <c r="O20">
        <v>1</v>
      </c>
    </row>
  </sheetData>
  <pageMargins left="0.511811024" right="0.511811024" top="0.78740157499999996" bottom="0.78740157499999996" header="0.31496062000000002" footer="0.31496062000000002"/>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dimension ref="A1:K10"/>
  <sheetViews>
    <sheetView workbookViewId="0">
      <selection activeCell="G16" sqref="G16"/>
    </sheetView>
  </sheetViews>
  <sheetFormatPr defaultRowHeight="14.4" x14ac:dyDescent="0.3"/>
  <sheetData>
    <row r="1" spans="1:11" x14ac:dyDescent="0.3">
      <c r="A1" t="s">
        <v>71</v>
      </c>
    </row>
    <row r="2" spans="1:11" x14ac:dyDescent="0.3">
      <c r="A2">
        <v>1</v>
      </c>
      <c r="B2">
        <v>2</v>
      </c>
      <c r="C2">
        <v>3</v>
      </c>
      <c r="D2">
        <v>4</v>
      </c>
      <c r="E2">
        <v>5</v>
      </c>
      <c r="F2">
        <v>6</v>
      </c>
      <c r="G2">
        <v>7</v>
      </c>
      <c r="H2">
        <v>8</v>
      </c>
    </row>
    <row r="3" spans="1:11" x14ac:dyDescent="0.3">
      <c r="A3">
        <v>5</v>
      </c>
      <c r="B3">
        <v>5</v>
      </c>
      <c r="C3">
        <v>5</v>
      </c>
      <c r="D3">
        <v>5</v>
      </c>
      <c r="E3">
        <v>5</v>
      </c>
      <c r="F3">
        <v>5</v>
      </c>
      <c r="G3">
        <v>5</v>
      </c>
      <c r="H3">
        <v>5</v>
      </c>
      <c r="I3">
        <f>SUM(A3:H3)</f>
        <v>40</v>
      </c>
    </row>
    <row r="4" spans="1:11" x14ac:dyDescent="0.3">
      <c r="A4">
        <v>10</v>
      </c>
      <c r="B4">
        <v>10</v>
      </c>
      <c r="C4">
        <v>10</v>
      </c>
      <c r="D4">
        <v>10</v>
      </c>
      <c r="E4">
        <v>10</v>
      </c>
      <c r="F4">
        <v>10</v>
      </c>
      <c r="G4">
        <v>10</v>
      </c>
      <c r="H4">
        <v>10</v>
      </c>
      <c r="I4">
        <f>SUM(A4:H4)</f>
        <v>80</v>
      </c>
    </row>
    <row r="5" spans="1:11" x14ac:dyDescent="0.3">
      <c r="A5">
        <v>15</v>
      </c>
      <c r="B5">
        <v>15</v>
      </c>
      <c r="C5">
        <v>15</v>
      </c>
      <c r="D5">
        <v>15</v>
      </c>
      <c r="E5">
        <v>15</v>
      </c>
      <c r="F5">
        <v>15</v>
      </c>
      <c r="G5">
        <v>15</v>
      </c>
      <c r="H5">
        <v>15</v>
      </c>
      <c r="I5">
        <f t="shared" ref="I5:I10" si="0">SUM(A5:H5)</f>
        <v>120</v>
      </c>
    </row>
    <row r="6" spans="1:11" x14ac:dyDescent="0.3">
      <c r="A6">
        <v>20</v>
      </c>
      <c r="B6">
        <v>20</v>
      </c>
      <c r="C6">
        <v>20</v>
      </c>
      <c r="D6">
        <v>20</v>
      </c>
      <c r="E6">
        <v>20</v>
      </c>
      <c r="F6">
        <v>20</v>
      </c>
      <c r="G6">
        <v>20</v>
      </c>
      <c r="H6">
        <v>20</v>
      </c>
      <c r="I6">
        <f t="shared" si="0"/>
        <v>160</v>
      </c>
    </row>
    <row r="7" spans="1:11" x14ac:dyDescent="0.3">
      <c r="A7">
        <v>25</v>
      </c>
      <c r="B7">
        <v>25</v>
      </c>
      <c r="C7">
        <v>25</v>
      </c>
      <c r="D7">
        <v>25</v>
      </c>
      <c r="E7">
        <v>25</v>
      </c>
      <c r="F7">
        <v>25</v>
      </c>
      <c r="G7">
        <v>25</v>
      </c>
      <c r="H7">
        <v>25</v>
      </c>
      <c r="I7">
        <f t="shared" si="0"/>
        <v>200</v>
      </c>
    </row>
    <row r="8" spans="1:11" x14ac:dyDescent="0.3">
      <c r="A8">
        <v>30</v>
      </c>
      <c r="B8">
        <v>30</v>
      </c>
      <c r="C8">
        <v>30</v>
      </c>
      <c r="D8">
        <v>30</v>
      </c>
      <c r="E8">
        <v>30</v>
      </c>
      <c r="F8">
        <v>30</v>
      </c>
      <c r="G8">
        <v>30</v>
      </c>
      <c r="H8">
        <v>30</v>
      </c>
      <c r="I8">
        <f t="shared" si="0"/>
        <v>240</v>
      </c>
    </row>
    <row r="9" spans="1:11" x14ac:dyDescent="0.3">
      <c r="A9">
        <v>35</v>
      </c>
      <c r="B9">
        <v>35</v>
      </c>
      <c r="C9">
        <v>35</v>
      </c>
      <c r="D9">
        <v>35</v>
      </c>
      <c r="E9">
        <v>35</v>
      </c>
      <c r="F9">
        <v>35</v>
      </c>
      <c r="G9">
        <v>35</v>
      </c>
      <c r="H9">
        <v>35</v>
      </c>
      <c r="I9">
        <f t="shared" si="0"/>
        <v>280</v>
      </c>
    </row>
    <row r="10" spans="1:11" x14ac:dyDescent="0.3">
      <c r="A10">
        <v>37</v>
      </c>
      <c r="B10">
        <v>37</v>
      </c>
      <c r="C10">
        <v>37</v>
      </c>
      <c r="D10">
        <v>37</v>
      </c>
      <c r="E10">
        <v>37</v>
      </c>
      <c r="F10">
        <v>37</v>
      </c>
      <c r="G10">
        <v>37</v>
      </c>
      <c r="H10">
        <v>37</v>
      </c>
      <c r="I10">
        <f t="shared" si="0"/>
        <v>296</v>
      </c>
      <c r="J10">
        <f>MOD(I10,60)</f>
        <v>56</v>
      </c>
      <c r="K10">
        <f>(I10-J10)/60</f>
        <v>4</v>
      </c>
    </row>
  </sheetData>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6866" r:id="rId4" name="CommandButton21">
          <controlPr defaultSize="0" autoLine="0" r:id="rId5">
            <anchor moveWithCells="1">
              <from>
                <xdr:col>5</xdr:col>
                <xdr:colOff>0</xdr:colOff>
                <xdr:row>14</xdr:row>
                <xdr:rowOff>175260</xdr:rowOff>
              </from>
              <to>
                <xdr:col>6</xdr:col>
                <xdr:colOff>175260</xdr:colOff>
                <xdr:row>16</xdr:row>
                <xdr:rowOff>106680</xdr:rowOff>
              </to>
            </anchor>
          </controlPr>
        </control>
      </mc:Choice>
      <mc:Fallback>
        <control shapeId="36866" r:id="rId4" name="CommandButton21"/>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Help</vt:lpstr>
      <vt:lpstr>MEtrolinx and NYC</vt:lpstr>
      <vt:lpstr>Benchmark no V2V</vt:lpstr>
      <vt:lpstr>App cycle</vt:lpstr>
      <vt:lpstr>Variable list</vt:lpstr>
      <vt:lpstr>General</vt:lpstr>
      <vt:lpstr>Token</vt:lpstr>
      <vt:lpstr>VSOE2_SUT</vt:lpstr>
      <vt:lpstr>VSOE2_SIDE_A</vt:lpstr>
      <vt:lpstr>VSOE2_SIDE_B</vt:lpstr>
      <vt:lpstr>VSOE2_LINKS</vt:lpstr>
      <vt:lpstr>DPRAM</vt:lpstr>
      <vt:lpstr>MODBUS_SUT</vt:lpstr>
      <vt:lpstr>MODBUS_SIDE_A</vt:lpstr>
      <vt:lpstr>MODBUS_SIDE_B</vt:lpstr>
      <vt:lpstr>Digisafe_0204</vt:lpstr>
      <vt:lpstr>Plan3</vt:lpstr>
      <vt:lpstr>Plan1</vt:lpstr>
    </vt:vector>
  </TitlesOfParts>
  <Company>ALSTOM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POTTER Michele</dc:creator>
  <cp:lastModifiedBy>DEY Agnibh</cp:lastModifiedBy>
  <dcterms:created xsi:type="dcterms:W3CDTF">2017-10-22T11:04:00Z</dcterms:created>
  <dcterms:modified xsi:type="dcterms:W3CDTF">2023-10-09T21:51:01Z</dcterms:modified>
</cp:coreProperties>
</file>